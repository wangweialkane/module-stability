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Jan\damp-heat\"/>
    </mc:Choice>
  </mc:AlternateContent>
  <xr:revisionPtr revIDLastSave="0" documentId="13_ncr:1_{24481C34-AEED-446A-8D54-C2547861B664}" xr6:coauthVersionLast="47" xr6:coauthVersionMax="47" xr10:uidLastSave="{00000000-0000-0000-0000-000000000000}"/>
  <bookViews>
    <workbookView xWindow="-41388" yWindow="-3240" windowWidth="41496" windowHeight="16896" tabRatio="760" activeTab="4" xr2:uid="{00000000-000D-0000-FFFF-FFFF00000000}"/>
  </bookViews>
  <sheets>
    <sheet name="NEW" sheetId="64" r:id="rId1"/>
    <sheet name="20230221T210000" sheetId="65" r:id="rId2"/>
    <sheet name="20230227T150000" sheetId="66" r:id="rId3"/>
    <sheet name="20230302T090000" sheetId="67" r:id="rId4"/>
    <sheet name="Sheet2" sheetId="63" r:id="rId5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2" i="67" l="1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W9" i="67" s="1"/>
  <c r="AW7" i="67" s="1"/>
  <c r="AL11" i="67"/>
  <c r="AM11" i="67" s="1"/>
  <c r="AM9" i="67" s="1"/>
  <c r="AM7" i="67" s="1"/>
  <c r="AD11" i="67"/>
  <c r="AE11" i="67" s="1"/>
  <c r="AE9" i="67" s="1"/>
  <c r="AE7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AV7" i="67"/>
  <c r="AU7" i="67" s="1"/>
  <c r="AL7" i="67"/>
  <c r="AK7" i="67" s="1"/>
  <c r="AD7" i="67"/>
  <c r="AC7" i="67" s="1"/>
  <c r="T7" i="67"/>
  <c r="L7" i="67"/>
  <c r="K7" i="67" s="1"/>
  <c r="FG6" i="67"/>
  <c r="EY6" i="67"/>
  <c r="EX6" i="67" s="1"/>
  <c r="EP6" i="67"/>
  <c r="EH6" i="67"/>
  <c r="EG6" i="67" s="1"/>
  <c r="DX6" i="67"/>
  <c r="DP6" i="67"/>
  <c r="DO6" i="67" s="1"/>
  <c r="DF6" i="67"/>
  <c r="CX6" i="67"/>
  <c r="CW6" i="67"/>
  <c r="CN6" i="67"/>
  <c r="CF6" i="67"/>
  <c r="CE6" i="67" s="1"/>
  <c r="BV6" i="67"/>
  <c r="BN6" i="67"/>
  <c r="BM6" i="67" s="1"/>
  <c r="BD6" i="67"/>
  <c r="AV6" i="67"/>
  <c r="AU6" i="67" s="1"/>
  <c r="AQ2" i="67" s="1"/>
  <c r="AL6" i="67"/>
  <c r="AD6" i="67"/>
  <c r="AC6" i="67" s="1"/>
  <c r="Y2" i="67" s="1"/>
  <c r="T6" i="67"/>
  <c r="L6" i="67"/>
  <c r="EZ5" i="67"/>
  <c r="EQ5" i="67"/>
  <c r="EI5" i="67"/>
  <c r="DY5" i="67"/>
  <c r="DQ5" i="67"/>
  <c r="CY5" i="67"/>
  <c r="CO5" i="67"/>
  <c r="CG5" i="67"/>
  <c r="BW5" i="67"/>
  <c r="BO5" i="67"/>
  <c r="AW5" i="67"/>
  <c r="AM5" i="67"/>
  <c r="AE5" i="67"/>
  <c r="EX4" i="67"/>
  <c r="EV4" i="67"/>
  <c r="EM4" i="67"/>
  <c r="EO4" i="67" s="1"/>
  <c r="EE4" i="67"/>
  <c r="EG4" i="67" s="1"/>
  <c r="DU4" i="67"/>
  <c r="DW4" i="67" s="1"/>
  <c r="DO4" i="67"/>
  <c r="DM4" i="67"/>
  <c r="CU4" i="67"/>
  <c r="CW4" i="67" s="1"/>
  <c r="CK4" i="67"/>
  <c r="CM4" i="67" s="1"/>
  <c r="CE4" i="67"/>
  <c r="CC4" i="67"/>
  <c r="BS4" i="67"/>
  <c r="BU4" i="67" s="1"/>
  <c r="BK4" i="67"/>
  <c r="BM4" i="67" s="1"/>
  <c r="BA4" i="67"/>
  <c r="BC4" i="67" s="1"/>
  <c r="AS4" i="67"/>
  <c r="AU4" i="67" s="1"/>
  <c r="AI4" i="67"/>
  <c r="AK4" i="67" s="1"/>
  <c r="AA4" i="67"/>
  <c r="AC4" i="67" s="1"/>
  <c r="EZ3" i="67"/>
  <c r="EX3" i="67"/>
  <c r="EV3" i="67"/>
  <c r="EQ3" i="67"/>
  <c r="EM3" i="67"/>
  <c r="EO3" i="67" s="1"/>
  <c r="EI3" i="67"/>
  <c r="EE3" i="67"/>
  <c r="DY3" i="67"/>
  <c r="DU3" i="67"/>
  <c r="DW3" i="67" s="1"/>
  <c r="DQ3" i="67"/>
  <c r="DO3" i="67"/>
  <c r="DM3" i="67"/>
  <c r="DG3" i="67"/>
  <c r="CY3" i="67"/>
  <c r="CW3" i="67"/>
  <c r="CU3" i="67"/>
  <c r="CO3" i="67"/>
  <c r="CK3" i="67"/>
  <c r="CM3" i="67" s="1"/>
  <c r="CG3" i="67"/>
  <c r="CC3" i="67"/>
  <c r="BW3" i="67"/>
  <c r="BS3" i="67"/>
  <c r="BU3" i="67" s="1"/>
  <c r="BO3" i="67"/>
  <c r="BK3" i="67"/>
  <c r="BE3" i="67"/>
  <c r="AW3" i="67"/>
  <c r="AU3" i="67"/>
  <c r="AS3" i="67"/>
  <c r="AM3" i="67"/>
  <c r="AI3" i="67"/>
  <c r="AE3" i="67"/>
  <c r="AA3" i="67"/>
  <c r="A5" i="63" a="1"/>
  <c r="A5" i="63" l="1"/>
  <c r="FD3" i="67"/>
  <c r="FF3" i="67" s="1"/>
  <c r="FD4" i="67"/>
  <c r="FF4" i="67" s="1"/>
  <c r="I4" i="67"/>
  <c r="K4" i="67" s="1"/>
  <c r="FH3" i="67"/>
  <c r="CE3" i="67"/>
  <c r="CC6" i="67" s="1"/>
  <c r="A19" i="67" s="1"/>
  <c r="AS6" i="67"/>
  <c r="Q4" i="67"/>
  <c r="S4" i="67" s="1"/>
  <c r="BC7" i="67"/>
  <c r="EE6" i="67"/>
  <c r="DC4" i="67"/>
  <c r="DE4" i="67" s="1"/>
  <c r="EG3" i="67"/>
  <c r="BE5" i="67"/>
  <c r="FH5" i="67"/>
  <c r="BA3" i="67"/>
  <c r="BC3" i="67" s="1"/>
  <c r="BA6" i="67" s="1"/>
  <c r="CU6" i="67"/>
  <c r="A21" i="67" s="1"/>
  <c r="K6" i="67"/>
  <c r="G2" i="67" s="1"/>
  <c r="I3" i="67"/>
  <c r="Q3" i="67"/>
  <c r="S3" i="67" s="1"/>
  <c r="Q6" i="67" s="1"/>
  <c r="BM3" i="67"/>
  <c r="BK6" i="67" s="1"/>
  <c r="A17" i="67" s="1"/>
  <c r="DC3" i="67"/>
  <c r="DE3" i="67" s="1"/>
  <c r="EV6" i="67"/>
  <c r="S7" i="67"/>
  <c r="AC3" i="67"/>
  <c r="AA6" i="67" s="1"/>
  <c r="A13" i="67" s="1"/>
  <c r="DM6" i="67"/>
  <c r="DG5" i="67"/>
  <c r="U9" i="67"/>
  <c r="U5" i="67" s="1"/>
  <c r="M9" i="67"/>
  <c r="M5" i="67" s="1"/>
  <c r="K3" i="67"/>
  <c r="I6" i="67" s="1"/>
  <c r="A11" i="67" s="1"/>
  <c r="A15" i="67"/>
  <c r="BS6" i="67"/>
  <c r="A18" i="67" s="1"/>
  <c r="CK6" i="67"/>
  <c r="A20" i="67" s="1"/>
  <c r="DU6" i="67"/>
  <c r="EM6" i="67"/>
  <c r="FD6" i="67"/>
  <c r="AK3" i="67"/>
  <c r="AI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P4" i="67" s="1"/>
  <c r="DP2" i="67" s="1"/>
  <c r="DM9" i="67" s="1"/>
  <c r="E23" i="67" s="1"/>
  <c r="DW6" i="67"/>
  <c r="DX9" i="67" s="1"/>
  <c r="EH9" i="67"/>
  <c r="EH4" i="67" s="1"/>
  <c r="EH2" i="67" s="1"/>
  <c r="EE9" i="67" s="1"/>
  <c r="E25" i="67" s="1"/>
  <c r="EO6" i="67"/>
  <c r="EP9" i="67" s="1"/>
  <c r="EY9" i="67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AV12" i="66"/>
  <c r="AW12" i="66" s="1"/>
  <c r="AV13" i="66"/>
  <c r="AW13" i="66"/>
  <c r="AV14" i="66"/>
  <c r="AW14" i="66"/>
  <c r="AV15" i="66"/>
  <c r="AW15" i="66" s="1"/>
  <c r="AV16" i="66"/>
  <c r="AW16" i="66" s="1"/>
  <c r="AV17" i="66"/>
  <c r="AW17" i="66" s="1"/>
  <c r="AV18" i="66"/>
  <c r="AW18" i="66" s="1"/>
  <c r="AV19" i="66"/>
  <c r="AW19" i="66"/>
  <c r="AV20" i="66"/>
  <c r="AW20" i="66"/>
  <c r="AV21" i="66"/>
  <c r="AW21" i="66" s="1"/>
  <c r="AV22" i="66"/>
  <c r="AW22" i="66" s="1"/>
  <c r="AV23" i="66"/>
  <c r="AW23" i="66" s="1"/>
  <c r="AV24" i="66"/>
  <c r="AW24" i="66" s="1"/>
  <c r="AV25" i="66"/>
  <c r="AW25" i="66"/>
  <c r="AV26" i="66"/>
  <c r="AW26" i="66"/>
  <c r="AV27" i="66"/>
  <c r="AW27" i="66" s="1"/>
  <c r="AV28" i="66"/>
  <c r="AW28" i="66" s="1"/>
  <c r="AV29" i="66"/>
  <c r="AW29" i="66" s="1"/>
  <c r="AV30" i="66"/>
  <c r="AW30" i="66" s="1"/>
  <c r="AV31" i="66"/>
  <c r="AW31" i="66"/>
  <c r="AV32" i="66"/>
  <c r="AW32" i="66"/>
  <c r="AV33" i="66"/>
  <c r="AW33" i="66" s="1"/>
  <c r="AV34" i="66"/>
  <c r="AW34" i="66" s="1"/>
  <c r="AV35" i="66"/>
  <c r="AW35" i="66" s="1"/>
  <c r="AV36" i="66"/>
  <c r="AW36" i="66" s="1"/>
  <c r="AV37" i="66"/>
  <c r="AW37" i="66"/>
  <c r="AV38" i="66"/>
  <c r="AW38" i="66"/>
  <c r="AV39" i="66"/>
  <c r="AW39" i="66" s="1"/>
  <c r="AV40" i="66"/>
  <c r="AW40" i="66" s="1"/>
  <c r="AV41" i="66"/>
  <c r="AW41" i="66" s="1"/>
  <c r="AV42" i="66"/>
  <c r="AW42" i="66" s="1"/>
  <c r="AV43" i="66"/>
  <c r="AW43" i="66"/>
  <c r="AV44" i="66"/>
  <c r="AW44" i="66"/>
  <c r="AV45" i="66"/>
  <c r="AW45" i="66" s="1"/>
  <c r="AV46" i="66"/>
  <c r="AW46" i="66" s="1"/>
  <c r="AV47" i="66"/>
  <c r="AW47" i="66" s="1"/>
  <c r="AV48" i="66"/>
  <c r="AW48" i="66" s="1"/>
  <c r="AV49" i="66"/>
  <c r="AW49" i="66"/>
  <c r="AV50" i="66"/>
  <c r="AW50" i="66"/>
  <c r="AV51" i="66"/>
  <c r="AW51" i="66" s="1"/>
  <c r="AV52" i="66"/>
  <c r="AW52" i="66" s="1"/>
  <c r="AV53" i="66"/>
  <c r="AW53" i="66" s="1"/>
  <c r="AV54" i="66"/>
  <c r="AW54" i="66" s="1"/>
  <c r="AV55" i="66"/>
  <c r="AW55" i="66"/>
  <c r="AV56" i="66"/>
  <c r="AW56" i="66"/>
  <c r="AV57" i="66"/>
  <c r="AW57" i="66" s="1"/>
  <c r="AV58" i="66"/>
  <c r="AW58" i="66" s="1"/>
  <c r="AV59" i="66"/>
  <c r="AW59" i="66" s="1"/>
  <c r="AV60" i="66"/>
  <c r="AW60" i="66" s="1"/>
  <c r="AV61" i="66"/>
  <c r="AW61" i="66"/>
  <c r="AV62" i="66"/>
  <c r="AW62" i="66"/>
  <c r="AV63" i="66"/>
  <c r="AW63" i="66" s="1"/>
  <c r="AV64" i="66"/>
  <c r="AW64" i="66" s="1"/>
  <c r="AV65" i="66"/>
  <c r="AW65" i="66" s="1"/>
  <c r="AV66" i="66"/>
  <c r="AW66" i="66" s="1"/>
  <c r="AV67" i="66"/>
  <c r="AW67" i="66"/>
  <c r="AV68" i="66"/>
  <c r="AW68" i="66"/>
  <c r="AV69" i="66"/>
  <c r="AW69" i="66" s="1"/>
  <c r="AV70" i="66"/>
  <c r="AW70" i="66" s="1"/>
  <c r="AV71" i="66"/>
  <c r="AW71" i="66" s="1"/>
  <c r="AV72" i="66"/>
  <c r="AW72" i="66" s="1"/>
  <c r="AV73" i="66"/>
  <c r="AW73" i="66"/>
  <c r="AV74" i="66"/>
  <c r="AW74" i="66"/>
  <c r="AV75" i="66"/>
  <c r="AW75" i="66" s="1"/>
  <c r="AV76" i="66"/>
  <c r="AW76" i="66" s="1"/>
  <c r="AV77" i="66"/>
  <c r="AW77" i="66" s="1"/>
  <c r="AV78" i="66"/>
  <c r="AW78" i="66" s="1"/>
  <c r="AV79" i="66"/>
  <c r="AW79" i="66"/>
  <c r="AV80" i="66"/>
  <c r="AW80" i="66"/>
  <c r="AV81" i="66"/>
  <c r="AW81" i="66" s="1"/>
  <c r="AV82" i="66"/>
  <c r="AW82" i="66" s="1"/>
  <c r="AV83" i="66"/>
  <c r="AW83" i="66" s="1"/>
  <c r="AV84" i="66"/>
  <c r="AW84" i="66" s="1"/>
  <c r="AV85" i="66"/>
  <c r="AW85" i="66"/>
  <c r="AV86" i="66"/>
  <c r="AW86" i="66"/>
  <c r="AV87" i="66"/>
  <c r="AW87" i="66" s="1"/>
  <c r="AV88" i="66"/>
  <c r="AW88" i="66" s="1"/>
  <c r="AV89" i="66"/>
  <c r="AW89" i="66" s="1"/>
  <c r="AV90" i="66"/>
  <c r="AW90" i="66" s="1"/>
  <c r="AV91" i="66"/>
  <c r="AW91" i="66"/>
  <c r="AV92" i="66"/>
  <c r="AW92" i="66"/>
  <c r="AV93" i="66"/>
  <c r="AW93" i="66" s="1"/>
  <c r="AV94" i="66"/>
  <c r="AW94" i="66" s="1"/>
  <c r="AV95" i="66"/>
  <c r="AW95" i="66" s="1"/>
  <c r="AV96" i="66"/>
  <c r="AW96" i="66" s="1"/>
  <c r="AV97" i="66"/>
  <c r="AW97" i="66"/>
  <c r="AV98" i="66"/>
  <c r="AW98" i="66"/>
  <c r="AV99" i="66"/>
  <c r="AW99" i="66" s="1"/>
  <c r="AV100" i="66"/>
  <c r="AW100" i="66" s="1"/>
  <c r="AV101" i="66"/>
  <c r="AW101" i="66" s="1"/>
  <c r="AV102" i="66"/>
  <c r="AW102" i="66" s="1"/>
  <c r="AV103" i="66"/>
  <c r="AW103" i="66"/>
  <c r="AV104" i="66"/>
  <c r="AW104" i="66"/>
  <c r="AV105" i="66"/>
  <c r="AW105" i="66" s="1"/>
  <c r="AV106" i="66"/>
  <c r="AW106" i="66" s="1"/>
  <c r="AV107" i="66"/>
  <c r="AW107" i="66" s="1"/>
  <c r="AV108" i="66"/>
  <c r="AW108" i="66" s="1"/>
  <c r="AV109" i="66"/>
  <c r="AW109" i="66"/>
  <c r="AV110" i="66"/>
  <c r="AW110" i="66"/>
  <c r="AV111" i="66"/>
  <c r="AW111" i="66" s="1"/>
  <c r="AV112" i="66"/>
  <c r="AW112" i="66" s="1"/>
  <c r="AV113" i="66"/>
  <c r="AW113" i="66" s="1"/>
  <c r="AV114" i="66"/>
  <c r="AW114" i="66" s="1"/>
  <c r="AV115" i="66"/>
  <c r="AW115" i="66"/>
  <c r="AV116" i="66"/>
  <c r="AW116" i="66"/>
  <c r="AV117" i="66"/>
  <c r="AW117" i="66" s="1"/>
  <c r="AV118" i="66"/>
  <c r="AW118" i="66" s="1"/>
  <c r="AV119" i="66"/>
  <c r="AW119" i="66" s="1"/>
  <c r="AV120" i="66"/>
  <c r="AW120" i="66" s="1"/>
  <c r="AV121" i="66"/>
  <c r="AW121" i="66"/>
  <c r="AV122" i="66"/>
  <c r="AW122" i="66"/>
  <c r="AV123" i="66"/>
  <c r="AW123" i="66" s="1"/>
  <c r="AV124" i="66"/>
  <c r="AW124" i="66" s="1"/>
  <c r="AV125" i="66"/>
  <c r="AW125" i="66" s="1"/>
  <c r="AV126" i="66"/>
  <c r="AW126" i="66" s="1"/>
  <c r="AV127" i="66"/>
  <c r="AW127" i="66"/>
  <c r="AV128" i="66"/>
  <c r="AW128" i="66"/>
  <c r="AV129" i="66"/>
  <c r="AW129" i="66" s="1"/>
  <c r="AV130" i="66"/>
  <c r="AW130" i="66" s="1"/>
  <c r="AV131" i="66"/>
  <c r="AW131" i="66" s="1"/>
  <c r="AV132" i="66"/>
  <c r="AW132" i="66" s="1"/>
  <c r="AV133" i="66"/>
  <c r="AW133" i="66"/>
  <c r="AV134" i="66"/>
  <c r="AW134" i="66"/>
  <c r="AV135" i="66"/>
  <c r="AW135" i="66" s="1"/>
  <c r="AV136" i="66"/>
  <c r="AW136" i="66" s="1"/>
  <c r="AV137" i="66"/>
  <c r="AW137" i="66" s="1"/>
  <c r="AV138" i="66"/>
  <c r="AW138" i="66" s="1"/>
  <c r="AV139" i="66"/>
  <c r="AW139" i="66"/>
  <c r="AV140" i="66"/>
  <c r="AW140" i="66"/>
  <c r="AV141" i="66"/>
  <c r="AW141" i="66" s="1"/>
  <c r="AV142" i="66"/>
  <c r="AW142" i="66" s="1"/>
  <c r="AV143" i="66"/>
  <c r="AW143" i="66" s="1"/>
  <c r="AV144" i="66"/>
  <c r="AW144" i="66" s="1"/>
  <c r="AV145" i="66"/>
  <c r="AW145" i="66"/>
  <c r="AV146" i="66"/>
  <c r="AW146" i="66"/>
  <c r="AV147" i="66"/>
  <c r="AW147" i="66" s="1"/>
  <c r="AV148" i="66"/>
  <c r="AW148" i="66" s="1"/>
  <c r="AV149" i="66"/>
  <c r="AW149" i="66" s="1"/>
  <c r="AV150" i="66"/>
  <c r="AW150" i="66" s="1"/>
  <c r="AV151" i="66"/>
  <c r="AW151" i="66"/>
  <c r="AV152" i="66"/>
  <c r="AW152" i="66"/>
  <c r="AV153" i="66"/>
  <c r="AW153" i="66" s="1"/>
  <c r="AV154" i="66"/>
  <c r="AW154" i="66" s="1"/>
  <c r="AV155" i="66"/>
  <c r="AW155" i="66" s="1"/>
  <c r="AV156" i="66"/>
  <c r="AW156" i="66" s="1"/>
  <c r="AV157" i="66"/>
  <c r="AW157" i="66"/>
  <c r="AV158" i="66"/>
  <c r="AW158" i="66"/>
  <c r="AV159" i="66"/>
  <c r="AW159" i="66" s="1"/>
  <c r="AV160" i="66"/>
  <c r="AW160" i="66" s="1"/>
  <c r="AV161" i="66"/>
  <c r="AW161" i="66" s="1"/>
  <c r="AV162" i="66"/>
  <c r="AW162" i="66" s="1"/>
  <c r="AV163" i="66"/>
  <c r="AW163" i="66"/>
  <c r="AV164" i="66"/>
  <c r="AW164" i="66"/>
  <c r="AV165" i="66"/>
  <c r="AW165" i="66" s="1"/>
  <c r="AV166" i="66"/>
  <c r="AW166" i="66" s="1"/>
  <c r="AV167" i="66"/>
  <c r="AW167" i="66" s="1"/>
  <c r="AV168" i="66"/>
  <c r="AW168" i="66" s="1"/>
  <c r="AV169" i="66"/>
  <c r="AW169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A4" i="63" a="1"/>
  <c r="AY2" i="67" l="1"/>
  <c r="EY4" i="67"/>
  <c r="EY2" i="67" s="1"/>
  <c r="EV9" i="67" s="1"/>
  <c r="DC6" i="67"/>
  <c r="A22" i="67" s="1"/>
  <c r="U7" i="67"/>
  <c r="U3" i="67"/>
  <c r="G4" i="67"/>
  <c r="M7" i="67"/>
  <c r="M3" i="67"/>
  <c r="A16" i="67"/>
  <c r="A12" i="67"/>
  <c r="EP4" i="67"/>
  <c r="EP2" i="67" s="1"/>
  <c r="A14" i="67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AG4" i="67"/>
  <c r="L4" i="67"/>
  <c r="CF4" i="67"/>
  <c r="CF2" i="67" s="1"/>
  <c r="AV4" i="67"/>
  <c r="CX4" i="67"/>
  <c r="BN4" i="67"/>
  <c r="CN4" i="67"/>
  <c r="A4" i="63"/>
  <c r="FH11" i="66"/>
  <c r="FH9" i="66" s="1"/>
  <c r="FH7" i="66" s="1"/>
  <c r="FG11" i="66"/>
  <c r="EY11" i="66"/>
  <c r="EV3" i="66" s="1"/>
  <c r="EX3" i="66" s="1"/>
  <c r="EP11" i="66"/>
  <c r="EM4" i="66" s="1"/>
  <c r="EO4" i="66" s="1"/>
  <c r="EH11" i="66"/>
  <c r="EI11" i="66" s="1"/>
  <c r="EI9" i="66" s="1"/>
  <c r="DX11" i="66"/>
  <c r="DY11" i="66" s="1"/>
  <c r="DY9" i="66" s="1"/>
  <c r="DQ11" i="66"/>
  <c r="DQ9" i="66" s="1"/>
  <c r="DQ7" i="66" s="1"/>
  <c r="DP11" i="66"/>
  <c r="DG11" i="66"/>
  <c r="DG9" i="66" s="1"/>
  <c r="DF11" i="66"/>
  <c r="CX11" i="66"/>
  <c r="CX6" i="66" s="1"/>
  <c r="CN11" i="66"/>
  <c r="CK4" i="66" s="1"/>
  <c r="CM4" i="66" s="1"/>
  <c r="CF11" i="66"/>
  <c r="CG11" i="66" s="1"/>
  <c r="CG9" i="66" s="1"/>
  <c r="BV11" i="66"/>
  <c r="BW11" i="66" s="1"/>
  <c r="BW9" i="66" s="1"/>
  <c r="BO11" i="66"/>
  <c r="BO9" i="66" s="1"/>
  <c r="BN11" i="66"/>
  <c r="BD11" i="66"/>
  <c r="BE11" i="66" s="1"/>
  <c r="BE9" i="66" s="1"/>
  <c r="AV11" i="66"/>
  <c r="AW11" i="66" s="1"/>
  <c r="AW9" i="66" s="1"/>
  <c r="AL11" i="66"/>
  <c r="AM11" i="66" s="1"/>
  <c r="AM9" i="66" s="1"/>
  <c r="AD11" i="66"/>
  <c r="AE11" i="66" s="1"/>
  <c r="AE9" i="66" s="1"/>
  <c r="T11" i="66"/>
  <c r="U11" i="66" s="1"/>
  <c r="U9" i="66" s="1"/>
  <c r="L11" i="66"/>
  <c r="M11" i="66" s="1"/>
  <c r="FG7" i="66"/>
  <c r="FF7" i="66" s="1"/>
  <c r="EY7" i="66"/>
  <c r="EX7" i="66" s="1"/>
  <c r="EP7" i="66"/>
  <c r="EO7" i="66"/>
  <c r="EH7" i="66"/>
  <c r="EG7" i="66" s="1"/>
  <c r="DX7" i="66"/>
  <c r="DW7" i="66" s="1"/>
  <c r="DP7" i="66"/>
  <c r="DO7" i="66" s="1"/>
  <c r="DF7" i="66"/>
  <c r="DE7" i="66"/>
  <c r="CX7" i="66"/>
  <c r="CN7" i="66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L7" i="66"/>
  <c r="K7" i="66" s="1"/>
  <c r="FG6" i="66"/>
  <c r="EY6" i="66"/>
  <c r="EX6" i="66"/>
  <c r="EP6" i="66"/>
  <c r="EH6" i="66"/>
  <c r="EG6" i="66" s="1"/>
  <c r="DX6" i="66"/>
  <c r="DP6" i="66"/>
  <c r="DO6" i="66" s="1"/>
  <c r="DF6" i="66"/>
  <c r="CF6" i="66"/>
  <c r="BV6" i="66"/>
  <c r="BN6" i="66"/>
  <c r="BM6" i="66" s="1"/>
  <c r="BD6" i="66"/>
  <c r="AV6" i="66"/>
  <c r="AL6" i="66"/>
  <c r="AD6" i="66"/>
  <c r="T6" i="66"/>
  <c r="L6" i="66"/>
  <c r="FH5" i="66"/>
  <c r="DQ5" i="66"/>
  <c r="FD4" i="66"/>
  <c r="FF4" i="66" s="1"/>
  <c r="EV4" i="66"/>
  <c r="EX4" i="66" s="1"/>
  <c r="EE4" i="66"/>
  <c r="EG4" i="66" s="1"/>
  <c r="DU4" i="66"/>
  <c r="DW4" i="66" s="1"/>
  <c r="DO4" i="66"/>
  <c r="DM4" i="66"/>
  <c r="DC4" i="66"/>
  <c r="DE4" i="66" s="1"/>
  <c r="CC4" i="66"/>
  <c r="CE4" i="66" s="1"/>
  <c r="BS4" i="66"/>
  <c r="BU4" i="66" s="1"/>
  <c r="BK4" i="66"/>
  <c r="BM4" i="66" s="1"/>
  <c r="BA4" i="66"/>
  <c r="BC4" i="66" s="1"/>
  <c r="AS4" i="66"/>
  <c r="AU4" i="66" s="1"/>
  <c r="AI4" i="66"/>
  <c r="AK4" i="66" s="1"/>
  <c r="AA4" i="66"/>
  <c r="AC4" i="66" s="1"/>
  <c r="I4" i="66"/>
  <c r="K4" i="66" s="1"/>
  <c r="FH3" i="66"/>
  <c r="FD3" i="66"/>
  <c r="EE3" i="66"/>
  <c r="EG3" i="66" s="1"/>
  <c r="DU3" i="66"/>
  <c r="DQ3" i="66"/>
  <c r="DM3" i="66"/>
  <c r="DO3" i="66" s="1"/>
  <c r="DC3" i="66"/>
  <c r="CU3" i="66"/>
  <c r="CW3" i="66" s="1"/>
  <c r="CC3" i="66"/>
  <c r="CE3" i="66" s="1"/>
  <c r="BS3" i="66"/>
  <c r="BK3" i="66"/>
  <c r="BM3" i="66" s="1"/>
  <c r="BA3" i="66"/>
  <c r="AS3" i="66"/>
  <c r="AU3" i="66" s="1"/>
  <c r="AI3" i="66"/>
  <c r="AA3" i="66"/>
  <c r="AC3" i="66" s="1"/>
  <c r="I3" i="66"/>
  <c r="J5" i="63"/>
  <c r="E5" i="63"/>
  <c r="BO7" i="66" l="1"/>
  <c r="BO3" i="66"/>
  <c r="BO5" i="66"/>
  <c r="BW7" i="66"/>
  <c r="BW5" i="66"/>
  <c r="BW3" i="66"/>
  <c r="EI7" i="66"/>
  <c r="EI5" i="66"/>
  <c r="EI3" i="66"/>
  <c r="CW6" i="66"/>
  <c r="CX9" i="66" s="1"/>
  <c r="B21" i="66" s="1"/>
  <c r="DY7" i="66"/>
  <c r="DY5" i="66"/>
  <c r="DY3" i="66"/>
  <c r="CG7" i="66"/>
  <c r="CG5" i="66"/>
  <c r="CG3" i="66"/>
  <c r="DG3" i="66"/>
  <c r="DG5" i="66"/>
  <c r="DG7" i="66"/>
  <c r="CU4" i="66"/>
  <c r="CW4" i="66" s="1"/>
  <c r="K6" i="66"/>
  <c r="G2" i="66" s="1"/>
  <c r="CY11" i="66"/>
  <c r="CY9" i="66" s="1"/>
  <c r="EZ11" i="66"/>
  <c r="EZ9" i="66" s="1"/>
  <c r="CN6" i="66"/>
  <c r="CM7" i="66"/>
  <c r="Q3" i="66"/>
  <c r="Q4" i="66"/>
  <c r="S4" i="66" s="1"/>
  <c r="S6" i="66"/>
  <c r="S7" i="66"/>
  <c r="CW7" i="66"/>
  <c r="CO11" i="66"/>
  <c r="CO9" i="66" s="1"/>
  <c r="EQ11" i="66"/>
  <c r="EQ9" i="66" s="1"/>
  <c r="AC6" i="66"/>
  <c r="Y2" i="66" s="1"/>
  <c r="CK3" i="66"/>
  <c r="CM3" i="66" s="1"/>
  <c r="CK6" i="66" s="1"/>
  <c r="DP9" i="66"/>
  <c r="EY9" i="66"/>
  <c r="EM3" i="66"/>
  <c r="CF9" i="66"/>
  <c r="B19" i="66" s="1"/>
  <c r="BN9" i="66"/>
  <c r="B17" i="66" s="1"/>
  <c r="EH9" i="66"/>
  <c r="CE6" i="66"/>
  <c r="C20" i="67"/>
  <c r="CN2" i="67"/>
  <c r="D20" i="67" s="1"/>
  <c r="C21" i="67"/>
  <c r="CX2" i="67"/>
  <c r="D19" i="67"/>
  <c r="CC9" i="67"/>
  <c r="E19" i="67" s="1"/>
  <c r="C13" i="67"/>
  <c r="AD2" i="67"/>
  <c r="C18" i="67"/>
  <c r="BV2" i="67"/>
  <c r="D18" i="67" s="1"/>
  <c r="T4" i="67"/>
  <c r="BD4" i="67"/>
  <c r="C17" i="67"/>
  <c r="C19" i="67"/>
  <c r="BN2" i="67"/>
  <c r="C15" i="67"/>
  <c r="AV2" i="67"/>
  <c r="C11" i="67"/>
  <c r="L2" i="67"/>
  <c r="C22" i="67"/>
  <c r="DF2" i="67"/>
  <c r="D22" i="67" s="1"/>
  <c r="AL4" i="67"/>
  <c r="BE7" i="66"/>
  <c r="BE5" i="66"/>
  <c r="BE3" i="66"/>
  <c r="AW7" i="66"/>
  <c r="AW5" i="66"/>
  <c r="AW3" i="66"/>
  <c r="AU6" i="66"/>
  <c r="AQ2" i="66" s="1"/>
  <c r="AM7" i="66"/>
  <c r="AM5" i="66"/>
  <c r="AM3" i="66"/>
  <c r="AE7" i="66"/>
  <c r="AE5" i="66"/>
  <c r="AE3" i="66"/>
  <c r="U3" i="66"/>
  <c r="U7" i="66"/>
  <c r="U5" i="66"/>
  <c r="O2" i="66"/>
  <c r="M9" i="66"/>
  <c r="M7" i="66" s="1"/>
  <c r="K3" i="66"/>
  <c r="I6" i="66" s="1"/>
  <c r="A11" i="66" s="1"/>
  <c r="S3" i="66"/>
  <c r="Q6" i="66" s="1"/>
  <c r="AA6" i="66"/>
  <c r="AK3" i="66"/>
  <c r="AI6" i="66" s="1"/>
  <c r="AS6" i="66"/>
  <c r="BC3" i="66"/>
  <c r="BA6" i="66" s="1"/>
  <c r="BK6" i="66"/>
  <c r="A17" i="66" s="1"/>
  <c r="BU3" i="66"/>
  <c r="BS6" i="66" s="1"/>
  <c r="CC6" i="66"/>
  <c r="A19" i="66" s="1"/>
  <c r="CU6" i="66"/>
  <c r="A21" i="66" s="1"/>
  <c r="DE3" i="66"/>
  <c r="DC6" i="66" s="1"/>
  <c r="DM6" i="66"/>
  <c r="DP4" i="66" s="1"/>
  <c r="DP2" i="66" s="1"/>
  <c r="DM9" i="66" s="1"/>
  <c r="E23" i="66" s="1"/>
  <c r="DW3" i="66"/>
  <c r="DU6" i="66" s="1"/>
  <c r="EE6" i="66"/>
  <c r="EO3" i="66"/>
  <c r="EM6" i="66" s="1"/>
  <c r="EV6" i="66"/>
  <c r="FF3" i="66"/>
  <c r="FD6" i="66" s="1"/>
  <c r="Y4" i="66"/>
  <c r="AG4" i="66"/>
  <c r="AQ4" i="66"/>
  <c r="T9" i="66"/>
  <c r="B12" i="66" s="1"/>
  <c r="AK6" i="66"/>
  <c r="AG2" i="66" s="1"/>
  <c r="BC6" i="66"/>
  <c r="AY2" i="66" s="1"/>
  <c r="BU6" i="66"/>
  <c r="BV9" i="66" s="1"/>
  <c r="B18" i="66" s="1"/>
  <c r="CM6" i="66"/>
  <c r="CN9" i="66" s="1"/>
  <c r="B20" i="66" s="1"/>
  <c r="DE6" i="66"/>
  <c r="DF9" i="66" s="1"/>
  <c r="B22" i="66" s="1"/>
  <c r="DW6" i="66"/>
  <c r="DX9" i="66"/>
  <c r="EO6" i="66"/>
  <c r="EP9" i="66" s="1"/>
  <c r="FF6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 s="1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 s="1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 s="1"/>
  <c r="BD116" i="65"/>
  <c r="BE116" i="65"/>
  <c r="BD117" i="65"/>
  <c r="BE117" i="65" s="1"/>
  <c r="BD118" i="65"/>
  <c r="BE118" i="65" s="1"/>
  <c r="BD119" i="65"/>
  <c r="BE119" i="65" s="1"/>
  <c r="BD120" i="65"/>
  <c r="BE120" i="65"/>
  <c r="BD121" i="65"/>
  <c r="BE121" i="65"/>
  <c r="BD122" i="65"/>
  <c r="BE122" i="65" s="1"/>
  <c r="BD123" i="65"/>
  <c r="BE123" i="65" s="1"/>
  <c r="BD124" i="65"/>
  <c r="BE124" i="65" s="1"/>
  <c r="BD125" i="65"/>
  <c r="BE125" i="65" s="1"/>
  <c r="BD126" i="65"/>
  <c r="BE126" i="65"/>
  <c r="BD127" i="65"/>
  <c r="BE127" i="65"/>
  <c r="BD128" i="65"/>
  <c r="BE128" i="65" s="1"/>
  <c r="BD129" i="65"/>
  <c r="BE129" i="65" s="1"/>
  <c r="BD130" i="65"/>
  <c r="BE130" i="65" s="1"/>
  <c r="BD131" i="65"/>
  <c r="BE131" i="65" s="1"/>
  <c r="BD132" i="65"/>
  <c r="BE132" i="65"/>
  <c r="BD133" i="65"/>
  <c r="BE133" i="65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 s="1"/>
  <c r="AV99" i="65"/>
  <c r="AW99" i="65" s="1"/>
  <c r="AV100" i="65"/>
  <c r="AW100" i="65" s="1"/>
  <c r="AV101" i="65"/>
  <c r="AW101" i="65"/>
  <c r="AV102" i="65"/>
  <c r="AW102" i="65" s="1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 s="1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 s="1"/>
  <c r="AV115" i="65"/>
  <c r="AW115" i="65"/>
  <c r="AV116" i="65"/>
  <c r="AW116" i="65" s="1"/>
  <c r="AV117" i="65"/>
  <c r="AW117" i="65" s="1"/>
  <c r="AV118" i="65"/>
  <c r="AW118" i="65" s="1"/>
  <c r="AV119" i="65"/>
  <c r="AW119" i="65"/>
  <c r="AV120" i="65"/>
  <c r="AW120" i="65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 s="1"/>
  <c r="AL99" i="65"/>
  <c r="AM99" i="65" s="1"/>
  <c r="AL100" i="65"/>
  <c r="AM100" i="65"/>
  <c r="AL101" i="65"/>
  <c r="AM101" i="65"/>
  <c r="AL102" i="65"/>
  <c r="AM102" i="65" s="1"/>
  <c r="AL103" i="65"/>
  <c r="AM103" i="65"/>
  <c r="AL104" i="65"/>
  <c r="AM104" i="65" s="1"/>
  <c r="AL105" i="65"/>
  <c r="AM105" i="65" s="1"/>
  <c r="AL106" i="65"/>
  <c r="AM106" i="65"/>
  <c r="AL107" i="65"/>
  <c r="AM107" i="65"/>
  <c r="AL108" i="65"/>
  <c r="AM108" i="65" s="1"/>
  <c r="AL109" i="65"/>
  <c r="AM109" i="65"/>
  <c r="AL110" i="65"/>
  <c r="AM110" i="65" s="1"/>
  <c r="AL111" i="65"/>
  <c r="AM111" i="65" s="1"/>
  <c r="AL112" i="65"/>
  <c r="AM112" i="65"/>
  <c r="AL113" i="65"/>
  <c r="AM113" i="65"/>
  <c r="AL114" i="65"/>
  <c r="AM114" i="65" s="1"/>
  <c r="AL115" i="65"/>
  <c r="AM115" i="65"/>
  <c r="AL116" i="65"/>
  <c r="AM116" i="65" s="1"/>
  <c r="AL117" i="65"/>
  <c r="AM117" i="65" s="1"/>
  <c r="AL118" i="65"/>
  <c r="AM118" i="65"/>
  <c r="AL119" i="65"/>
  <c r="AM119" i="65"/>
  <c r="AL120" i="65"/>
  <c r="AM120" i="65" s="1"/>
  <c r="AL121" i="65"/>
  <c r="AM121" i="65"/>
  <c r="AL122" i="65"/>
  <c r="AM122" i="65" s="1"/>
  <c r="AL123" i="65"/>
  <c r="AM123" i="65" s="1"/>
  <c r="AL124" i="65"/>
  <c r="AM124" i="65"/>
  <c r="AL125" i="65"/>
  <c r="AM125" i="65"/>
  <c r="AL126" i="65"/>
  <c r="AM126" i="65" s="1"/>
  <c r="AL127" i="65"/>
  <c r="AM127" i="65"/>
  <c r="AL128" i="65"/>
  <c r="AM128" i="65" s="1"/>
  <c r="AL129" i="65"/>
  <c r="AM129" i="65" s="1"/>
  <c r="AL130" i="65"/>
  <c r="AM130" i="65"/>
  <c r="AL131" i="65"/>
  <c r="AM131" i="65"/>
  <c r="AL132" i="65"/>
  <c r="AM132" i="65" s="1"/>
  <c r="AL133" i="65"/>
  <c r="AM133" i="65"/>
  <c r="AL134" i="65"/>
  <c r="AM134" i="65" s="1"/>
  <c r="AL135" i="65"/>
  <c r="AM135" i="65" s="1"/>
  <c r="AL136" i="65"/>
  <c r="AM136" i="65"/>
  <c r="AL137" i="65"/>
  <c r="AM137" i="65"/>
  <c r="AL138" i="65"/>
  <c r="AM138" i="65" s="1"/>
  <c r="AL139" i="65"/>
  <c r="AM139" i="65"/>
  <c r="AL140" i="65"/>
  <c r="AM140" i="65" s="1"/>
  <c r="AL141" i="65"/>
  <c r="AM141" i="65" s="1"/>
  <c r="AL142" i="65"/>
  <c r="AM142" i="65"/>
  <c r="AL143" i="65"/>
  <c r="AM143" i="65"/>
  <c r="AL144" i="65"/>
  <c r="AM144" i="65" s="1"/>
  <c r="AL145" i="65"/>
  <c r="AM145" i="65"/>
  <c r="AL146" i="65"/>
  <c r="AM146" i="65" s="1"/>
  <c r="AL147" i="65"/>
  <c r="AM147" i="65" s="1"/>
  <c r="AL148" i="65"/>
  <c r="AM148" i="65"/>
  <c r="AL149" i="65"/>
  <c r="AM149" i="65"/>
  <c r="AL150" i="65"/>
  <c r="AM150" i="65" s="1"/>
  <c r="AL151" i="65"/>
  <c r="AM151" i="65"/>
  <c r="AL152" i="65"/>
  <c r="AM152" i="65" s="1"/>
  <c r="AL153" i="65"/>
  <c r="AM153" i="65" s="1"/>
  <c r="AL154" i="65"/>
  <c r="AM154" i="65"/>
  <c r="AL155" i="65"/>
  <c r="AM155" i="65"/>
  <c r="AL156" i="65"/>
  <c r="AM156" i="65" s="1"/>
  <c r="AL157" i="65"/>
  <c r="AM157" i="65"/>
  <c r="AL158" i="65"/>
  <c r="AM158" i="65" s="1"/>
  <c r="AL159" i="65"/>
  <c r="AM159" i="65" s="1"/>
  <c r="AL160" i="65"/>
  <c r="AM160" i="65"/>
  <c r="AL161" i="65"/>
  <c r="AM161" i="65"/>
  <c r="AL162" i="65"/>
  <c r="AM162" i="65" s="1"/>
  <c r="AL163" i="65"/>
  <c r="AM163" i="65"/>
  <c r="AL164" i="65"/>
  <c r="AM164" i="65" s="1"/>
  <c r="AL165" i="65"/>
  <c r="AM165" i="65" s="1"/>
  <c r="AL166" i="65"/>
  <c r="AM166" i="65"/>
  <c r="AL167" i="65"/>
  <c r="AM167" i="65"/>
  <c r="AL168" i="65"/>
  <c r="AM168" i="65" s="1"/>
  <c r="AL169" i="65"/>
  <c r="AM169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T12" i="65"/>
  <c r="U12" i="65" s="1"/>
  <c r="T13" i="65"/>
  <c r="U13" i="65"/>
  <c r="T14" i="65"/>
  <c r="U14" i="65"/>
  <c r="T15" i="65"/>
  <c r="U15" i="65" s="1"/>
  <c r="T16" i="65"/>
  <c r="U16" i="65"/>
  <c r="T17" i="65"/>
  <c r="U17" i="65" s="1"/>
  <c r="T18" i="65"/>
  <c r="U18" i="65" s="1"/>
  <c r="T19" i="65"/>
  <c r="U19" i="65"/>
  <c r="T20" i="65"/>
  <c r="U20" i="65"/>
  <c r="T21" i="65"/>
  <c r="U21" i="65" s="1"/>
  <c r="T22" i="65"/>
  <c r="U22" i="65"/>
  <c r="T23" i="65"/>
  <c r="U23" i="65" s="1"/>
  <c r="T24" i="65"/>
  <c r="U24" i="65" s="1"/>
  <c r="T25" i="65"/>
  <c r="U25" i="65"/>
  <c r="T26" i="65"/>
  <c r="U26" i="65"/>
  <c r="T27" i="65"/>
  <c r="U27" i="65" s="1"/>
  <c r="T28" i="65"/>
  <c r="U28" i="65"/>
  <c r="T29" i="65"/>
  <c r="U29" i="65" s="1"/>
  <c r="T30" i="65"/>
  <c r="U30" i="65" s="1"/>
  <c r="T31" i="65"/>
  <c r="U31" i="65"/>
  <c r="T32" i="65"/>
  <c r="U32" i="65"/>
  <c r="T33" i="65"/>
  <c r="U33" i="65" s="1"/>
  <c r="T34" i="65"/>
  <c r="U34" i="65"/>
  <c r="T35" i="65"/>
  <c r="U35" i="65" s="1"/>
  <c r="T36" i="65"/>
  <c r="U36" i="65" s="1"/>
  <c r="T37" i="65"/>
  <c r="U37" i="65"/>
  <c r="T38" i="65"/>
  <c r="U38" i="65"/>
  <c r="T39" i="65"/>
  <c r="U39" i="65" s="1"/>
  <c r="T40" i="65"/>
  <c r="U40" i="65"/>
  <c r="T41" i="65"/>
  <c r="U41" i="65" s="1"/>
  <c r="T42" i="65"/>
  <c r="U42" i="65" s="1"/>
  <c r="T43" i="65"/>
  <c r="U43" i="65"/>
  <c r="T44" i="65"/>
  <c r="U44" i="65"/>
  <c r="T45" i="65"/>
  <c r="U45" i="65" s="1"/>
  <c r="T46" i="65"/>
  <c r="U46" i="65"/>
  <c r="T47" i="65"/>
  <c r="U47" i="65" s="1"/>
  <c r="T48" i="65"/>
  <c r="U48" i="65" s="1"/>
  <c r="T49" i="65"/>
  <c r="U49" i="65"/>
  <c r="T50" i="65"/>
  <c r="U50" i="65"/>
  <c r="T51" i="65"/>
  <c r="U51" i="65" s="1"/>
  <c r="T52" i="65"/>
  <c r="U52" i="65"/>
  <c r="T53" i="65"/>
  <c r="U53" i="65" s="1"/>
  <c r="T54" i="65"/>
  <c r="U54" i="65" s="1"/>
  <c r="T55" i="65"/>
  <c r="U55" i="65"/>
  <c r="T56" i="65"/>
  <c r="U56" i="65"/>
  <c r="T57" i="65"/>
  <c r="U57" i="65" s="1"/>
  <c r="T58" i="65"/>
  <c r="U58" i="65"/>
  <c r="T59" i="65"/>
  <c r="U59" i="65" s="1"/>
  <c r="T60" i="65"/>
  <c r="U60" i="65" s="1"/>
  <c r="T61" i="65"/>
  <c r="U61" i="65"/>
  <c r="T62" i="65"/>
  <c r="U62" i="65"/>
  <c r="T63" i="65"/>
  <c r="U63" i="65" s="1"/>
  <c r="T64" i="65"/>
  <c r="U64" i="65"/>
  <c r="T65" i="65"/>
  <c r="U65" i="65" s="1"/>
  <c r="T66" i="65"/>
  <c r="U66" i="65" s="1"/>
  <c r="T67" i="65"/>
  <c r="U67" i="65"/>
  <c r="T68" i="65"/>
  <c r="U68" i="65"/>
  <c r="T69" i="65"/>
  <c r="U69" i="65" s="1"/>
  <c r="T70" i="65"/>
  <c r="U70" i="65"/>
  <c r="T71" i="65"/>
  <c r="U71" i="65" s="1"/>
  <c r="T72" i="65"/>
  <c r="U72" i="65" s="1"/>
  <c r="T73" i="65"/>
  <c r="U73" i="65"/>
  <c r="T74" i="65"/>
  <c r="U74" i="65"/>
  <c r="T75" i="65"/>
  <c r="U75" i="65" s="1"/>
  <c r="T76" i="65"/>
  <c r="U76" i="65"/>
  <c r="T77" i="65"/>
  <c r="U77" i="65" s="1"/>
  <c r="T78" i="65"/>
  <c r="U78" i="65" s="1"/>
  <c r="T79" i="65"/>
  <c r="U79" i="65"/>
  <c r="T80" i="65"/>
  <c r="U80" i="65"/>
  <c r="T81" i="65"/>
  <c r="U81" i="65" s="1"/>
  <c r="T82" i="65"/>
  <c r="U82" i="65"/>
  <c r="T83" i="65"/>
  <c r="U83" i="65" s="1"/>
  <c r="T84" i="65"/>
  <c r="U84" i="65" s="1"/>
  <c r="T85" i="65"/>
  <c r="U85" i="65"/>
  <c r="T86" i="65"/>
  <c r="U86" i="65"/>
  <c r="T87" i="65"/>
  <c r="U87" i="65" s="1"/>
  <c r="T88" i="65"/>
  <c r="U88" i="65"/>
  <c r="T89" i="65"/>
  <c r="U89" i="65" s="1"/>
  <c r="T90" i="65"/>
  <c r="U90" i="65" s="1"/>
  <c r="T91" i="65"/>
  <c r="U91" i="65"/>
  <c r="T92" i="65"/>
  <c r="U92" i="65"/>
  <c r="T93" i="65"/>
  <c r="U93" i="65" s="1"/>
  <c r="T94" i="65"/>
  <c r="U94" i="65"/>
  <c r="T95" i="65"/>
  <c r="U95" i="65" s="1"/>
  <c r="T96" i="65"/>
  <c r="U96" i="65" s="1"/>
  <c r="T97" i="65"/>
  <c r="U97" i="65"/>
  <c r="T98" i="65"/>
  <c r="U98" i="65"/>
  <c r="T99" i="65"/>
  <c r="U99" i="65" s="1"/>
  <c r="T100" i="65"/>
  <c r="U100" i="65"/>
  <c r="T101" i="65"/>
  <c r="U101" i="65" s="1"/>
  <c r="T102" i="65"/>
  <c r="U102" i="65" s="1"/>
  <c r="T103" i="65"/>
  <c r="U103" i="65"/>
  <c r="T104" i="65"/>
  <c r="U104" i="65"/>
  <c r="T105" i="65"/>
  <c r="U105" i="65" s="1"/>
  <c r="T106" i="65"/>
  <c r="U106" i="65"/>
  <c r="T107" i="65"/>
  <c r="U107" i="65" s="1"/>
  <c r="T108" i="65"/>
  <c r="U108" i="65" s="1"/>
  <c r="T109" i="65"/>
  <c r="U109" i="65"/>
  <c r="T110" i="65"/>
  <c r="U110" i="65"/>
  <c r="T111" i="65"/>
  <c r="U111" i="65" s="1"/>
  <c r="T112" i="65"/>
  <c r="U112" i="65"/>
  <c r="T113" i="65"/>
  <c r="U113" i="65" s="1"/>
  <c r="T114" i="65"/>
  <c r="U114" i="65" s="1"/>
  <c r="T115" i="65"/>
  <c r="U115" i="65"/>
  <c r="T116" i="65"/>
  <c r="U116" i="65"/>
  <c r="T117" i="65"/>
  <c r="U117" i="65" s="1"/>
  <c r="T118" i="65"/>
  <c r="U118" i="65"/>
  <c r="T119" i="65"/>
  <c r="U119" i="65" s="1"/>
  <c r="T120" i="65"/>
  <c r="U120" i="65" s="1"/>
  <c r="T121" i="65"/>
  <c r="U121" i="65"/>
  <c r="T122" i="65"/>
  <c r="U122" i="65"/>
  <c r="T123" i="65"/>
  <c r="U123" i="65" s="1"/>
  <c r="T124" i="65"/>
  <c r="U124" i="65"/>
  <c r="T125" i="65"/>
  <c r="U125" i="65" s="1"/>
  <c r="T126" i="65"/>
  <c r="U126" i="65" s="1"/>
  <c r="T127" i="65"/>
  <c r="U127" i="65"/>
  <c r="T128" i="65"/>
  <c r="U128" i="65"/>
  <c r="T129" i="65"/>
  <c r="U129" i="65" s="1"/>
  <c r="T130" i="65"/>
  <c r="U130" i="65"/>
  <c r="T131" i="65"/>
  <c r="U131" i="65" s="1"/>
  <c r="T132" i="65"/>
  <c r="U132" i="65" s="1"/>
  <c r="T133" i="65"/>
  <c r="U133" i="65"/>
  <c r="T134" i="65"/>
  <c r="U134" i="65"/>
  <c r="T135" i="65"/>
  <c r="U135" i="65" s="1"/>
  <c r="T136" i="65"/>
  <c r="U136" i="65"/>
  <c r="T137" i="65"/>
  <c r="U137" i="65" s="1"/>
  <c r="T138" i="65"/>
  <c r="U138" i="65" s="1"/>
  <c r="T139" i="65"/>
  <c r="U139" i="65"/>
  <c r="T140" i="65"/>
  <c r="U140" i="65"/>
  <c r="T141" i="65"/>
  <c r="U141" i="65" s="1"/>
  <c r="T142" i="65"/>
  <c r="U142" i="65"/>
  <c r="T143" i="65"/>
  <c r="U143" i="65" s="1"/>
  <c r="T144" i="65"/>
  <c r="U144" i="65" s="1"/>
  <c r="T145" i="65"/>
  <c r="U145" i="65"/>
  <c r="T146" i="65"/>
  <c r="U146" i="65"/>
  <c r="T147" i="65"/>
  <c r="U147" i="65" s="1"/>
  <c r="T148" i="65"/>
  <c r="U148" i="65"/>
  <c r="T149" i="65"/>
  <c r="U149" i="65" s="1"/>
  <c r="T150" i="65"/>
  <c r="U150" i="65" s="1"/>
  <c r="T151" i="65"/>
  <c r="U151" i="65"/>
  <c r="T152" i="65"/>
  <c r="U152" i="65"/>
  <c r="T153" i="65"/>
  <c r="U153" i="65" s="1"/>
  <c r="T154" i="65"/>
  <c r="U154" i="65"/>
  <c r="T155" i="65"/>
  <c r="U155" i="65" s="1"/>
  <c r="T156" i="65"/>
  <c r="U156" i="65" s="1"/>
  <c r="T157" i="65"/>
  <c r="U157" i="65"/>
  <c r="T158" i="65"/>
  <c r="U158" i="65"/>
  <c r="T159" i="65"/>
  <c r="U159" i="65" s="1"/>
  <c r="T160" i="65"/>
  <c r="U160" i="65"/>
  <c r="T161" i="65"/>
  <c r="U161" i="65" s="1"/>
  <c r="T162" i="65"/>
  <c r="U162" i="65" s="1"/>
  <c r="T163" i="65"/>
  <c r="U163" i="65"/>
  <c r="T164" i="65"/>
  <c r="U164" i="65"/>
  <c r="T165" i="65"/>
  <c r="U165" i="65" s="1"/>
  <c r="T166" i="65"/>
  <c r="U166" i="65"/>
  <c r="T167" i="65"/>
  <c r="U167" i="65" s="1"/>
  <c r="T168" i="65"/>
  <c r="U168" i="65" s="1"/>
  <c r="T169" i="65"/>
  <c r="U169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/>
  <c r="L99" i="65"/>
  <c r="M99" i="65"/>
  <c r="L100" i="65"/>
  <c r="M100" i="65"/>
  <c r="L101" i="65"/>
  <c r="M101" i="65"/>
  <c r="L102" i="65"/>
  <c r="M102" i="65"/>
  <c r="L103" i="65"/>
  <c r="M103" i="65" s="1"/>
  <c r="L104" i="65"/>
  <c r="M104" i="65"/>
  <c r="L105" i="65"/>
  <c r="M105" i="65"/>
  <c r="L106" i="65"/>
  <c r="M106" i="65"/>
  <c r="L107" i="65"/>
  <c r="M107" i="65"/>
  <c r="L108" i="65"/>
  <c r="M108" i="65"/>
  <c r="L109" i="65"/>
  <c r="M109" i="65" s="1"/>
  <c r="L110" i="65"/>
  <c r="M110" i="65"/>
  <c r="L111" i="65"/>
  <c r="M111" i="65"/>
  <c r="L112" i="65"/>
  <c r="M112" i="65"/>
  <c r="L113" i="65"/>
  <c r="M113" i="65"/>
  <c r="L114" i="65"/>
  <c r="M114" i="65"/>
  <c r="L115" i="65"/>
  <c r="M115" i="65" s="1"/>
  <c r="L116" i="65"/>
  <c r="M116" i="65"/>
  <c r="L117" i="65"/>
  <c r="M117" i="65"/>
  <c r="L118" i="65"/>
  <c r="M118" i="65"/>
  <c r="L119" i="65"/>
  <c r="M119" i="65"/>
  <c r="L120" i="65"/>
  <c r="M120" i="65"/>
  <c r="L121" i="65"/>
  <c r="M121" i="65" s="1"/>
  <c r="L122" i="65"/>
  <c r="M122" i="65"/>
  <c r="L123" i="65"/>
  <c r="M123" i="65"/>
  <c r="L124" i="65"/>
  <c r="M124" i="65"/>
  <c r="L125" i="65"/>
  <c r="M125" i="65"/>
  <c r="L126" i="65"/>
  <c r="M126" i="65"/>
  <c r="L127" i="65"/>
  <c r="M127" i="65" s="1"/>
  <c r="L128" i="65"/>
  <c r="M128" i="65"/>
  <c r="L129" i="65"/>
  <c r="M129" i="65"/>
  <c r="L130" i="65"/>
  <c r="M130" i="65"/>
  <c r="L131" i="65"/>
  <c r="M131" i="65"/>
  <c r="L132" i="65"/>
  <c r="M132" i="65"/>
  <c r="L133" i="65"/>
  <c r="M133" i="65" s="1"/>
  <c r="L134" i="65"/>
  <c r="M134" i="65"/>
  <c r="L135" i="65"/>
  <c r="M135" i="65"/>
  <c r="L136" i="65"/>
  <c r="M136" i="65"/>
  <c r="L137" i="65"/>
  <c r="M137" i="65"/>
  <c r="L138" i="65"/>
  <c r="M138" i="65"/>
  <c r="L139" i="65"/>
  <c r="M139" i="65" s="1"/>
  <c r="L140" i="65"/>
  <c r="M140" i="65"/>
  <c r="L141" i="65"/>
  <c r="M141" i="65"/>
  <c r="L142" i="65"/>
  <c r="M142" i="65"/>
  <c r="L143" i="65"/>
  <c r="M143" i="65"/>
  <c r="L144" i="65"/>
  <c r="M144" i="65"/>
  <c r="L145" i="65"/>
  <c r="M145" i="65" s="1"/>
  <c r="L146" i="65"/>
  <c r="M146" i="65"/>
  <c r="L147" i="65"/>
  <c r="M147" i="65"/>
  <c r="L148" i="65"/>
  <c r="M148" i="65"/>
  <c r="L149" i="65"/>
  <c r="M149" i="65"/>
  <c r="L150" i="65"/>
  <c r="M150" i="65"/>
  <c r="L151" i="65"/>
  <c r="M151" i="65" s="1"/>
  <c r="L152" i="65"/>
  <c r="M152" i="65"/>
  <c r="L153" i="65"/>
  <c r="M153" i="65"/>
  <c r="L154" i="65"/>
  <c r="M154" i="65"/>
  <c r="L155" i="65"/>
  <c r="M155" i="65"/>
  <c r="L156" i="65"/>
  <c r="M156" i="65"/>
  <c r="L157" i="65"/>
  <c r="M157" i="65" s="1"/>
  <c r="L158" i="65"/>
  <c r="M158" i="65"/>
  <c r="L159" i="65"/>
  <c r="M159" i="65"/>
  <c r="L160" i="65"/>
  <c r="M160" i="65"/>
  <c r="L161" i="65"/>
  <c r="M161" i="65"/>
  <c r="L162" i="65"/>
  <c r="M162" i="65"/>
  <c r="L163" i="65"/>
  <c r="M163" i="65" s="1"/>
  <c r="L164" i="65"/>
  <c r="M164" i="65"/>
  <c r="L165" i="65"/>
  <c r="M165" i="65"/>
  <c r="L166" i="65"/>
  <c r="M166" i="65"/>
  <c r="L167" i="65"/>
  <c r="M167" i="65"/>
  <c r="L168" i="65"/>
  <c r="M168" i="65"/>
  <c r="L169" i="65"/>
  <c r="M169" i="65" s="1"/>
  <c r="L5" i="63"/>
  <c r="B5" i="63"/>
  <c r="C5" i="63"/>
  <c r="D5" i="63"/>
  <c r="I5" i="63"/>
  <c r="G5" i="63"/>
  <c r="H5" i="63"/>
  <c r="AY4" i="66" l="1"/>
  <c r="EQ3" i="66"/>
  <c r="EQ5" i="66"/>
  <c r="EQ7" i="66"/>
  <c r="L9" i="66"/>
  <c r="B11" i="66" s="1"/>
  <c r="CO7" i="66"/>
  <c r="CO5" i="66"/>
  <c r="CO3" i="66"/>
  <c r="AD9" i="66"/>
  <c r="B13" i="66" s="1"/>
  <c r="FG4" i="66"/>
  <c r="FG2" i="66" s="1"/>
  <c r="EY4" i="66"/>
  <c r="EY2" i="66" s="1"/>
  <c r="EV9" i="66" s="1"/>
  <c r="EH4" i="66"/>
  <c r="EH2" i="66" s="1"/>
  <c r="EE9" i="66" s="1"/>
  <c r="E25" i="66" s="1"/>
  <c r="EZ7" i="66"/>
  <c r="EZ5" i="66"/>
  <c r="EZ3" i="66"/>
  <c r="CY7" i="66"/>
  <c r="CY3" i="66"/>
  <c r="CY5" i="66"/>
  <c r="DX4" i="66"/>
  <c r="DX2" i="66" s="1"/>
  <c r="C14" i="67"/>
  <c r="AL2" i="67"/>
  <c r="D14" i="67" s="1"/>
  <c r="C16" i="67"/>
  <c r="BD2" i="67"/>
  <c r="D16" i="67" s="1"/>
  <c r="D13" i="67"/>
  <c r="AA9" i="67"/>
  <c r="E13" i="67" s="1"/>
  <c r="D21" i="67"/>
  <c r="CU9" i="67"/>
  <c r="E21" i="67" s="1"/>
  <c r="D11" i="67"/>
  <c r="D15" i="67"/>
  <c r="AS9" i="67"/>
  <c r="E15" i="67" s="1"/>
  <c r="D17" i="67"/>
  <c r="BK9" i="67"/>
  <c r="E17" i="67" s="1"/>
  <c r="C12" i="67"/>
  <c r="T2" i="67"/>
  <c r="D12" i="67" s="1"/>
  <c r="BD9" i="66"/>
  <c r="B16" i="66" s="1"/>
  <c r="AV9" i="66"/>
  <c r="B15" i="66" s="1"/>
  <c r="O4" i="66"/>
  <c r="M5" i="66"/>
  <c r="M3" i="66"/>
  <c r="G4" i="66"/>
  <c r="EP4" i="66"/>
  <c r="EP2" i="66" s="1"/>
  <c r="A22" i="66"/>
  <c r="DF4" i="66"/>
  <c r="A20" i="66"/>
  <c r="CN4" i="66"/>
  <c r="A18" i="66"/>
  <c r="BV4" i="66"/>
  <c r="A16" i="66"/>
  <c r="A14" i="66"/>
  <c r="A12" i="66"/>
  <c r="T4" i="66"/>
  <c r="AL9" i="66"/>
  <c r="B14" i="66" s="1"/>
  <c r="A15" i="66"/>
  <c r="A13" i="66"/>
  <c r="CF4" i="66"/>
  <c r="CF2" i="66" s="1"/>
  <c r="CX4" i="66"/>
  <c r="B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C3" i="65"/>
  <c r="BK3" i="65"/>
  <c r="AS3" i="65"/>
  <c r="AI3" i="65"/>
  <c r="I3" i="65"/>
  <c r="CO5" i="65" l="1"/>
  <c r="AD4" i="66"/>
  <c r="CO3" i="65"/>
  <c r="BD4" i="66"/>
  <c r="I9" i="67"/>
  <c r="E11" i="67" s="1"/>
  <c r="AV4" i="66"/>
  <c r="AV2" i="66" s="1"/>
  <c r="AL4" i="66"/>
  <c r="AL2" i="66" s="1"/>
  <c r="D14" i="66" s="1"/>
  <c r="C11" i="66"/>
  <c r="L2" i="66"/>
  <c r="C21" i="66"/>
  <c r="CX2" i="66"/>
  <c r="C13" i="66"/>
  <c r="AD2" i="66"/>
  <c r="C17" i="66"/>
  <c r="C19" i="66"/>
  <c r="BN2" i="66"/>
  <c r="D19" i="66"/>
  <c r="CC9" i="66"/>
  <c r="E19" i="66" s="1"/>
  <c r="C12" i="66"/>
  <c r="T2" i="66"/>
  <c r="D12" i="66" s="1"/>
  <c r="C16" i="66"/>
  <c r="BD2" i="66"/>
  <c r="D16" i="66" s="1"/>
  <c r="C18" i="66"/>
  <c r="BV2" i="66"/>
  <c r="D18" i="66" s="1"/>
  <c r="C20" i="66"/>
  <c r="CN2" i="66"/>
  <c r="D20" i="66" s="1"/>
  <c r="C22" i="66"/>
  <c r="DF2" i="66"/>
  <c r="D22" i="66" s="1"/>
  <c r="AM3" i="65"/>
  <c r="AA3" i="65"/>
  <c r="AC3" i="65" s="1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 s="1"/>
  <c r="DE3" i="65"/>
  <c r="DA4" i="65"/>
  <c r="BM3" i="65"/>
  <c r="BK6" i="65" s="1"/>
  <c r="A17" i="65" s="1"/>
  <c r="K3" i="65"/>
  <c r="AU3" i="65"/>
  <c r="AQ4" i="65" s="1"/>
  <c r="Y2" i="65"/>
  <c r="AQ2" i="65"/>
  <c r="AK3" i="65"/>
  <c r="AG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CC6" i="65"/>
  <c r="A19" i="65" s="1"/>
  <c r="DM6" i="65"/>
  <c r="EE6" i="65"/>
  <c r="EV6" i="65"/>
  <c r="FF3" i="65"/>
  <c r="S6" i="65"/>
  <c r="T9" i="65" s="1"/>
  <c r="AK6" i="65"/>
  <c r="AL9" i="65" s="1"/>
  <c r="BC6" i="65"/>
  <c r="BD9" i="65" s="1"/>
  <c r="BU6" i="65"/>
  <c r="CM6" i="65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J4" i="63"/>
  <c r="FD6" i="65" l="1"/>
  <c r="C14" i="66"/>
  <c r="BI4" i="65"/>
  <c r="M5" i="65"/>
  <c r="CN9" i="65"/>
  <c r="BV9" i="65"/>
  <c r="B18" i="65" s="1"/>
  <c r="C15" i="66"/>
  <c r="D15" i="66"/>
  <c r="AS9" i="66"/>
  <c r="E15" i="66" s="1"/>
  <c r="D13" i="66"/>
  <c r="AA9" i="66"/>
  <c r="E13" i="66" s="1"/>
  <c r="D21" i="66"/>
  <c r="CU9" i="66"/>
  <c r="E21" i="66" s="1"/>
  <c r="D11" i="66"/>
  <c r="I9" i="66"/>
  <c r="E11" i="66" s="1"/>
  <c r="D17" i="66"/>
  <c r="BK9" i="66"/>
  <c r="E17" i="66" s="1"/>
  <c r="AS6" i="65"/>
  <c r="A15" i="65" s="1"/>
  <c r="AI6" i="65"/>
  <c r="A14" i="65" s="1"/>
  <c r="AA6" i="65"/>
  <c r="A13" i="65" s="1"/>
  <c r="Y4" i="65"/>
  <c r="M3" i="65"/>
  <c r="I6" i="65"/>
  <c r="A11" i="65" s="1"/>
  <c r="L9" i="65"/>
  <c r="B11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EX6" i="64"/>
  <c r="EY9" i="64" s="1"/>
  <c r="EG6" i="64"/>
  <c r="EH9" i="64" s="1"/>
  <c r="DO6" i="64"/>
  <c r="DP9" i="64" s="1"/>
  <c r="A3" i="63"/>
  <c r="G4" i="63"/>
  <c r="I4" i="63"/>
  <c r="H4" i="63"/>
  <c r="E4" i="63"/>
  <c r="CI4" i="65" l="1"/>
  <c r="BV4" i="65"/>
  <c r="BV2" i="65" s="1"/>
  <c r="D18" i="65" s="1"/>
  <c r="AD4" i="65"/>
  <c r="C13" i="65" s="1"/>
  <c r="L4" i="65"/>
  <c r="L2" i="65" s="1"/>
  <c r="T4" i="65"/>
  <c r="T2" i="65" s="1"/>
  <c r="D12" i="65" s="1"/>
  <c r="O4" i="65"/>
  <c r="BA6" i="65"/>
  <c r="A16" i="65" s="1"/>
  <c r="BQ4" i="65"/>
  <c r="CX4" i="65"/>
  <c r="CS4" i="65"/>
  <c r="C21" i="65"/>
  <c r="CX2" i="65"/>
  <c r="C11" i="65"/>
  <c r="D19" i="65"/>
  <c r="CC9" i="65"/>
  <c r="E19" i="65" s="1"/>
  <c r="C14" i="65"/>
  <c r="AL2" i="65"/>
  <c r="D14" i="65" s="1"/>
  <c r="C18" i="65"/>
  <c r="C22" i="65"/>
  <c r="DF2" i="65"/>
  <c r="D2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C4" i="63"/>
  <c r="L4" i="63"/>
  <c r="D4" i="63"/>
  <c r="B4" i="63"/>
  <c r="C12" i="65" l="1"/>
  <c r="AD2" i="65"/>
  <c r="BD4" i="65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Y2" i="64" l="1"/>
  <c r="AQ2" i="64"/>
  <c r="C16" i="65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M7" i="64"/>
  <c r="M5" i="64"/>
  <c r="M3" i="64"/>
  <c r="I6" i="64"/>
  <c r="A11" i="64" s="1"/>
  <c r="A2" i="63"/>
  <c r="AI6" i="64" l="1"/>
  <c r="A14" i="64" s="1"/>
  <c r="AA6" i="64"/>
  <c r="A13" i="64" s="1"/>
  <c r="D16" i="65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AV2" i="64"/>
  <c r="AS9" i="64" s="1"/>
  <c r="E15" i="64" s="1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5" i="64"/>
  <c r="C22" i="64" l="1"/>
  <c r="T4" i="64"/>
  <c r="T2" i="64" s="1"/>
  <c r="D12" i="64" s="1"/>
  <c r="BD4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BD2" i="64" l="1"/>
  <c r="D16" i="64" s="1"/>
  <c r="C16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2" i="63"/>
  <c r="E3" i="63"/>
  <c r="J2" i="63"/>
  <c r="G2" i="63"/>
  <c r="H3" i="63"/>
  <c r="L2" i="63"/>
  <c r="H2" i="63"/>
  <c r="I3" i="63"/>
  <c r="I2" i="63"/>
  <c r="C3" i="63"/>
  <c r="L3" i="63"/>
  <c r="B2" i="63"/>
  <c r="D2" i="63"/>
  <c r="D3" i="63"/>
  <c r="B3" i="63"/>
  <c r="C2" i="63"/>
  <c r="G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<sst xmlns="http://schemas.openxmlformats.org/spreadsheetml/2006/main" count="1648" uniqueCount="46">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</sst>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workbookViewId="0">
      <selection activeCell="BD11" sqref="BD11:BE169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991.72000000023877</v>
      </c>
      <c r="H2" s="2"/>
      <c r="I2" s="6" t="s">
        <v>12</v>
      </c>
      <c r="J2" s="2"/>
      <c r="K2" s="7" t="s">
        <v>13</v>
      </c>
      <c r="L2" s="3">
        <f>L4*I6*L9/100*100</f>
        <v>18.871576766899999</v>
      </c>
      <c r="M2" s="8" t="s">
        <v>14</v>
      </c>
      <c r="N2" s="9"/>
      <c r="O2" s="2">
        <f>ABS(S7-S6)/ABS(T7-T6)*1000</f>
        <v>2198.592391304378</v>
      </c>
      <c r="P2" s="2"/>
      <c r="Q2" s="6" t="s">
        <v>15</v>
      </c>
      <c r="R2" s="2"/>
      <c r="S2" s="7" t="s">
        <v>13</v>
      </c>
      <c r="T2" s="3">
        <f>T4*Q6*T9/100*100</f>
        <v>18.843787431199999</v>
      </c>
      <c r="U2" s="8" t="s">
        <v>14</v>
      </c>
      <c r="X2" s="9"/>
      <c r="Y2" s="2">
        <f>ABS(AC7-AC6)/ABS(AD7-AD6)*1000</f>
        <v>14741.488688533189</v>
      </c>
      <c r="Z2" s="2"/>
      <c r="AA2" s="6" t="s">
        <v>12</v>
      </c>
      <c r="AB2" s="2"/>
      <c r="AC2" s="7" t="s">
        <v>13</v>
      </c>
      <c r="AD2" s="3">
        <f>AD4*AA6*AD9/100*100</f>
        <v>18.8406052128</v>
      </c>
      <c r="AE2" s="8" t="s">
        <v>14</v>
      </c>
      <c r="AF2" s="9"/>
      <c r="AG2" s="2">
        <f>ABS(AK7-AK6)/ABS(AL7-AL6)*1000</f>
        <v>556.69395604416673</v>
      </c>
      <c r="AH2" s="2"/>
      <c r="AI2" s="6" t="s">
        <v>15</v>
      </c>
      <c r="AJ2" s="2"/>
      <c r="AK2" s="7" t="s">
        <v>13</v>
      </c>
      <c r="AL2" s="3">
        <f>AL4*AI6*AL9/100*100</f>
        <v>18.774812170799997</v>
      </c>
      <c r="AM2" s="8" t="s">
        <v>14</v>
      </c>
      <c r="AP2" s="9"/>
      <c r="AQ2" s="2">
        <f>ABS(AU7-AU6)/ABS(AV7-AV6)*1000</f>
        <v>1681.516666666603</v>
      </c>
      <c r="AR2" s="2"/>
      <c r="AS2" s="6" t="s">
        <v>12</v>
      </c>
      <c r="AT2" s="2"/>
      <c r="AU2" s="7" t="s">
        <v>13</v>
      </c>
      <c r="AV2" s="3">
        <f>AV4*AS6*AV9/100*100</f>
        <v>18.790186938000002</v>
      </c>
      <c r="AW2" s="8" t="s">
        <v>14</v>
      </c>
      <c r="AX2" s="9"/>
      <c r="AY2" s="2">
        <f>ABS(BC7-BC6)/ABS(BD7-BD6)*1000</f>
        <v>1111.7142857138381</v>
      </c>
      <c r="AZ2" s="2"/>
      <c r="BA2" s="6" t="s">
        <v>15</v>
      </c>
      <c r="BB2" s="2"/>
      <c r="BC2" s="7" t="s">
        <v>13</v>
      </c>
      <c r="BD2" s="3">
        <f>BD4*BA6*BD9/100*100</f>
        <v>18.720186231599996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0.68951399999999996</v>
      </c>
      <c r="J3" s="2"/>
      <c r="K3" s="10">
        <f>INDEX(L11:L1056,MATCH(I3,K11:K1056,0))</f>
        <v>-2.5622599999999998</v>
      </c>
      <c r="L3" s="26" t="s">
        <v>16</v>
      </c>
      <c r="M3" s="11">
        <f>M9</f>
        <v>18.871576766899999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9.0362499999999998E-2</v>
      </c>
      <c r="T3" s="26" t="s">
        <v>16</v>
      </c>
      <c r="U3" s="11">
        <f>U9</f>
        <v>18.843787431199999</v>
      </c>
      <c r="X3" s="9"/>
      <c r="Y3" s="2" t="s">
        <v>44</v>
      </c>
      <c r="Z3" s="2"/>
      <c r="AA3" s="2">
        <f>INDEX(AC11:AC856,MATCH(0,AD11:AD856,1))</f>
        <v>0.68951399999999996</v>
      </c>
      <c r="AB3" s="2"/>
      <c r="AC3" s="10">
        <f>INDEX(AD11:AD1056,MATCH(AA3,AC11:AC1056,0))</f>
        <v>-3.1143199999999998</v>
      </c>
      <c r="AD3" s="26" t="s">
        <v>16</v>
      </c>
      <c r="AE3" s="11">
        <f>AE9</f>
        <v>18.8406052128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2.8036500000000002</v>
      </c>
      <c r="AL3" s="26" t="s">
        <v>16</v>
      </c>
      <c r="AM3" s="11">
        <f>AM9</f>
        <v>18.774812170800001</v>
      </c>
      <c r="AP3" s="9"/>
      <c r="AQ3" s="2" t="s">
        <v>44</v>
      </c>
      <c r="AR3" s="2"/>
      <c r="AS3" s="2">
        <f>INDEX(AU11:AU856,MATCH(0,AV11:AV856,1))</f>
        <v>0.68447899999999995</v>
      </c>
      <c r="AT3" s="2"/>
      <c r="AU3" s="10">
        <f>INDEX(AV11:AV1056,MATCH(AS3,AU11:AU1056,0))</f>
        <v>-0.72357199999999999</v>
      </c>
      <c r="AV3" s="26" t="s">
        <v>16</v>
      </c>
      <c r="AW3" s="11">
        <f>AW9</f>
        <v>18.790186938000002</v>
      </c>
      <c r="AX3" s="9"/>
      <c r="AY3" s="2" t="s">
        <v>44</v>
      </c>
      <c r="AZ3" s="2"/>
      <c r="BA3" s="2">
        <f>INDEX(BC11:BC1056,MATCH(0,BD11:BD1056,-1))</f>
        <v>0.68005400000000005</v>
      </c>
      <c r="BB3" s="2"/>
      <c r="BC3" s="10">
        <f>INDEX(BD11:BD1056,MATCH(BA3,BC11:BC1056,0))</f>
        <v>1.04156</v>
      </c>
      <c r="BD3" s="26" t="s">
        <v>16</v>
      </c>
      <c r="BE3" s="11">
        <f>BE9</f>
        <v>18.7201862316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1.5005608849226302</v>
      </c>
      <c r="H4" s="2"/>
      <c r="I4" s="2">
        <f>INDEX(K11:K1000,1+MATCH(0,L11:L856,1))</f>
        <v>0.68447899999999995</v>
      </c>
      <c r="J4" s="2"/>
      <c r="K4" s="10">
        <f>INDEX(L11:L1056,MATCH(I4,K11:K1056,0))</f>
        <v>0.79315199999999997</v>
      </c>
      <c r="L4" s="25">
        <f>M3/(I6*L9)</f>
        <v>0.76371781271340278</v>
      </c>
      <c r="M4" s="8" t="s">
        <v>17</v>
      </c>
      <c r="N4" s="9"/>
      <c r="O4" s="2">
        <f>ABS(Q3-Q4)/ABS(S3-S4)*1000</f>
        <v>1.5043679314138874</v>
      </c>
      <c r="P4" s="2"/>
      <c r="Q4" s="2">
        <f>INDEX(S11:S856,1+MATCH(0,T11:T856,-1))</f>
        <v>0.69018599999999997</v>
      </c>
      <c r="R4" s="2"/>
      <c r="S4" s="10">
        <f>INDEX(T11:T856,MATCH(Q4,S11:S856,0))</f>
        <v>-3.33832</v>
      </c>
      <c r="T4" s="25">
        <f>U3/(Q6*T9)</f>
        <v>0.76102058003966067</v>
      </c>
      <c r="U4" s="8" t="s">
        <v>17</v>
      </c>
      <c r="X4" s="9"/>
      <c r="Y4" s="2">
        <f>ABS(AA3-AA4)/ABS(AC3-AC4)*1000</f>
        <v>1.4813410904135458</v>
      </c>
      <c r="Z4" s="2"/>
      <c r="AA4" s="2">
        <f>INDEX(AC11:AC1000,1+MATCH(0,AD11:AD856,1))</f>
        <v>0.68441799999999997</v>
      </c>
      <c r="AB4" s="2"/>
      <c r="AC4" s="10">
        <f>INDEX(AD11:AD1056,MATCH(AA4,AC11:AC1056,0))</f>
        <v>0.32580599999999998</v>
      </c>
      <c r="AD4" s="25">
        <f>AE3/(AA6*AD9)</f>
        <v>0.76292848648955436</v>
      </c>
      <c r="AE4" s="8" t="s">
        <v>17</v>
      </c>
      <c r="AF4" s="9"/>
      <c r="AG4" s="2">
        <f>ABS(AI3-AI4)/ABS(AK3-AK4)*1000</f>
        <v>1.567320046691663</v>
      </c>
      <c r="AH4" s="2"/>
      <c r="AI4" s="2">
        <f>INDEX(AK11:AK856,1+MATCH(0,AL11:AL856,-1))</f>
        <v>0.684998</v>
      </c>
      <c r="AJ4" s="2"/>
      <c r="AK4" s="10">
        <f>INDEX(AL11:AL856,MATCH(AI4,AK11:AK856,0))</f>
        <v>-0.42861899999999997</v>
      </c>
      <c r="AL4" s="25">
        <f>AM3/(AI6*AL9)</f>
        <v>0.76130540048623585</v>
      </c>
      <c r="AM4" s="8" t="s">
        <v>17</v>
      </c>
      <c r="AP4" s="9"/>
      <c r="AQ4" s="2">
        <f>ABS(AS3-AS4)/ABS(AU3-AU4)*1000</f>
        <v>1.5883677082087637</v>
      </c>
      <c r="AR4" s="2"/>
      <c r="AS4" s="2">
        <f>INDEX(AU11:AU1000,1+MATCH(0,AV11:AV856,1))</f>
        <v>0.67935199999999996</v>
      </c>
      <c r="AT4" s="2"/>
      <c r="AU4" s="10">
        <f>INDEX(AV11:AV1056,MATCH(AS4,AU11:AU1056,0))</f>
        <v>2.50427</v>
      </c>
      <c r="AV4" s="25">
        <f>AW3/(AS6*AV9)</f>
        <v>0.76231666821555133</v>
      </c>
      <c r="AW4" s="8" t="s">
        <v>17</v>
      </c>
      <c r="AX4" s="9"/>
      <c r="AY4" s="2">
        <f>ABS(BA3-BA4)/ABS(BC3-BC4)*1000</f>
        <v>1.489184444642782</v>
      </c>
      <c r="AZ4" s="2"/>
      <c r="BA4" s="2">
        <f>INDEX(BC11:BC856,1+MATCH(0,BD11:BD856,-1))</f>
        <v>0.68505899999999997</v>
      </c>
      <c r="BB4" s="2"/>
      <c r="BC4" s="10">
        <f>INDEX(BD11:BD856,MATCH(BA4,BC11:BC856,0))</f>
        <v>-2.31934</v>
      </c>
      <c r="BD4" s="25">
        <f>BE3/(BA6*BD9)</f>
        <v>0.76083230959724668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33.157299999999999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33.367899999999999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33.398400000000002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33.544900000000005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33.609000000000002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33.447299999999998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0.68566917286699813</v>
      </c>
      <c r="J6" s="25"/>
      <c r="K6" s="2">
        <f>INDEX(K11:K1056,MATCH(L6,L11:L1056,0))</f>
        <v>1.49719E-2</v>
      </c>
      <c r="L6" s="10">
        <f>INDEX(L11:L1056,MATCH(0,K11:K1056,-1))</f>
        <v>36.0229</v>
      </c>
      <c r="M6" s="8" t="s">
        <v>22</v>
      </c>
      <c r="N6" s="9"/>
      <c r="O6" s="2"/>
      <c r="P6" s="2"/>
      <c r="Q6" s="27">
        <f>(Q3-Q4)/(S3-S4)*(-S4)+Q4</f>
        <v>0.68516393844720236</v>
      </c>
      <c r="R6" s="27"/>
      <c r="S6" s="2">
        <f>INDEX(S11:S1056,MATCH(T6,T11:T1056,0))</f>
        <v>-1.9793700000000001E-2</v>
      </c>
      <c r="T6" s="10">
        <f>INDEX(T11:T1056,MATCH(0,S11:S1056,1))</f>
        <v>36.148099999999999</v>
      </c>
      <c r="U6" s="8" t="s">
        <v>22</v>
      </c>
      <c r="X6" s="9"/>
      <c r="Y6" s="2"/>
      <c r="Z6" s="2"/>
      <c r="AA6" s="25">
        <f>(AA3-AA4)/(AC3-AC4)*(-AC4)+AA4</f>
        <v>0.6849006298153032</v>
      </c>
      <c r="AB6" s="25"/>
      <c r="AC6" s="2">
        <f>INDEX(AC11:AC1056,MATCH(AD6,AD11:AD1056,0))</f>
        <v>8.9782699999999993E-2</v>
      </c>
      <c r="AD6" s="10">
        <f>INDEX(AD11:AD1056,MATCH(0,AC11:AC1056,-1))</f>
        <v>36.050400000000003</v>
      </c>
      <c r="AE6" s="8" t="s">
        <v>22</v>
      </c>
      <c r="AF6" s="9"/>
      <c r="AG6" s="2"/>
      <c r="AH6" s="2"/>
      <c r="AI6" s="27">
        <f>(AI3-AI4)/(AK3-AK4)*(-AK4)+AI4</f>
        <v>0.68432621684890704</v>
      </c>
      <c r="AJ6" s="27"/>
      <c r="AK6" s="2">
        <f>INDEX(AK11:AK1056,MATCH(AL6,AL11:AL1056,0))</f>
        <v>-4.6234099999999997E-3</v>
      </c>
      <c r="AL6" s="10">
        <f>INDEX(AL11:AL1056,MATCH(0,AK11:AK1056,1))</f>
        <v>36.0291</v>
      </c>
      <c r="AM6" s="8" t="s">
        <v>22</v>
      </c>
      <c r="AP6" s="9"/>
      <c r="AQ6" s="2"/>
      <c r="AR6" s="2"/>
      <c r="AS6" s="25">
        <f>(AS3-AS4)/(AU3-AU4)*(-AU4)+AS4</f>
        <v>0.68332970160063589</v>
      </c>
      <c r="AT6" s="25"/>
      <c r="AU6" s="2">
        <f>INDEX(AU11:AU1056,MATCH(AV6,AV11:AV1056,0))</f>
        <v>4.8736600000000001E-3</v>
      </c>
      <c r="AV6" s="10">
        <f>INDEX(AV11:AV1056,MATCH(0,AU11:AU1056,-1))</f>
        <v>36.0687</v>
      </c>
      <c r="AW6" s="8" t="s">
        <v>22</v>
      </c>
      <c r="AX6" s="9"/>
      <c r="AY6" s="2"/>
      <c r="AZ6" s="2"/>
      <c r="BA6" s="27">
        <f>(BA3-BA4)/(BC3-BC4)*(-BC4)+BA4</f>
        <v>0.6816050749501622</v>
      </c>
      <c r="BB6" s="27"/>
      <c r="BC6" s="2">
        <f>INDEX(BC11:BC1056,MATCH(BD6,BD11:BD1056,0))</f>
        <v>-3.4866300000000003E-2</v>
      </c>
      <c r="BD6" s="10">
        <f>INDEX(BD11:BD1056,MATCH(0,BC11:BC1056,1))</f>
        <v>36.129799999999996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-2.01416E-4</v>
      </c>
      <c r="L7" s="10">
        <f>INDEX(L11:L856,1+MATCH(0,K11:K856,-1))</f>
        <v>36.038199999999996</v>
      </c>
      <c r="M7" s="12">
        <f>INDEX(K11:K1056,MATCH(M9,M11:M1056,0))</f>
        <v>0.567963</v>
      </c>
      <c r="N7" s="9"/>
      <c r="O7" s="2"/>
      <c r="P7" s="2"/>
      <c r="Q7" s="2"/>
      <c r="R7" s="2"/>
      <c r="S7" s="2">
        <f>INDEX(S11:S1056,MATCH(T7,T11:T1056,0))</f>
        <v>4.3334999999999999E-4</v>
      </c>
      <c r="T7" s="10">
        <f>INDEX(T11:T1056,1+MATCH(0,S11:S1056,1))</f>
        <v>36.1389</v>
      </c>
      <c r="U7" s="12">
        <f>INDEX(S11:S1056,MATCH(U9,U11:U1056,0))</f>
        <v>0.56359899999999996</v>
      </c>
      <c r="X7" s="9"/>
      <c r="Y7" s="2"/>
      <c r="Z7" s="2"/>
      <c r="AA7" s="2"/>
      <c r="AB7" s="2"/>
      <c r="AC7" s="2">
        <f>INDEX(AC11:AC856,MATCH(AD7,AD11:AD856,1))</f>
        <v>-1.40381E-4</v>
      </c>
      <c r="AD7" s="10">
        <f>INDEX(AD11:AD856,1+MATCH(0,AC11:AC856,-1))</f>
        <v>36.0565</v>
      </c>
      <c r="AE7" s="12">
        <f>INDEX(AC11:AC1056,MATCH(AE9,AE11:AE1056,0))</f>
        <v>0.56301900000000005</v>
      </c>
      <c r="AF7" s="9"/>
      <c r="AG7" s="2"/>
      <c r="AH7" s="2"/>
      <c r="AI7" s="2"/>
      <c r="AJ7" s="2"/>
      <c r="AK7" s="2">
        <f>INDEX(AK11:AK1056,MATCH(AL7,AL11:AL1056,0))</f>
        <v>4.4250499999999999E-4</v>
      </c>
      <c r="AL7" s="10">
        <f>INDEX(AL11:AL1056,1+MATCH(0,AK11:AK1056,1))</f>
        <v>36.038199999999996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2">
        <f>INDEX(AU11:AU856,MATCH(AV7,AV11:AV856,1))</f>
        <v>9.9182100000000002E-3</v>
      </c>
      <c r="AV7" s="10">
        <f>INDEX(AV11:AV856,1+MATCH(0,AU11:AU856,-1))</f>
        <v>36.0657</v>
      </c>
      <c r="AW7" s="12">
        <f>INDEX(AU11:AU1056,MATCH(AW9,AW11:AW1056,0))</f>
        <v>0.55798300000000001</v>
      </c>
      <c r="AX7" s="9"/>
      <c r="AY7" s="2"/>
      <c r="AZ7" s="2"/>
      <c r="BA7" s="2"/>
      <c r="BB7" s="2"/>
      <c r="BC7" s="2">
        <f>INDEX(BC11:BC1056,MATCH(BD7,BD11:BD1056,0))</f>
        <v>-4.4982899999999999E-2</v>
      </c>
      <c r="BD7" s="10">
        <f>INDEX(BD11:BD1056,1+MATCH(0,BC11:BC1056,1))</f>
        <v>36.1389</v>
      </c>
      <c r="BE7" s="12">
        <f>INDEX(BC11:BC1056,MATCH(BE9,BE11:BE1056,0))</f>
        <v>0.55856300000000003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0.14725497526386369</v>
      </c>
      <c r="J9" s="2"/>
      <c r="K9" s="2"/>
      <c r="L9" s="3">
        <f>(L6-L7)/(K6-K7)*(-K7)+L7</f>
        <v>36.037996902351466</v>
      </c>
      <c r="M9" s="15">
        <f>MAX(M11:M1056)</f>
        <v>18.871576766899999</v>
      </c>
      <c r="N9" s="9"/>
      <c r="O9" s="2"/>
      <c r="P9" s="2"/>
      <c r="Q9" s="2"/>
      <c r="R9" s="2"/>
      <c r="S9" s="2"/>
      <c r="T9" s="3">
        <f>(T6-T7)/(S6-S7)*(-S7)+T7</f>
        <v>36.139097103383833</v>
      </c>
      <c r="U9" s="15">
        <f>MAX(U11:U1056)</f>
        <v>18.843787431199999</v>
      </c>
      <c r="X9" s="9"/>
      <c r="Y9" s="2"/>
      <c r="Z9" s="2"/>
      <c r="AA9" s="14">
        <f>(MAX(AD2,AL2)-MIN(AD2,AL2))/MAX(AD2,AL2)%</f>
        <v>0.34920875023326792</v>
      </c>
      <c r="AB9" s="2"/>
      <c r="AC9" s="2"/>
      <c r="AD9" s="3">
        <f>(AD6-AD7)/(AC6-AC7)*(-AC7)+AD7</f>
        <v>36.056490477149019</v>
      </c>
      <c r="AE9" s="15">
        <f>MAX(AE11:AE1056)</f>
        <v>18.8406052128</v>
      </c>
      <c r="AF9" s="9"/>
      <c r="AG9" s="2"/>
      <c r="AH9" s="2"/>
      <c r="AI9" s="2"/>
      <c r="AJ9" s="2"/>
      <c r="AK9" s="2"/>
      <c r="AL9" s="3">
        <f>(AL6-AL7)/(AK6-AK7)*(-AK7)+AL7</f>
        <v>36.037405119805598</v>
      </c>
      <c r="AM9" s="15">
        <f>MAX(AM11:AM1056)</f>
        <v>18.774812170800001</v>
      </c>
      <c r="AP9" s="9"/>
      <c r="AQ9" s="2"/>
      <c r="AR9" s="2"/>
      <c r="AS9" s="14">
        <f>(MAX(AV2,BD2)-MIN(AV2,BD2))/MAX(AV2,BD2)%</f>
        <v>0.37253863748657423</v>
      </c>
      <c r="AT9" s="2"/>
      <c r="AU9" s="2"/>
      <c r="AV9" s="3">
        <f>(AV6-AV7)/(AU6-AU7)*(-AU7)+AV7</f>
        <v>36.07159837150985</v>
      </c>
      <c r="AW9" s="15">
        <f>MAX(AW11:AW1056)</f>
        <v>18.790186938000002</v>
      </c>
      <c r="AX9" s="9"/>
      <c r="AY9" s="2"/>
      <c r="AZ9" s="2"/>
      <c r="BA9" s="2"/>
      <c r="BB9" s="2"/>
      <c r="BC9" s="2"/>
      <c r="BD9" s="3">
        <f>(BD6-BD7)/(BC6-BC7)*(-BC7)+BD7</f>
        <v>36.098437355435607</v>
      </c>
      <c r="BE9" s="15">
        <f>MAX(BE11:BE1056)</f>
        <v>18.7201862316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0.68566917286699813</v>
      </c>
      <c r="B11" s="18">
        <f>IFERROR(L9,0)</f>
        <v>36.037996902351466</v>
      </c>
      <c r="C11" s="19">
        <f>IFERROR(L4,0)</f>
        <v>0.76371781271340278</v>
      </c>
      <c r="D11" s="20">
        <f>IFERROR(L2,0)</f>
        <v>18.871576766899999</v>
      </c>
      <c r="E11" s="20">
        <f>IFERROR(I9,0)</f>
        <v>0.14725497526386369</v>
      </c>
      <c r="F11" s="9"/>
      <c r="G11" s="21">
        <v>0.69503800000000004</v>
      </c>
      <c r="H11" s="21">
        <v>31.108899999999998</v>
      </c>
      <c r="I11" s="21">
        <v>6.1462399999999999E-3</v>
      </c>
      <c r="J11" s="21">
        <v>1</v>
      </c>
      <c r="K11" s="21">
        <v>0.69455</v>
      </c>
      <c r="L11">
        <f>-I11/$F$2*1000</f>
        <v>-6.1462399999999997</v>
      </c>
      <c r="M11">
        <f>L11*G11</f>
        <v>-4.2718703571200001</v>
      </c>
      <c r="N11" s="9"/>
      <c r="O11" s="21">
        <v>-9.49097E-2</v>
      </c>
      <c r="P11" s="21">
        <v>35.533499999999997</v>
      </c>
      <c r="Q11" s="21">
        <v>-3.61572E-2</v>
      </c>
      <c r="R11" s="21">
        <v>1</v>
      </c>
      <c r="S11" s="21">
        <v>-9.5947299999999999E-2</v>
      </c>
      <c r="T11">
        <f>-Q11/$F$2*1000</f>
        <v>36.157200000000003</v>
      </c>
      <c r="U11">
        <f>T11*O11</f>
        <v>-3.4316690048400003</v>
      </c>
      <c r="V11" s="22"/>
      <c r="W11" s="23"/>
      <c r="X11" s="9"/>
      <c r="Y11" s="21">
        <v>0.69503800000000004</v>
      </c>
      <c r="Z11" s="21">
        <v>38.274000000000001</v>
      </c>
      <c r="AA11" s="21">
        <v>6.6924999999999997E-3</v>
      </c>
      <c r="AB11" s="21">
        <v>1</v>
      </c>
      <c r="AC11" s="21">
        <v>0.69464099999999995</v>
      </c>
      <c r="AD11">
        <f>-AA11/$F$2*1000</f>
        <v>-6.6924999999999999</v>
      </c>
      <c r="AE11">
        <f>AD11*Y11</f>
        <v>-4.6515418149999999</v>
      </c>
      <c r="AF11" s="9"/>
      <c r="AG11" s="21">
        <v>-9.49097E-2</v>
      </c>
      <c r="AH11" s="21">
        <v>41.551600000000001</v>
      </c>
      <c r="AI11" s="21">
        <v>-3.6099199999999998E-2</v>
      </c>
      <c r="AJ11" s="21">
        <v>1</v>
      </c>
      <c r="AK11" s="21">
        <v>-9.5855700000000002E-2</v>
      </c>
      <c r="AL11">
        <f>-AI11/$F$2*1000</f>
        <v>36.099199999999996</v>
      </c>
      <c r="AM11">
        <f>AL11*AG11</f>
        <v>-3.4261642422399996</v>
      </c>
      <c r="AP11" s="9"/>
      <c r="AQ11" s="21">
        <v>0.69503800000000004</v>
      </c>
      <c r="AR11" s="21">
        <v>49.457299999999996</v>
      </c>
      <c r="AS11" s="21">
        <v>7.8613299999999997E-3</v>
      </c>
      <c r="AT11" s="21">
        <v>1</v>
      </c>
      <c r="AU11" s="21">
        <v>0.69464099999999995</v>
      </c>
      <c r="AV11">
        <f>-AS11/$F$2*1000</f>
        <v>-7.8613299999999997</v>
      </c>
      <c r="AW11">
        <f>AV11*AQ11</f>
        <v>-5.4639230805399999</v>
      </c>
      <c r="AX11" s="9"/>
      <c r="AY11" s="21">
        <v>-9.49097E-2</v>
      </c>
      <c r="AZ11" s="21">
        <v>62.228099999999998</v>
      </c>
      <c r="BA11" s="21">
        <v>-3.6221299999999998E-2</v>
      </c>
      <c r="BB11" s="21">
        <v>1</v>
      </c>
      <c r="BC11" s="21">
        <v>-9.5855700000000002E-2</v>
      </c>
      <c r="BD11">
        <f>-BA11/$F$2*1000</f>
        <v>36.221299999999999</v>
      </c>
      <c r="BE11">
        <f>BD11*AY11</f>
        <v>-3.4377527166099999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0.68516393844720236</v>
      </c>
      <c r="B12" s="18">
        <f>IFERROR(T9,0)</f>
        <v>36.139097103383833</v>
      </c>
      <c r="C12" s="19">
        <f>IFERROR(T4,0)</f>
        <v>0.76102058003966067</v>
      </c>
      <c r="D12" s="20">
        <f>IFERROR(T2,0)</f>
        <v>18.843787431199999</v>
      </c>
      <c r="E12" s="20"/>
      <c r="F12" s="9"/>
      <c r="G12" s="21">
        <v>0.690002</v>
      </c>
      <c r="H12" s="21">
        <v>31.1189</v>
      </c>
      <c r="I12" s="21">
        <v>2.5622599999999998E-3</v>
      </c>
      <c r="J12" s="21">
        <v>2</v>
      </c>
      <c r="K12" s="21">
        <v>0.68951399999999996</v>
      </c>
      <c r="L12">
        <f t="shared" ref="L12:L75" si="0">-I12/$F$2*1000</f>
        <v>-2.5622599999999998</v>
      </c>
      <c r="M12">
        <f t="shared" ref="M12:M75" si="1">L12*G12</f>
        <v>-1.7679645245199997</v>
      </c>
      <c r="N12" s="9"/>
      <c r="O12" s="21">
        <v>-8.9874300000000004E-2</v>
      </c>
      <c r="P12" s="21">
        <v>35.543500000000002</v>
      </c>
      <c r="Q12" s="21">
        <v>-3.6163300000000002E-2</v>
      </c>
      <c r="R12" s="21">
        <v>2</v>
      </c>
      <c r="S12" s="21">
        <v>-9.0881299999999998E-2</v>
      </c>
      <c r="T12">
        <f t="shared" ref="T12:T75" si="2">-Q12/$F$2*1000</f>
        <v>36.1633</v>
      </c>
      <c r="U12">
        <f t="shared" ref="U12:U75" si="3">T12*O12</f>
        <v>-3.2501512731900002</v>
      </c>
      <c r="V12" s="22"/>
      <c r="W12" s="23"/>
      <c r="X12" s="9"/>
      <c r="Y12" s="21">
        <v>0.690002</v>
      </c>
      <c r="Z12" s="21">
        <v>38.284100000000002</v>
      </c>
      <c r="AA12" s="21">
        <v>3.1143199999999998E-3</v>
      </c>
      <c r="AB12" s="21">
        <v>2</v>
      </c>
      <c r="AC12" s="21">
        <v>0.68951399999999996</v>
      </c>
      <c r="AD12">
        <f t="shared" ref="AD12:AD75" si="4">-AA12/$F$2*1000</f>
        <v>-3.1143199999999998</v>
      </c>
      <c r="AE12">
        <f t="shared" ref="AE12:AE75" si="5">AD12*Y12</f>
        <v>-2.1488870286399999</v>
      </c>
      <c r="AF12" s="9"/>
      <c r="AG12" s="21">
        <v>-8.9874300000000004E-2</v>
      </c>
      <c r="AH12" s="21">
        <v>41.561700000000002</v>
      </c>
      <c r="AI12" s="21">
        <v>-3.6083999999999998E-2</v>
      </c>
      <c r="AJ12" s="21">
        <v>2</v>
      </c>
      <c r="AK12" s="21">
        <v>-9.0911900000000004E-2</v>
      </c>
      <c r="AL12">
        <f t="shared" ref="AL12:AL75" si="6">-AI12/$F$2*1000</f>
        <v>36.083999999999996</v>
      </c>
      <c r="AM12">
        <f t="shared" ref="AM12:AM75" si="7">AL12*AG12</f>
        <v>-3.2430242411999997</v>
      </c>
      <c r="AP12" s="9"/>
      <c r="AQ12" s="21">
        <v>0.690002</v>
      </c>
      <c r="AR12" s="21">
        <v>49.467399999999998</v>
      </c>
      <c r="AS12" s="21">
        <v>4.1784700000000001E-3</v>
      </c>
      <c r="AT12" s="21">
        <v>2</v>
      </c>
      <c r="AU12" s="21">
        <v>0.68954499999999996</v>
      </c>
      <c r="AV12">
        <f t="shared" ref="AV12:AV75" si="8">-AS12/$F$2*1000</f>
        <v>-4.1784699999999999</v>
      </c>
      <c r="AW12">
        <f t="shared" ref="AW12:AW75" si="9">AV12*AQ12</f>
        <v>-2.8831526569400001</v>
      </c>
      <c r="AX12" s="9"/>
      <c r="AY12" s="21">
        <v>-8.9874300000000004E-2</v>
      </c>
      <c r="AZ12" s="21">
        <v>62.238100000000003</v>
      </c>
      <c r="BA12" s="21">
        <v>-3.6218300000000002E-2</v>
      </c>
      <c r="BB12" s="21">
        <v>2</v>
      </c>
      <c r="BC12" s="21">
        <v>-9.0881299999999998E-2</v>
      </c>
      <c r="BD12">
        <f t="shared" ref="BD12:BD75" si="10">-BA12/$F$2*1000</f>
        <v>36.218299999999999</v>
      </c>
      <c r="BE12">
        <f t="shared" ref="BE12:BE75" si="11">BD12*AY12</f>
        <v>-3.2550943596900002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0.6849006298153032</v>
      </c>
      <c r="B13" s="18">
        <f>IFERROR(AD9,0)</f>
        <v>36.056490477149019</v>
      </c>
      <c r="C13" s="19">
        <f>IFERROR(AD4,0)</f>
        <v>0.76292848648955436</v>
      </c>
      <c r="D13" s="20">
        <f>IFERROR(AD2,0)</f>
        <v>18.8406052128</v>
      </c>
      <c r="E13" s="20">
        <f>IFERROR(AA9,0)</f>
        <v>0.34920875023326792</v>
      </c>
      <c r="F13" s="9"/>
      <c r="G13" s="21">
        <v>0.68496699999999999</v>
      </c>
      <c r="H13" s="21">
        <v>31.129000000000001</v>
      </c>
      <c r="I13" s="21">
        <v>-7.9315199999999998E-4</v>
      </c>
      <c r="J13" s="21">
        <v>3</v>
      </c>
      <c r="K13" s="21">
        <v>0.68447899999999995</v>
      </c>
      <c r="L13">
        <f t="shared" si="0"/>
        <v>0.79315199999999997</v>
      </c>
      <c r="M13">
        <f t="shared" si="1"/>
        <v>0.54328294598399995</v>
      </c>
      <c r="N13" s="9"/>
      <c r="O13" s="21">
        <v>-8.4838899999999995E-2</v>
      </c>
      <c r="P13" s="21">
        <v>35.553600000000003</v>
      </c>
      <c r="Q13" s="21">
        <v>-3.6178599999999998E-2</v>
      </c>
      <c r="R13" s="21">
        <v>3</v>
      </c>
      <c r="S13" s="21">
        <v>-8.58154E-2</v>
      </c>
      <c r="T13">
        <f t="shared" si="2"/>
        <v>36.178599999999996</v>
      </c>
      <c r="U13">
        <f t="shared" si="3"/>
        <v>-3.0693526275399994</v>
      </c>
      <c r="V13" s="22"/>
      <c r="W13" s="23"/>
      <c r="X13" s="9"/>
      <c r="Y13" s="21">
        <v>0.68496699999999999</v>
      </c>
      <c r="Z13" s="21">
        <v>38.294199999999996</v>
      </c>
      <c r="AA13" s="21">
        <v>-3.2580599999999999E-4</v>
      </c>
      <c r="AB13" s="21">
        <v>3</v>
      </c>
      <c r="AC13" s="21">
        <v>0.68441799999999997</v>
      </c>
      <c r="AD13">
        <f t="shared" si="4"/>
        <v>0.32580599999999998</v>
      </c>
      <c r="AE13">
        <f t="shared" si="5"/>
        <v>0.223166358402</v>
      </c>
      <c r="AF13" s="9"/>
      <c r="AG13" s="21">
        <v>-8.4838899999999995E-2</v>
      </c>
      <c r="AH13" s="21">
        <v>41.571800000000003</v>
      </c>
      <c r="AI13" s="21">
        <v>-3.6068700000000002E-2</v>
      </c>
      <c r="AJ13" s="21">
        <v>3</v>
      </c>
      <c r="AK13" s="21">
        <v>-8.5876499999999995E-2</v>
      </c>
      <c r="AL13">
        <f t="shared" si="6"/>
        <v>36.0687</v>
      </c>
      <c r="AM13">
        <f t="shared" si="7"/>
        <v>-3.06002883243</v>
      </c>
      <c r="AP13" s="9"/>
      <c r="AQ13" s="21">
        <v>0.68496699999999999</v>
      </c>
      <c r="AR13" s="21">
        <v>49.477400000000003</v>
      </c>
      <c r="AS13" s="21">
        <v>7.2357200000000002E-4</v>
      </c>
      <c r="AT13" s="21">
        <v>3</v>
      </c>
      <c r="AU13" s="21">
        <v>0.68447899999999995</v>
      </c>
      <c r="AV13">
        <f t="shared" si="8"/>
        <v>-0.72357199999999999</v>
      </c>
      <c r="AW13">
        <f t="shared" si="9"/>
        <v>-0.49562294212399999</v>
      </c>
      <c r="AX13" s="9"/>
      <c r="AY13" s="21">
        <v>-8.4838899999999995E-2</v>
      </c>
      <c r="AZ13" s="21">
        <v>62.248199999999997</v>
      </c>
      <c r="BA13" s="21">
        <v>-3.62122E-2</v>
      </c>
      <c r="BB13" s="21">
        <v>3</v>
      </c>
      <c r="BC13" s="21">
        <v>-8.5723900000000006E-2</v>
      </c>
      <c r="BD13">
        <f t="shared" si="10"/>
        <v>36.212200000000003</v>
      </c>
      <c r="BE13">
        <f t="shared" si="11"/>
        <v>-3.07220321458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0.68432621684890704</v>
      </c>
      <c r="B14" s="18">
        <f>IFERROR(AL9,0)</f>
        <v>36.037405119805598</v>
      </c>
      <c r="C14" s="19">
        <f>IFERROR(AL4,0)</f>
        <v>0.76130540048623585</v>
      </c>
      <c r="D14" s="20">
        <f>IFERROR(AL2,0)</f>
        <v>18.774812170799997</v>
      </c>
      <c r="E14" s="20"/>
      <c r="F14" s="9"/>
      <c r="G14" s="21">
        <v>0.67993199999999998</v>
      </c>
      <c r="H14" s="21">
        <v>31.139099999999999</v>
      </c>
      <c r="I14" s="21">
        <v>-3.9410399999999998E-3</v>
      </c>
      <c r="J14" s="21">
        <v>4</v>
      </c>
      <c r="K14" s="21">
        <v>0.67944300000000002</v>
      </c>
      <c r="L14">
        <f t="shared" si="0"/>
        <v>3.9410399999999997</v>
      </c>
      <c r="M14">
        <f t="shared" si="1"/>
        <v>2.6796392092799999</v>
      </c>
      <c r="N14" s="9"/>
      <c r="O14" s="21">
        <v>-7.9803499999999999E-2</v>
      </c>
      <c r="P14" s="21">
        <v>35.563699999999997</v>
      </c>
      <c r="Q14" s="21">
        <v>-3.6175499999999999E-2</v>
      </c>
      <c r="R14" s="21">
        <v>4</v>
      </c>
      <c r="S14" s="21">
        <v>-8.0688499999999996E-2</v>
      </c>
      <c r="T14">
        <f t="shared" si="2"/>
        <v>36.1755</v>
      </c>
      <c r="U14">
        <f t="shared" si="3"/>
        <v>-2.8869315142500001</v>
      </c>
      <c r="V14" s="22"/>
      <c r="W14" s="23"/>
      <c r="X14" s="9"/>
      <c r="Y14" s="21">
        <v>0.67993199999999998</v>
      </c>
      <c r="Z14" s="21">
        <v>38.304299999999998</v>
      </c>
      <c r="AA14" s="21">
        <v>-3.44788E-3</v>
      </c>
      <c r="AB14" s="21">
        <v>4</v>
      </c>
      <c r="AC14" s="21">
        <v>0.67932099999999995</v>
      </c>
      <c r="AD14">
        <f t="shared" si="4"/>
        <v>3.4478800000000001</v>
      </c>
      <c r="AE14">
        <f t="shared" si="5"/>
        <v>2.3443239441600001</v>
      </c>
      <c r="AF14" s="9"/>
      <c r="AG14" s="21">
        <v>-7.9803499999999999E-2</v>
      </c>
      <c r="AH14" s="21">
        <v>41.581800000000001</v>
      </c>
      <c r="AI14" s="21">
        <v>-3.6077900000000003E-2</v>
      </c>
      <c r="AJ14" s="21">
        <v>4</v>
      </c>
      <c r="AK14" s="21">
        <v>-8.0810499999999993E-2</v>
      </c>
      <c r="AL14">
        <f t="shared" si="6"/>
        <v>36.0779</v>
      </c>
      <c r="AM14">
        <f t="shared" si="7"/>
        <v>-2.8791426926499999</v>
      </c>
      <c r="AP14" s="9"/>
      <c r="AQ14" s="21">
        <v>0.67993199999999998</v>
      </c>
      <c r="AR14" s="21">
        <v>49.487499999999997</v>
      </c>
      <c r="AS14" s="21">
        <v>-2.5042699999999998E-3</v>
      </c>
      <c r="AT14" s="21">
        <v>4</v>
      </c>
      <c r="AU14" s="21">
        <v>0.67935199999999996</v>
      </c>
      <c r="AV14">
        <f t="shared" si="8"/>
        <v>2.50427</v>
      </c>
      <c r="AW14">
        <f t="shared" si="9"/>
        <v>1.7027333096399999</v>
      </c>
      <c r="AX14" s="9"/>
      <c r="AY14" s="21">
        <v>-7.9803499999999999E-2</v>
      </c>
      <c r="AZ14" s="21">
        <v>62.258299999999998</v>
      </c>
      <c r="BA14" s="21">
        <v>-3.6218300000000002E-2</v>
      </c>
      <c r="BB14" s="21">
        <v>4</v>
      </c>
      <c r="BC14" s="21">
        <v>-8.0871600000000002E-2</v>
      </c>
      <c r="BD14">
        <f t="shared" si="10"/>
        <v>36.218299999999999</v>
      </c>
      <c r="BE14">
        <f t="shared" si="11"/>
        <v>-2.8903471040499999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0.68332970160063589</v>
      </c>
      <c r="B15" s="18">
        <f>IFERROR(AV9,0)</f>
        <v>36.07159837150985</v>
      </c>
      <c r="C15" s="19">
        <f>IFERROR(AV4,0)</f>
        <v>0.76231666821555133</v>
      </c>
      <c r="D15" s="20">
        <f>IFERROR(AV2,0)</f>
        <v>18.790186938000002</v>
      </c>
      <c r="E15" s="20">
        <f>IFERROR(AS9,0)</f>
        <v>0.37253863748657423</v>
      </c>
      <c r="F15" s="9"/>
      <c r="G15" s="21">
        <v>0.67489600000000005</v>
      </c>
      <c r="H15" s="21">
        <v>31.1492</v>
      </c>
      <c r="I15" s="21">
        <v>-6.9213900000000004E-3</v>
      </c>
      <c r="J15" s="21">
        <v>5</v>
      </c>
      <c r="K15" s="21">
        <v>0.67413299999999998</v>
      </c>
      <c r="L15">
        <f t="shared" si="0"/>
        <v>6.9213900000000006</v>
      </c>
      <c r="M15">
        <f t="shared" si="1"/>
        <v>4.6712184254400011</v>
      </c>
      <c r="N15" s="9"/>
      <c r="O15" s="21">
        <v>-7.4768100000000004E-2</v>
      </c>
      <c r="P15" s="21">
        <v>35.573799999999999</v>
      </c>
      <c r="Q15" s="21">
        <v>-3.6175499999999999E-2</v>
      </c>
      <c r="R15" s="21">
        <v>5</v>
      </c>
      <c r="S15" s="21">
        <v>-7.5744599999999995E-2</v>
      </c>
      <c r="T15">
        <f t="shared" si="2"/>
        <v>36.1755</v>
      </c>
      <c r="U15">
        <f t="shared" si="3"/>
        <v>-2.7047734015500002</v>
      </c>
      <c r="V15" s="22"/>
      <c r="W15" s="23"/>
      <c r="X15" s="9"/>
      <c r="Y15" s="21">
        <v>0.67489600000000005</v>
      </c>
      <c r="Z15" s="21">
        <v>38.314300000000003</v>
      </c>
      <c r="AA15" s="21">
        <v>-6.4331099999999997E-3</v>
      </c>
      <c r="AB15" s="21">
        <v>5</v>
      </c>
      <c r="AC15" s="21">
        <v>0.67428600000000005</v>
      </c>
      <c r="AD15">
        <f t="shared" si="4"/>
        <v>6.4331100000000001</v>
      </c>
      <c r="AE15">
        <f t="shared" si="5"/>
        <v>4.3416802065600004</v>
      </c>
      <c r="AF15" s="9"/>
      <c r="AG15" s="21">
        <v>-7.4768100000000004E-2</v>
      </c>
      <c r="AH15" s="21">
        <v>41.591900000000003</v>
      </c>
      <c r="AI15" s="21">
        <v>-3.6093100000000003E-2</v>
      </c>
      <c r="AJ15" s="21">
        <v>5</v>
      </c>
      <c r="AK15" s="21">
        <v>-7.5714100000000006E-2</v>
      </c>
      <c r="AL15">
        <f t="shared" si="6"/>
        <v>36.0931</v>
      </c>
      <c r="AM15">
        <f t="shared" si="7"/>
        <v>-2.6986125101100003</v>
      </c>
      <c r="AP15" s="9"/>
      <c r="AQ15" s="21">
        <v>0.67489600000000005</v>
      </c>
      <c r="AR15" s="21">
        <v>49.497599999999998</v>
      </c>
      <c r="AS15" s="21">
        <v>-5.5297899999999997E-3</v>
      </c>
      <c r="AT15" s="21">
        <v>5</v>
      </c>
      <c r="AU15" s="21">
        <v>0.67428600000000005</v>
      </c>
      <c r="AV15">
        <f t="shared" si="8"/>
        <v>5.5297899999999993</v>
      </c>
      <c r="AW15">
        <f t="shared" si="9"/>
        <v>3.7320331518399996</v>
      </c>
      <c r="AX15" s="9"/>
      <c r="AY15" s="21">
        <v>-7.4768100000000004E-2</v>
      </c>
      <c r="AZ15" s="21">
        <v>62.268300000000004</v>
      </c>
      <c r="BA15" s="21">
        <v>-3.6215200000000003E-2</v>
      </c>
      <c r="BB15" s="21">
        <v>5</v>
      </c>
      <c r="BC15" s="21">
        <v>-7.5714100000000006E-2</v>
      </c>
      <c r="BD15">
        <f t="shared" si="10"/>
        <v>36.215200000000003</v>
      </c>
      <c r="BE15">
        <f t="shared" si="11"/>
        <v>-2.7077416951200002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0.6816050749501622</v>
      </c>
      <c r="B16" s="18">
        <f>IFERROR(BD9,0)</f>
        <v>36.098437355435607</v>
      </c>
      <c r="C16" s="19">
        <f>IFERROR(BD4,0)</f>
        <v>0.76083230959724668</v>
      </c>
      <c r="D16" s="20">
        <f>IFERROR(BD2,0)</f>
        <v>18.720186231599996</v>
      </c>
      <c r="E16" s="20"/>
      <c r="F16" s="9"/>
      <c r="G16" s="21">
        <v>0.66986100000000004</v>
      </c>
      <c r="H16" s="21">
        <v>31.159199999999998</v>
      </c>
      <c r="I16" s="21">
        <v>-9.6160900000000007E-3</v>
      </c>
      <c r="J16" s="21">
        <v>6</v>
      </c>
      <c r="K16" s="21">
        <v>0.66912799999999995</v>
      </c>
      <c r="L16">
        <f t="shared" si="0"/>
        <v>9.6160900000000016</v>
      </c>
      <c r="M16">
        <f t="shared" si="1"/>
        <v>6.4414436634900012</v>
      </c>
      <c r="N16" s="9"/>
      <c r="O16" s="21">
        <v>-6.9732699999999995E-2</v>
      </c>
      <c r="P16" s="21">
        <v>35.583799999999997</v>
      </c>
      <c r="Q16" s="21">
        <v>-3.6175499999999999E-2</v>
      </c>
      <c r="R16" s="21">
        <v>6</v>
      </c>
      <c r="S16" s="21">
        <v>-7.07092E-2</v>
      </c>
      <c r="T16">
        <f t="shared" si="2"/>
        <v>36.1755</v>
      </c>
      <c r="U16">
        <f t="shared" si="3"/>
        <v>-2.52261528885</v>
      </c>
      <c r="V16" s="22"/>
      <c r="W16" s="23"/>
      <c r="X16" s="9"/>
      <c r="Y16" s="21">
        <v>0.66986100000000004</v>
      </c>
      <c r="Z16" s="21">
        <v>38.324399999999997</v>
      </c>
      <c r="AA16" s="21">
        <v>-9.1339100000000003E-3</v>
      </c>
      <c r="AB16" s="21">
        <v>6</v>
      </c>
      <c r="AC16" s="21">
        <v>0.66915899999999995</v>
      </c>
      <c r="AD16">
        <f t="shared" si="4"/>
        <v>9.1339100000000002</v>
      </c>
      <c r="AE16">
        <f t="shared" si="5"/>
        <v>6.1184500865100002</v>
      </c>
      <c r="AF16" s="9"/>
      <c r="AG16" s="21">
        <v>-6.9732699999999995E-2</v>
      </c>
      <c r="AH16" s="21">
        <v>41.601999999999997</v>
      </c>
      <c r="AI16" s="21">
        <v>-3.6093100000000003E-2</v>
      </c>
      <c r="AJ16" s="21">
        <v>6</v>
      </c>
      <c r="AK16" s="21">
        <v>-7.0739700000000003E-2</v>
      </c>
      <c r="AL16">
        <f t="shared" si="6"/>
        <v>36.0931</v>
      </c>
      <c r="AM16">
        <f t="shared" si="7"/>
        <v>-2.5168693143699996</v>
      </c>
      <c r="AP16" s="9"/>
      <c r="AQ16" s="21">
        <v>0.66986100000000004</v>
      </c>
      <c r="AR16" s="21">
        <v>49.5077</v>
      </c>
      <c r="AS16" s="21">
        <v>-8.30994E-3</v>
      </c>
      <c r="AT16" s="21">
        <v>6</v>
      </c>
      <c r="AU16" s="21">
        <v>0.66912799999999995</v>
      </c>
      <c r="AV16">
        <f t="shared" si="8"/>
        <v>8.3099399999999992</v>
      </c>
      <c r="AW16">
        <f t="shared" si="9"/>
        <v>5.56650471834</v>
      </c>
      <c r="AX16" s="9"/>
      <c r="AY16" s="21">
        <v>-6.9732699999999995E-2</v>
      </c>
      <c r="AZ16" s="21">
        <v>62.278399999999998</v>
      </c>
      <c r="BA16" s="21">
        <v>-3.6221299999999998E-2</v>
      </c>
      <c r="BB16" s="21">
        <v>6</v>
      </c>
      <c r="BC16" s="21">
        <v>-7.07092E-2</v>
      </c>
      <c r="BD16">
        <f t="shared" si="10"/>
        <v>36.221299999999999</v>
      </c>
      <c r="BE16">
        <f t="shared" si="11"/>
        <v>-2.5258090465099996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0.664825</v>
      </c>
      <c r="H17" s="21">
        <v>31.1693</v>
      </c>
      <c r="I17" s="21">
        <v>-1.2085E-2</v>
      </c>
      <c r="J17" s="21">
        <v>7</v>
      </c>
      <c r="K17" s="21">
        <v>0.66409300000000004</v>
      </c>
      <c r="L17">
        <f t="shared" si="0"/>
        <v>12.085000000000001</v>
      </c>
      <c r="M17">
        <f t="shared" si="1"/>
        <v>8.0344101250000008</v>
      </c>
      <c r="N17" s="9"/>
      <c r="O17" s="21">
        <v>-6.4697299999999999E-2</v>
      </c>
      <c r="P17" s="21">
        <v>35.593899999999998</v>
      </c>
      <c r="Q17" s="21">
        <v>-3.61847E-2</v>
      </c>
      <c r="R17" s="21">
        <v>7</v>
      </c>
      <c r="S17" s="21">
        <v>-6.5612799999999999E-2</v>
      </c>
      <c r="T17">
        <f t="shared" si="2"/>
        <v>36.184699999999999</v>
      </c>
      <c r="U17">
        <f t="shared" si="3"/>
        <v>-2.3410523913099999</v>
      </c>
      <c r="V17" s="22"/>
      <c r="W17" s="23"/>
      <c r="X17" s="9"/>
      <c r="Y17" s="21">
        <v>0.664825</v>
      </c>
      <c r="Z17" s="21">
        <v>38.334499999999998</v>
      </c>
      <c r="AA17" s="21">
        <v>-1.1672999999999999E-2</v>
      </c>
      <c r="AB17" s="21">
        <v>7</v>
      </c>
      <c r="AC17" s="21">
        <v>0.66406299999999996</v>
      </c>
      <c r="AD17">
        <f t="shared" si="4"/>
        <v>11.673</v>
      </c>
      <c r="AE17">
        <f t="shared" si="5"/>
        <v>7.7605022249999998</v>
      </c>
      <c r="AF17" s="9"/>
      <c r="AG17" s="21">
        <v>-6.4697299999999999E-2</v>
      </c>
      <c r="AH17" s="21">
        <v>41.612099999999998</v>
      </c>
      <c r="AI17" s="21">
        <v>-3.6080899999999999E-2</v>
      </c>
      <c r="AJ17" s="21">
        <v>7</v>
      </c>
      <c r="AK17" s="21">
        <v>-6.5582299999999996E-2</v>
      </c>
      <c r="AL17">
        <f t="shared" si="6"/>
        <v>36.0809</v>
      </c>
      <c r="AM17">
        <f t="shared" si="7"/>
        <v>-2.3343368115700001</v>
      </c>
      <c r="AP17" s="9"/>
      <c r="AQ17" s="21">
        <v>0.664825</v>
      </c>
      <c r="AR17" s="21">
        <v>49.517699999999998</v>
      </c>
      <c r="AS17" s="21">
        <v>-1.0888699999999999E-2</v>
      </c>
      <c r="AT17" s="21">
        <v>7</v>
      </c>
      <c r="AU17" s="21">
        <v>0.66409300000000004</v>
      </c>
      <c r="AV17">
        <f t="shared" si="8"/>
        <v>10.8887</v>
      </c>
      <c r="AW17">
        <f t="shared" si="9"/>
        <v>7.2390799775000003</v>
      </c>
      <c r="AX17" s="9"/>
      <c r="AY17" s="21">
        <v>-6.4697299999999999E-2</v>
      </c>
      <c r="AZ17" s="21">
        <v>62.288499999999999</v>
      </c>
      <c r="BA17" s="21">
        <v>-3.6209100000000001E-2</v>
      </c>
      <c r="BB17" s="21">
        <v>7</v>
      </c>
      <c r="BC17" s="21">
        <v>-6.5551799999999993E-2</v>
      </c>
      <c r="BD17">
        <f t="shared" si="10"/>
        <v>36.209099999999999</v>
      </c>
      <c r="BE17">
        <f t="shared" si="11"/>
        <v>-2.3426310054299999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0.65978999999999999</v>
      </c>
      <c r="H18" s="21">
        <v>31.179400000000001</v>
      </c>
      <c r="I18" s="21">
        <v>-1.4385999999999999E-2</v>
      </c>
      <c r="J18" s="21">
        <v>8</v>
      </c>
      <c r="K18" s="21">
        <v>0.65899700000000005</v>
      </c>
      <c r="L18">
        <f t="shared" si="0"/>
        <v>14.385999999999999</v>
      </c>
      <c r="M18">
        <f t="shared" si="1"/>
        <v>9.4917389399999994</v>
      </c>
      <c r="N18" s="9"/>
      <c r="O18" s="21">
        <v>-5.9661899999999997E-2</v>
      </c>
      <c r="P18" s="21">
        <v>35.603999999999999</v>
      </c>
      <c r="Q18" s="21">
        <v>-3.6178599999999998E-2</v>
      </c>
      <c r="R18" s="21">
        <v>8</v>
      </c>
      <c r="S18" s="21">
        <v>-6.0577400000000003E-2</v>
      </c>
      <c r="T18">
        <f t="shared" si="2"/>
        <v>36.178599999999996</v>
      </c>
      <c r="U18">
        <f t="shared" si="3"/>
        <v>-2.1584840153399996</v>
      </c>
      <c r="V18" s="22"/>
      <c r="W18" s="23"/>
      <c r="X18" s="9"/>
      <c r="Y18" s="21">
        <v>0.65978999999999999</v>
      </c>
      <c r="Z18" s="21">
        <v>38.344499999999996</v>
      </c>
      <c r="AA18" s="21">
        <v>-1.39679E-2</v>
      </c>
      <c r="AB18" s="21">
        <v>8</v>
      </c>
      <c r="AC18" s="21">
        <v>0.65902700000000003</v>
      </c>
      <c r="AD18">
        <f t="shared" si="4"/>
        <v>13.9679</v>
      </c>
      <c r="AE18">
        <f t="shared" si="5"/>
        <v>9.2158807409999994</v>
      </c>
      <c r="AF18" s="9"/>
      <c r="AG18" s="21">
        <v>-5.9661899999999997E-2</v>
      </c>
      <c r="AH18" s="21">
        <v>41.622100000000003</v>
      </c>
      <c r="AI18" s="21">
        <v>-3.6083999999999998E-2</v>
      </c>
      <c r="AJ18" s="21">
        <v>8</v>
      </c>
      <c r="AK18" s="21">
        <v>-6.0607899999999999E-2</v>
      </c>
      <c r="AL18">
        <f t="shared" si="6"/>
        <v>36.083999999999996</v>
      </c>
      <c r="AM18">
        <f t="shared" si="7"/>
        <v>-2.1528399995999998</v>
      </c>
      <c r="AP18" s="9"/>
      <c r="AQ18" s="21">
        <v>0.65978999999999999</v>
      </c>
      <c r="AR18" s="21">
        <v>49.527799999999999</v>
      </c>
      <c r="AS18" s="21">
        <v>-1.3241599999999999E-2</v>
      </c>
      <c r="AT18" s="21">
        <v>8</v>
      </c>
      <c r="AU18" s="21">
        <v>0.65902700000000003</v>
      </c>
      <c r="AV18">
        <f t="shared" si="8"/>
        <v>13.2416</v>
      </c>
      <c r="AW18">
        <f t="shared" si="9"/>
        <v>8.7366752640000005</v>
      </c>
      <c r="AX18" s="9"/>
      <c r="AY18" s="21">
        <v>-5.9661899999999997E-2</v>
      </c>
      <c r="AZ18" s="21">
        <v>62.2986</v>
      </c>
      <c r="BA18" s="21">
        <v>-3.6175499999999999E-2</v>
      </c>
      <c r="BB18" s="21">
        <v>8</v>
      </c>
      <c r="BC18" s="21">
        <v>-6.0638400000000002E-2</v>
      </c>
      <c r="BD18">
        <f t="shared" si="10"/>
        <v>36.1755</v>
      </c>
      <c r="BE18">
        <f t="shared" si="11"/>
        <v>-2.1582990634499999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0.65475499999999998</v>
      </c>
      <c r="H19" s="21">
        <v>31.189399999999999</v>
      </c>
      <c r="I19" s="21">
        <v>-1.6491700000000001E-2</v>
      </c>
      <c r="J19" s="21">
        <v>9</v>
      </c>
      <c r="K19" s="21">
        <v>0.65390000000000004</v>
      </c>
      <c r="L19">
        <f t="shared" si="0"/>
        <v>16.491700000000002</v>
      </c>
      <c r="M19">
        <f t="shared" si="1"/>
        <v>10.7980230335</v>
      </c>
      <c r="N19" s="9"/>
      <c r="O19" s="21">
        <v>-5.4626500000000001E-2</v>
      </c>
      <c r="P19" s="21">
        <v>35.613999999999997</v>
      </c>
      <c r="Q19" s="21">
        <v>-3.6181600000000001E-2</v>
      </c>
      <c r="R19" s="21">
        <v>9</v>
      </c>
      <c r="S19" s="21">
        <v>-5.5603E-2</v>
      </c>
      <c r="T19">
        <f t="shared" si="2"/>
        <v>36.181600000000003</v>
      </c>
      <c r="U19">
        <f t="shared" si="3"/>
        <v>-1.9764741724000001</v>
      </c>
      <c r="V19" s="22"/>
      <c r="W19" s="23"/>
      <c r="X19" s="9"/>
      <c r="Y19" s="21">
        <v>0.65475499999999998</v>
      </c>
      <c r="Z19" s="21">
        <v>38.354599999999998</v>
      </c>
      <c r="AA19" s="21">
        <v>-1.6119399999999999E-2</v>
      </c>
      <c r="AB19" s="21">
        <v>9</v>
      </c>
      <c r="AC19" s="21">
        <v>0.65390000000000004</v>
      </c>
      <c r="AD19">
        <f t="shared" si="4"/>
        <v>16.119399999999999</v>
      </c>
      <c r="AE19">
        <f t="shared" si="5"/>
        <v>10.554257746999999</v>
      </c>
      <c r="AF19" s="9"/>
      <c r="AG19" s="21">
        <v>-5.4626500000000001E-2</v>
      </c>
      <c r="AH19" s="21">
        <v>41.632199999999997</v>
      </c>
      <c r="AI19" s="21">
        <v>-3.6074799999999997E-2</v>
      </c>
      <c r="AJ19" s="21">
        <v>9</v>
      </c>
      <c r="AK19" s="21">
        <v>-5.5572499999999997E-2</v>
      </c>
      <c r="AL19">
        <f t="shared" si="6"/>
        <v>36.074799999999996</v>
      </c>
      <c r="AM19">
        <f t="shared" si="7"/>
        <v>-1.9706400621999998</v>
      </c>
      <c r="AP19" s="9"/>
      <c r="AQ19" s="21">
        <v>0.65475499999999998</v>
      </c>
      <c r="AR19" s="21">
        <v>49.5379</v>
      </c>
      <c r="AS19" s="21">
        <v>-1.54541E-2</v>
      </c>
      <c r="AT19" s="21">
        <v>9</v>
      </c>
      <c r="AU19" s="21">
        <v>0.65396100000000001</v>
      </c>
      <c r="AV19">
        <f t="shared" si="8"/>
        <v>15.4541</v>
      </c>
      <c r="AW19">
        <f t="shared" si="9"/>
        <v>10.1186492455</v>
      </c>
      <c r="AX19" s="9"/>
      <c r="AY19" s="21">
        <v>-5.4626500000000001E-2</v>
      </c>
      <c r="AZ19" s="21">
        <v>62.308599999999998</v>
      </c>
      <c r="BA19" s="21">
        <v>-3.6151099999999999E-2</v>
      </c>
      <c r="BB19" s="21">
        <v>9</v>
      </c>
      <c r="BC19" s="21">
        <v>-5.5633500000000002E-2</v>
      </c>
      <c r="BD19">
        <f t="shared" si="10"/>
        <v>36.1511</v>
      </c>
      <c r="BE19">
        <f t="shared" si="11"/>
        <v>-1.9748080641500001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0.64971900000000005</v>
      </c>
      <c r="H20" s="21">
        <v>31.1995</v>
      </c>
      <c r="I20" s="21">
        <v>-1.8438699999999999E-2</v>
      </c>
      <c r="J20" s="21">
        <v>10</v>
      </c>
      <c r="K20" s="21">
        <v>0.64886500000000003</v>
      </c>
      <c r="L20">
        <f t="shared" si="0"/>
        <v>18.438699999999997</v>
      </c>
      <c r="M20">
        <f t="shared" si="1"/>
        <v>11.979973725299999</v>
      </c>
      <c r="N20" s="9"/>
      <c r="O20" s="21">
        <v>-4.9591099999999999E-2</v>
      </c>
      <c r="P20" s="21">
        <v>35.624099999999999</v>
      </c>
      <c r="Q20" s="21">
        <v>-3.6175499999999999E-2</v>
      </c>
      <c r="R20" s="21">
        <v>10</v>
      </c>
      <c r="S20" s="21">
        <v>-5.0567599999999997E-2</v>
      </c>
      <c r="T20">
        <f t="shared" si="2"/>
        <v>36.1755</v>
      </c>
      <c r="U20">
        <f t="shared" si="3"/>
        <v>-1.79398283805</v>
      </c>
      <c r="V20" s="22"/>
      <c r="W20" s="23"/>
      <c r="X20" s="9"/>
      <c r="Y20" s="21">
        <v>0.64971900000000005</v>
      </c>
      <c r="Z20" s="21">
        <v>38.364699999999999</v>
      </c>
      <c r="AA20" s="21">
        <v>-1.8048100000000001E-2</v>
      </c>
      <c r="AB20" s="21">
        <v>10</v>
      </c>
      <c r="AC20" s="21">
        <v>0.648926</v>
      </c>
      <c r="AD20">
        <f t="shared" si="4"/>
        <v>18.048100000000002</v>
      </c>
      <c r="AE20">
        <f t="shared" si="5"/>
        <v>11.726193483900001</v>
      </c>
      <c r="AF20" s="9"/>
      <c r="AG20" s="21">
        <v>-4.9591099999999999E-2</v>
      </c>
      <c r="AH20" s="21">
        <v>41.642299999999999</v>
      </c>
      <c r="AI20" s="21">
        <v>-3.6068700000000002E-2</v>
      </c>
      <c r="AJ20" s="21">
        <v>10</v>
      </c>
      <c r="AK20" s="21">
        <v>-5.0628699999999999E-2</v>
      </c>
      <c r="AL20">
        <f t="shared" si="6"/>
        <v>36.0687</v>
      </c>
      <c r="AM20">
        <f t="shared" si="7"/>
        <v>-1.7886865085699999</v>
      </c>
      <c r="AP20" s="9"/>
      <c r="AQ20" s="21">
        <v>0.64971900000000005</v>
      </c>
      <c r="AR20" s="21">
        <v>49.547899999999998</v>
      </c>
      <c r="AS20" s="21">
        <v>-1.7443799999999999E-2</v>
      </c>
      <c r="AT20" s="21">
        <v>10</v>
      </c>
      <c r="AU20" s="21">
        <v>0.648895</v>
      </c>
      <c r="AV20">
        <f t="shared" si="8"/>
        <v>17.4438</v>
      </c>
      <c r="AW20">
        <f t="shared" si="9"/>
        <v>11.333568292200001</v>
      </c>
      <c r="AX20" s="9"/>
      <c r="AY20" s="21">
        <v>-4.9591099999999999E-2</v>
      </c>
      <c r="AZ20" s="21">
        <v>62.3187</v>
      </c>
      <c r="BA20" s="21">
        <v>-3.6151099999999999E-2</v>
      </c>
      <c r="BB20" s="21">
        <v>10</v>
      </c>
      <c r="BC20" s="21">
        <v>-5.0567599999999997E-2</v>
      </c>
      <c r="BD20">
        <f t="shared" si="10"/>
        <v>36.1511</v>
      </c>
      <c r="BE20">
        <f t="shared" si="11"/>
        <v>-1.79277281521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0.64468400000000003</v>
      </c>
      <c r="H21" s="21">
        <v>31.209599999999998</v>
      </c>
      <c r="I21" s="21">
        <v>-2.0184299999999999E-2</v>
      </c>
      <c r="J21" s="21">
        <v>11</v>
      </c>
      <c r="K21" s="21">
        <v>0.64382899999999998</v>
      </c>
      <c r="L21">
        <f t="shared" si="0"/>
        <v>20.1843</v>
      </c>
      <c r="M21">
        <f t="shared" si="1"/>
        <v>13.012495261200002</v>
      </c>
      <c r="N21" s="9"/>
      <c r="O21" s="21">
        <v>-4.4555699999999997E-2</v>
      </c>
      <c r="P21" s="21">
        <v>35.6342</v>
      </c>
      <c r="Q21" s="21">
        <v>-3.6181600000000001E-2</v>
      </c>
      <c r="R21" s="21">
        <v>11</v>
      </c>
      <c r="S21" s="21">
        <v>-4.5019499999999997E-2</v>
      </c>
      <c r="T21">
        <f t="shared" si="2"/>
        <v>36.181600000000003</v>
      </c>
      <c r="U21">
        <f t="shared" si="3"/>
        <v>-1.61209651512</v>
      </c>
      <c r="V21" s="22"/>
      <c r="W21" s="23"/>
      <c r="X21" s="9"/>
      <c r="Y21" s="21">
        <v>0.64468400000000003</v>
      </c>
      <c r="Z21" s="21">
        <v>38.3748</v>
      </c>
      <c r="AA21" s="21">
        <v>-1.9836400000000001E-2</v>
      </c>
      <c r="AB21" s="21">
        <v>11</v>
      </c>
      <c r="AC21" s="21">
        <v>0.64379900000000001</v>
      </c>
      <c r="AD21">
        <f t="shared" si="4"/>
        <v>19.836400000000001</v>
      </c>
      <c r="AE21">
        <f t="shared" si="5"/>
        <v>12.788209697600001</v>
      </c>
      <c r="AF21" s="9"/>
      <c r="AG21" s="21">
        <v>-4.4555699999999997E-2</v>
      </c>
      <c r="AH21" s="21">
        <v>41.652299999999997</v>
      </c>
      <c r="AI21" s="21">
        <v>-3.6080899999999999E-2</v>
      </c>
      <c r="AJ21" s="21">
        <v>11</v>
      </c>
      <c r="AK21" s="21">
        <v>-4.5046999999999997E-2</v>
      </c>
      <c r="AL21">
        <f t="shared" si="6"/>
        <v>36.0809</v>
      </c>
      <c r="AM21">
        <f t="shared" si="7"/>
        <v>-1.6076097561299998</v>
      </c>
      <c r="AP21" s="9"/>
      <c r="AQ21" s="21">
        <v>0.64468400000000003</v>
      </c>
      <c r="AR21" s="21">
        <v>49.558</v>
      </c>
      <c r="AS21" s="21">
        <v>-1.93054E-2</v>
      </c>
      <c r="AT21" s="21">
        <v>11</v>
      </c>
      <c r="AU21" s="21">
        <v>0.64382899999999998</v>
      </c>
      <c r="AV21">
        <f t="shared" si="8"/>
        <v>19.305399999999999</v>
      </c>
      <c r="AW21">
        <f t="shared" si="9"/>
        <v>12.445882493599999</v>
      </c>
      <c r="AX21" s="9"/>
      <c r="AY21" s="21">
        <v>-4.4555699999999997E-2</v>
      </c>
      <c r="AZ21" s="21">
        <v>62.328800000000001</v>
      </c>
      <c r="BA21" s="21">
        <v>-3.6138900000000002E-2</v>
      </c>
      <c r="BB21" s="21">
        <v>11</v>
      </c>
      <c r="BC21" s="21">
        <v>-4.4982899999999999E-2</v>
      </c>
      <c r="BD21">
        <f t="shared" si="10"/>
        <v>36.1389</v>
      </c>
      <c r="BE21">
        <f t="shared" si="11"/>
        <v>-1.6101939867299999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0.63964799999999999</v>
      </c>
      <c r="H22" s="21">
        <v>31.2197</v>
      </c>
      <c r="I22" s="21">
        <v>-2.1798700000000001E-2</v>
      </c>
      <c r="J22" s="21">
        <v>12</v>
      </c>
      <c r="K22" s="21">
        <v>0.63870199999999999</v>
      </c>
      <c r="L22">
        <f t="shared" si="0"/>
        <v>21.7987</v>
      </c>
      <c r="M22">
        <f t="shared" si="1"/>
        <v>13.943494857599999</v>
      </c>
      <c r="N22" s="9"/>
      <c r="O22" s="21">
        <v>-3.9520300000000001E-2</v>
      </c>
      <c r="P22" s="21">
        <v>35.644300000000001</v>
      </c>
      <c r="Q22" s="21">
        <v>-3.6178599999999998E-2</v>
      </c>
      <c r="R22" s="21">
        <v>12</v>
      </c>
      <c r="S22" s="21">
        <v>-3.9938399999999999E-2</v>
      </c>
      <c r="T22">
        <f t="shared" si="2"/>
        <v>36.178599999999996</v>
      </c>
      <c r="U22">
        <f t="shared" si="3"/>
        <v>-1.4297891255799999</v>
      </c>
      <c r="V22" s="22"/>
      <c r="W22" s="23"/>
      <c r="X22" s="9"/>
      <c r="Y22" s="21">
        <v>0.63964799999999999</v>
      </c>
      <c r="Z22" s="21">
        <v>38.384799999999998</v>
      </c>
      <c r="AA22" s="21">
        <v>-2.1462999999999999E-2</v>
      </c>
      <c r="AB22" s="21">
        <v>12</v>
      </c>
      <c r="AC22" s="21">
        <v>0.63876299999999997</v>
      </c>
      <c r="AD22">
        <f t="shared" si="4"/>
        <v>21.463000000000001</v>
      </c>
      <c r="AE22">
        <f t="shared" si="5"/>
        <v>13.728765024000001</v>
      </c>
      <c r="AF22" s="9"/>
      <c r="AG22" s="21">
        <v>-3.9520300000000001E-2</v>
      </c>
      <c r="AH22" s="21">
        <v>41.662399999999998</v>
      </c>
      <c r="AI22" s="21">
        <v>-3.6074799999999997E-2</v>
      </c>
      <c r="AJ22" s="21">
        <v>12</v>
      </c>
      <c r="AK22" s="21">
        <v>-4.0011600000000001E-2</v>
      </c>
      <c r="AL22">
        <f t="shared" si="6"/>
        <v>36.074799999999996</v>
      </c>
      <c r="AM22">
        <f t="shared" si="7"/>
        <v>-1.4256869184399998</v>
      </c>
      <c r="AP22" s="9"/>
      <c r="AQ22" s="21">
        <v>0.63964799999999999</v>
      </c>
      <c r="AR22" s="21">
        <v>49.568100000000001</v>
      </c>
      <c r="AS22" s="21">
        <v>-2.0971699999999999E-2</v>
      </c>
      <c r="AT22" s="21">
        <v>12</v>
      </c>
      <c r="AU22" s="21">
        <v>0.63882399999999995</v>
      </c>
      <c r="AV22">
        <f t="shared" si="8"/>
        <v>20.971699999999998</v>
      </c>
      <c r="AW22">
        <f t="shared" si="9"/>
        <v>13.4145059616</v>
      </c>
      <c r="AX22" s="9"/>
      <c r="AY22" s="21">
        <v>-3.9520300000000001E-2</v>
      </c>
      <c r="AZ22" s="21">
        <v>62.338799999999999</v>
      </c>
      <c r="BA22" s="21">
        <v>-3.6138900000000002E-2</v>
      </c>
      <c r="BB22" s="21">
        <v>12</v>
      </c>
      <c r="BC22" s="21">
        <v>-3.9978E-2</v>
      </c>
      <c r="BD22">
        <f t="shared" si="10"/>
        <v>36.1389</v>
      </c>
      <c r="BE22">
        <f t="shared" si="11"/>
        <v>-1.4282201696700001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0.63461299999999998</v>
      </c>
      <c r="H23" s="21">
        <v>31.229700000000001</v>
      </c>
      <c r="I23" s="21">
        <v>-2.3242200000000001E-2</v>
      </c>
      <c r="J23" s="21">
        <v>13</v>
      </c>
      <c r="K23" s="21">
        <v>0.63363599999999998</v>
      </c>
      <c r="L23">
        <f t="shared" si="0"/>
        <v>23.2422</v>
      </c>
      <c r="M23">
        <f t="shared" si="1"/>
        <v>14.7498022686</v>
      </c>
      <c r="N23" s="9"/>
      <c r="O23" s="21">
        <v>-3.4484899999999999E-2</v>
      </c>
      <c r="P23" s="21">
        <v>35.654299999999999</v>
      </c>
      <c r="Q23" s="21">
        <v>-3.6163300000000002E-2</v>
      </c>
      <c r="R23" s="21">
        <v>13</v>
      </c>
      <c r="S23" s="21">
        <v>-3.4918200000000003E-2</v>
      </c>
      <c r="T23">
        <f t="shared" si="2"/>
        <v>36.1633</v>
      </c>
      <c r="U23">
        <f t="shared" si="3"/>
        <v>-1.2470877841699999</v>
      </c>
      <c r="V23" s="22"/>
      <c r="W23" s="23"/>
      <c r="X23" s="9"/>
      <c r="Y23" s="21">
        <v>0.63461299999999998</v>
      </c>
      <c r="Z23" s="21">
        <v>38.3949</v>
      </c>
      <c r="AA23" s="21">
        <v>-2.2970600000000001E-2</v>
      </c>
      <c r="AB23" s="21">
        <v>13</v>
      </c>
      <c r="AC23" s="21">
        <v>0.63366699999999998</v>
      </c>
      <c r="AD23">
        <f t="shared" si="4"/>
        <v>22.970600000000001</v>
      </c>
      <c r="AE23">
        <f t="shared" si="5"/>
        <v>14.5774413778</v>
      </c>
      <c r="AF23" s="9"/>
      <c r="AG23" s="21">
        <v>-3.4484899999999999E-2</v>
      </c>
      <c r="AH23" s="21">
        <v>41.672499999999999</v>
      </c>
      <c r="AI23" s="21">
        <v>-3.6068700000000002E-2</v>
      </c>
      <c r="AJ23" s="21">
        <v>13</v>
      </c>
      <c r="AK23" s="21">
        <v>-3.4939600000000001E-2</v>
      </c>
      <c r="AL23">
        <f t="shared" si="6"/>
        <v>36.0687</v>
      </c>
      <c r="AM23">
        <f t="shared" si="7"/>
        <v>-1.24382551263</v>
      </c>
      <c r="AP23" s="9"/>
      <c r="AQ23" s="21">
        <v>0.63461299999999998</v>
      </c>
      <c r="AR23" s="21">
        <v>49.578200000000002</v>
      </c>
      <c r="AS23" s="21">
        <v>-2.2518900000000001E-2</v>
      </c>
      <c r="AT23" s="21">
        <v>13</v>
      </c>
      <c r="AU23" s="21">
        <v>0.63366699999999998</v>
      </c>
      <c r="AV23">
        <f t="shared" si="8"/>
        <v>22.518900000000002</v>
      </c>
      <c r="AW23">
        <f t="shared" si="9"/>
        <v>14.290786685700001</v>
      </c>
      <c r="AX23" s="9"/>
      <c r="AY23" s="21">
        <v>-3.4484899999999999E-2</v>
      </c>
      <c r="AZ23" s="21">
        <v>62.3489</v>
      </c>
      <c r="BA23" s="21">
        <v>-3.6129799999999997E-2</v>
      </c>
      <c r="BB23" s="21">
        <v>13</v>
      </c>
      <c r="BC23" s="21">
        <v>-3.4866300000000003E-2</v>
      </c>
      <c r="BD23">
        <f t="shared" si="10"/>
        <v>36.129799999999996</v>
      </c>
      <c r="BE23">
        <f t="shared" si="11"/>
        <v>-1.2459325400199999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0.62957799999999997</v>
      </c>
      <c r="H24" s="21">
        <v>31.239799999999999</v>
      </c>
      <c r="I24" s="21">
        <v>-2.45667E-2</v>
      </c>
      <c r="J24" s="21">
        <v>14</v>
      </c>
      <c r="K24" s="21">
        <v>0.62869299999999995</v>
      </c>
      <c r="L24">
        <f t="shared" si="0"/>
        <v>24.566700000000001</v>
      </c>
      <c r="M24">
        <f t="shared" si="1"/>
        <v>15.4666538526</v>
      </c>
      <c r="N24" s="9"/>
      <c r="O24" s="21">
        <v>-2.94495E-2</v>
      </c>
      <c r="P24" s="21">
        <v>35.664400000000001</v>
      </c>
      <c r="Q24" s="21">
        <v>-3.6166400000000001E-2</v>
      </c>
      <c r="R24" s="21">
        <v>14</v>
      </c>
      <c r="S24" s="21">
        <v>-2.9855300000000001E-2</v>
      </c>
      <c r="T24">
        <f t="shared" si="2"/>
        <v>36.166400000000003</v>
      </c>
      <c r="U24">
        <f t="shared" si="3"/>
        <v>-1.0650823968000001</v>
      </c>
      <c r="V24" s="22"/>
      <c r="W24" s="23"/>
      <c r="X24" s="9"/>
      <c r="Y24" s="21">
        <v>0.62957799999999997</v>
      </c>
      <c r="Z24" s="21">
        <v>38.405000000000001</v>
      </c>
      <c r="AA24" s="21">
        <v>-2.4301099999999999E-2</v>
      </c>
      <c r="AB24" s="21">
        <v>14</v>
      </c>
      <c r="AC24" s="21">
        <v>0.62866200000000005</v>
      </c>
      <c r="AD24">
        <f t="shared" si="4"/>
        <v>24.301099999999998</v>
      </c>
      <c r="AE24">
        <f t="shared" si="5"/>
        <v>15.299437935799999</v>
      </c>
      <c r="AF24" s="9"/>
      <c r="AG24" s="21">
        <v>-2.94495E-2</v>
      </c>
      <c r="AH24" s="21">
        <v>41.682600000000001</v>
      </c>
      <c r="AI24" s="21">
        <v>-3.6074799999999997E-2</v>
      </c>
      <c r="AJ24" s="21">
        <v>14</v>
      </c>
      <c r="AK24" s="21">
        <v>-2.9925500000000001E-2</v>
      </c>
      <c r="AL24">
        <f t="shared" si="6"/>
        <v>36.074799999999996</v>
      </c>
      <c r="AM24">
        <f t="shared" si="7"/>
        <v>-1.0623848225999999</v>
      </c>
      <c r="AP24" s="9"/>
      <c r="AQ24" s="21">
        <v>0.62957799999999997</v>
      </c>
      <c r="AR24" s="21">
        <v>49.588200000000001</v>
      </c>
      <c r="AS24" s="21">
        <v>-2.3889199999999999E-2</v>
      </c>
      <c r="AT24" s="21">
        <v>14</v>
      </c>
      <c r="AU24" s="21">
        <v>0.62866200000000005</v>
      </c>
      <c r="AV24">
        <f t="shared" si="8"/>
        <v>23.889199999999999</v>
      </c>
      <c r="AW24">
        <f t="shared" si="9"/>
        <v>15.040114757599998</v>
      </c>
      <c r="AX24" s="9"/>
      <c r="AY24" s="21">
        <v>-2.94495E-2</v>
      </c>
      <c r="AZ24" s="21">
        <v>62.359000000000002</v>
      </c>
      <c r="BA24" s="21">
        <v>-3.61176E-2</v>
      </c>
      <c r="BB24" s="21">
        <v>14</v>
      </c>
      <c r="BC24" s="21">
        <v>-2.98859E-2</v>
      </c>
      <c r="BD24">
        <f t="shared" si="10"/>
        <v>36.117600000000003</v>
      </c>
      <c r="BE24">
        <f t="shared" si="11"/>
        <v>-1.0636452612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0.62454200000000004</v>
      </c>
      <c r="H25" s="21">
        <v>31.2499</v>
      </c>
      <c r="I25" s="21">
        <v>-2.5759899999999999E-2</v>
      </c>
      <c r="J25" s="21">
        <v>15</v>
      </c>
      <c r="K25" s="21">
        <v>0.62356599999999995</v>
      </c>
      <c r="L25">
        <f t="shared" si="0"/>
        <v>25.759899999999998</v>
      </c>
      <c r="M25">
        <f t="shared" si="1"/>
        <v>16.088139465800001</v>
      </c>
      <c r="N25" s="9"/>
      <c r="O25" s="21">
        <v>-2.4414100000000001E-2</v>
      </c>
      <c r="P25" s="21">
        <v>35.674500000000002</v>
      </c>
      <c r="Q25" s="21">
        <v>-3.6163300000000002E-2</v>
      </c>
      <c r="R25" s="21">
        <v>15</v>
      </c>
      <c r="S25" s="21">
        <v>-2.48413E-2</v>
      </c>
      <c r="T25">
        <f t="shared" si="2"/>
        <v>36.1633</v>
      </c>
      <c r="U25">
        <f t="shared" si="3"/>
        <v>-0.88289442253000006</v>
      </c>
      <c r="V25" s="22"/>
      <c r="W25" s="23"/>
      <c r="X25" s="9"/>
      <c r="Y25" s="21">
        <v>0.62454200000000004</v>
      </c>
      <c r="Z25" s="21">
        <v>38.414999999999999</v>
      </c>
      <c r="AA25" s="21">
        <v>-2.5543199999999999E-2</v>
      </c>
      <c r="AB25" s="21">
        <v>15</v>
      </c>
      <c r="AC25" s="21">
        <v>0.62362700000000004</v>
      </c>
      <c r="AD25">
        <f t="shared" si="4"/>
        <v>25.543199999999999</v>
      </c>
      <c r="AE25">
        <f t="shared" si="5"/>
        <v>15.952801214400001</v>
      </c>
      <c r="AF25" s="9"/>
      <c r="AG25" s="21">
        <v>-2.4414100000000001E-2</v>
      </c>
      <c r="AH25" s="21">
        <v>41.692599999999999</v>
      </c>
      <c r="AI25" s="21">
        <v>-3.6074799999999997E-2</v>
      </c>
      <c r="AJ25" s="21">
        <v>15</v>
      </c>
      <c r="AK25" s="21">
        <v>-2.4810800000000001E-2</v>
      </c>
      <c r="AL25">
        <f t="shared" si="6"/>
        <v>36.074799999999996</v>
      </c>
      <c r="AM25">
        <f t="shared" si="7"/>
        <v>-0.88073377467999991</v>
      </c>
      <c r="AP25" s="9"/>
      <c r="AQ25" s="21">
        <v>0.62454200000000004</v>
      </c>
      <c r="AR25" s="21">
        <v>49.598300000000002</v>
      </c>
      <c r="AS25" s="21">
        <v>-2.51709E-2</v>
      </c>
      <c r="AT25" s="21">
        <v>15</v>
      </c>
      <c r="AU25" s="21">
        <v>0.62362700000000004</v>
      </c>
      <c r="AV25">
        <f t="shared" si="8"/>
        <v>25.1709</v>
      </c>
      <c r="AW25">
        <f t="shared" si="9"/>
        <v>15.720284227800001</v>
      </c>
      <c r="AX25" s="9"/>
      <c r="AY25" s="21">
        <v>-2.4414100000000001E-2</v>
      </c>
      <c r="AZ25" s="21">
        <v>62.369100000000003</v>
      </c>
      <c r="BA25" s="21">
        <v>-3.6120600000000003E-2</v>
      </c>
      <c r="BB25" s="21">
        <v>15</v>
      </c>
      <c r="BC25" s="21">
        <v>-2.4874899999999998E-2</v>
      </c>
      <c r="BD25">
        <f t="shared" si="10"/>
        <v>36.120600000000003</v>
      </c>
      <c r="BE25">
        <f t="shared" si="11"/>
        <v>-0.88185194046000015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0.61950700000000003</v>
      </c>
      <c r="H26" s="21">
        <v>31.259899999999998</v>
      </c>
      <c r="I26" s="21">
        <v>-2.6855500000000001E-2</v>
      </c>
      <c r="J26" s="21">
        <v>16</v>
      </c>
      <c r="K26" s="21">
        <v>0.61850000000000005</v>
      </c>
      <c r="L26">
        <f t="shared" si="0"/>
        <v>26.855499999999999</v>
      </c>
      <c r="M26">
        <f t="shared" si="1"/>
        <v>16.637170238500001</v>
      </c>
      <c r="N26" s="9"/>
      <c r="O26" s="21">
        <v>-1.9378699999999999E-2</v>
      </c>
      <c r="P26" s="21">
        <v>35.6845</v>
      </c>
      <c r="Q26" s="21">
        <v>-3.6148100000000002E-2</v>
      </c>
      <c r="R26" s="21">
        <v>16</v>
      </c>
      <c r="S26" s="21">
        <v>-1.9793700000000001E-2</v>
      </c>
      <c r="T26">
        <f t="shared" si="2"/>
        <v>36.148099999999999</v>
      </c>
      <c r="U26">
        <f t="shared" si="3"/>
        <v>-0.7005031854699999</v>
      </c>
      <c r="V26" s="22"/>
      <c r="W26" s="23"/>
      <c r="X26" s="9"/>
      <c r="Y26" s="21">
        <v>0.61950700000000003</v>
      </c>
      <c r="Z26" s="21">
        <v>38.4251</v>
      </c>
      <c r="AA26" s="21">
        <v>-2.6638800000000001E-2</v>
      </c>
      <c r="AB26" s="21">
        <v>16</v>
      </c>
      <c r="AC26" s="21">
        <v>0.61843899999999996</v>
      </c>
      <c r="AD26">
        <f t="shared" si="4"/>
        <v>26.6388</v>
      </c>
      <c r="AE26">
        <f t="shared" si="5"/>
        <v>16.502923071600001</v>
      </c>
      <c r="AF26" s="9"/>
      <c r="AG26" s="21">
        <v>-1.9378699999999999E-2</v>
      </c>
      <c r="AH26" s="21">
        <v>41.7027</v>
      </c>
      <c r="AI26" s="21">
        <v>-3.60626E-2</v>
      </c>
      <c r="AJ26" s="21">
        <v>16</v>
      </c>
      <c r="AK26" s="21">
        <v>-1.9766200000000001E-2</v>
      </c>
      <c r="AL26">
        <f t="shared" si="6"/>
        <v>36.062600000000003</v>
      </c>
      <c r="AM26">
        <f t="shared" si="7"/>
        <v>-0.69884630662000002</v>
      </c>
      <c r="AP26" s="9"/>
      <c r="AQ26" s="21">
        <v>0.61950700000000003</v>
      </c>
      <c r="AR26" s="21">
        <v>49.608400000000003</v>
      </c>
      <c r="AS26" s="21">
        <v>-2.6306199999999998E-2</v>
      </c>
      <c r="AT26" s="21">
        <v>16</v>
      </c>
      <c r="AU26" s="21">
        <v>0.61853000000000002</v>
      </c>
      <c r="AV26">
        <f t="shared" si="8"/>
        <v>26.306199999999997</v>
      </c>
      <c r="AW26">
        <f t="shared" si="9"/>
        <v>16.2968750434</v>
      </c>
      <c r="AX26" s="9"/>
      <c r="AY26" s="21">
        <v>-1.9378699999999999E-2</v>
      </c>
      <c r="AZ26" s="21">
        <v>62.379100000000001</v>
      </c>
      <c r="BA26" s="21">
        <v>-3.6108399999999999E-2</v>
      </c>
      <c r="BB26" s="21">
        <v>16</v>
      </c>
      <c r="BC26" s="21">
        <v>-1.9751000000000001E-2</v>
      </c>
      <c r="BD26">
        <f t="shared" si="10"/>
        <v>36.108399999999996</v>
      </c>
      <c r="BE26">
        <f t="shared" si="11"/>
        <v>-0.69973385107999986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0.61447099999999999</v>
      </c>
      <c r="H27" s="21">
        <v>31.27</v>
      </c>
      <c r="I27" s="21">
        <v>-2.7825900000000001E-2</v>
      </c>
      <c r="J27" s="21">
        <v>17</v>
      </c>
      <c r="K27" s="21">
        <v>0.61343400000000003</v>
      </c>
      <c r="L27">
        <f t="shared" si="0"/>
        <v>27.825900000000001</v>
      </c>
      <c r="M27">
        <f t="shared" si="1"/>
        <v>17.098208598900001</v>
      </c>
      <c r="N27" s="9"/>
      <c r="O27" s="21">
        <v>-1.43433E-2</v>
      </c>
      <c r="P27" s="21">
        <v>35.694600000000001</v>
      </c>
      <c r="Q27" s="21">
        <v>-3.6144999999999997E-2</v>
      </c>
      <c r="R27" s="21">
        <v>17</v>
      </c>
      <c r="S27" s="21">
        <v>-1.4727799999999999E-2</v>
      </c>
      <c r="T27">
        <f t="shared" si="2"/>
        <v>36.144999999999996</v>
      </c>
      <c r="U27">
        <f t="shared" si="3"/>
        <v>-0.51843857849999997</v>
      </c>
      <c r="X27" s="9"/>
      <c r="Y27" s="21">
        <v>0.61447099999999999</v>
      </c>
      <c r="Z27" s="21">
        <v>38.435200000000002</v>
      </c>
      <c r="AA27" s="21">
        <v>-2.7642799999999999E-2</v>
      </c>
      <c r="AB27" s="21">
        <v>17</v>
      </c>
      <c r="AC27" s="21">
        <v>0.61346400000000001</v>
      </c>
      <c r="AD27">
        <f t="shared" si="4"/>
        <v>27.642799999999998</v>
      </c>
      <c r="AE27">
        <f t="shared" si="5"/>
        <v>16.985698958799997</v>
      </c>
      <c r="AF27" s="9"/>
      <c r="AG27" s="21">
        <v>-1.43433E-2</v>
      </c>
      <c r="AH27" s="21">
        <v>41.712800000000001</v>
      </c>
      <c r="AI27" s="21">
        <v>-3.60474E-2</v>
      </c>
      <c r="AJ27" s="21">
        <v>17</v>
      </c>
      <c r="AK27" s="21">
        <v>-1.47064E-2</v>
      </c>
      <c r="AL27">
        <f t="shared" si="6"/>
        <v>36.047400000000003</v>
      </c>
      <c r="AM27">
        <f t="shared" si="7"/>
        <v>-0.51703867242000001</v>
      </c>
      <c r="AP27" s="9"/>
      <c r="AQ27" s="21">
        <v>0.61447099999999999</v>
      </c>
      <c r="AR27" s="21">
        <v>49.618400000000001</v>
      </c>
      <c r="AS27" s="21">
        <v>-2.73499E-2</v>
      </c>
      <c r="AT27" s="21">
        <v>17</v>
      </c>
      <c r="AU27" s="21">
        <v>0.61343400000000003</v>
      </c>
      <c r="AV27">
        <f t="shared" si="8"/>
        <v>27.349900000000002</v>
      </c>
      <c r="AW27">
        <f t="shared" si="9"/>
        <v>16.8057204029</v>
      </c>
      <c r="AX27" s="9"/>
      <c r="AY27" s="21">
        <v>-1.43433E-2</v>
      </c>
      <c r="AZ27" s="21">
        <v>62.389200000000002</v>
      </c>
      <c r="BA27" s="21">
        <v>-3.6108399999999999E-2</v>
      </c>
      <c r="BB27" s="21">
        <v>17</v>
      </c>
      <c r="BC27" s="21">
        <v>-1.47736E-2</v>
      </c>
      <c r="BD27">
        <f t="shared" si="10"/>
        <v>36.108399999999996</v>
      </c>
      <c r="BE27">
        <f t="shared" si="11"/>
        <v>-0.51791361371999989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0.60943599999999998</v>
      </c>
      <c r="H28" s="21">
        <v>31.280100000000001</v>
      </c>
      <c r="I28" s="21">
        <v>-2.8714E-2</v>
      </c>
      <c r="J28" s="21">
        <v>18</v>
      </c>
      <c r="K28" s="21">
        <v>0.608429</v>
      </c>
      <c r="L28">
        <f t="shared" si="0"/>
        <v>28.713999999999999</v>
      </c>
      <c r="M28">
        <f t="shared" si="1"/>
        <v>17.499345303999998</v>
      </c>
      <c r="N28" s="9"/>
      <c r="O28" s="21">
        <v>-9.3078599999999994E-3</v>
      </c>
      <c r="P28" s="21">
        <v>35.704700000000003</v>
      </c>
      <c r="Q28" s="21">
        <v>-3.6144999999999997E-2</v>
      </c>
      <c r="R28" s="21">
        <v>18</v>
      </c>
      <c r="S28" s="21">
        <v>-9.7045900000000008E-3</v>
      </c>
      <c r="T28">
        <f t="shared" si="2"/>
        <v>36.144999999999996</v>
      </c>
      <c r="U28">
        <f t="shared" si="3"/>
        <v>-0.33643259969999995</v>
      </c>
      <c r="X28" s="9"/>
      <c r="Y28" s="21">
        <v>0.60943599999999998</v>
      </c>
      <c r="Z28" s="21">
        <v>38.4452</v>
      </c>
      <c r="AA28" s="21">
        <v>-2.8539999999999999E-2</v>
      </c>
      <c r="AB28" s="21">
        <v>18</v>
      </c>
      <c r="AC28" s="21">
        <v>0.60839799999999999</v>
      </c>
      <c r="AD28">
        <f t="shared" si="4"/>
        <v>28.54</v>
      </c>
      <c r="AE28">
        <f t="shared" si="5"/>
        <v>17.39330344</v>
      </c>
      <c r="AF28" s="9"/>
      <c r="AG28" s="21">
        <v>-9.3078599999999994E-3</v>
      </c>
      <c r="AH28" s="21">
        <v>41.722799999999999</v>
      </c>
      <c r="AI28" s="21">
        <v>-3.6032099999999997E-2</v>
      </c>
      <c r="AJ28" s="21">
        <v>18</v>
      </c>
      <c r="AK28" s="21">
        <v>-9.6710200000000007E-3</v>
      </c>
      <c r="AL28">
        <f t="shared" si="6"/>
        <v>36.0321</v>
      </c>
      <c r="AM28">
        <f t="shared" si="7"/>
        <v>-0.33538174230599999</v>
      </c>
      <c r="AP28" s="9"/>
      <c r="AQ28" s="21">
        <v>0.60943599999999998</v>
      </c>
      <c r="AR28" s="21">
        <v>49.628500000000003</v>
      </c>
      <c r="AS28" s="21">
        <v>-2.8271500000000001E-2</v>
      </c>
      <c r="AT28" s="21">
        <v>18</v>
      </c>
      <c r="AU28" s="21">
        <v>0.60836800000000002</v>
      </c>
      <c r="AV28">
        <f t="shared" si="8"/>
        <v>28.271500000000003</v>
      </c>
      <c r="AW28">
        <f t="shared" si="9"/>
        <v>17.229669874000002</v>
      </c>
      <c r="AX28" s="9"/>
      <c r="AY28" s="21">
        <v>-9.3078599999999994E-3</v>
      </c>
      <c r="AZ28" s="21">
        <v>62.399299999999997</v>
      </c>
      <c r="BA28" s="21">
        <v>-3.6111499999999998E-2</v>
      </c>
      <c r="BB28" s="21">
        <v>18</v>
      </c>
      <c r="BC28" s="21">
        <v>-9.6771200000000009E-3</v>
      </c>
      <c r="BD28">
        <f t="shared" si="10"/>
        <v>36.111499999999999</v>
      </c>
      <c r="BE28">
        <f t="shared" si="11"/>
        <v>-0.33612078638999998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0.60440099999999997</v>
      </c>
      <c r="H29" s="21">
        <v>31.290199999999999</v>
      </c>
      <c r="I29" s="21">
        <v>-2.9498300000000002E-2</v>
      </c>
      <c r="J29" s="21">
        <v>19</v>
      </c>
      <c r="K29" s="21">
        <v>0.603302</v>
      </c>
      <c r="L29">
        <f t="shared" si="0"/>
        <v>29.4983</v>
      </c>
      <c r="M29">
        <f t="shared" si="1"/>
        <v>17.828802018299999</v>
      </c>
      <c r="N29" s="9"/>
      <c r="O29" s="21">
        <v>-4.2724599999999996E-3</v>
      </c>
      <c r="P29" s="21">
        <v>35.714700000000001</v>
      </c>
      <c r="Q29" s="21">
        <v>-3.6148100000000002E-2</v>
      </c>
      <c r="R29" s="21">
        <v>19</v>
      </c>
      <c r="S29" s="21">
        <v>-4.6386700000000001E-3</v>
      </c>
      <c r="T29">
        <f t="shared" si="2"/>
        <v>36.148099999999999</v>
      </c>
      <c r="U29">
        <f t="shared" si="3"/>
        <v>-0.15444131132599997</v>
      </c>
      <c r="X29" s="9"/>
      <c r="Y29" s="21">
        <v>0.60440099999999997</v>
      </c>
      <c r="Z29" s="21">
        <v>38.455300000000001</v>
      </c>
      <c r="AA29" s="21">
        <v>-2.9348800000000001E-2</v>
      </c>
      <c r="AB29" s="21">
        <v>19</v>
      </c>
      <c r="AC29" s="21">
        <v>0.60333300000000001</v>
      </c>
      <c r="AD29">
        <f t="shared" si="4"/>
        <v>29.348800000000001</v>
      </c>
      <c r="AE29">
        <f t="shared" si="5"/>
        <v>17.7384440688</v>
      </c>
      <c r="AF29" s="9"/>
      <c r="AG29" s="21">
        <v>-4.2724599999999996E-3</v>
      </c>
      <c r="AH29" s="21">
        <v>41.732900000000001</v>
      </c>
      <c r="AI29" s="21">
        <v>-3.6029100000000001E-2</v>
      </c>
      <c r="AJ29" s="21">
        <v>19</v>
      </c>
      <c r="AK29" s="21">
        <v>-4.6234099999999997E-3</v>
      </c>
      <c r="AL29">
        <f t="shared" si="6"/>
        <v>36.0291</v>
      </c>
      <c r="AM29">
        <f t="shared" si="7"/>
        <v>-0.15393288858599999</v>
      </c>
      <c r="AP29" s="9"/>
      <c r="AQ29" s="21">
        <v>0.60440099999999997</v>
      </c>
      <c r="AR29" s="21">
        <v>49.638599999999997</v>
      </c>
      <c r="AS29" s="21">
        <v>-2.9104600000000001E-2</v>
      </c>
      <c r="AT29" s="21">
        <v>19</v>
      </c>
      <c r="AU29" s="21">
        <v>0.60339399999999999</v>
      </c>
      <c r="AV29">
        <f t="shared" si="8"/>
        <v>29.104600000000001</v>
      </c>
      <c r="AW29">
        <f t="shared" si="9"/>
        <v>17.590849344599999</v>
      </c>
      <c r="AX29" s="9"/>
      <c r="AY29" s="21">
        <v>-4.2724599999999996E-3</v>
      </c>
      <c r="AZ29" s="21">
        <v>62.409300000000002</v>
      </c>
      <c r="BA29" s="21">
        <v>-3.6129799999999997E-2</v>
      </c>
      <c r="BB29" s="21">
        <v>19</v>
      </c>
      <c r="BC29" s="21">
        <v>-4.6783399999999996E-3</v>
      </c>
      <c r="BD29">
        <f t="shared" si="10"/>
        <v>36.129799999999996</v>
      </c>
      <c r="BE29">
        <f t="shared" si="11"/>
        <v>-0.15436312530799998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0.59936500000000004</v>
      </c>
      <c r="H30" s="21">
        <v>31.3002</v>
      </c>
      <c r="I30" s="21">
        <v>-3.0215499999999999E-2</v>
      </c>
      <c r="J30" s="21">
        <v>20</v>
      </c>
      <c r="K30" s="21">
        <v>0.59835799999999995</v>
      </c>
      <c r="L30">
        <f t="shared" si="0"/>
        <v>30.215499999999999</v>
      </c>
      <c r="M30">
        <f t="shared" si="1"/>
        <v>18.110113157499999</v>
      </c>
      <c r="N30" s="9"/>
      <c r="O30" s="21">
        <v>7.6293900000000002E-4</v>
      </c>
      <c r="P30" s="21">
        <v>35.724800000000002</v>
      </c>
      <c r="Q30" s="21">
        <v>-3.6138900000000002E-2</v>
      </c>
      <c r="R30" s="21">
        <v>20</v>
      </c>
      <c r="S30" s="21">
        <v>4.3334999999999999E-4</v>
      </c>
      <c r="T30">
        <f t="shared" si="2"/>
        <v>36.1389</v>
      </c>
      <c r="U30">
        <f t="shared" si="3"/>
        <v>2.7571776227100001E-2</v>
      </c>
      <c r="X30" s="9"/>
      <c r="Y30" s="21">
        <v>0.59936500000000004</v>
      </c>
      <c r="Z30" s="21">
        <v>38.465400000000002</v>
      </c>
      <c r="AA30" s="21">
        <v>-3.00751E-2</v>
      </c>
      <c r="AB30" s="21">
        <v>20</v>
      </c>
      <c r="AC30" s="21">
        <v>0.59838899999999995</v>
      </c>
      <c r="AD30">
        <f t="shared" si="4"/>
        <v>30.075099999999999</v>
      </c>
      <c r="AE30">
        <f t="shared" si="5"/>
        <v>18.025962311499999</v>
      </c>
      <c r="AF30" s="9"/>
      <c r="AG30" s="21">
        <v>7.6293900000000002E-4</v>
      </c>
      <c r="AH30" s="21">
        <v>41.743000000000002</v>
      </c>
      <c r="AI30" s="21">
        <v>-3.6038199999999999E-2</v>
      </c>
      <c r="AJ30" s="21">
        <v>20</v>
      </c>
      <c r="AK30" s="21">
        <v>4.4250499999999999E-4</v>
      </c>
      <c r="AL30">
        <f t="shared" si="6"/>
        <v>36.038199999999996</v>
      </c>
      <c r="AM30">
        <f t="shared" si="7"/>
        <v>2.7494948269799997E-2</v>
      </c>
      <c r="AP30" s="9"/>
      <c r="AQ30" s="21">
        <v>0.59936500000000004</v>
      </c>
      <c r="AR30" s="21">
        <v>49.648600000000002</v>
      </c>
      <c r="AS30" s="21">
        <v>-2.9833999999999999E-2</v>
      </c>
      <c r="AT30" s="21">
        <v>20</v>
      </c>
      <c r="AU30" s="21">
        <v>0.59823599999999999</v>
      </c>
      <c r="AV30">
        <f t="shared" si="8"/>
        <v>29.834</v>
      </c>
      <c r="AW30">
        <f t="shared" si="9"/>
        <v>17.881455410000001</v>
      </c>
      <c r="AX30" s="9"/>
      <c r="AY30" s="21">
        <v>7.6293900000000002E-4</v>
      </c>
      <c r="AZ30" s="21">
        <v>62.419400000000003</v>
      </c>
      <c r="BA30" s="21">
        <v>-3.6138900000000002E-2</v>
      </c>
      <c r="BB30" s="21">
        <v>20</v>
      </c>
      <c r="BC30" s="21">
        <v>4.27246E-4</v>
      </c>
      <c r="BD30">
        <f t="shared" si="10"/>
        <v>36.1389</v>
      </c>
      <c r="BE30">
        <f t="shared" si="11"/>
        <v>2.7571776227100001E-2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0.59433000000000002</v>
      </c>
      <c r="H31" s="21">
        <v>31.310300000000002</v>
      </c>
      <c r="I31" s="21">
        <v>-3.08563E-2</v>
      </c>
      <c r="J31" s="21">
        <v>21</v>
      </c>
      <c r="K31" s="21">
        <v>0.59326199999999996</v>
      </c>
      <c r="L31">
        <f t="shared" si="0"/>
        <v>30.856300000000001</v>
      </c>
      <c r="M31">
        <f t="shared" si="1"/>
        <v>18.338824779000003</v>
      </c>
      <c r="N31" s="9"/>
      <c r="O31" s="21">
        <v>5.7983399999999999E-3</v>
      </c>
      <c r="P31" s="21">
        <v>35.734900000000003</v>
      </c>
      <c r="Q31" s="21">
        <v>-3.6142000000000001E-2</v>
      </c>
      <c r="R31" s="21">
        <v>21</v>
      </c>
      <c r="S31" s="21">
        <v>5.4565400000000002E-3</v>
      </c>
      <c r="T31">
        <f t="shared" si="2"/>
        <v>36.142000000000003</v>
      </c>
      <c r="U31">
        <f t="shared" si="3"/>
        <v>0.20956360428000001</v>
      </c>
      <c r="X31" s="9"/>
      <c r="Y31" s="21">
        <v>0.59433000000000002</v>
      </c>
      <c r="Z31" s="21">
        <v>38.475499999999997</v>
      </c>
      <c r="AA31" s="21">
        <v>-3.0734299999999999E-2</v>
      </c>
      <c r="AB31" s="21">
        <v>21</v>
      </c>
      <c r="AC31" s="21">
        <v>0.59326199999999996</v>
      </c>
      <c r="AD31">
        <f t="shared" si="4"/>
        <v>30.734299999999998</v>
      </c>
      <c r="AE31">
        <f t="shared" si="5"/>
        <v>18.266316519</v>
      </c>
      <c r="AF31" s="9"/>
      <c r="AG31" s="21">
        <v>5.7983399999999999E-3</v>
      </c>
      <c r="AH31" s="21">
        <v>41.753</v>
      </c>
      <c r="AI31" s="21">
        <v>-3.6032099999999997E-2</v>
      </c>
      <c r="AJ31" s="21">
        <v>21</v>
      </c>
      <c r="AK31" s="21">
        <v>5.4748499999999999E-3</v>
      </c>
      <c r="AL31">
        <f t="shared" si="6"/>
        <v>36.0321</v>
      </c>
      <c r="AM31">
        <f t="shared" si="7"/>
        <v>0.208926366714</v>
      </c>
      <c r="AP31" s="9"/>
      <c r="AQ31" s="21">
        <v>0.59433000000000002</v>
      </c>
      <c r="AR31" s="21">
        <v>49.658700000000003</v>
      </c>
      <c r="AS31" s="21">
        <v>-3.0505399999999998E-2</v>
      </c>
      <c r="AT31" s="21">
        <v>21</v>
      </c>
      <c r="AU31" s="21">
        <v>0.59323099999999995</v>
      </c>
      <c r="AV31">
        <f t="shared" si="8"/>
        <v>30.505399999999998</v>
      </c>
      <c r="AW31">
        <f t="shared" si="9"/>
        <v>18.130274382</v>
      </c>
      <c r="AX31" s="9"/>
      <c r="AY31" s="21">
        <v>5.7983399999999999E-3</v>
      </c>
      <c r="AZ31" s="21">
        <v>62.429499999999997</v>
      </c>
      <c r="BA31" s="21">
        <v>-3.6138900000000002E-2</v>
      </c>
      <c r="BB31" s="21">
        <v>21</v>
      </c>
      <c r="BC31" s="21">
        <v>5.5023199999999998E-3</v>
      </c>
      <c r="BD31">
        <f t="shared" si="10"/>
        <v>36.1389</v>
      </c>
      <c r="BE31">
        <f t="shared" si="11"/>
        <v>0.209545629426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0.58929399999999998</v>
      </c>
      <c r="H32" s="21">
        <v>31.320399999999999</v>
      </c>
      <c r="I32" s="21">
        <v>-3.1442299999999999E-2</v>
      </c>
      <c r="J32" s="21">
        <v>22</v>
      </c>
      <c r="K32" s="21">
        <v>0.58822600000000003</v>
      </c>
      <c r="L32">
        <f t="shared" si="0"/>
        <v>31.442299999999999</v>
      </c>
      <c r="M32">
        <f t="shared" si="1"/>
        <v>18.5287587362</v>
      </c>
      <c r="N32" s="9"/>
      <c r="O32" s="21">
        <v>1.08337E-2</v>
      </c>
      <c r="P32" s="21">
        <v>35.744999999999997</v>
      </c>
      <c r="Q32" s="21">
        <v>-3.6126699999999998E-2</v>
      </c>
      <c r="R32" s="21">
        <v>22</v>
      </c>
      <c r="S32" s="21">
        <v>1.0522500000000001E-2</v>
      </c>
      <c r="T32">
        <f t="shared" si="2"/>
        <v>36.1267</v>
      </c>
      <c r="U32">
        <f t="shared" si="3"/>
        <v>0.39138582978999997</v>
      </c>
      <c r="X32" s="9"/>
      <c r="Y32" s="21">
        <v>0.58929399999999998</v>
      </c>
      <c r="Z32" s="21">
        <v>38.485500000000002</v>
      </c>
      <c r="AA32" s="21">
        <v>-3.13171E-2</v>
      </c>
      <c r="AB32" s="21">
        <v>22</v>
      </c>
      <c r="AC32" s="21">
        <v>0.58819600000000005</v>
      </c>
      <c r="AD32">
        <f t="shared" si="4"/>
        <v>31.3171</v>
      </c>
      <c r="AE32">
        <f t="shared" si="5"/>
        <v>18.454979127399998</v>
      </c>
      <c r="AF32" s="9"/>
      <c r="AG32" s="21">
        <v>1.08337E-2</v>
      </c>
      <c r="AH32" s="21">
        <v>41.763100000000001</v>
      </c>
      <c r="AI32" s="21">
        <v>-3.6019900000000001E-2</v>
      </c>
      <c r="AJ32" s="21">
        <v>22</v>
      </c>
      <c r="AK32" s="21">
        <v>1.0549899999999999E-2</v>
      </c>
      <c r="AL32">
        <f t="shared" si="6"/>
        <v>36.0199</v>
      </c>
      <c r="AM32">
        <f t="shared" si="7"/>
        <v>0.39022879062999999</v>
      </c>
      <c r="AP32" s="9"/>
      <c r="AQ32" s="21">
        <v>0.58929399999999998</v>
      </c>
      <c r="AR32" s="21">
        <v>49.668799999999997</v>
      </c>
      <c r="AS32" s="21">
        <v>-3.11157E-2</v>
      </c>
      <c r="AT32" s="21">
        <v>22</v>
      </c>
      <c r="AU32" s="21">
        <v>0.58822600000000003</v>
      </c>
      <c r="AV32">
        <f t="shared" si="8"/>
        <v>31.1157</v>
      </c>
      <c r="AW32">
        <f t="shared" si="9"/>
        <v>18.336295315800001</v>
      </c>
      <c r="AX32" s="9"/>
      <c r="AY32" s="21">
        <v>1.08337E-2</v>
      </c>
      <c r="AZ32" s="21">
        <v>62.439500000000002</v>
      </c>
      <c r="BA32" s="21">
        <v>-3.6135899999999999E-2</v>
      </c>
      <c r="BB32" s="21">
        <v>22</v>
      </c>
      <c r="BC32" s="21">
        <v>1.05072E-2</v>
      </c>
      <c r="BD32">
        <f t="shared" si="10"/>
        <v>36.135899999999999</v>
      </c>
      <c r="BE32">
        <f t="shared" si="11"/>
        <v>0.39148549982999997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0.58425899999999997</v>
      </c>
      <c r="H33" s="21">
        <v>31.330400000000001</v>
      </c>
      <c r="I33" s="21">
        <v>-3.1954999999999997E-2</v>
      </c>
      <c r="J33" s="21">
        <v>23</v>
      </c>
      <c r="K33" s="21">
        <v>0.58319100000000001</v>
      </c>
      <c r="L33">
        <f t="shared" si="0"/>
        <v>31.954999999999998</v>
      </c>
      <c r="M33">
        <f t="shared" si="1"/>
        <v>18.669996344999998</v>
      </c>
      <c r="N33" s="9"/>
      <c r="O33" s="21">
        <v>1.5869100000000001E-2</v>
      </c>
      <c r="P33" s="21">
        <v>35.755000000000003</v>
      </c>
      <c r="Q33" s="21">
        <v>-3.6099199999999998E-2</v>
      </c>
      <c r="R33" s="21">
        <v>23</v>
      </c>
      <c r="S33" s="21">
        <v>1.5573099999999999E-2</v>
      </c>
      <c r="T33">
        <f t="shared" si="2"/>
        <v>36.099199999999996</v>
      </c>
      <c r="U33">
        <f t="shared" si="3"/>
        <v>0.57286181471999997</v>
      </c>
      <c r="X33" s="9"/>
      <c r="Y33" s="21">
        <v>0.58425899999999997</v>
      </c>
      <c r="Z33" s="21">
        <v>38.495600000000003</v>
      </c>
      <c r="AA33" s="21">
        <v>-3.1838999999999999E-2</v>
      </c>
      <c r="AB33" s="21">
        <v>23</v>
      </c>
      <c r="AC33" s="21">
        <v>0.58319100000000001</v>
      </c>
      <c r="AD33">
        <f t="shared" si="4"/>
        <v>31.838999999999999</v>
      </c>
      <c r="AE33">
        <f t="shared" si="5"/>
        <v>18.602222300999998</v>
      </c>
      <c r="AF33" s="9"/>
      <c r="AG33" s="21">
        <v>1.5869100000000001E-2</v>
      </c>
      <c r="AH33" s="21">
        <v>41.773200000000003</v>
      </c>
      <c r="AI33" s="21">
        <v>-3.6029100000000001E-2</v>
      </c>
      <c r="AJ33" s="21">
        <v>23</v>
      </c>
      <c r="AK33" s="21">
        <v>1.55853E-2</v>
      </c>
      <c r="AL33">
        <f t="shared" si="6"/>
        <v>36.0291</v>
      </c>
      <c r="AM33">
        <f t="shared" si="7"/>
        <v>0.57174939080999998</v>
      </c>
      <c r="AP33" s="9"/>
      <c r="AQ33" s="21">
        <v>0.58425899999999997</v>
      </c>
      <c r="AR33" s="21">
        <v>49.678899999999999</v>
      </c>
      <c r="AS33" s="21">
        <v>-3.1671100000000001E-2</v>
      </c>
      <c r="AT33" s="21">
        <v>23</v>
      </c>
      <c r="AU33" s="21">
        <v>0.58313000000000004</v>
      </c>
      <c r="AV33">
        <f t="shared" si="8"/>
        <v>31.671099999999999</v>
      </c>
      <c r="AW33">
        <f t="shared" si="9"/>
        <v>18.5041252149</v>
      </c>
      <c r="AX33" s="9"/>
      <c r="AY33" s="21">
        <v>1.5869100000000001E-2</v>
      </c>
      <c r="AZ33" s="21">
        <v>62.449599999999997</v>
      </c>
      <c r="BA33" s="21">
        <v>-3.6129799999999997E-2</v>
      </c>
      <c r="BB33" s="21">
        <v>23</v>
      </c>
      <c r="BC33" s="21">
        <v>1.55426E-2</v>
      </c>
      <c r="BD33">
        <f t="shared" si="10"/>
        <v>36.129799999999996</v>
      </c>
      <c r="BE33">
        <f t="shared" si="11"/>
        <v>0.57334740917999993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0.57922399999999996</v>
      </c>
      <c r="H34" s="21">
        <v>31.340499999999999</v>
      </c>
      <c r="I34" s="21">
        <v>-3.2415800000000002E-2</v>
      </c>
      <c r="J34" s="21">
        <v>24</v>
      </c>
      <c r="K34" s="21">
        <v>0.57806400000000002</v>
      </c>
      <c r="L34">
        <f t="shared" si="0"/>
        <v>32.415800000000004</v>
      </c>
      <c r="M34">
        <f t="shared" si="1"/>
        <v>18.776009339200002</v>
      </c>
      <c r="N34" s="9"/>
      <c r="O34" s="21">
        <v>2.0904499999999999E-2</v>
      </c>
      <c r="P34" s="21">
        <v>35.765099999999997</v>
      </c>
      <c r="Q34" s="21">
        <v>-3.6080899999999999E-2</v>
      </c>
      <c r="R34" s="21">
        <v>24</v>
      </c>
      <c r="S34" s="21">
        <v>2.06421E-2</v>
      </c>
      <c r="T34">
        <f t="shared" si="2"/>
        <v>36.0809</v>
      </c>
      <c r="U34">
        <f t="shared" si="3"/>
        <v>0.75425317405000003</v>
      </c>
      <c r="X34" s="9"/>
      <c r="Y34" s="21">
        <v>0.57922399999999996</v>
      </c>
      <c r="Z34" s="21">
        <v>38.505699999999997</v>
      </c>
      <c r="AA34" s="21">
        <v>-3.2315099999999999E-2</v>
      </c>
      <c r="AB34" s="21">
        <v>24</v>
      </c>
      <c r="AC34" s="21">
        <v>0.578156</v>
      </c>
      <c r="AD34">
        <f t="shared" si="4"/>
        <v>32.315100000000001</v>
      </c>
      <c r="AE34">
        <f t="shared" si="5"/>
        <v>18.7176814824</v>
      </c>
      <c r="AF34" s="9"/>
      <c r="AG34" s="21">
        <v>2.0904499999999999E-2</v>
      </c>
      <c r="AH34" s="21">
        <v>41.783299999999997</v>
      </c>
      <c r="AI34" s="21">
        <v>-3.6032099999999997E-2</v>
      </c>
      <c r="AJ34" s="21">
        <v>24</v>
      </c>
      <c r="AK34" s="21">
        <v>2.0648199999999998E-2</v>
      </c>
      <c r="AL34">
        <f t="shared" si="6"/>
        <v>36.0321</v>
      </c>
      <c r="AM34">
        <f t="shared" si="7"/>
        <v>0.75323303445000001</v>
      </c>
      <c r="AP34" s="9"/>
      <c r="AQ34" s="21">
        <v>0.57922399999999996</v>
      </c>
      <c r="AR34" s="21">
        <v>49.688899999999997</v>
      </c>
      <c r="AS34" s="21">
        <v>-3.2147200000000001E-2</v>
      </c>
      <c r="AT34" s="21">
        <v>24</v>
      </c>
      <c r="AU34" s="21">
        <v>0.57806400000000002</v>
      </c>
      <c r="AV34">
        <f t="shared" si="8"/>
        <v>32.147199999999998</v>
      </c>
      <c r="AW34">
        <f t="shared" si="9"/>
        <v>18.620429772799998</v>
      </c>
      <c r="AX34" s="9"/>
      <c r="AY34" s="21">
        <v>2.0904499999999999E-2</v>
      </c>
      <c r="AZ34" s="21">
        <v>62.459699999999998</v>
      </c>
      <c r="BA34" s="21">
        <v>-3.6123700000000002E-2</v>
      </c>
      <c r="BB34" s="21">
        <v>24</v>
      </c>
      <c r="BC34" s="21">
        <v>2.0617699999999999E-2</v>
      </c>
      <c r="BD34">
        <f t="shared" si="10"/>
        <v>36.123699999999999</v>
      </c>
      <c r="BE34">
        <f t="shared" si="11"/>
        <v>0.75514788664999999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0.57418800000000003</v>
      </c>
      <c r="H35" s="21">
        <v>31.3506</v>
      </c>
      <c r="I35" s="21">
        <v>-3.2812500000000001E-2</v>
      </c>
      <c r="J35" s="21">
        <v>25</v>
      </c>
      <c r="K35" s="21">
        <v>0.57302900000000001</v>
      </c>
      <c r="L35">
        <f t="shared" si="0"/>
        <v>32.8125</v>
      </c>
      <c r="M35">
        <f t="shared" si="1"/>
        <v>18.840543750000002</v>
      </c>
      <c r="N35" s="9"/>
      <c r="O35" s="21">
        <v>2.5939899999999998E-2</v>
      </c>
      <c r="P35" s="21">
        <v>35.775199999999998</v>
      </c>
      <c r="Q35" s="21">
        <v>-3.6074799999999997E-2</v>
      </c>
      <c r="R35" s="21">
        <v>25</v>
      </c>
      <c r="S35" s="21">
        <v>2.56866E-2</v>
      </c>
      <c r="T35">
        <f t="shared" si="2"/>
        <v>36.074799999999996</v>
      </c>
      <c r="U35">
        <f t="shared" si="3"/>
        <v>0.93577670451999984</v>
      </c>
      <c r="X35" s="9"/>
      <c r="Y35" s="21">
        <v>0.57418800000000003</v>
      </c>
      <c r="Z35" s="21">
        <v>38.515700000000002</v>
      </c>
      <c r="AA35" s="21">
        <v>-3.2730099999999998E-2</v>
      </c>
      <c r="AB35" s="21">
        <v>25</v>
      </c>
      <c r="AC35" s="21">
        <v>0.57305899999999999</v>
      </c>
      <c r="AD35">
        <f t="shared" si="4"/>
        <v>32.7301</v>
      </c>
      <c r="AE35">
        <f t="shared" si="5"/>
        <v>18.793230658800002</v>
      </c>
      <c r="AF35" s="9"/>
      <c r="AG35" s="21">
        <v>2.5939899999999998E-2</v>
      </c>
      <c r="AH35" s="21">
        <v>41.793300000000002</v>
      </c>
      <c r="AI35" s="21">
        <v>-3.6041299999999998E-2</v>
      </c>
      <c r="AJ35" s="21">
        <v>25</v>
      </c>
      <c r="AK35" s="21">
        <v>2.56744E-2</v>
      </c>
      <c r="AL35">
        <f t="shared" si="6"/>
        <v>36.0413</v>
      </c>
      <c r="AM35">
        <f t="shared" si="7"/>
        <v>0.93490771786999993</v>
      </c>
      <c r="AP35" s="9"/>
      <c r="AQ35" s="21">
        <v>0.57418800000000003</v>
      </c>
      <c r="AR35" s="21">
        <v>49.698999999999998</v>
      </c>
      <c r="AS35" s="21">
        <v>-3.2583599999999997E-2</v>
      </c>
      <c r="AT35" s="21">
        <v>25</v>
      </c>
      <c r="AU35" s="21">
        <v>0.57308999999999999</v>
      </c>
      <c r="AV35">
        <f t="shared" si="8"/>
        <v>32.583599999999997</v>
      </c>
      <c r="AW35">
        <f t="shared" si="9"/>
        <v>18.7091121168</v>
      </c>
      <c r="AX35" s="9"/>
      <c r="AY35" s="21">
        <v>2.5939899999999998E-2</v>
      </c>
      <c r="AZ35" s="21">
        <v>62.469799999999999</v>
      </c>
      <c r="BA35" s="21">
        <v>-3.61176E-2</v>
      </c>
      <c r="BB35" s="21">
        <v>25</v>
      </c>
      <c r="BC35" s="21">
        <v>2.56592E-2</v>
      </c>
      <c r="BD35">
        <f t="shared" si="10"/>
        <v>36.117600000000003</v>
      </c>
      <c r="BE35">
        <f t="shared" si="11"/>
        <v>0.93688693223999997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0.56915300000000002</v>
      </c>
      <c r="H36" s="21">
        <v>31.360600000000002</v>
      </c>
      <c r="I36" s="21">
        <v>-3.3157300000000001E-2</v>
      </c>
      <c r="J36" s="21">
        <v>26</v>
      </c>
      <c r="K36" s="21">
        <v>0.567963</v>
      </c>
      <c r="L36">
        <f t="shared" si="0"/>
        <v>33.157299999999999</v>
      </c>
      <c r="M36">
        <f t="shared" si="1"/>
        <v>18.871576766899999</v>
      </c>
      <c r="N36" s="9"/>
      <c r="O36" s="21">
        <v>3.0975300000000001E-2</v>
      </c>
      <c r="P36" s="21">
        <v>35.785200000000003</v>
      </c>
      <c r="Q36" s="21">
        <v>-3.6068700000000002E-2</v>
      </c>
      <c r="R36" s="21">
        <v>26</v>
      </c>
      <c r="S36" s="21">
        <v>3.07037E-2</v>
      </c>
      <c r="T36">
        <f t="shared" si="2"/>
        <v>36.0687</v>
      </c>
      <c r="U36">
        <f t="shared" si="3"/>
        <v>1.11723880311</v>
      </c>
      <c r="X36" s="9"/>
      <c r="Y36" s="21">
        <v>0.56915300000000002</v>
      </c>
      <c r="Z36" s="21">
        <v>38.525799999999997</v>
      </c>
      <c r="AA36" s="21">
        <v>-3.3099400000000001E-2</v>
      </c>
      <c r="AB36" s="21">
        <v>26</v>
      </c>
      <c r="AC36" s="21">
        <v>0.56805399999999995</v>
      </c>
      <c r="AD36">
        <f t="shared" si="4"/>
        <v>33.099400000000003</v>
      </c>
      <c r="AE36">
        <f t="shared" si="5"/>
        <v>18.838622808200004</v>
      </c>
      <c r="AF36" s="9"/>
      <c r="AG36" s="21">
        <v>3.0975300000000001E-2</v>
      </c>
      <c r="AH36" s="21">
        <v>41.803400000000003</v>
      </c>
      <c r="AI36" s="21">
        <v>-3.6038199999999999E-2</v>
      </c>
      <c r="AJ36" s="21">
        <v>26</v>
      </c>
      <c r="AK36" s="21">
        <v>3.07739E-2</v>
      </c>
      <c r="AL36">
        <f t="shared" si="6"/>
        <v>36.038199999999996</v>
      </c>
      <c r="AM36">
        <f t="shared" si="7"/>
        <v>1.1162940564599999</v>
      </c>
      <c r="AP36" s="9"/>
      <c r="AQ36" s="21">
        <v>0.56915300000000002</v>
      </c>
      <c r="AR36" s="21">
        <v>49.709099999999999</v>
      </c>
      <c r="AS36" s="21">
        <v>-3.2959000000000002E-2</v>
      </c>
      <c r="AT36" s="21">
        <v>26</v>
      </c>
      <c r="AU36" s="21">
        <v>0.56802399999999997</v>
      </c>
      <c r="AV36">
        <f t="shared" si="8"/>
        <v>32.959000000000003</v>
      </c>
      <c r="AW36">
        <f t="shared" si="9"/>
        <v>18.758713727000004</v>
      </c>
      <c r="AX36" s="9"/>
      <c r="AY36" s="21">
        <v>3.0975300000000001E-2</v>
      </c>
      <c r="AZ36" s="21">
        <v>62.479799999999997</v>
      </c>
      <c r="BA36" s="21">
        <v>-3.6126699999999998E-2</v>
      </c>
      <c r="BB36" s="21">
        <v>26</v>
      </c>
      <c r="BC36" s="21">
        <v>3.07037E-2</v>
      </c>
      <c r="BD36">
        <f t="shared" si="10"/>
        <v>36.1267</v>
      </c>
      <c r="BE36">
        <f t="shared" si="11"/>
        <v>1.11903537051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0.56411699999999998</v>
      </c>
      <c r="H37" s="21">
        <v>31.370699999999999</v>
      </c>
      <c r="I37" s="21">
        <v>-3.34442E-2</v>
      </c>
      <c r="J37" s="21">
        <v>27</v>
      </c>
      <c r="K37" s="21">
        <v>0.56292699999999996</v>
      </c>
      <c r="L37">
        <f t="shared" si="0"/>
        <v>33.444200000000002</v>
      </c>
      <c r="M37">
        <f t="shared" si="1"/>
        <v>18.866441771400002</v>
      </c>
      <c r="N37" s="9"/>
      <c r="O37" s="21">
        <v>3.60107E-2</v>
      </c>
      <c r="P37" s="21">
        <v>35.795299999999997</v>
      </c>
      <c r="Q37" s="21">
        <v>-3.60626E-2</v>
      </c>
      <c r="R37" s="21">
        <v>27</v>
      </c>
      <c r="S37" s="21">
        <v>3.5797099999999998E-2</v>
      </c>
      <c r="T37">
        <f t="shared" si="2"/>
        <v>36.062600000000003</v>
      </c>
      <c r="U37">
        <f t="shared" si="3"/>
        <v>1.2986394698200001</v>
      </c>
      <c r="X37" s="9"/>
      <c r="Y37" s="21">
        <v>0.56411699999999998</v>
      </c>
      <c r="Z37" s="21">
        <v>38.535899999999998</v>
      </c>
      <c r="AA37" s="21">
        <v>-3.3398400000000002E-2</v>
      </c>
      <c r="AB37" s="21">
        <v>27</v>
      </c>
      <c r="AC37" s="21">
        <v>0.56301900000000005</v>
      </c>
      <c r="AD37">
        <f t="shared" si="4"/>
        <v>33.398400000000002</v>
      </c>
      <c r="AE37">
        <f t="shared" si="5"/>
        <v>18.8406052128</v>
      </c>
      <c r="AF37" s="9"/>
      <c r="AG37" s="21">
        <v>3.60107E-2</v>
      </c>
      <c r="AH37" s="21">
        <v>41.813499999999998</v>
      </c>
      <c r="AI37" s="21">
        <v>-3.6019900000000001E-2</v>
      </c>
      <c r="AJ37" s="21">
        <v>27</v>
      </c>
      <c r="AK37" s="21">
        <v>3.58032E-2</v>
      </c>
      <c r="AL37">
        <f t="shared" si="6"/>
        <v>36.0199</v>
      </c>
      <c r="AM37">
        <f t="shared" si="7"/>
        <v>1.29710181293</v>
      </c>
      <c r="AP37" s="9"/>
      <c r="AQ37" s="21">
        <v>0.56411699999999998</v>
      </c>
      <c r="AR37" s="21">
        <v>49.719099999999997</v>
      </c>
      <c r="AS37" s="21">
        <v>-3.33069E-2</v>
      </c>
      <c r="AT37" s="21">
        <v>27</v>
      </c>
      <c r="AU37" s="21">
        <v>0.56298800000000004</v>
      </c>
      <c r="AV37">
        <f t="shared" si="8"/>
        <v>33.306899999999999</v>
      </c>
      <c r="AW37">
        <f t="shared" si="9"/>
        <v>18.788988507299997</v>
      </c>
      <c r="AX37" s="9"/>
      <c r="AY37" s="21">
        <v>3.60107E-2</v>
      </c>
      <c r="AZ37" s="21">
        <v>62.489899999999999</v>
      </c>
      <c r="BA37" s="21">
        <v>-3.6126699999999998E-2</v>
      </c>
      <c r="BB37" s="21">
        <v>27</v>
      </c>
      <c r="BC37" s="21">
        <v>3.5784900000000001E-2</v>
      </c>
      <c r="BD37">
        <f t="shared" si="10"/>
        <v>36.1267</v>
      </c>
      <c r="BE37">
        <f t="shared" si="11"/>
        <v>1.30094775569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0.55908199999999997</v>
      </c>
      <c r="H38" s="21">
        <v>31.380800000000001</v>
      </c>
      <c r="I38" s="21">
        <v>-3.3715799999999997E-2</v>
      </c>
      <c r="J38" s="21">
        <v>28</v>
      </c>
      <c r="K38" s="21">
        <v>0.55801400000000001</v>
      </c>
      <c r="L38">
        <f t="shared" si="0"/>
        <v>33.715799999999994</v>
      </c>
      <c r="M38">
        <f t="shared" si="1"/>
        <v>18.849896895599997</v>
      </c>
      <c r="N38" s="9"/>
      <c r="O38" s="21">
        <v>4.1046100000000002E-2</v>
      </c>
      <c r="P38" s="21">
        <v>35.805399999999999</v>
      </c>
      <c r="Q38" s="21">
        <v>-3.6068700000000002E-2</v>
      </c>
      <c r="R38" s="21">
        <v>28</v>
      </c>
      <c r="S38" s="21">
        <v>4.0811199999999999E-2</v>
      </c>
      <c r="T38">
        <f t="shared" si="2"/>
        <v>36.0687</v>
      </c>
      <c r="U38">
        <f t="shared" si="3"/>
        <v>1.4804794670700001</v>
      </c>
      <c r="X38" s="9"/>
      <c r="Y38" s="21">
        <v>0.55908199999999997</v>
      </c>
      <c r="Z38" s="21">
        <v>38.545999999999999</v>
      </c>
      <c r="AA38" s="21">
        <v>-3.3654799999999999E-2</v>
      </c>
      <c r="AB38" s="21">
        <v>28</v>
      </c>
      <c r="AC38" s="21">
        <v>0.55798300000000001</v>
      </c>
      <c r="AD38">
        <f t="shared" si="4"/>
        <v>33.654800000000002</v>
      </c>
      <c r="AE38">
        <f t="shared" si="5"/>
        <v>18.815792893600001</v>
      </c>
      <c r="AF38" s="9"/>
      <c r="AG38" s="21">
        <v>4.1046100000000002E-2</v>
      </c>
      <c r="AH38" s="21">
        <v>41.823500000000003</v>
      </c>
      <c r="AI38" s="21">
        <v>-3.6007699999999997E-2</v>
      </c>
      <c r="AJ38" s="21">
        <v>28</v>
      </c>
      <c r="AK38" s="21">
        <v>4.0841700000000002E-2</v>
      </c>
      <c r="AL38">
        <f t="shared" si="6"/>
        <v>36.0077</v>
      </c>
      <c r="AM38">
        <f t="shared" si="7"/>
        <v>1.4779756549700001</v>
      </c>
      <c r="AP38" s="9"/>
      <c r="AQ38" s="21">
        <v>0.55908199999999997</v>
      </c>
      <c r="AR38" s="21">
        <v>49.729199999999999</v>
      </c>
      <c r="AS38" s="21">
        <v>-3.3609E-2</v>
      </c>
      <c r="AT38" s="21">
        <v>28</v>
      </c>
      <c r="AU38" s="21">
        <v>0.55798300000000001</v>
      </c>
      <c r="AV38">
        <f t="shared" si="8"/>
        <v>33.609000000000002</v>
      </c>
      <c r="AW38">
        <f t="shared" si="9"/>
        <v>18.790186938000002</v>
      </c>
      <c r="AX38" s="9"/>
      <c r="AY38" s="21">
        <v>4.1046100000000002E-2</v>
      </c>
      <c r="AZ38" s="21">
        <v>62.5</v>
      </c>
      <c r="BA38" s="21">
        <v>-3.61328E-2</v>
      </c>
      <c r="BB38" s="21">
        <v>28</v>
      </c>
      <c r="BC38" s="21">
        <v>4.0811199999999999E-2</v>
      </c>
      <c r="BD38">
        <f t="shared" si="10"/>
        <v>36.132800000000003</v>
      </c>
      <c r="BE38">
        <f t="shared" si="11"/>
        <v>1.4831105220800003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0.55404699999999996</v>
      </c>
      <c r="H39" s="21">
        <v>31.390899999999998</v>
      </c>
      <c r="I39" s="21">
        <v>-3.3969100000000002E-2</v>
      </c>
      <c r="J39" s="21">
        <v>29</v>
      </c>
      <c r="K39" s="21">
        <v>0.55291699999999999</v>
      </c>
      <c r="L39">
        <f t="shared" si="0"/>
        <v>33.969100000000005</v>
      </c>
      <c r="M39">
        <f t="shared" si="1"/>
        <v>18.820477947700002</v>
      </c>
      <c r="N39" s="9"/>
      <c r="O39" s="21">
        <v>4.6081499999999997E-2</v>
      </c>
      <c r="P39" s="21">
        <v>35.8155</v>
      </c>
      <c r="Q39" s="21">
        <v>-3.6059599999999997E-2</v>
      </c>
      <c r="R39" s="21">
        <v>29</v>
      </c>
      <c r="S39" s="21">
        <v>4.5776400000000002E-2</v>
      </c>
      <c r="T39">
        <f t="shared" si="2"/>
        <v>36.059599999999996</v>
      </c>
      <c r="U39">
        <f t="shared" si="3"/>
        <v>1.6616804573999997</v>
      </c>
      <c r="X39" s="9"/>
      <c r="Y39" s="21">
        <v>0.55404699999999996</v>
      </c>
      <c r="Z39" s="21">
        <v>38.555999999999997</v>
      </c>
      <c r="AA39" s="21">
        <v>-3.3892800000000001E-2</v>
      </c>
      <c r="AB39" s="21">
        <v>29</v>
      </c>
      <c r="AC39" s="21">
        <v>0.55288700000000002</v>
      </c>
      <c r="AD39">
        <f t="shared" si="4"/>
        <v>33.892800000000001</v>
      </c>
      <c r="AE39">
        <f t="shared" si="5"/>
        <v>18.778204161599998</v>
      </c>
      <c r="AF39" s="9"/>
      <c r="AG39" s="21">
        <v>4.6081499999999997E-2</v>
      </c>
      <c r="AH39" s="21">
        <v>41.833599999999997</v>
      </c>
      <c r="AI39" s="21">
        <v>-3.6004599999999998E-2</v>
      </c>
      <c r="AJ39" s="21">
        <v>29</v>
      </c>
      <c r="AK39" s="21">
        <v>4.5852700000000003E-2</v>
      </c>
      <c r="AL39">
        <f t="shared" si="6"/>
        <v>36.004599999999996</v>
      </c>
      <c r="AM39">
        <f t="shared" si="7"/>
        <v>1.6591459748999997</v>
      </c>
      <c r="AP39" s="9"/>
      <c r="AQ39" s="21">
        <v>0.55404699999999996</v>
      </c>
      <c r="AR39" s="21">
        <v>49.7393</v>
      </c>
      <c r="AS39" s="21">
        <v>-3.3877600000000001E-2</v>
      </c>
      <c r="AT39" s="21">
        <v>29</v>
      </c>
      <c r="AU39" s="21">
        <v>0.55285600000000001</v>
      </c>
      <c r="AV39">
        <f t="shared" si="8"/>
        <v>33.877600000000001</v>
      </c>
      <c r="AW39">
        <f t="shared" si="9"/>
        <v>18.7697826472</v>
      </c>
      <c r="AX39" s="9"/>
      <c r="AY39" s="21">
        <v>4.6081499999999997E-2</v>
      </c>
      <c r="AZ39" s="21">
        <v>62.51</v>
      </c>
      <c r="BA39" s="21">
        <v>-3.6120600000000003E-2</v>
      </c>
      <c r="BB39" s="21">
        <v>29</v>
      </c>
      <c r="BC39" s="21">
        <v>4.5861800000000001E-2</v>
      </c>
      <c r="BD39">
        <f t="shared" si="10"/>
        <v>36.120600000000003</v>
      </c>
      <c r="BE39">
        <f t="shared" si="11"/>
        <v>1.6644914289000001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0.54901100000000003</v>
      </c>
      <c r="H40" s="21">
        <v>31.4009</v>
      </c>
      <c r="I40" s="21">
        <v>-3.4182700000000003E-2</v>
      </c>
      <c r="J40" s="21">
        <v>30</v>
      </c>
      <c r="K40" s="21">
        <v>0.54785200000000001</v>
      </c>
      <c r="L40">
        <f t="shared" si="0"/>
        <v>34.182700000000004</v>
      </c>
      <c r="M40">
        <f t="shared" si="1"/>
        <v>18.766678309700001</v>
      </c>
      <c r="N40" s="9"/>
      <c r="O40" s="21">
        <v>5.11169E-2</v>
      </c>
      <c r="P40" s="21">
        <v>35.825499999999998</v>
      </c>
      <c r="Q40" s="21">
        <v>-3.6071800000000001E-2</v>
      </c>
      <c r="R40" s="21">
        <v>30</v>
      </c>
      <c r="S40" s="21">
        <v>5.0903299999999999E-2</v>
      </c>
      <c r="T40">
        <f t="shared" si="2"/>
        <v>36.071800000000003</v>
      </c>
      <c r="U40">
        <f t="shared" si="3"/>
        <v>1.8438785934200002</v>
      </c>
      <c r="X40" s="9"/>
      <c r="Y40" s="21">
        <v>0.54901100000000003</v>
      </c>
      <c r="Z40" s="21">
        <v>38.566099999999999</v>
      </c>
      <c r="AA40" s="21">
        <v>-3.41003E-2</v>
      </c>
      <c r="AB40" s="21">
        <v>30</v>
      </c>
      <c r="AC40" s="21">
        <v>0.54788199999999998</v>
      </c>
      <c r="AD40">
        <f t="shared" si="4"/>
        <v>34.100299999999997</v>
      </c>
      <c r="AE40">
        <f t="shared" si="5"/>
        <v>18.721439803300001</v>
      </c>
      <c r="AF40" s="9"/>
      <c r="AG40" s="21">
        <v>5.11169E-2</v>
      </c>
      <c r="AH40" s="21">
        <v>41.843699999999998</v>
      </c>
      <c r="AI40" s="21">
        <v>-3.5998500000000003E-2</v>
      </c>
      <c r="AJ40" s="21">
        <v>30</v>
      </c>
      <c r="AK40" s="21">
        <v>5.0885E-2</v>
      </c>
      <c r="AL40">
        <f t="shared" si="6"/>
        <v>35.9985</v>
      </c>
      <c r="AM40">
        <f t="shared" si="7"/>
        <v>1.84013172465</v>
      </c>
      <c r="AP40" s="9"/>
      <c r="AQ40" s="21">
        <v>0.54901100000000003</v>
      </c>
      <c r="AR40" s="21">
        <v>49.749400000000001</v>
      </c>
      <c r="AS40" s="21">
        <v>-3.4118700000000002E-2</v>
      </c>
      <c r="AT40" s="21">
        <v>30</v>
      </c>
      <c r="AU40" s="21">
        <v>0.54785200000000001</v>
      </c>
      <c r="AV40">
        <f t="shared" si="8"/>
        <v>34.118700000000004</v>
      </c>
      <c r="AW40">
        <f t="shared" si="9"/>
        <v>18.731541605700002</v>
      </c>
      <c r="AX40" s="9"/>
      <c r="AY40" s="21">
        <v>5.11169E-2</v>
      </c>
      <c r="AZ40" s="21">
        <v>62.520099999999999</v>
      </c>
      <c r="BA40" s="21">
        <v>-3.61053E-2</v>
      </c>
      <c r="BB40" s="21">
        <v>30</v>
      </c>
      <c r="BC40" s="21">
        <v>5.0930799999999998E-2</v>
      </c>
      <c r="BD40">
        <f t="shared" si="10"/>
        <v>36.1053</v>
      </c>
      <c r="BE40">
        <f t="shared" si="11"/>
        <v>1.8455910095699999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0.54397600000000002</v>
      </c>
      <c r="H41" s="21">
        <v>31.411000000000001</v>
      </c>
      <c r="I41" s="21">
        <v>-3.43597E-2</v>
      </c>
      <c r="J41" s="21">
        <v>31</v>
      </c>
      <c r="K41" s="21">
        <v>0.54278599999999999</v>
      </c>
      <c r="L41">
        <f t="shared" si="0"/>
        <v>34.359699999999997</v>
      </c>
      <c r="M41">
        <f t="shared" si="1"/>
        <v>18.690852167199999</v>
      </c>
      <c r="N41" s="9"/>
      <c r="O41" s="21">
        <v>5.6152300000000002E-2</v>
      </c>
      <c r="P41" s="21">
        <v>35.835599999999999</v>
      </c>
      <c r="Q41" s="21">
        <v>-3.6087000000000001E-2</v>
      </c>
      <c r="R41" s="21">
        <v>31</v>
      </c>
      <c r="S41" s="21">
        <v>5.5114700000000003E-2</v>
      </c>
      <c r="T41">
        <f t="shared" si="2"/>
        <v>36.087000000000003</v>
      </c>
      <c r="U41">
        <f t="shared" si="3"/>
        <v>2.0263680501000003</v>
      </c>
      <c r="X41" s="9"/>
      <c r="Y41" s="21">
        <v>0.54397600000000002</v>
      </c>
      <c r="Z41" s="21">
        <v>38.5762</v>
      </c>
      <c r="AA41" s="21">
        <v>-3.4277299999999997E-2</v>
      </c>
      <c r="AB41" s="21">
        <v>31</v>
      </c>
      <c r="AC41" s="21">
        <v>0.54278599999999999</v>
      </c>
      <c r="AD41">
        <f t="shared" si="4"/>
        <v>34.277299999999997</v>
      </c>
      <c r="AE41">
        <f t="shared" si="5"/>
        <v>18.6460285448</v>
      </c>
      <c r="AF41" s="9"/>
      <c r="AG41" s="21">
        <v>5.6152300000000002E-2</v>
      </c>
      <c r="AH41" s="21">
        <v>41.8538</v>
      </c>
      <c r="AI41" s="21">
        <v>-3.6004599999999998E-2</v>
      </c>
      <c r="AJ41" s="21">
        <v>31</v>
      </c>
      <c r="AK41" s="21">
        <v>5.50842E-2</v>
      </c>
      <c r="AL41">
        <f t="shared" si="6"/>
        <v>36.004599999999996</v>
      </c>
      <c r="AM41">
        <f t="shared" si="7"/>
        <v>2.0217411005799999</v>
      </c>
      <c r="AP41" s="9"/>
      <c r="AQ41" s="21">
        <v>0.54397600000000002</v>
      </c>
      <c r="AR41" s="21">
        <v>49.759399999999999</v>
      </c>
      <c r="AS41" s="21">
        <v>-3.4326200000000001E-2</v>
      </c>
      <c r="AT41" s="21">
        <v>31</v>
      </c>
      <c r="AU41" s="21">
        <v>0.54278599999999999</v>
      </c>
      <c r="AV41">
        <f t="shared" si="8"/>
        <v>34.3262</v>
      </c>
      <c r="AW41">
        <f t="shared" si="9"/>
        <v>18.672628971200002</v>
      </c>
      <c r="AX41" s="9"/>
      <c r="AY41" s="21">
        <v>5.6152300000000002E-2</v>
      </c>
      <c r="AZ41" s="21">
        <v>62.530200000000001</v>
      </c>
      <c r="BA41" s="21">
        <v>-3.6102299999999997E-2</v>
      </c>
      <c r="BB41" s="21">
        <v>31</v>
      </c>
      <c r="BC41" s="21">
        <v>5.52063E-2</v>
      </c>
      <c r="BD41">
        <f t="shared" si="10"/>
        <v>36.1023</v>
      </c>
      <c r="BE41">
        <f t="shared" si="11"/>
        <v>2.0272271802900002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0.53893999999999997</v>
      </c>
      <c r="H42" s="21">
        <v>31.421099999999999</v>
      </c>
      <c r="I42" s="21">
        <v>-3.45093E-2</v>
      </c>
      <c r="J42" s="21">
        <v>32</v>
      </c>
      <c r="K42" s="21">
        <v>0.53778099999999995</v>
      </c>
      <c r="L42">
        <f t="shared" si="0"/>
        <v>34.509300000000003</v>
      </c>
      <c r="M42">
        <f t="shared" si="1"/>
        <v>18.598442142</v>
      </c>
      <c r="N42" s="9"/>
      <c r="O42" s="21">
        <v>6.1187699999999998E-2</v>
      </c>
      <c r="P42" s="21">
        <v>35.845700000000001</v>
      </c>
      <c r="Q42" s="21">
        <v>-3.60901E-2</v>
      </c>
      <c r="R42" s="21">
        <v>32</v>
      </c>
      <c r="S42" s="21">
        <v>6.0119600000000002E-2</v>
      </c>
      <c r="T42">
        <f t="shared" si="2"/>
        <v>36.0901</v>
      </c>
      <c r="U42">
        <f t="shared" si="3"/>
        <v>2.2082702117699999</v>
      </c>
      <c r="X42" s="9"/>
      <c r="Y42" s="21">
        <v>0.53893999999999997</v>
      </c>
      <c r="Z42" s="21">
        <v>38.586199999999998</v>
      </c>
      <c r="AA42" s="21">
        <v>-3.4445200000000002E-2</v>
      </c>
      <c r="AB42" s="21">
        <v>32</v>
      </c>
      <c r="AC42" s="21">
        <v>0.53778099999999995</v>
      </c>
      <c r="AD42">
        <f t="shared" si="4"/>
        <v>34.4452</v>
      </c>
      <c r="AE42">
        <f t="shared" si="5"/>
        <v>18.563896088</v>
      </c>
      <c r="AF42" s="9"/>
      <c r="AG42" s="21">
        <v>6.1187699999999998E-2</v>
      </c>
      <c r="AH42" s="21">
        <v>41.863799999999998</v>
      </c>
      <c r="AI42" s="21">
        <v>-3.6007699999999997E-2</v>
      </c>
      <c r="AJ42" s="21">
        <v>32</v>
      </c>
      <c r="AK42" s="21">
        <v>6.0211199999999999E-2</v>
      </c>
      <c r="AL42">
        <f t="shared" si="6"/>
        <v>36.0077</v>
      </c>
      <c r="AM42">
        <f t="shared" si="7"/>
        <v>2.2032283452899999</v>
      </c>
      <c r="AP42" s="9"/>
      <c r="AQ42" s="21">
        <v>0.53893999999999997</v>
      </c>
      <c r="AR42" s="21">
        <v>49.769500000000001</v>
      </c>
      <c r="AS42" s="21">
        <v>-3.4491000000000001E-2</v>
      </c>
      <c r="AT42" s="21">
        <v>32</v>
      </c>
      <c r="AU42" s="21">
        <v>0.53774999999999995</v>
      </c>
      <c r="AV42">
        <f t="shared" si="8"/>
        <v>34.491</v>
      </c>
      <c r="AW42">
        <f t="shared" si="9"/>
        <v>18.588579539999998</v>
      </c>
      <c r="AX42" s="9"/>
      <c r="AY42" s="21">
        <v>6.1187699999999998E-2</v>
      </c>
      <c r="AZ42" s="21">
        <v>62.540300000000002</v>
      </c>
      <c r="BA42" s="21">
        <v>-3.6096200000000002E-2</v>
      </c>
      <c r="BB42" s="21">
        <v>32</v>
      </c>
      <c r="BC42" s="21">
        <v>6.0150099999999998E-2</v>
      </c>
      <c r="BD42">
        <f t="shared" si="10"/>
        <v>36.096200000000003</v>
      </c>
      <c r="BE42">
        <f t="shared" si="11"/>
        <v>2.20864345674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0.53390499999999996</v>
      </c>
      <c r="H43" s="21">
        <v>31.431100000000001</v>
      </c>
      <c r="I43" s="21">
        <v>-3.4643599999999997E-2</v>
      </c>
      <c r="J43" s="21">
        <v>33</v>
      </c>
      <c r="K43" s="21">
        <v>0.53283700000000001</v>
      </c>
      <c r="L43">
        <f t="shared" si="0"/>
        <v>34.643599999999999</v>
      </c>
      <c r="M43">
        <f t="shared" si="1"/>
        <v>18.496391257999999</v>
      </c>
      <c r="N43" s="9"/>
      <c r="O43" s="21">
        <v>6.6223099999999993E-2</v>
      </c>
      <c r="P43" s="21">
        <v>35.855699999999999</v>
      </c>
      <c r="Q43" s="21">
        <v>-3.6093100000000003E-2</v>
      </c>
      <c r="R43" s="21">
        <v>33</v>
      </c>
      <c r="S43" s="21">
        <v>6.5185499999999993E-2</v>
      </c>
      <c r="T43">
        <f t="shared" si="2"/>
        <v>36.0931</v>
      </c>
      <c r="U43">
        <f t="shared" si="3"/>
        <v>2.3901969706099999</v>
      </c>
      <c r="X43" s="9"/>
      <c r="Y43" s="21">
        <v>0.53390499999999996</v>
      </c>
      <c r="Z43" s="21">
        <v>38.596299999999999</v>
      </c>
      <c r="AA43" s="21">
        <v>-3.4597799999999998E-2</v>
      </c>
      <c r="AB43" s="21">
        <v>33</v>
      </c>
      <c r="AC43" s="21">
        <v>0.532806</v>
      </c>
      <c r="AD43">
        <f t="shared" si="4"/>
        <v>34.597799999999999</v>
      </c>
      <c r="AE43">
        <f t="shared" si="5"/>
        <v>18.471938409</v>
      </c>
      <c r="AF43" s="9"/>
      <c r="AG43" s="21">
        <v>6.6223099999999993E-2</v>
      </c>
      <c r="AH43" s="21">
        <v>41.873899999999999</v>
      </c>
      <c r="AI43" s="21">
        <v>-3.60107E-2</v>
      </c>
      <c r="AJ43" s="21">
        <v>33</v>
      </c>
      <c r="AK43" s="21">
        <v>6.5185499999999993E-2</v>
      </c>
      <c r="AL43">
        <f t="shared" si="6"/>
        <v>36.0107</v>
      </c>
      <c r="AM43">
        <f t="shared" si="7"/>
        <v>2.3847401871699998</v>
      </c>
      <c r="AP43" s="9"/>
      <c r="AQ43" s="21">
        <v>0.53390499999999996</v>
      </c>
      <c r="AR43" s="21">
        <v>49.779600000000002</v>
      </c>
      <c r="AS43" s="21">
        <v>-3.4634400000000003E-2</v>
      </c>
      <c r="AT43" s="21">
        <v>33</v>
      </c>
      <c r="AU43" s="21">
        <v>0.53274500000000002</v>
      </c>
      <c r="AV43">
        <f t="shared" si="8"/>
        <v>34.634399999999999</v>
      </c>
      <c r="AW43">
        <f t="shared" si="9"/>
        <v>18.491479331999997</v>
      </c>
      <c r="AX43" s="9"/>
      <c r="AY43" s="21">
        <v>6.6223099999999993E-2</v>
      </c>
      <c r="AZ43" s="21">
        <v>62.5503</v>
      </c>
      <c r="BA43" s="21">
        <v>-3.6080899999999999E-2</v>
      </c>
      <c r="BB43" s="21">
        <v>33</v>
      </c>
      <c r="BC43" s="21">
        <v>6.5185499999999993E-2</v>
      </c>
      <c r="BD43">
        <f t="shared" si="10"/>
        <v>36.0809</v>
      </c>
      <c r="BE43">
        <f t="shared" si="11"/>
        <v>2.3893890487899996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0.52886999999999995</v>
      </c>
      <c r="H44" s="21">
        <v>31.441199999999998</v>
      </c>
      <c r="I44" s="21">
        <v>-3.4774800000000002E-2</v>
      </c>
      <c r="J44" s="21">
        <v>34</v>
      </c>
      <c r="K44" s="21">
        <v>0.52767900000000001</v>
      </c>
      <c r="L44">
        <f t="shared" si="0"/>
        <v>34.774799999999999</v>
      </c>
      <c r="M44">
        <f t="shared" si="1"/>
        <v>18.391348475999997</v>
      </c>
      <c r="N44" s="9"/>
      <c r="O44" s="21">
        <v>7.1258500000000002E-2</v>
      </c>
      <c r="P44" s="21">
        <v>35.8658</v>
      </c>
      <c r="Q44" s="21">
        <v>-3.60901E-2</v>
      </c>
      <c r="R44" s="21">
        <v>34</v>
      </c>
      <c r="S44" s="21">
        <v>7.0281999999999997E-2</v>
      </c>
      <c r="T44">
        <f t="shared" si="2"/>
        <v>36.0901</v>
      </c>
      <c r="U44">
        <f t="shared" si="3"/>
        <v>2.5717263908499999</v>
      </c>
      <c r="X44" s="9"/>
      <c r="Y44" s="21">
        <v>0.52886999999999995</v>
      </c>
      <c r="Z44" s="21">
        <v>38.606400000000001</v>
      </c>
      <c r="AA44" s="21">
        <v>-3.47412E-2</v>
      </c>
      <c r="AB44" s="21">
        <v>34</v>
      </c>
      <c r="AC44" s="21">
        <v>0.52773999999999999</v>
      </c>
      <c r="AD44">
        <f t="shared" si="4"/>
        <v>34.741199999999999</v>
      </c>
      <c r="AE44">
        <f t="shared" si="5"/>
        <v>18.373578444</v>
      </c>
      <c r="AF44" s="9"/>
      <c r="AG44" s="21">
        <v>7.1258500000000002E-2</v>
      </c>
      <c r="AH44" s="21">
        <v>41.884</v>
      </c>
      <c r="AI44" s="21">
        <v>-3.60107E-2</v>
      </c>
      <c r="AJ44" s="21">
        <v>34</v>
      </c>
      <c r="AK44" s="21">
        <v>7.01904E-2</v>
      </c>
      <c r="AL44">
        <f t="shared" si="6"/>
        <v>36.0107</v>
      </c>
      <c r="AM44">
        <f t="shared" si="7"/>
        <v>2.5660684659499999</v>
      </c>
      <c r="AP44" s="9"/>
      <c r="AQ44" s="21">
        <v>0.52886999999999995</v>
      </c>
      <c r="AR44" s="21">
        <v>49.7896</v>
      </c>
      <c r="AS44" s="21">
        <v>-3.47687E-2</v>
      </c>
      <c r="AT44" s="21">
        <v>34</v>
      </c>
      <c r="AU44" s="21">
        <v>0.52771000000000001</v>
      </c>
      <c r="AV44">
        <f t="shared" si="8"/>
        <v>34.768700000000003</v>
      </c>
      <c r="AW44">
        <f t="shared" si="9"/>
        <v>18.388122369000001</v>
      </c>
      <c r="AX44" s="9"/>
      <c r="AY44" s="21">
        <v>7.1258500000000002E-2</v>
      </c>
      <c r="AZ44" s="21">
        <v>62.560400000000001</v>
      </c>
      <c r="BA44" s="21">
        <v>-3.60626E-2</v>
      </c>
      <c r="BB44" s="21">
        <v>34</v>
      </c>
      <c r="BC44" s="21">
        <v>7.0159899999999997E-2</v>
      </c>
      <c r="BD44">
        <f t="shared" si="10"/>
        <v>36.062600000000003</v>
      </c>
      <c r="BE44">
        <f t="shared" si="11"/>
        <v>2.5697667821000003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0.52383400000000002</v>
      </c>
      <c r="H45" s="21">
        <v>31.4513</v>
      </c>
      <c r="I45" s="21">
        <v>-3.4887700000000001E-2</v>
      </c>
      <c r="J45" s="21">
        <v>35</v>
      </c>
      <c r="K45" s="21">
        <v>0.522644</v>
      </c>
      <c r="L45">
        <f t="shared" si="0"/>
        <v>34.887700000000002</v>
      </c>
      <c r="M45">
        <f t="shared" si="1"/>
        <v>18.275363441800003</v>
      </c>
      <c r="N45" s="9"/>
      <c r="O45" s="21">
        <v>7.6293899999999998E-2</v>
      </c>
      <c r="P45" s="21">
        <v>35.875900000000001</v>
      </c>
      <c r="Q45" s="21">
        <v>-3.6087000000000001E-2</v>
      </c>
      <c r="R45" s="21">
        <v>35</v>
      </c>
      <c r="S45" s="21">
        <v>7.5378399999999998E-2</v>
      </c>
      <c r="T45">
        <f t="shared" si="2"/>
        <v>36.087000000000003</v>
      </c>
      <c r="U45">
        <f t="shared" si="3"/>
        <v>2.7532179693000001</v>
      </c>
      <c r="X45" s="9"/>
      <c r="Y45" s="21">
        <v>0.52383400000000002</v>
      </c>
      <c r="Z45" s="21">
        <v>38.616500000000002</v>
      </c>
      <c r="AA45" s="21">
        <v>-3.48633E-2</v>
      </c>
      <c r="AB45" s="21">
        <v>35</v>
      </c>
      <c r="AC45" s="21">
        <v>0.52273599999999998</v>
      </c>
      <c r="AD45">
        <f t="shared" si="4"/>
        <v>34.863300000000002</v>
      </c>
      <c r="AE45">
        <f t="shared" si="5"/>
        <v>18.262581892200004</v>
      </c>
      <c r="AF45" s="9"/>
      <c r="AG45" s="21">
        <v>7.6293899999999998E-2</v>
      </c>
      <c r="AH45" s="21">
        <v>41.893999999999998</v>
      </c>
      <c r="AI45" s="21">
        <v>-3.60107E-2</v>
      </c>
      <c r="AJ45" s="21">
        <v>35</v>
      </c>
      <c r="AK45" s="21">
        <v>7.5225799999999995E-2</v>
      </c>
      <c r="AL45">
        <f t="shared" si="6"/>
        <v>36.0107</v>
      </c>
      <c r="AM45">
        <f t="shared" si="7"/>
        <v>2.7473967447300001</v>
      </c>
      <c r="AP45" s="9"/>
      <c r="AQ45" s="21">
        <v>0.52383400000000002</v>
      </c>
      <c r="AR45" s="21">
        <v>49.799700000000001</v>
      </c>
      <c r="AS45" s="21">
        <v>-3.4887700000000001E-2</v>
      </c>
      <c r="AT45" s="21">
        <v>35</v>
      </c>
      <c r="AU45" s="21">
        <v>0.522644</v>
      </c>
      <c r="AV45">
        <f t="shared" si="8"/>
        <v>34.887700000000002</v>
      </c>
      <c r="AW45">
        <f t="shared" si="9"/>
        <v>18.275363441800003</v>
      </c>
      <c r="AX45" s="9"/>
      <c r="AY45" s="21">
        <v>7.6293899999999998E-2</v>
      </c>
      <c r="AZ45" s="21">
        <v>62.570500000000003</v>
      </c>
      <c r="BA45" s="21">
        <v>-3.6059599999999997E-2</v>
      </c>
      <c r="BB45" s="21">
        <v>35</v>
      </c>
      <c r="BC45" s="21">
        <v>7.5225799999999995E-2</v>
      </c>
      <c r="BD45">
        <f t="shared" si="10"/>
        <v>36.059599999999996</v>
      </c>
      <c r="BE45">
        <f t="shared" si="11"/>
        <v>2.7511275164399995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0.51879900000000001</v>
      </c>
      <c r="H46" s="21">
        <v>31.461400000000001</v>
      </c>
      <c r="I46" s="21">
        <v>-3.49854E-2</v>
      </c>
      <c r="J46" s="21">
        <v>36</v>
      </c>
      <c r="K46" s="21">
        <v>0.51760899999999999</v>
      </c>
      <c r="L46">
        <f t="shared" si="0"/>
        <v>34.985399999999998</v>
      </c>
      <c r="M46">
        <f t="shared" si="1"/>
        <v>18.1503905346</v>
      </c>
      <c r="N46" s="9"/>
      <c r="O46" s="21">
        <v>8.1329299999999993E-2</v>
      </c>
      <c r="P46" s="21">
        <v>35.886000000000003</v>
      </c>
      <c r="Q46" s="21">
        <v>-3.6083999999999998E-2</v>
      </c>
      <c r="R46" s="21">
        <v>36</v>
      </c>
      <c r="S46" s="21">
        <v>8.0383300000000005E-2</v>
      </c>
      <c r="T46">
        <f t="shared" si="2"/>
        <v>36.083999999999996</v>
      </c>
      <c r="U46">
        <f t="shared" si="3"/>
        <v>2.9346864611999997</v>
      </c>
      <c r="X46" s="9"/>
      <c r="Y46" s="21">
        <v>0.51879900000000001</v>
      </c>
      <c r="Z46" s="21">
        <v>38.6265</v>
      </c>
      <c r="AA46" s="21">
        <v>-3.4951799999999998E-2</v>
      </c>
      <c r="AB46" s="21">
        <v>36</v>
      </c>
      <c r="AC46" s="21">
        <v>0.51770000000000005</v>
      </c>
      <c r="AD46">
        <f t="shared" si="4"/>
        <v>34.951799999999999</v>
      </c>
      <c r="AE46">
        <f t="shared" si="5"/>
        <v>18.132958888200001</v>
      </c>
      <c r="AF46" s="9"/>
      <c r="AG46" s="21">
        <v>8.1329299999999993E-2</v>
      </c>
      <c r="AH46" s="21">
        <v>41.9041</v>
      </c>
      <c r="AI46" s="21">
        <v>-3.6001600000000002E-2</v>
      </c>
      <c r="AJ46" s="21">
        <v>36</v>
      </c>
      <c r="AK46" s="21">
        <v>8.0261200000000005E-2</v>
      </c>
      <c r="AL46">
        <f t="shared" si="6"/>
        <v>36.001600000000003</v>
      </c>
      <c r="AM46">
        <f t="shared" si="7"/>
        <v>2.9279849268800002</v>
      </c>
      <c r="AP46" s="9"/>
      <c r="AQ46" s="21">
        <v>0.51879900000000001</v>
      </c>
      <c r="AR46" s="21">
        <v>49.809800000000003</v>
      </c>
      <c r="AS46" s="21">
        <v>-3.4991500000000002E-2</v>
      </c>
      <c r="AT46" s="21">
        <v>36</v>
      </c>
      <c r="AU46" s="21">
        <v>0.51760899999999999</v>
      </c>
      <c r="AV46">
        <f t="shared" si="8"/>
        <v>34.991500000000002</v>
      </c>
      <c r="AW46">
        <f t="shared" si="9"/>
        <v>18.153555208500002</v>
      </c>
      <c r="AX46" s="9"/>
      <c r="AY46" s="21">
        <v>8.1329299999999993E-2</v>
      </c>
      <c r="AZ46" s="21">
        <v>62.580500000000001</v>
      </c>
      <c r="BA46" s="21">
        <v>-3.6050400000000003E-2</v>
      </c>
      <c r="BB46" s="21">
        <v>36</v>
      </c>
      <c r="BC46" s="21">
        <v>8.0383300000000005E-2</v>
      </c>
      <c r="BD46">
        <f t="shared" si="10"/>
        <v>36.050400000000003</v>
      </c>
      <c r="BE46">
        <f t="shared" si="11"/>
        <v>2.9319537967200002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0.51376299999999997</v>
      </c>
      <c r="H47" s="21">
        <v>31.471399999999999</v>
      </c>
      <c r="I47" s="21">
        <v>-3.5061599999999998E-2</v>
      </c>
      <c r="J47" s="21">
        <v>37</v>
      </c>
      <c r="K47" s="21">
        <v>0.51257299999999995</v>
      </c>
      <c r="L47">
        <f t="shared" si="0"/>
        <v>35.061599999999999</v>
      </c>
      <c r="M47">
        <f t="shared" si="1"/>
        <v>18.0133528008</v>
      </c>
      <c r="N47" s="9"/>
      <c r="O47" s="21">
        <v>8.6364700000000003E-2</v>
      </c>
      <c r="P47" s="21">
        <v>35.896000000000001</v>
      </c>
      <c r="Q47" s="21">
        <v>-3.6071800000000001E-2</v>
      </c>
      <c r="R47" s="21">
        <v>37</v>
      </c>
      <c r="S47" s="21">
        <v>8.5357699999999995E-2</v>
      </c>
      <c r="T47">
        <f t="shared" si="2"/>
        <v>36.071800000000003</v>
      </c>
      <c r="U47">
        <f t="shared" si="3"/>
        <v>3.1153301854600004</v>
      </c>
      <c r="X47" s="9"/>
      <c r="Y47" s="21">
        <v>0.51376299999999997</v>
      </c>
      <c r="Z47" s="21">
        <v>38.636600000000001</v>
      </c>
      <c r="AA47" s="21">
        <v>-3.5034200000000001E-2</v>
      </c>
      <c r="AB47" s="21">
        <v>37</v>
      </c>
      <c r="AC47" s="21">
        <v>0.51257299999999995</v>
      </c>
      <c r="AD47">
        <f t="shared" si="4"/>
        <v>35.034199999999998</v>
      </c>
      <c r="AE47">
        <f t="shared" si="5"/>
        <v>17.999275694599998</v>
      </c>
      <c r="AF47" s="9"/>
      <c r="AG47" s="21">
        <v>8.6364700000000003E-2</v>
      </c>
      <c r="AH47" s="21">
        <v>41.914200000000001</v>
      </c>
      <c r="AI47" s="21">
        <v>-3.5998500000000003E-2</v>
      </c>
      <c r="AJ47" s="21">
        <v>37</v>
      </c>
      <c r="AK47" s="21">
        <v>8.5327100000000003E-2</v>
      </c>
      <c r="AL47">
        <f t="shared" si="6"/>
        <v>35.9985</v>
      </c>
      <c r="AM47">
        <f t="shared" si="7"/>
        <v>3.1089996529500001</v>
      </c>
      <c r="AP47" s="9"/>
      <c r="AQ47" s="21">
        <v>0.51376299999999997</v>
      </c>
      <c r="AR47" s="21">
        <v>49.819899999999997</v>
      </c>
      <c r="AS47" s="21">
        <v>-3.5076900000000001E-2</v>
      </c>
      <c r="AT47" s="21">
        <v>37</v>
      </c>
      <c r="AU47" s="21">
        <v>0.51260399999999995</v>
      </c>
      <c r="AV47">
        <f t="shared" si="8"/>
        <v>35.076900000000002</v>
      </c>
      <c r="AW47">
        <f t="shared" si="9"/>
        <v>18.0212133747</v>
      </c>
      <c r="AX47" s="9"/>
      <c r="AY47" s="21">
        <v>8.6364700000000003E-2</v>
      </c>
      <c r="AZ47" s="21">
        <v>62.590600000000002</v>
      </c>
      <c r="BA47" s="21">
        <v>-3.60474E-2</v>
      </c>
      <c r="BB47" s="21">
        <v>37</v>
      </c>
      <c r="BC47" s="21">
        <v>8.5388199999999997E-2</v>
      </c>
      <c r="BD47">
        <f t="shared" si="10"/>
        <v>36.047400000000003</v>
      </c>
      <c r="BE47">
        <f t="shared" si="11"/>
        <v>3.1132228867800005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0.50872799999999996</v>
      </c>
      <c r="H48" s="21">
        <v>31.4815</v>
      </c>
      <c r="I48" s="21">
        <v>-3.5140999999999999E-2</v>
      </c>
      <c r="J48" s="21">
        <v>38</v>
      </c>
      <c r="K48" s="21">
        <v>0.50753800000000004</v>
      </c>
      <c r="L48">
        <f t="shared" si="0"/>
        <v>35.140999999999998</v>
      </c>
      <c r="M48">
        <f t="shared" si="1"/>
        <v>17.877210647999998</v>
      </c>
      <c r="N48" s="9"/>
      <c r="O48" s="21">
        <v>9.1400099999999998E-2</v>
      </c>
      <c r="P48" s="21">
        <v>35.906100000000002</v>
      </c>
      <c r="Q48" s="21">
        <v>-3.60474E-2</v>
      </c>
      <c r="R48" s="21">
        <v>38</v>
      </c>
      <c r="S48" s="21">
        <v>9.0423600000000007E-2</v>
      </c>
      <c r="T48">
        <f t="shared" si="2"/>
        <v>36.047400000000003</v>
      </c>
      <c r="U48">
        <f t="shared" si="3"/>
        <v>3.2947359647400001</v>
      </c>
      <c r="X48" s="9"/>
      <c r="Y48" s="21">
        <v>0.50872799999999996</v>
      </c>
      <c r="Z48" s="21">
        <v>38.646700000000003</v>
      </c>
      <c r="AA48" s="21">
        <v>-3.508E-2</v>
      </c>
      <c r="AB48" s="21">
        <v>38</v>
      </c>
      <c r="AC48" s="21">
        <v>0.50766</v>
      </c>
      <c r="AD48">
        <f t="shared" si="4"/>
        <v>35.08</v>
      </c>
      <c r="AE48">
        <f t="shared" si="5"/>
        <v>17.846178239999997</v>
      </c>
      <c r="AF48" s="9"/>
      <c r="AG48" s="21">
        <v>9.1400099999999998E-2</v>
      </c>
      <c r="AH48" s="21">
        <v>41.924300000000002</v>
      </c>
      <c r="AI48" s="21">
        <v>-3.5992400000000001E-2</v>
      </c>
      <c r="AJ48" s="21">
        <v>38</v>
      </c>
      <c r="AK48" s="21">
        <v>9.0331999999999996E-2</v>
      </c>
      <c r="AL48">
        <f t="shared" si="6"/>
        <v>35.992400000000004</v>
      </c>
      <c r="AM48">
        <f t="shared" si="7"/>
        <v>3.2897089592400004</v>
      </c>
      <c r="AP48" s="9"/>
      <c r="AQ48" s="21">
        <v>0.50872799999999996</v>
      </c>
      <c r="AR48" s="21">
        <v>49.829900000000002</v>
      </c>
      <c r="AS48" s="21">
        <v>-3.5153200000000003E-2</v>
      </c>
      <c r="AT48" s="21">
        <v>38</v>
      </c>
      <c r="AU48" s="21">
        <v>0.50756800000000002</v>
      </c>
      <c r="AV48">
        <f t="shared" si="8"/>
        <v>35.153200000000005</v>
      </c>
      <c r="AW48">
        <f t="shared" si="9"/>
        <v>17.883417129600002</v>
      </c>
      <c r="AX48" s="9"/>
      <c r="AY48" s="21">
        <v>9.1400099999999998E-2</v>
      </c>
      <c r="AZ48" s="21">
        <v>62.600700000000003</v>
      </c>
      <c r="BA48" s="21">
        <v>-3.6041299999999998E-2</v>
      </c>
      <c r="BB48" s="21">
        <v>38</v>
      </c>
      <c r="BC48" s="21">
        <v>9.0393100000000004E-2</v>
      </c>
      <c r="BD48">
        <f t="shared" si="10"/>
        <v>36.0413</v>
      </c>
      <c r="BE48">
        <f t="shared" si="11"/>
        <v>3.2941784241300001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0.50369299999999995</v>
      </c>
      <c r="H49" s="21">
        <v>31.491599999999998</v>
      </c>
      <c r="I49" s="21">
        <v>-3.5208099999999999E-2</v>
      </c>
      <c r="J49" s="21">
        <v>39</v>
      </c>
      <c r="K49" s="21">
        <v>0.50256299999999998</v>
      </c>
      <c r="L49">
        <f t="shared" si="0"/>
        <v>35.208100000000002</v>
      </c>
      <c r="M49">
        <f t="shared" si="1"/>
        <v>17.7340735133</v>
      </c>
      <c r="N49" s="9"/>
      <c r="O49" s="21">
        <v>9.6435499999999993E-2</v>
      </c>
      <c r="P49" s="21">
        <v>35.916200000000003</v>
      </c>
      <c r="Q49" s="21">
        <v>-3.6019900000000001E-2</v>
      </c>
      <c r="R49" s="21">
        <v>39</v>
      </c>
      <c r="S49" s="21">
        <v>9.5428499999999999E-2</v>
      </c>
      <c r="T49">
        <f t="shared" si="2"/>
        <v>36.0199</v>
      </c>
      <c r="U49">
        <f t="shared" si="3"/>
        <v>3.4735970664499995</v>
      </c>
      <c r="X49" s="9"/>
      <c r="Y49" s="21">
        <v>0.50369299999999995</v>
      </c>
      <c r="Z49" s="21">
        <v>38.656700000000001</v>
      </c>
      <c r="AA49" s="21">
        <v>-3.5125700000000003E-2</v>
      </c>
      <c r="AB49" s="21">
        <v>39</v>
      </c>
      <c r="AC49" s="21">
        <v>0.50256299999999998</v>
      </c>
      <c r="AD49">
        <f t="shared" si="4"/>
        <v>35.125700000000002</v>
      </c>
      <c r="AE49">
        <f t="shared" si="5"/>
        <v>17.6925692101</v>
      </c>
      <c r="AF49" s="9"/>
      <c r="AG49" s="21">
        <v>9.6435499999999993E-2</v>
      </c>
      <c r="AH49" s="21">
        <v>41.9343</v>
      </c>
      <c r="AI49" s="21">
        <v>-3.5980199999999997E-2</v>
      </c>
      <c r="AJ49" s="21">
        <v>39</v>
      </c>
      <c r="AK49" s="21">
        <v>9.5428499999999999E-2</v>
      </c>
      <c r="AL49">
        <f t="shared" si="6"/>
        <v>35.980199999999996</v>
      </c>
      <c r="AM49">
        <f t="shared" si="7"/>
        <v>3.4697685770999995</v>
      </c>
      <c r="AP49" s="9"/>
      <c r="AQ49" s="21">
        <v>0.50369299999999995</v>
      </c>
      <c r="AR49" s="21">
        <v>49.84</v>
      </c>
      <c r="AS49" s="21">
        <v>-3.5229499999999997E-2</v>
      </c>
      <c r="AT49" s="21">
        <v>39</v>
      </c>
      <c r="AU49" s="21">
        <v>0.50253300000000001</v>
      </c>
      <c r="AV49">
        <f t="shared" si="8"/>
        <v>35.229499999999994</v>
      </c>
      <c r="AW49">
        <f t="shared" si="9"/>
        <v>17.744852543499995</v>
      </c>
      <c r="AX49" s="9"/>
      <c r="AY49" s="21">
        <v>9.6435499999999993E-2</v>
      </c>
      <c r="AZ49" s="21">
        <v>62.610799999999998</v>
      </c>
      <c r="BA49" s="21">
        <v>-3.6035200000000003E-2</v>
      </c>
      <c r="BB49" s="21">
        <v>39</v>
      </c>
      <c r="BC49" s="21">
        <v>9.5397899999999994E-2</v>
      </c>
      <c r="BD49">
        <f t="shared" si="10"/>
        <v>36.035200000000003</v>
      </c>
      <c r="BE49">
        <f t="shared" si="11"/>
        <v>3.4750725296000002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0.49865700000000002</v>
      </c>
      <c r="H50" s="21">
        <v>31.5016</v>
      </c>
      <c r="I50" s="21">
        <v>-3.5281399999999997E-2</v>
      </c>
      <c r="J50" s="21">
        <v>40</v>
      </c>
      <c r="K50" s="21">
        <v>0.49755899999999997</v>
      </c>
      <c r="L50">
        <f t="shared" si="0"/>
        <v>35.281399999999998</v>
      </c>
      <c r="M50">
        <f t="shared" si="1"/>
        <v>17.593317079799998</v>
      </c>
      <c r="N50" s="9"/>
      <c r="O50" s="21">
        <v>0.10147100000000001</v>
      </c>
      <c r="P50" s="21">
        <v>35.926200000000001</v>
      </c>
      <c r="Q50" s="21">
        <v>-3.6022899999999997E-2</v>
      </c>
      <c r="R50" s="21">
        <v>40</v>
      </c>
      <c r="S50" s="21">
        <v>0.10043299999999999</v>
      </c>
      <c r="T50">
        <f t="shared" si="2"/>
        <v>36.0229</v>
      </c>
      <c r="U50">
        <f t="shared" si="3"/>
        <v>3.6552796859000001</v>
      </c>
      <c r="X50" s="9"/>
      <c r="Y50" s="21">
        <v>0.49865700000000002</v>
      </c>
      <c r="Z50" s="21">
        <v>38.666800000000002</v>
      </c>
      <c r="AA50" s="21">
        <v>-3.5186799999999997E-2</v>
      </c>
      <c r="AB50" s="21">
        <v>40</v>
      </c>
      <c r="AC50" s="21">
        <v>0.497589</v>
      </c>
      <c r="AD50">
        <f t="shared" si="4"/>
        <v>35.186799999999998</v>
      </c>
      <c r="AE50">
        <f t="shared" si="5"/>
        <v>17.546144127599998</v>
      </c>
      <c r="AF50" s="9"/>
      <c r="AG50" s="21">
        <v>0.10147100000000001</v>
      </c>
      <c r="AH50" s="21">
        <v>41.944400000000002</v>
      </c>
      <c r="AI50" s="21">
        <v>-3.5986299999999999E-2</v>
      </c>
      <c r="AJ50" s="21">
        <v>40</v>
      </c>
      <c r="AK50" s="21">
        <v>0.10040300000000001</v>
      </c>
      <c r="AL50">
        <f t="shared" si="6"/>
        <v>35.9863</v>
      </c>
      <c r="AM50">
        <f t="shared" si="7"/>
        <v>3.6515658473000001</v>
      </c>
      <c r="AP50" s="9"/>
      <c r="AQ50" s="21">
        <v>0.49865700000000002</v>
      </c>
      <c r="AR50" s="21">
        <v>49.850099999999998</v>
      </c>
      <c r="AS50" s="21">
        <v>-3.5287499999999999E-2</v>
      </c>
      <c r="AT50" s="21">
        <v>40</v>
      </c>
      <c r="AU50" s="21">
        <v>0.49752800000000003</v>
      </c>
      <c r="AV50">
        <f t="shared" si="8"/>
        <v>35.287500000000001</v>
      </c>
      <c r="AW50">
        <f t="shared" si="9"/>
        <v>17.596358887500003</v>
      </c>
      <c r="AX50" s="9"/>
      <c r="AY50" s="21">
        <v>0.10147100000000001</v>
      </c>
      <c r="AZ50" s="21">
        <v>62.620800000000003</v>
      </c>
      <c r="BA50" s="21">
        <v>-3.6026000000000002E-2</v>
      </c>
      <c r="BB50" s="21">
        <v>40</v>
      </c>
      <c r="BC50" s="21">
        <v>0.10040300000000001</v>
      </c>
      <c r="BD50">
        <f t="shared" si="10"/>
        <v>36.026000000000003</v>
      </c>
      <c r="BE50">
        <f t="shared" si="11"/>
        <v>3.6555942460000006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0.49362200000000001</v>
      </c>
      <c r="H51" s="21">
        <v>31.511700000000001</v>
      </c>
      <c r="I51" s="21">
        <v>-3.53394E-2</v>
      </c>
      <c r="J51" s="21">
        <v>41</v>
      </c>
      <c r="K51" s="21">
        <v>0.49249300000000001</v>
      </c>
      <c r="L51">
        <f t="shared" si="0"/>
        <v>35.339399999999998</v>
      </c>
      <c r="M51">
        <f t="shared" si="1"/>
        <v>17.4443053068</v>
      </c>
      <c r="N51" s="9"/>
      <c r="O51" s="21">
        <v>0.106506</v>
      </c>
      <c r="P51" s="21">
        <v>35.936300000000003</v>
      </c>
      <c r="Q51" s="21">
        <v>-3.6013799999999999E-2</v>
      </c>
      <c r="R51" s="21">
        <v>41</v>
      </c>
      <c r="S51" s="21">
        <v>0.105438</v>
      </c>
      <c r="T51">
        <f t="shared" si="2"/>
        <v>36.013799999999996</v>
      </c>
      <c r="U51">
        <f t="shared" si="3"/>
        <v>3.8356857827999997</v>
      </c>
      <c r="X51" s="9"/>
      <c r="Y51" s="21">
        <v>0.49362200000000001</v>
      </c>
      <c r="Z51" s="21">
        <v>38.676900000000003</v>
      </c>
      <c r="AA51" s="21">
        <v>-3.5247800000000003E-2</v>
      </c>
      <c r="AB51" s="21">
        <v>41</v>
      </c>
      <c r="AC51" s="21">
        <v>0.49246200000000001</v>
      </c>
      <c r="AD51">
        <f t="shared" si="4"/>
        <v>35.247800000000005</v>
      </c>
      <c r="AE51">
        <f t="shared" si="5"/>
        <v>17.399089531600001</v>
      </c>
      <c r="AF51" s="9"/>
      <c r="AG51" s="21">
        <v>0.106506</v>
      </c>
      <c r="AH51" s="21">
        <v>41.954500000000003</v>
      </c>
      <c r="AI51" s="21">
        <v>-3.5983300000000003E-2</v>
      </c>
      <c r="AJ51" s="21">
        <v>41</v>
      </c>
      <c r="AK51" s="21">
        <v>0.105499</v>
      </c>
      <c r="AL51">
        <f t="shared" si="6"/>
        <v>35.9833</v>
      </c>
      <c r="AM51">
        <f t="shared" si="7"/>
        <v>3.8324373498000002</v>
      </c>
      <c r="AP51" s="9"/>
      <c r="AQ51" s="21">
        <v>0.49362200000000001</v>
      </c>
      <c r="AR51" s="21">
        <v>49.860100000000003</v>
      </c>
      <c r="AS51" s="21">
        <v>-3.53271E-2</v>
      </c>
      <c r="AT51" s="21">
        <v>41</v>
      </c>
      <c r="AU51" s="21">
        <v>0.49249300000000001</v>
      </c>
      <c r="AV51">
        <f t="shared" si="8"/>
        <v>35.327100000000002</v>
      </c>
      <c r="AW51">
        <f t="shared" si="9"/>
        <v>17.438233756200002</v>
      </c>
      <c r="AX51" s="9"/>
      <c r="AY51" s="21">
        <v>0.106506</v>
      </c>
      <c r="AZ51" s="21">
        <v>62.630899999999997</v>
      </c>
      <c r="BA51" s="21">
        <v>-3.6026000000000002E-2</v>
      </c>
      <c r="BB51" s="21">
        <v>41</v>
      </c>
      <c r="BC51" s="21">
        <v>0.105438</v>
      </c>
      <c r="BD51">
        <f t="shared" si="10"/>
        <v>36.026000000000003</v>
      </c>
      <c r="BE51">
        <f t="shared" si="11"/>
        <v>3.8369851560000003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0.48858600000000002</v>
      </c>
      <c r="H52" s="21">
        <v>31.521799999999999</v>
      </c>
      <c r="I52" s="21">
        <v>-3.5372899999999999E-2</v>
      </c>
      <c r="J52" s="21">
        <v>42</v>
      </c>
      <c r="K52" s="21">
        <v>0.48745699999999997</v>
      </c>
      <c r="L52">
        <f t="shared" si="0"/>
        <v>35.372900000000001</v>
      </c>
      <c r="M52">
        <f t="shared" si="1"/>
        <v>17.282703719400001</v>
      </c>
      <c r="N52" s="9"/>
      <c r="O52" s="21">
        <v>0.111542</v>
      </c>
      <c r="P52" s="21">
        <v>35.946399999999997</v>
      </c>
      <c r="Q52" s="21">
        <v>-3.6001600000000002E-2</v>
      </c>
      <c r="R52" s="21">
        <v>42</v>
      </c>
      <c r="S52" s="21">
        <v>0.110474</v>
      </c>
      <c r="T52">
        <f t="shared" si="2"/>
        <v>36.001600000000003</v>
      </c>
      <c r="U52">
        <f t="shared" si="3"/>
        <v>4.0156904672000007</v>
      </c>
      <c r="X52" s="9"/>
      <c r="Y52" s="21">
        <v>0.48858600000000002</v>
      </c>
      <c r="Z52" s="21">
        <v>38.686999999999998</v>
      </c>
      <c r="AA52" s="21">
        <v>-3.5296599999999997E-2</v>
      </c>
      <c r="AB52" s="21">
        <v>42</v>
      </c>
      <c r="AC52" s="21">
        <v>0.48745699999999997</v>
      </c>
      <c r="AD52">
        <f t="shared" si="4"/>
        <v>35.296599999999998</v>
      </c>
      <c r="AE52">
        <f t="shared" si="5"/>
        <v>17.2454246076</v>
      </c>
      <c r="AF52" s="9"/>
      <c r="AG52" s="21">
        <v>0.111542</v>
      </c>
      <c r="AH52" s="21">
        <v>41.964500000000001</v>
      </c>
      <c r="AI52" s="21">
        <v>-3.5974100000000002E-2</v>
      </c>
      <c r="AJ52" s="21">
        <v>42</v>
      </c>
      <c r="AK52" s="21">
        <v>0.110474</v>
      </c>
      <c r="AL52">
        <f t="shared" si="6"/>
        <v>35.9741</v>
      </c>
      <c r="AM52">
        <f t="shared" si="7"/>
        <v>4.0126230622000003</v>
      </c>
      <c r="AP52" s="9"/>
      <c r="AQ52" s="21">
        <v>0.48858600000000002</v>
      </c>
      <c r="AR52" s="21">
        <v>49.870199999999997</v>
      </c>
      <c r="AS52" s="21">
        <v>-3.5363800000000001E-2</v>
      </c>
      <c r="AT52" s="21">
        <v>42</v>
      </c>
      <c r="AU52" s="21">
        <v>0.48748799999999998</v>
      </c>
      <c r="AV52">
        <f t="shared" si="8"/>
        <v>35.363799999999998</v>
      </c>
      <c r="AW52">
        <f t="shared" si="9"/>
        <v>17.278257586799999</v>
      </c>
      <c r="AX52" s="9"/>
      <c r="AY52" s="21">
        <v>0.111542</v>
      </c>
      <c r="AZ52" s="21">
        <v>62.640999999999998</v>
      </c>
      <c r="BA52" s="21">
        <v>-3.6029100000000001E-2</v>
      </c>
      <c r="BB52" s="21">
        <v>42</v>
      </c>
      <c r="BC52" s="21">
        <v>0.110504</v>
      </c>
      <c r="BD52">
        <f t="shared" si="10"/>
        <v>36.0291</v>
      </c>
      <c r="BE52">
        <f t="shared" si="11"/>
        <v>4.0187578722000001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0.48355100000000001</v>
      </c>
      <c r="H53" s="21">
        <v>31.5319</v>
      </c>
      <c r="I53" s="21">
        <v>-3.54065E-2</v>
      </c>
      <c r="J53" s="21">
        <v>43</v>
      </c>
      <c r="K53" s="21">
        <v>0.48242200000000002</v>
      </c>
      <c r="L53">
        <f t="shared" si="0"/>
        <v>35.406500000000001</v>
      </c>
      <c r="M53">
        <f t="shared" si="1"/>
        <v>17.120848481500001</v>
      </c>
      <c r="N53" s="9"/>
      <c r="O53" s="21">
        <v>0.116577</v>
      </c>
      <c r="P53" s="21">
        <v>35.956499999999998</v>
      </c>
      <c r="Q53" s="21">
        <v>-3.59955E-2</v>
      </c>
      <c r="R53" s="21">
        <v>43</v>
      </c>
      <c r="S53" s="21">
        <v>0.11557000000000001</v>
      </c>
      <c r="T53">
        <f t="shared" si="2"/>
        <v>35.9955</v>
      </c>
      <c r="U53">
        <f t="shared" si="3"/>
        <v>4.1962474035000001</v>
      </c>
      <c r="X53" s="9"/>
      <c r="Y53" s="21">
        <v>0.48355100000000001</v>
      </c>
      <c r="Z53" s="21">
        <v>38.697000000000003</v>
      </c>
      <c r="AA53" s="21">
        <v>-3.53271E-2</v>
      </c>
      <c r="AB53" s="21">
        <v>43</v>
      </c>
      <c r="AC53" s="21">
        <v>0.482483</v>
      </c>
      <c r="AD53">
        <f t="shared" si="4"/>
        <v>35.327100000000002</v>
      </c>
      <c r="AE53">
        <f t="shared" si="5"/>
        <v>17.082454532100002</v>
      </c>
      <c r="AF53" s="9"/>
      <c r="AG53" s="21">
        <v>0.116577</v>
      </c>
      <c r="AH53" s="21">
        <v>41.974600000000002</v>
      </c>
      <c r="AI53" s="21">
        <v>-3.5983300000000003E-2</v>
      </c>
      <c r="AJ53" s="21">
        <v>43</v>
      </c>
      <c r="AK53" s="21">
        <v>0.115509</v>
      </c>
      <c r="AL53">
        <f t="shared" si="6"/>
        <v>35.9833</v>
      </c>
      <c r="AM53">
        <f t="shared" si="7"/>
        <v>4.1948251641000001</v>
      </c>
      <c r="AP53" s="9"/>
      <c r="AQ53" s="21">
        <v>0.48355100000000001</v>
      </c>
      <c r="AR53" s="21">
        <v>49.880299999999998</v>
      </c>
      <c r="AS53" s="21">
        <v>-3.5385100000000003E-2</v>
      </c>
      <c r="AT53" s="21">
        <v>43</v>
      </c>
      <c r="AU53" s="21">
        <v>0.48236099999999998</v>
      </c>
      <c r="AV53">
        <f t="shared" si="8"/>
        <v>35.385100000000001</v>
      </c>
      <c r="AW53">
        <f t="shared" si="9"/>
        <v>17.110500490100002</v>
      </c>
      <c r="AX53" s="9"/>
      <c r="AY53" s="21">
        <v>0.116577</v>
      </c>
      <c r="AZ53" s="21">
        <v>62.651000000000003</v>
      </c>
      <c r="BA53" s="21">
        <v>-3.6029100000000001E-2</v>
      </c>
      <c r="BB53" s="21">
        <v>43</v>
      </c>
      <c r="BC53" s="21">
        <v>0.115509</v>
      </c>
      <c r="BD53">
        <f t="shared" si="10"/>
        <v>36.0291</v>
      </c>
      <c r="BE53">
        <f t="shared" si="11"/>
        <v>4.2001643907000004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0.478516</v>
      </c>
      <c r="H54" s="21">
        <v>31.541899999999998</v>
      </c>
      <c r="I54" s="21">
        <v>-3.5427899999999998E-2</v>
      </c>
      <c r="J54" s="21">
        <v>44</v>
      </c>
      <c r="K54" s="21">
        <v>0.477356</v>
      </c>
      <c r="L54">
        <f t="shared" si="0"/>
        <v>35.427900000000001</v>
      </c>
      <c r="M54">
        <f t="shared" si="1"/>
        <v>16.952816996399999</v>
      </c>
      <c r="N54" s="9"/>
      <c r="O54" s="21">
        <v>0.121613</v>
      </c>
      <c r="P54" s="21">
        <v>35.966500000000003</v>
      </c>
      <c r="Q54" s="21">
        <v>-3.6004599999999998E-2</v>
      </c>
      <c r="R54" s="21">
        <v>44</v>
      </c>
      <c r="S54" s="21">
        <v>0.120605</v>
      </c>
      <c r="T54">
        <f t="shared" si="2"/>
        <v>36.004599999999996</v>
      </c>
      <c r="U54">
        <f t="shared" si="3"/>
        <v>4.3786274197999999</v>
      </c>
      <c r="X54" s="9"/>
      <c r="Y54" s="21">
        <v>0.478516</v>
      </c>
      <c r="Z54" s="21">
        <v>38.707099999999997</v>
      </c>
      <c r="AA54" s="21">
        <v>-3.5360700000000002E-2</v>
      </c>
      <c r="AB54" s="21">
        <v>44</v>
      </c>
      <c r="AC54" s="21">
        <v>0.47738599999999998</v>
      </c>
      <c r="AD54">
        <f t="shared" si="4"/>
        <v>35.360700000000001</v>
      </c>
      <c r="AE54">
        <f t="shared" si="5"/>
        <v>16.920660721200001</v>
      </c>
      <c r="AF54" s="9"/>
      <c r="AG54" s="21">
        <v>0.121613</v>
      </c>
      <c r="AH54" s="21">
        <v>41.984699999999997</v>
      </c>
      <c r="AI54" s="21">
        <v>-3.5977200000000001E-2</v>
      </c>
      <c r="AJ54" s="21">
        <v>44</v>
      </c>
      <c r="AK54" s="21">
        <v>0.120605</v>
      </c>
      <c r="AL54">
        <f t="shared" si="6"/>
        <v>35.977200000000003</v>
      </c>
      <c r="AM54">
        <f t="shared" si="7"/>
        <v>4.3752952236000002</v>
      </c>
      <c r="AP54" s="9"/>
      <c r="AQ54" s="21">
        <v>0.478516</v>
      </c>
      <c r="AR54" s="21">
        <v>49.8904</v>
      </c>
      <c r="AS54" s="21">
        <v>-3.5427899999999998E-2</v>
      </c>
      <c r="AT54" s="21">
        <v>44</v>
      </c>
      <c r="AU54" s="21">
        <v>0.47738599999999998</v>
      </c>
      <c r="AV54">
        <f t="shared" si="8"/>
        <v>35.427900000000001</v>
      </c>
      <c r="AW54">
        <f t="shared" si="9"/>
        <v>16.952816996399999</v>
      </c>
      <c r="AX54" s="9"/>
      <c r="AY54" s="21">
        <v>0.121613</v>
      </c>
      <c r="AZ54" s="21">
        <v>62.661099999999998</v>
      </c>
      <c r="BA54" s="21">
        <v>-3.6029100000000001E-2</v>
      </c>
      <c r="BB54" s="21">
        <v>44</v>
      </c>
      <c r="BC54" s="21">
        <v>0.120514</v>
      </c>
      <c r="BD54">
        <f t="shared" si="10"/>
        <v>36.0291</v>
      </c>
      <c r="BE54">
        <f t="shared" si="11"/>
        <v>4.3816069383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0.47348000000000001</v>
      </c>
      <c r="H55" s="21">
        <v>31.552</v>
      </c>
      <c r="I55" s="21">
        <v>-3.5452299999999999E-2</v>
      </c>
      <c r="J55" s="21">
        <v>45</v>
      </c>
      <c r="K55" s="21">
        <v>0.47238200000000002</v>
      </c>
      <c r="L55">
        <f t="shared" si="0"/>
        <v>35.452300000000001</v>
      </c>
      <c r="M55">
        <f t="shared" si="1"/>
        <v>16.785955004000002</v>
      </c>
      <c r="N55" s="9"/>
      <c r="O55" s="21">
        <v>0.12664800000000001</v>
      </c>
      <c r="P55" s="21">
        <v>35.976599999999998</v>
      </c>
      <c r="Q55" s="21">
        <v>-3.6016800000000002E-2</v>
      </c>
      <c r="R55" s="21">
        <v>45</v>
      </c>
      <c r="S55" s="21">
        <v>0.12561</v>
      </c>
      <c r="T55">
        <f t="shared" si="2"/>
        <v>36.016800000000003</v>
      </c>
      <c r="U55">
        <f t="shared" si="3"/>
        <v>4.5614556864000004</v>
      </c>
      <c r="X55" s="9"/>
      <c r="Y55" s="21">
        <v>0.47348000000000001</v>
      </c>
      <c r="Z55" s="21">
        <v>38.717199999999998</v>
      </c>
      <c r="AA55" s="21">
        <v>-3.5379000000000001E-2</v>
      </c>
      <c r="AB55" s="21">
        <v>45</v>
      </c>
      <c r="AC55" s="21">
        <v>0.47238200000000002</v>
      </c>
      <c r="AD55">
        <f t="shared" si="4"/>
        <v>35.378999999999998</v>
      </c>
      <c r="AE55">
        <f t="shared" si="5"/>
        <v>16.751248919999998</v>
      </c>
      <c r="AF55" s="9"/>
      <c r="AG55" s="21">
        <v>0.12664800000000001</v>
      </c>
      <c r="AH55" s="21">
        <v>41.994799999999998</v>
      </c>
      <c r="AI55" s="21">
        <v>-3.5980199999999997E-2</v>
      </c>
      <c r="AJ55" s="21">
        <v>45</v>
      </c>
      <c r="AK55" s="21">
        <v>0.12554899999999999</v>
      </c>
      <c r="AL55">
        <f t="shared" si="6"/>
        <v>35.980199999999996</v>
      </c>
      <c r="AM55">
        <f t="shared" si="7"/>
        <v>4.5568203695999996</v>
      </c>
      <c r="AP55" s="9"/>
      <c r="AQ55" s="21">
        <v>0.47348000000000001</v>
      </c>
      <c r="AR55" s="21">
        <v>49.900399999999998</v>
      </c>
      <c r="AS55" s="21">
        <v>-3.5458400000000001E-2</v>
      </c>
      <c r="AT55" s="21">
        <v>45</v>
      </c>
      <c r="AU55" s="21">
        <v>0.472412</v>
      </c>
      <c r="AV55">
        <f t="shared" si="8"/>
        <v>35.458399999999997</v>
      </c>
      <c r="AW55">
        <f t="shared" si="9"/>
        <v>16.788843231999998</v>
      </c>
      <c r="AX55" s="9"/>
      <c r="AY55" s="21">
        <v>0.12664800000000001</v>
      </c>
      <c r="AZ55" s="21">
        <v>62.671199999999999</v>
      </c>
      <c r="BA55" s="21">
        <v>-3.6029100000000001E-2</v>
      </c>
      <c r="BB55" s="21">
        <v>45</v>
      </c>
      <c r="BC55" s="21">
        <v>0.12558</v>
      </c>
      <c r="BD55">
        <f t="shared" si="10"/>
        <v>36.0291</v>
      </c>
      <c r="BE55">
        <f t="shared" si="11"/>
        <v>4.5630134568000003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0.468445</v>
      </c>
      <c r="H56" s="21">
        <v>31.562100000000001</v>
      </c>
      <c r="I56" s="21">
        <v>-3.5482800000000002E-2</v>
      </c>
      <c r="J56" s="21">
        <v>46</v>
      </c>
      <c r="K56" s="21">
        <v>0.46734599999999998</v>
      </c>
      <c r="L56">
        <f t="shared" si="0"/>
        <v>35.482800000000005</v>
      </c>
      <c r="M56">
        <f t="shared" si="1"/>
        <v>16.621740246000002</v>
      </c>
      <c r="N56" s="9"/>
      <c r="O56" s="21">
        <v>0.13168299999999999</v>
      </c>
      <c r="P56" s="21">
        <v>35.986699999999999</v>
      </c>
      <c r="Q56" s="21">
        <v>-3.6026000000000002E-2</v>
      </c>
      <c r="R56" s="21">
        <v>46</v>
      </c>
      <c r="S56" s="21">
        <v>0.13070699999999999</v>
      </c>
      <c r="T56">
        <f t="shared" si="2"/>
        <v>36.026000000000003</v>
      </c>
      <c r="U56">
        <f t="shared" si="3"/>
        <v>4.7440117580000001</v>
      </c>
      <c r="X56" s="9"/>
      <c r="Y56" s="21">
        <v>0.468445</v>
      </c>
      <c r="Z56" s="21">
        <v>38.727200000000003</v>
      </c>
      <c r="AA56" s="21">
        <v>-3.53973E-2</v>
      </c>
      <c r="AB56" s="21">
        <v>46</v>
      </c>
      <c r="AC56" s="21">
        <v>0.46737699999999999</v>
      </c>
      <c r="AD56">
        <f t="shared" si="4"/>
        <v>35.397300000000001</v>
      </c>
      <c r="AE56">
        <f t="shared" si="5"/>
        <v>16.5816881985</v>
      </c>
      <c r="AF56" s="9"/>
      <c r="AG56" s="21">
        <v>0.13168299999999999</v>
      </c>
      <c r="AH56" s="21">
        <v>42.004800000000003</v>
      </c>
      <c r="AI56" s="21">
        <v>-3.5964999999999997E-2</v>
      </c>
      <c r="AJ56" s="21">
        <v>46</v>
      </c>
      <c r="AK56" s="21">
        <v>0.13064600000000001</v>
      </c>
      <c r="AL56">
        <f t="shared" si="6"/>
        <v>35.964999999999996</v>
      </c>
      <c r="AM56">
        <f t="shared" si="7"/>
        <v>4.7359790949999994</v>
      </c>
      <c r="AP56" s="9"/>
      <c r="AQ56" s="21">
        <v>0.468445</v>
      </c>
      <c r="AR56" s="21">
        <v>49.910499999999999</v>
      </c>
      <c r="AS56" s="21">
        <v>-3.5485799999999998E-2</v>
      </c>
      <c r="AT56" s="21">
        <v>46</v>
      </c>
      <c r="AU56" s="21">
        <v>0.46725499999999998</v>
      </c>
      <c r="AV56">
        <f t="shared" si="8"/>
        <v>35.485799999999998</v>
      </c>
      <c r="AW56">
        <f t="shared" si="9"/>
        <v>16.623145580999999</v>
      </c>
      <c r="AX56" s="9"/>
      <c r="AY56" s="21">
        <v>0.13168299999999999</v>
      </c>
      <c r="AZ56" s="21">
        <v>62.6813</v>
      </c>
      <c r="BA56" s="21">
        <v>-3.6013799999999999E-2</v>
      </c>
      <c r="BB56" s="21">
        <v>46</v>
      </c>
      <c r="BC56" s="21">
        <v>0.130768</v>
      </c>
      <c r="BD56">
        <f t="shared" si="10"/>
        <v>36.013799999999996</v>
      </c>
      <c r="BE56">
        <f t="shared" si="11"/>
        <v>4.7424052253999989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0.46340900000000002</v>
      </c>
      <c r="H57" s="21">
        <v>31.572099999999999</v>
      </c>
      <c r="I57" s="21">
        <v>-3.55286E-2</v>
      </c>
      <c r="J57" s="21">
        <v>47</v>
      </c>
      <c r="K57" s="21">
        <v>0.46231100000000003</v>
      </c>
      <c r="L57">
        <f t="shared" si="0"/>
        <v>35.528599999999997</v>
      </c>
      <c r="M57">
        <f t="shared" si="1"/>
        <v>16.464272997399998</v>
      </c>
      <c r="N57" s="9"/>
      <c r="O57" s="21">
        <v>0.13671900000000001</v>
      </c>
      <c r="P57" s="21">
        <v>35.996699999999997</v>
      </c>
      <c r="Q57" s="21">
        <v>-3.6029100000000001E-2</v>
      </c>
      <c r="R57" s="21">
        <v>47</v>
      </c>
      <c r="S57" s="21">
        <v>0.13565099999999999</v>
      </c>
      <c r="T57">
        <f t="shared" si="2"/>
        <v>36.0291</v>
      </c>
      <c r="U57">
        <f t="shared" si="3"/>
        <v>4.9258625229000002</v>
      </c>
      <c r="X57" s="9"/>
      <c r="Y57" s="21">
        <v>0.46340900000000002</v>
      </c>
      <c r="Z57" s="21">
        <v>38.737299999999998</v>
      </c>
      <c r="AA57" s="21">
        <v>-3.5437000000000003E-2</v>
      </c>
      <c r="AB57" s="21">
        <v>47</v>
      </c>
      <c r="AC57" s="21">
        <v>0.46224999999999999</v>
      </c>
      <c r="AD57">
        <f t="shared" si="4"/>
        <v>35.437000000000005</v>
      </c>
      <c r="AE57">
        <f t="shared" si="5"/>
        <v>16.421824733000001</v>
      </c>
      <c r="AF57" s="9"/>
      <c r="AG57" s="21">
        <v>0.13671900000000001</v>
      </c>
      <c r="AH57" s="21">
        <v>42.014899999999997</v>
      </c>
      <c r="AI57" s="21">
        <v>-3.5968E-2</v>
      </c>
      <c r="AJ57" s="21">
        <v>47</v>
      </c>
      <c r="AK57" s="21">
        <v>0.135681</v>
      </c>
      <c r="AL57">
        <f t="shared" si="6"/>
        <v>35.968000000000004</v>
      </c>
      <c r="AM57">
        <f t="shared" si="7"/>
        <v>4.917508992000001</v>
      </c>
      <c r="AP57" s="9"/>
      <c r="AQ57" s="21">
        <v>0.46340900000000002</v>
      </c>
      <c r="AR57" s="21">
        <v>49.9206</v>
      </c>
      <c r="AS57" s="21">
        <v>-3.5510300000000002E-2</v>
      </c>
      <c r="AT57" s="21">
        <v>47</v>
      </c>
      <c r="AU57" s="21">
        <v>0.462341</v>
      </c>
      <c r="AV57">
        <f t="shared" si="8"/>
        <v>35.510300000000001</v>
      </c>
      <c r="AW57">
        <f t="shared" si="9"/>
        <v>16.455792612700002</v>
      </c>
      <c r="AX57" s="9"/>
      <c r="AY57" s="21">
        <v>0.13671900000000001</v>
      </c>
      <c r="AZ57" s="21">
        <v>62.691299999999998</v>
      </c>
      <c r="BA57" s="21">
        <v>-3.6007699999999997E-2</v>
      </c>
      <c r="BB57" s="21">
        <v>47</v>
      </c>
      <c r="BC57" s="21">
        <v>0.135712</v>
      </c>
      <c r="BD57">
        <f t="shared" si="10"/>
        <v>36.0077</v>
      </c>
      <c r="BE57">
        <f t="shared" si="11"/>
        <v>4.9229367363000005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0.458374</v>
      </c>
      <c r="H58" s="21">
        <v>31.5822</v>
      </c>
      <c r="I58" s="21">
        <v>-3.5565199999999998E-2</v>
      </c>
      <c r="J58" s="21">
        <v>48</v>
      </c>
      <c r="K58" s="21">
        <v>0.45721400000000001</v>
      </c>
      <c r="L58">
        <f t="shared" si="0"/>
        <v>35.565199999999997</v>
      </c>
      <c r="M58">
        <f t="shared" si="1"/>
        <v>16.302162984799999</v>
      </c>
      <c r="N58" s="9"/>
      <c r="O58" s="21">
        <v>0.14175399999999999</v>
      </c>
      <c r="P58" s="21">
        <v>36.006799999999998</v>
      </c>
      <c r="Q58" s="21">
        <v>-3.6019900000000001E-2</v>
      </c>
      <c r="R58" s="21">
        <v>48</v>
      </c>
      <c r="S58" s="21">
        <v>0.14074700000000001</v>
      </c>
      <c r="T58">
        <f t="shared" si="2"/>
        <v>36.0199</v>
      </c>
      <c r="U58">
        <f t="shared" si="3"/>
        <v>5.1059649045999995</v>
      </c>
      <c r="X58" s="9"/>
      <c r="Y58" s="21">
        <v>0.458374</v>
      </c>
      <c r="Z58" s="21">
        <v>38.747399999999999</v>
      </c>
      <c r="AA58" s="21">
        <v>-3.5473600000000001E-2</v>
      </c>
      <c r="AB58" s="21">
        <v>48</v>
      </c>
      <c r="AC58" s="21">
        <v>0.45727499999999999</v>
      </c>
      <c r="AD58">
        <f t="shared" si="4"/>
        <v>35.473599999999998</v>
      </c>
      <c r="AE58">
        <f t="shared" si="5"/>
        <v>16.260175926399999</v>
      </c>
      <c r="AF58" s="9"/>
      <c r="AG58" s="21">
        <v>0.14175399999999999</v>
      </c>
      <c r="AH58" s="21">
        <v>42.024999999999999</v>
      </c>
      <c r="AI58" s="21">
        <v>-3.5971099999999999E-2</v>
      </c>
      <c r="AJ58" s="21">
        <v>48</v>
      </c>
      <c r="AK58" s="21">
        <v>0.14071700000000001</v>
      </c>
      <c r="AL58">
        <f t="shared" si="6"/>
        <v>35.9711</v>
      </c>
      <c r="AM58">
        <f t="shared" si="7"/>
        <v>5.0990473093999995</v>
      </c>
      <c r="AP58" s="9"/>
      <c r="AQ58" s="21">
        <v>0.458374</v>
      </c>
      <c r="AR58" s="21">
        <v>49.930599999999998</v>
      </c>
      <c r="AS58" s="21">
        <v>-3.5537699999999998E-2</v>
      </c>
      <c r="AT58" s="21">
        <v>48</v>
      </c>
      <c r="AU58" s="21">
        <v>0.45721400000000001</v>
      </c>
      <c r="AV58">
        <f t="shared" si="8"/>
        <v>35.537700000000001</v>
      </c>
      <c r="AW58">
        <f t="shared" si="9"/>
        <v>16.2895576998</v>
      </c>
      <c r="AX58" s="9"/>
      <c r="AY58" s="21">
        <v>0.14175399999999999</v>
      </c>
      <c r="AZ58" s="21">
        <v>62.7014</v>
      </c>
      <c r="BA58" s="21">
        <v>-3.6001600000000002E-2</v>
      </c>
      <c r="BB58" s="21">
        <v>48</v>
      </c>
      <c r="BC58" s="21">
        <v>0.14068600000000001</v>
      </c>
      <c r="BD58">
        <f t="shared" si="10"/>
        <v>36.001600000000003</v>
      </c>
      <c r="BE58">
        <f t="shared" si="11"/>
        <v>5.1033708064000001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0.45333899999999999</v>
      </c>
      <c r="H59" s="21">
        <v>31.592300000000002</v>
      </c>
      <c r="I59" s="21">
        <v>-3.5583499999999997E-2</v>
      </c>
      <c r="J59" s="21">
        <v>49</v>
      </c>
      <c r="K59" s="21">
        <v>0.452179</v>
      </c>
      <c r="L59">
        <f t="shared" si="0"/>
        <v>35.583499999999994</v>
      </c>
      <c r="M59">
        <f t="shared" si="1"/>
        <v>16.131388306499996</v>
      </c>
      <c r="N59" s="9"/>
      <c r="O59" s="21">
        <v>0.14679</v>
      </c>
      <c r="P59" s="21">
        <v>36.0169</v>
      </c>
      <c r="Q59" s="21">
        <v>-3.6007699999999997E-2</v>
      </c>
      <c r="R59" s="21">
        <v>49</v>
      </c>
      <c r="S59" s="21">
        <v>0.14578199999999999</v>
      </c>
      <c r="T59">
        <f t="shared" si="2"/>
        <v>36.0077</v>
      </c>
      <c r="U59">
        <f t="shared" si="3"/>
        <v>5.2855702830000002</v>
      </c>
      <c r="X59" s="9"/>
      <c r="Y59" s="21">
        <v>0.45333899999999999</v>
      </c>
      <c r="Z59" s="21">
        <v>38.7575</v>
      </c>
      <c r="AA59" s="21">
        <v>-3.5498000000000002E-2</v>
      </c>
      <c r="AB59" s="21">
        <v>49</v>
      </c>
      <c r="AC59" s="21">
        <v>0.45220900000000003</v>
      </c>
      <c r="AD59">
        <f t="shared" si="4"/>
        <v>35.498000000000005</v>
      </c>
      <c r="AE59">
        <f t="shared" si="5"/>
        <v>16.092627822000001</v>
      </c>
      <c r="AF59" s="9"/>
      <c r="AG59" s="21">
        <v>0.14679</v>
      </c>
      <c r="AH59" s="21">
        <v>42.034999999999997</v>
      </c>
      <c r="AI59" s="21">
        <v>-3.5983300000000003E-2</v>
      </c>
      <c r="AJ59" s="21">
        <v>49</v>
      </c>
      <c r="AK59" s="21">
        <v>0.14575199999999999</v>
      </c>
      <c r="AL59">
        <f t="shared" si="6"/>
        <v>35.9833</v>
      </c>
      <c r="AM59">
        <f t="shared" si="7"/>
        <v>5.2819886069999997</v>
      </c>
      <c r="AP59" s="9"/>
      <c r="AQ59" s="21">
        <v>0.45333899999999999</v>
      </c>
      <c r="AR59" s="21">
        <v>49.9407</v>
      </c>
      <c r="AS59" s="21">
        <v>-3.5559100000000003E-2</v>
      </c>
      <c r="AT59" s="21">
        <v>49</v>
      </c>
      <c r="AU59" s="21">
        <v>0.45223999999999998</v>
      </c>
      <c r="AV59">
        <f t="shared" si="8"/>
        <v>35.559100000000001</v>
      </c>
      <c r="AW59">
        <f t="shared" si="9"/>
        <v>16.120326834899998</v>
      </c>
      <c r="AX59" s="9"/>
      <c r="AY59" s="21">
        <v>0.14679</v>
      </c>
      <c r="AZ59" s="21">
        <v>62.711500000000001</v>
      </c>
      <c r="BA59" s="21">
        <v>-3.6004599999999998E-2</v>
      </c>
      <c r="BB59" s="21">
        <v>49</v>
      </c>
      <c r="BC59" s="21">
        <v>0.14575199999999999</v>
      </c>
      <c r="BD59">
        <f t="shared" si="10"/>
        <v>36.004599999999996</v>
      </c>
      <c r="BE59">
        <f t="shared" si="11"/>
        <v>5.2851152339999992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0.44830300000000001</v>
      </c>
      <c r="H60" s="21">
        <v>31.602399999999999</v>
      </c>
      <c r="I60" s="21">
        <v>-3.5604900000000002E-2</v>
      </c>
      <c r="J60" s="21">
        <v>50</v>
      </c>
      <c r="K60" s="21">
        <v>0.44720500000000002</v>
      </c>
      <c r="L60">
        <f t="shared" si="0"/>
        <v>35.604900000000001</v>
      </c>
      <c r="M60">
        <f t="shared" si="1"/>
        <v>15.9617834847</v>
      </c>
      <c r="N60" s="9"/>
      <c r="O60" s="21">
        <v>0.15182499999999999</v>
      </c>
      <c r="P60" s="21">
        <v>36.026899999999998</v>
      </c>
      <c r="Q60" s="21">
        <v>-3.60107E-2</v>
      </c>
      <c r="R60" s="21">
        <v>50</v>
      </c>
      <c r="S60" s="21">
        <v>0.150757</v>
      </c>
      <c r="T60">
        <f t="shared" si="2"/>
        <v>36.0107</v>
      </c>
      <c r="U60">
        <f t="shared" si="3"/>
        <v>5.4673245274999998</v>
      </c>
      <c r="X60" s="9"/>
      <c r="Y60" s="21">
        <v>0.44830300000000001</v>
      </c>
      <c r="Z60" s="21">
        <v>38.767499999999998</v>
      </c>
      <c r="AA60" s="21">
        <v>-3.5522499999999999E-2</v>
      </c>
      <c r="AB60" s="21">
        <v>50</v>
      </c>
      <c r="AC60" s="21">
        <v>0.44720500000000002</v>
      </c>
      <c r="AD60">
        <f t="shared" si="4"/>
        <v>35.522500000000001</v>
      </c>
      <c r="AE60">
        <f t="shared" si="5"/>
        <v>15.924843317500001</v>
      </c>
      <c r="AF60" s="9"/>
      <c r="AG60" s="21">
        <v>0.15182499999999999</v>
      </c>
      <c r="AH60" s="21">
        <v>42.045099999999998</v>
      </c>
      <c r="AI60" s="21">
        <v>-3.5986299999999999E-2</v>
      </c>
      <c r="AJ60" s="21">
        <v>50</v>
      </c>
      <c r="AK60" s="21">
        <v>0.150757</v>
      </c>
      <c r="AL60">
        <f t="shared" si="6"/>
        <v>35.9863</v>
      </c>
      <c r="AM60">
        <f t="shared" si="7"/>
        <v>5.4636199974999995</v>
      </c>
      <c r="AP60" s="9"/>
      <c r="AQ60" s="21">
        <v>0.44830300000000001</v>
      </c>
      <c r="AR60" s="21">
        <v>49.950800000000001</v>
      </c>
      <c r="AS60" s="21">
        <v>-3.5577400000000002E-2</v>
      </c>
      <c r="AT60" s="21">
        <v>50</v>
      </c>
      <c r="AU60" s="21">
        <v>0.44714399999999999</v>
      </c>
      <c r="AV60">
        <f t="shared" si="8"/>
        <v>35.577400000000004</v>
      </c>
      <c r="AW60">
        <f t="shared" si="9"/>
        <v>15.949455152200002</v>
      </c>
      <c r="AX60" s="9"/>
      <c r="AY60" s="21">
        <v>0.15182499999999999</v>
      </c>
      <c r="AZ60" s="21">
        <v>62.721499999999999</v>
      </c>
      <c r="BA60" s="21">
        <v>-3.6001600000000002E-2</v>
      </c>
      <c r="BB60" s="21">
        <v>50</v>
      </c>
      <c r="BC60" s="21">
        <v>0.150787</v>
      </c>
      <c r="BD60">
        <f t="shared" si="10"/>
        <v>36.001600000000003</v>
      </c>
      <c r="BE60">
        <f t="shared" si="11"/>
        <v>5.4659429199999998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0.443268</v>
      </c>
      <c r="H61" s="21">
        <v>31.612400000000001</v>
      </c>
      <c r="I61" s="21">
        <v>-3.5635399999999998E-2</v>
      </c>
      <c r="J61" s="21">
        <v>51</v>
      </c>
      <c r="K61" s="21">
        <v>0.44219999999999998</v>
      </c>
      <c r="L61">
        <f t="shared" si="0"/>
        <v>35.635399999999997</v>
      </c>
      <c r="M61">
        <f t="shared" si="1"/>
        <v>15.796032487199998</v>
      </c>
      <c r="N61" s="9"/>
      <c r="O61" s="21">
        <v>0.15686</v>
      </c>
      <c r="P61" s="21">
        <v>36.036999999999999</v>
      </c>
      <c r="Q61" s="21">
        <v>-3.5998500000000003E-2</v>
      </c>
      <c r="R61" s="21">
        <v>51</v>
      </c>
      <c r="S61" s="21">
        <v>0.15573100000000001</v>
      </c>
      <c r="T61">
        <f t="shared" si="2"/>
        <v>35.9985</v>
      </c>
      <c r="U61">
        <f t="shared" si="3"/>
        <v>5.64672471</v>
      </c>
      <c r="X61" s="9"/>
      <c r="Y61" s="21">
        <v>0.443268</v>
      </c>
      <c r="Z61" s="21">
        <v>38.7776</v>
      </c>
      <c r="AA61" s="21">
        <v>-3.5549900000000002E-2</v>
      </c>
      <c r="AB61" s="21">
        <v>51</v>
      </c>
      <c r="AC61" s="21">
        <v>0.44216899999999998</v>
      </c>
      <c r="AD61">
        <f t="shared" si="4"/>
        <v>35.549900000000001</v>
      </c>
      <c r="AE61">
        <f t="shared" si="5"/>
        <v>15.7581330732</v>
      </c>
      <c r="AF61" s="9"/>
      <c r="AG61" s="21">
        <v>0.15686</v>
      </c>
      <c r="AH61" s="21">
        <v>42.055199999999999</v>
      </c>
      <c r="AI61" s="21">
        <v>-3.5980199999999997E-2</v>
      </c>
      <c r="AJ61" s="21">
        <v>51</v>
      </c>
      <c r="AK61" s="21">
        <v>0.15585299999999999</v>
      </c>
      <c r="AL61">
        <f t="shared" si="6"/>
        <v>35.980199999999996</v>
      </c>
      <c r="AM61">
        <f t="shared" si="7"/>
        <v>5.6438541719999993</v>
      </c>
      <c r="AP61" s="9"/>
      <c r="AQ61" s="21">
        <v>0.443268</v>
      </c>
      <c r="AR61" s="21">
        <v>49.960799999999999</v>
      </c>
      <c r="AS61" s="21">
        <v>-3.5604900000000002E-2</v>
      </c>
      <c r="AT61" s="21">
        <v>51</v>
      </c>
      <c r="AU61" s="21">
        <v>0.442139</v>
      </c>
      <c r="AV61">
        <f t="shared" si="8"/>
        <v>35.604900000000001</v>
      </c>
      <c r="AW61">
        <f t="shared" si="9"/>
        <v>15.7825128132</v>
      </c>
      <c r="AX61" s="9"/>
      <c r="AY61" s="21">
        <v>0.15686</v>
      </c>
      <c r="AZ61" s="21">
        <v>62.7316</v>
      </c>
      <c r="BA61" s="21">
        <v>-3.6007699999999997E-2</v>
      </c>
      <c r="BB61" s="21">
        <v>51</v>
      </c>
      <c r="BC61" s="21">
        <v>0.15579200000000001</v>
      </c>
      <c r="BD61">
        <f t="shared" si="10"/>
        <v>36.0077</v>
      </c>
      <c r="BE61">
        <f t="shared" si="11"/>
        <v>5.6481678219999996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0.43823200000000001</v>
      </c>
      <c r="H62" s="21">
        <v>31.622499999999999</v>
      </c>
      <c r="I62" s="21">
        <v>-3.5650599999999998E-2</v>
      </c>
      <c r="J62" s="21">
        <v>52</v>
      </c>
      <c r="K62" s="21">
        <v>0.43710300000000002</v>
      </c>
      <c r="L62">
        <f t="shared" si="0"/>
        <v>35.650599999999997</v>
      </c>
      <c r="M62">
        <f t="shared" si="1"/>
        <v>15.6232337392</v>
      </c>
      <c r="N62" s="9"/>
      <c r="O62" s="21">
        <v>0.16189600000000001</v>
      </c>
      <c r="P62" s="21">
        <v>36.0471</v>
      </c>
      <c r="Q62" s="21">
        <v>-3.5992400000000001E-2</v>
      </c>
      <c r="R62" s="21">
        <v>52</v>
      </c>
      <c r="S62" s="21">
        <v>0.16076699999999999</v>
      </c>
      <c r="T62">
        <f t="shared" si="2"/>
        <v>35.992400000000004</v>
      </c>
      <c r="U62">
        <f t="shared" si="3"/>
        <v>5.8270255904000008</v>
      </c>
      <c r="X62" s="9"/>
      <c r="Y62" s="21">
        <v>0.43823200000000001</v>
      </c>
      <c r="Z62" s="21">
        <v>38.787700000000001</v>
      </c>
      <c r="AA62" s="21">
        <v>-3.5565199999999998E-2</v>
      </c>
      <c r="AB62" s="21">
        <v>52</v>
      </c>
      <c r="AC62" s="21">
        <v>0.43710300000000002</v>
      </c>
      <c r="AD62">
        <f t="shared" si="4"/>
        <v>35.565199999999997</v>
      </c>
      <c r="AE62">
        <f t="shared" si="5"/>
        <v>15.5858087264</v>
      </c>
      <c r="AF62" s="9"/>
      <c r="AG62" s="21">
        <v>0.16189600000000001</v>
      </c>
      <c r="AH62" s="21">
        <v>42.065199999999997</v>
      </c>
      <c r="AI62" s="21">
        <v>-3.5964999999999997E-2</v>
      </c>
      <c r="AJ62" s="21">
        <v>52</v>
      </c>
      <c r="AK62" s="21">
        <v>0.160828</v>
      </c>
      <c r="AL62">
        <f t="shared" si="6"/>
        <v>35.964999999999996</v>
      </c>
      <c r="AM62">
        <f t="shared" si="7"/>
        <v>5.8225896399999995</v>
      </c>
      <c r="AP62" s="9"/>
      <c r="AQ62" s="21">
        <v>0.43823200000000001</v>
      </c>
      <c r="AR62" s="21">
        <v>49.9709</v>
      </c>
      <c r="AS62" s="21">
        <v>-3.5620100000000002E-2</v>
      </c>
      <c r="AT62" s="21">
        <v>52</v>
      </c>
      <c r="AU62" s="21">
        <v>0.437195</v>
      </c>
      <c r="AV62">
        <f t="shared" si="8"/>
        <v>35.620100000000001</v>
      </c>
      <c r="AW62">
        <f t="shared" si="9"/>
        <v>15.609867663200001</v>
      </c>
      <c r="AX62" s="9"/>
      <c r="AY62" s="21">
        <v>0.16189600000000001</v>
      </c>
      <c r="AZ62" s="21">
        <v>62.741700000000002</v>
      </c>
      <c r="BA62" s="21">
        <v>-3.6004599999999998E-2</v>
      </c>
      <c r="BB62" s="21">
        <v>52</v>
      </c>
      <c r="BC62" s="21">
        <v>0.160858</v>
      </c>
      <c r="BD62">
        <f t="shared" si="10"/>
        <v>36.004599999999996</v>
      </c>
      <c r="BE62">
        <f t="shared" si="11"/>
        <v>5.8290007215999999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0.433197</v>
      </c>
      <c r="H63" s="21">
        <v>31.6326</v>
      </c>
      <c r="I63" s="21">
        <v>-3.5672000000000002E-2</v>
      </c>
      <c r="J63" s="21">
        <v>53</v>
      </c>
      <c r="K63" s="21">
        <v>0.43209799999999998</v>
      </c>
      <c r="L63">
        <f t="shared" si="0"/>
        <v>35.672000000000004</v>
      </c>
      <c r="M63">
        <f t="shared" si="1"/>
        <v>15.453003384000002</v>
      </c>
      <c r="N63" s="9"/>
      <c r="O63" s="21">
        <v>0.166931</v>
      </c>
      <c r="P63" s="21">
        <v>36.057200000000002</v>
      </c>
      <c r="Q63" s="21">
        <v>-3.5980199999999997E-2</v>
      </c>
      <c r="R63" s="21">
        <v>53</v>
      </c>
      <c r="S63" s="21">
        <v>0.16583300000000001</v>
      </c>
      <c r="T63">
        <f t="shared" si="2"/>
        <v>35.980199999999996</v>
      </c>
      <c r="U63">
        <f t="shared" si="3"/>
        <v>6.0062107661999988</v>
      </c>
      <c r="X63" s="9"/>
      <c r="Y63" s="21">
        <v>0.433197</v>
      </c>
      <c r="Z63" s="21">
        <v>38.797699999999999</v>
      </c>
      <c r="AA63" s="21">
        <v>-3.5595700000000001E-2</v>
      </c>
      <c r="AB63" s="21">
        <v>53</v>
      </c>
      <c r="AC63" s="21">
        <v>0.43209799999999998</v>
      </c>
      <c r="AD63">
        <f t="shared" si="4"/>
        <v>35.595700000000001</v>
      </c>
      <c r="AE63">
        <f t="shared" si="5"/>
        <v>15.4199504529</v>
      </c>
      <c r="AF63" s="9"/>
      <c r="AG63" s="21">
        <v>0.166931</v>
      </c>
      <c r="AH63" s="21">
        <v>42.075299999999999</v>
      </c>
      <c r="AI63" s="21">
        <v>-3.59528E-2</v>
      </c>
      <c r="AJ63" s="21">
        <v>53</v>
      </c>
      <c r="AK63" s="21">
        <v>0.16586300000000001</v>
      </c>
      <c r="AL63">
        <f t="shared" si="6"/>
        <v>35.952800000000003</v>
      </c>
      <c r="AM63">
        <f t="shared" si="7"/>
        <v>6.0016368568000003</v>
      </c>
      <c r="AP63" s="9"/>
      <c r="AQ63" s="21">
        <v>0.433197</v>
      </c>
      <c r="AR63" s="21">
        <v>49.981000000000002</v>
      </c>
      <c r="AS63" s="21">
        <v>-3.5617099999999999E-2</v>
      </c>
      <c r="AT63" s="21">
        <v>53</v>
      </c>
      <c r="AU63" s="21">
        <v>0.43215900000000002</v>
      </c>
      <c r="AV63">
        <f t="shared" si="8"/>
        <v>35.617100000000001</v>
      </c>
      <c r="AW63">
        <f t="shared" si="9"/>
        <v>15.4292208687</v>
      </c>
      <c r="AX63" s="9"/>
      <c r="AY63" s="21">
        <v>0.166931</v>
      </c>
      <c r="AZ63" s="21">
        <v>62.751800000000003</v>
      </c>
      <c r="BA63" s="21">
        <v>-3.59955E-2</v>
      </c>
      <c r="BB63" s="21">
        <v>53</v>
      </c>
      <c r="BC63" s="21">
        <v>0.16583300000000001</v>
      </c>
      <c r="BD63">
        <f t="shared" si="10"/>
        <v>35.9955</v>
      </c>
      <c r="BE63">
        <f t="shared" si="11"/>
        <v>6.0087648104999998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0.42816199999999999</v>
      </c>
      <c r="H64" s="21">
        <v>31.642600000000002</v>
      </c>
      <c r="I64" s="21">
        <v>-3.5687299999999998E-2</v>
      </c>
      <c r="J64" s="21">
        <v>54</v>
      </c>
      <c r="K64" s="21">
        <v>0.42703200000000002</v>
      </c>
      <c r="L64">
        <f t="shared" si="0"/>
        <v>35.6873</v>
      </c>
      <c r="M64">
        <f t="shared" si="1"/>
        <v>15.279945742599999</v>
      </c>
      <c r="N64" s="9"/>
      <c r="O64" s="21">
        <v>0.17196700000000001</v>
      </c>
      <c r="P64" s="21">
        <v>36.0672</v>
      </c>
      <c r="Q64" s="21">
        <v>-3.5971099999999999E-2</v>
      </c>
      <c r="R64" s="21">
        <v>54</v>
      </c>
      <c r="S64" s="21">
        <v>0.170959</v>
      </c>
      <c r="T64">
        <f t="shared" si="2"/>
        <v>35.9711</v>
      </c>
      <c r="U64">
        <f t="shared" si="3"/>
        <v>6.1858421537000003</v>
      </c>
      <c r="X64" s="9"/>
      <c r="Y64" s="21">
        <v>0.42816199999999999</v>
      </c>
      <c r="Z64" s="21">
        <v>38.8078</v>
      </c>
      <c r="AA64" s="21">
        <v>-3.5626199999999997E-2</v>
      </c>
      <c r="AB64" s="21">
        <v>54</v>
      </c>
      <c r="AC64" s="21">
        <v>0.42703200000000002</v>
      </c>
      <c r="AD64">
        <f t="shared" si="4"/>
        <v>35.626199999999997</v>
      </c>
      <c r="AE64">
        <f t="shared" si="5"/>
        <v>15.253785044399999</v>
      </c>
      <c r="AF64" s="9"/>
      <c r="AG64" s="21">
        <v>0.17196700000000001</v>
      </c>
      <c r="AH64" s="21">
        <v>42.0854</v>
      </c>
      <c r="AI64" s="21">
        <v>-3.5955800000000003E-2</v>
      </c>
      <c r="AJ64" s="21">
        <v>54</v>
      </c>
      <c r="AK64" s="21">
        <v>0.17086799999999999</v>
      </c>
      <c r="AL64">
        <f t="shared" si="6"/>
        <v>35.955800000000004</v>
      </c>
      <c r="AM64">
        <f t="shared" si="7"/>
        <v>6.1832110586000013</v>
      </c>
      <c r="AP64" s="9"/>
      <c r="AQ64" s="21">
        <v>0.42816199999999999</v>
      </c>
      <c r="AR64" s="21">
        <v>49.991100000000003</v>
      </c>
      <c r="AS64" s="21">
        <v>-3.5610999999999997E-2</v>
      </c>
      <c r="AT64" s="21">
        <v>54</v>
      </c>
      <c r="AU64" s="21">
        <v>0.42706300000000003</v>
      </c>
      <c r="AV64">
        <f t="shared" si="8"/>
        <v>35.610999999999997</v>
      </c>
      <c r="AW64">
        <f t="shared" si="9"/>
        <v>15.247276981999999</v>
      </c>
      <c r="AX64" s="9"/>
      <c r="AY64" s="21">
        <v>0.17196700000000001</v>
      </c>
      <c r="AZ64" s="21">
        <v>62.761800000000001</v>
      </c>
      <c r="BA64" s="21">
        <v>-3.5974100000000002E-2</v>
      </c>
      <c r="BB64" s="21">
        <v>54</v>
      </c>
      <c r="BC64" s="21">
        <v>0.17086799999999999</v>
      </c>
      <c r="BD64">
        <f t="shared" si="10"/>
        <v>35.9741</v>
      </c>
      <c r="BE64">
        <f t="shared" si="11"/>
        <v>6.1863580547000003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0.423126</v>
      </c>
      <c r="H65" s="21">
        <v>31.652699999999999</v>
      </c>
      <c r="I65" s="21">
        <v>-3.5705599999999997E-2</v>
      </c>
      <c r="J65" s="21">
        <v>55</v>
      </c>
      <c r="K65" s="21">
        <v>0.42205799999999999</v>
      </c>
      <c r="L65">
        <f t="shared" si="0"/>
        <v>35.705599999999997</v>
      </c>
      <c r="M65">
        <f t="shared" si="1"/>
        <v>15.107967705599998</v>
      </c>
      <c r="N65" s="9"/>
      <c r="O65" s="21">
        <v>0.17700199999999999</v>
      </c>
      <c r="P65" s="21">
        <v>36.077300000000001</v>
      </c>
      <c r="Q65" s="21">
        <v>-3.5961899999999998E-2</v>
      </c>
      <c r="R65" s="21">
        <v>55</v>
      </c>
      <c r="S65" s="21">
        <v>0.175903</v>
      </c>
      <c r="T65">
        <f t="shared" si="2"/>
        <v>35.9619</v>
      </c>
      <c r="U65">
        <f t="shared" si="3"/>
        <v>6.3653282237999997</v>
      </c>
      <c r="X65" s="9"/>
      <c r="Y65" s="21">
        <v>0.423126</v>
      </c>
      <c r="Z65" s="21">
        <v>38.817900000000002</v>
      </c>
      <c r="AA65" s="21">
        <v>-3.5653700000000003E-2</v>
      </c>
      <c r="AB65" s="21">
        <v>55</v>
      </c>
      <c r="AC65" s="21">
        <v>0.42196699999999998</v>
      </c>
      <c r="AD65">
        <f t="shared" si="4"/>
        <v>35.653700000000001</v>
      </c>
      <c r="AE65">
        <f t="shared" si="5"/>
        <v>15.0860074662</v>
      </c>
      <c r="AF65" s="9"/>
      <c r="AG65" s="21">
        <v>0.17700199999999999</v>
      </c>
      <c r="AH65" s="21">
        <v>42.095500000000001</v>
      </c>
      <c r="AI65" s="21">
        <v>-3.59528E-2</v>
      </c>
      <c r="AJ65" s="21">
        <v>55</v>
      </c>
      <c r="AK65" s="21">
        <v>0.175842</v>
      </c>
      <c r="AL65">
        <f t="shared" si="6"/>
        <v>35.952800000000003</v>
      </c>
      <c r="AM65">
        <f t="shared" si="7"/>
        <v>6.3637175056000004</v>
      </c>
      <c r="AP65" s="9"/>
      <c r="AQ65" s="21">
        <v>0.423126</v>
      </c>
      <c r="AR65" s="21">
        <v>50.001100000000001</v>
      </c>
      <c r="AS65" s="21">
        <v>-3.5617099999999999E-2</v>
      </c>
      <c r="AT65" s="21">
        <v>55</v>
      </c>
      <c r="AU65" s="21">
        <v>0.42193599999999998</v>
      </c>
      <c r="AV65">
        <f t="shared" si="8"/>
        <v>35.617100000000001</v>
      </c>
      <c r="AW65">
        <f t="shared" si="9"/>
        <v>15.0705210546</v>
      </c>
      <c r="AX65" s="9"/>
      <c r="AY65" s="21">
        <v>0.17700199999999999</v>
      </c>
      <c r="AZ65" s="21">
        <v>62.771900000000002</v>
      </c>
      <c r="BA65" s="21">
        <v>-3.5968E-2</v>
      </c>
      <c r="BB65" s="21">
        <v>55</v>
      </c>
      <c r="BC65" s="21">
        <v>0.17593400000000001</v>
      </c>
      <c r="BD65">
        <f t="shared" si="10"/>
        <v>35.968000000000004</v>
      </c>
      <c r="BE65">
        <f t="shared" si="11"/>
        <v>6.3664079360000008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0.41809099999999999</v>
      </c>
      <c r="H66" s="21">
        <v>31.662800000000001</v>
      </c>
      <c r="I66" s="21">
        <v>-3.5705599999999997E-2</v>
      </c>
      <c r="J66" s="21">
        <v>56</v>
      </c>
      <c r="K66" s="21">
        <v>0.41699199999999997</v>
      </c>
      <c r="L66">
        <f t="shared" si="0"/>
        <v>35.705599999999997</v>
      </c>
      <c r="M66">
        <f t="shared" si="1"/>
        <v>14.928190009599998</v>
      </c>
      <c r="N66" s="9"/>
      <c r="O66" s="21">
        <v>0.182037</v>
      </c>
      <c r="P66" s="21">
        <v>36.087400000000002</v>
      </c>
      <c r="Q66" s="21">
        <v>-3.5931400000000002E-2</v>
      </c>
      <c r="R66" s="21">
        <v>56</v>
      </c>
      <c r="S66" s="21">
        <v>0.18096899999999999</v>
      </c>
      <c r="T66">
        <f t="shared" si="2"/>
        <v>35.931400000000004</v>
      </c>
      <c r="U66">
        <f t="shared" si="3"/>
        <v>6.5408442618000011</v>
      </c>
      <c r="X66" s="9"/>
      <c r="Y66" s="21">
        <v>0.41809099999999999</v>
      </c>
      <c r="Z66" s="21">
        <v>38.8279</v>
      </c>
      <c r="AA66" s="21">
        <v>-3.5681200000000003E-2</v>
      </c>
      <c r="AB66" s="21">
        <v>56</v>
      </c>
      <c r="AC66" s="21">
        <v>0.416931</v>
      </c>
      <c r="AD66">
        <f t="shared" si="4"/>
        <v>35.681200000000004</v>
      </c>
      <c r="AE66">
        <f t="shared" si="5"/>
        <v>14.917988589200002</v>
      </c>
      <c r="AF66" s="9"/>
      <c r="AG66" s="21">
        <v>0.182037</v>
      </c>
      <c r="AH66" s="21">
        <v>42.105499999999999</v>
      </c>
      <c r="AI66" s="21">
        <v>-3.5958900000000002E-2</v>
      </c>
      <c r="AJ66" s="21">
        <v>56</v>
      </c>
      <c r="AK66" s="21">
        <v>0.181061</v>
      </c>
      <c r="AL66">
        <f t="shared" si="6"/>
        <v>35.9589</v>
      </c>
      <c r="AM66">
        <f t="shared" si="7"/>
        <v>6.5458502792999997</v>
      </c>
      <c r="AP66" s="9"/>
      <c r="AQ66" s="21">
        <v>0.41809099999999999</v>
      </c>
      <c r="AR66" s="21">
        <v>50.011200000000002</v>
      </c>
      <c r="AS66" s="21">
        <v>-3.5632299999999999E-2</v>
      </c>
      <c r="AT66" s="21">
        <v>56</v>
      </c>
      <c r="AU66" s="21">
        <v>0.416962</v>
      </c>
      <c r="AV66">
        <f t="shared" si="8"/>
        <v>35.632300000000001</v>
      </c>
      <c r="AW66">
        <f t="shared" si="9"/>
        <v>14.8975439393</v>
      </c>
      <c r="AX66" s="9"/>
      <c r="AY66" s="21">
        <v>0.182037</v>
      </c>
      <c r="AZ66" s="21">
        <v>62.781999999999996</v>
      </c>
      <c r="BA66" s="21">
        <v>-3.5958900000000002E-2</v>
      </c>
      <c r="BB66" s="21">
        <v>56</v>
      </c>
      <c r="BC66" s="21">
        <v>0.18099999999999999</v>
      </c>
      <c r="BD66">
        <f t="shared" si="10"/>
        <v>35.9589</v>
      </c>
      <c r="BE66">
        <f t="shared" si="11"/>
        <v>6.5458502792999997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0.41305500000000001</v>
      </c>
      <c r="H67" s="21">
        <v>31.672799999999999</v>
      </c>
      <c r="I67" s="21">
        <v>-3.56934E-2</v>
      </c>
      <c r="J67" s="21">
        <v>57</v>
      </c>
      <c r="K67" s="21">
        <v>0.41195700000000002</v>
      </c>
      <c r="L67">
        <f t="shared" si="0"/>
        <v>35.693399999999997</v>
      </c>
      <c r="M67">
        <f t="shared" si="1"/>
        <v>14.743337336999998</v>
      </c>
      <c r="N67" s="9"/>
      <c r="O67" s="21">
        <v>0.18707299999999999</v>
      </c>
      <c r="P67" s="21">
        <v>36.0974</v>
      </c>
      <c r="Q67" s="21">
        <v>-3.5909999999999997E-2</v>
      </c>
      <c r="R67" s="21">
        <v>57</v>
      </c>
      <c r="S67" s="21">
        <v>0.185944</v>
      </c>
      <c r="T67">
        <f t="shared" si="2"/>
        <v>35.909999999999997</v>
      </c>
      <c r="U67">
        <f t="shared" si="3"/>
        <v>6.7177914299999992</v>
      </c>
      <c r="X67" s="9"/>
      <c r="Y67" s="21">
        <v>0.41305500000000001</v>
      </c>
      <c r="Z67" s="21">
        <v>38.838000000000001</v>
      </c>
      <c r="AA67" s="21">
        <v>-3.5690300000000001E-2</v>
      </c>
      <c r="AB67" s="21">
        <v>57</v>
      </c>
      <c r="AC67" s="21">
        <v>0.41192600000000001</v>
      </c>
      <c r="AD67">
        <f t="shared" si="4"/>
        <v>35.690300000000001</v>
      </c>
      <c r="AE67">
        <f t="shared" si="5"/>
        <v>14.7420568665</v>
      </c>
      <c r="AF67" s="9"/>
      <c r="AG67" s="21">
        <v>0.18707299999999999</v>
      </c>
      <c r="AH67" s="21">
        <v>42.115600000000001</v>
      </c>
      <c r="AI67" s="21">
        <v>-3.5964999999999997E-2</v>
      </c>
      <c r="AJ67" s="21">
        <v>57</v>
      </c>
      <c r="AK67" s="21">
        <v>0.185974</v>
      </c>
      <c r="AL67">
        <f t="shared" si="6"/>
        <v>35.964999999999996</v>
      </c>
      <c r="AM67">
        <f t="shared" si="7"/>
        <v>6.7280804449999989</v>
      </c>
      <c r="AP67" s="9"/>
      <c r="AQ67" s="21">
        <v>0.41305500000000001</v>
      </c>
      <c r="AR67" s="21">
        <v>50.021299999999997</v>
      </c>
      <c r="AS67" s="21">
        <v>-3.5635399999999998E-2</v>
      </c>
      <c r="AT67" s="21">
        <v>57</v>
      </c>
      <c r="AU67" s="21">
        <v>0.41192600000000001</v>
      </c>
      <c r="AV67">
        <f t="shared" si="8"/>
        <v>35.635399999999997</v>
      </c>
      <c r="AW67">
        <f t="shared" si="9"/>
        <v>14.719380146999999</v>
      </c>
      <c r="AX67" s="9"/>
      <c r="AY67" s="21">
        <v>0.18707299999999999</v>
      </c>
      <c r="AZ67" s="21">
        <v>62.792000000000002</v>
      </c>
      <c r="BA67" s="21">
        <v>-3.5968E-2</v>
      </c>
      <c r="BB67" s="21">
        <v>57</v>
      </c>
      <c r="BC67" s="21">
        <v>0.186005</v>
      </c>
      <c r="BD67">
        <f t="shared" si="10"/>
        <v>35.968000000000004</v>
      </c>
      <c r="BE67">
        <f t="shared" si="11"/>
        <v>6.7286416640000004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0.40801999999999999</v>
      </c>
      <c r="H68" s="21">
        <v>31.6829</v>
      </c>
      <c r="I68" s="21">
        <v>-3.5672000000000002E-2</v>
      </c>
      <c r="J68" s="21">
        <v>58</v>
      </c>
      <c r="K68" s="21">
        <v>0.406891</v>
      </c>
      <c r="L68">
        <f t="shared" si="0"/>
        <v>35.672000000000004</v>
      </c>
      <c r="M68">
        <f t="shared" si="1"/>
        <v>14.554889440000002</v>
      </c>
      <c r="N68" s="9"/>
      <c r="O68" s="21">
        <v>0.192108</v>
      </c>
      <c r="P68" s="21">
        <v>36.107500000000002</v>
      </c>
      <c r="Q68" s="21">
        <v>-3.5885599999999997E-2</v>
      </c>
      <c r="R68" s="21">
        <v>58</v>
      </c>
      <c r="S68" s="21">
        <v>0.19107099999999999</v>
      </c>
      <c r="T68">
        <f t="shared" si="2"/>
        <v>35.885599999999997</v>
      </c>
      <c r="U68">
        <f t="shared" si="3"/>
        <v>6.8939108447999997</v>
      </c>
      <c r="X68" s="9"/>
      <c r="Y68" s="21">
        <v>0.40801999999999999</v>
      </c>
      <c r="Z68" s="21">
        <v>38.848100000000002</v>
      </c>
      <c r="AA68" s="21">
        <v>-3.5714700000000002E-2</v>
      </c>
      <c r="AB68" s="21">
        <v>58</v>
      </c>
      <c r="AC68" s="21">
        <v>0.40683000000000002</v>
      </c>
      <c r="AD68">
        <f t="shared" si="4"/>
        <v>35.714700000000001</v>
      </c>
      <c r="AE68">
        <f t="shared" si="5"/>
        <v>14.572311894</v>
      </c>
      <c r="AF68" s="9"/>
      <c r="AG68" s="21">
        <v>0.192108</v>
      </c>
      <c r="AH68" s="21">
        <v>42.125700000000002</v>
      </c>
      <c r="AI68" s="21">
        <v>-3.5958900000000002E-2</v>
      </c>
      <c r="AJ68" s="21">
        <v>58</v>
      </c>
      <c r="AK68" s="21">
        <v>0.19103999999999999</v>
      </c>
      <c r="AL68">
        <f t="shared" si="6"/>
        <v>35.9589</v>
      </c>
      <c r="AM68">
        <f t="shared" si="7"/>
        <v>6.9079923611999998</v>
      </c>
      <c r="AP68" s="9"/>
      <c r="AQ68" s="21">
        <v>0.40801999999999999</v>
      </c>
      <c r="AR68" s="21">
        <v>50.031300000000002</v>
      </c>
      <c r="AS68" s="21">
        <v>-3.5653700000000003E-2</v>
      </c>
      <c r="AT68" s="21">
        <v>58</v>
      </c>
      <c r="AU68" s="21">
        <v>0.40695199999999998</v>
      </c>
      <c r="AV68">
        <f t="shared" si="8"/>
        <v>35.653700000000001</v>
      </c>
      <c r="AW68">
        <f t="shared" si="9"/>
        <v>14.547422674</v>
      </c>
      <c r="AX68" s="9"/>
      <c r="AY68" s="21">
        <v>0.192108</v>
      </c>
      <c r="AZ68" s="21">
        <v>62.802100000000003</v>
      </c>
      <c r="BA68" s="21">
        <v>-3.5961899999999998E-2</v>
      </c>
      <c r="BB68" s="21">
        <v>58</v>
      </c>
      <c r="BC68" s="21">
        <v>0.19097900000000001</v>
      </c>
      <c r="BD68">
        <f t="shared" si="10"/>
        <v>35.9619</v>
      </c>
      <c r="BE68">
        <f t="shared" si="11"/>
        <v>6.9085686851999997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0.40298499999999998</v>
      </c>
      <c r="H69" s="21">
        <v>31.693000000000001</v>
      </c>
      <c r="I69" s="21">
        <v>-3.5672000000000002E-2</v>
      </c>
      <c r="J69" s="21">
        <v>59</v>
      </c>
      <c r="K69" s="21">
        <v>0.40182499999999999</v>
      </c>
      <c r="L69">
        <f t="shared" si="0"/>
        <v>35.672000000000004</v>
      </c>
      <c r="M69">
        <f t="shared" si="1"/>
        <v>14.375280920000002</v>
      </c>
      <c r="N69" s="9"/>
      <c r="O69" s="21">
        <v>0.19714400000000001</v>
      </c>
      <c r="P69" s="21">
        <v>36.117600000000003</v>
      </c>
      <c r="Q69" s="21">
        <v>-3.5888700000000003E-2</v>
      </c>
      <c r="R69" s="21">
        <v>59</v>
      </c>
      <c r="S69" s="21">
        <v>0.196075</v>
      </c>
      <c r="T69">
        <f t="shared" si="2"/>
        <v>35.8887</v>
      </c>
      <c r="U69">
        <f t="shared" si="3"/>
        <v>7.0752418728000004</v>
      </c>
      <c r="X69" s="9"/>
      <c r="Y69" s="21">
        <v>0.40298499999999998</v>
      </c>
      <c r="Z69" s="21">
        <v>38.858199999999997</v>
      </c>
      <c r="AA69" s="21">
        <v>-3.5733000000000001E-2</v>
      </c>
      <c r="AB69" s="21">
        <v>59</v>
      </c>
      <c r="AC69" s="21">
        <v>0.40191700000000002</v>
      </c>
      <c r="AD69">
        <f t="shared" si="4"/>
        <v>35.733000000000004</v>
      </c>
      <c r="AE69">
        <f t="shared" si="5"/>
        <v>14.399863005</v>
      </c>
      <c r="AF69" s="9"/>
      <c r="AG69" s="21">
        <v>0.19714400000000001</v>
      </c>
      <c r="AH69" s="21">
        <v>42.1357</v>
      </c>
      <c r="AI69" s="21">
        <v>-3.5961899999999998E-2</v>
      </c>
      <c r="AJ69" s="21">
        <v>59</v>
      </c>
      <c r="AK69" s="21">
        <v>0.196136</v>
      </c>
      <c r="AL69">
        <f t="shared" si="6"/>
        <v>35.9619</v>
      </c>
      <c r="AM69">
        <f t="shared" si="7"/>
        <v>7.0896728136000009</v>
      </c>
      <c r="AP69" s="9"/>
      <c r="AQ69" s="21">
        <v>0.40298499999999998</v>
      </c>
      <c r="AR69" s="21">
        <v>50.041400000000003</v>
      </c>
      <c r="AS69" s="21">
        <v>-3.5681200000000003E-2</v>
      </c>
      <c r="AT69" s="21">
        <v>59</v>
      </c>
      <c r="AU69" s="21">
        <v>0.40191700000000002</v>
      </c>
      <c r="AV69">
        <f t="shared" si="8"/>
        <v>35.681200000000004</v>
      </c>
      <c r="AW69">
        <f t="shared" si="9"/>
        <v>14.378988382000001</v>
      </c>
      <c r="AX69" s="9"/>
      <c r="AY69" s="21">
        <v>0.19714400000000001</v>
      </c>
      <c r="AZ69" s="21">
        <v>62.812199999999997</v>
      </c>
      <c r="BA69" s="21">
        <v>-3.5961899999999998E-2</v>
      </c>
      <c r="BB69" s="21">
        <v>59</v>
      </c>
      <c r="BC69" s="21">
        <v>0.196045</v>
      </c>
      <c r="BD69">
        <f t="shared" si="10"/>
        <v>35.9619</v>
      </c>
      <c r="BE69">
        <f t="shared" si="11"/>
        <v>7.0896728136000009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0.397949</v>
      </c>
      <c r="H70" s="21">
        <v>31.703099999999999</v>
      </c>
      <c r="I70" s="21">
        <v>-3.5699500000000002E-2</v>
      </c>
      <c r="J70" s="21">
        <v>60</v>
      </c>
      <c r="K70" s="21">
        <v>0.39685100000000001</v>
      </c>
      <c r="L70">
        <f t="shared" si="0"/>
        <v>35.6995</v>
      </c>
      <c r="M70">
        <f t="shared" si="1"/>
        <v>14.206580325500001</v>
      </c>
      <c r="N70" s="9"/>
      <c r="O70" s="21">
        <v>0.202179</v>
      </c>
      <c r="P70" s="21">
        <v>36.127699999999997</v>
      </c>
      <c r="Q70" s="21">
        <v>-3.5891699999999999E-2</v>
      </c>
      <c r="R70" s="21">
        <v>60</v>
      </c>
      <c r="S70" s="21">
        <v>0.20105000000000001</v>
      </c>
      <c r="T70">
        <f t="shared" si="2"/>
        <v>35.8917</v>
      </c>
      <c r="U70">
        <f t="shared" si="3"/>
        <v>7.2565480142999998</v>
      </c>
      <c r="X70" s="9"/>
      <c r="Y70" s="21">
        <v>0.397949</v>
      </c>
      <c r="Z70" s="21">
        <v>38.868200000000002</v>
      </c>
      <c r="AA70" s="21">
        <v>-3.5742200000000002E-2</v>
      </c>
      <c r="AB70" s="21">
        <v>60</v>
      </c>
      <c r="AC70" s="21">
        <v>0.39682000000000001</v>
      </c>
      <c r="AD70">
        <f t="shared" si="4"/>
        <v>35.742200000000004</v>
      </c>
      <c r="AE70">
        <f t="shared" si="5"/>
        <v>14.223572747800002</v>
      </c>
      <c r="AF70" s="9"/>
      <c r="AG70" s="21">
        <v>0.202179</v>
      </c>
      <c r="AH70" s="21">
        <v>42.145800000000001</v>
      </c>
      <c r="AI70" s="21">
        <v>-3.5961899999999998E-2</v>
      </c>
      <c r="AJ70" s="21">
        <v>60</v>
      </c>
      <c r="AK70" s="21">
        <v>0.201019</v>
      </c>
      <c r="AL70">
        <f t="shared" si="6"/>
        <v>35.9619</v>
      </c>
      <c r="AM70">
        <f t="shared" si="7"/>
        <v>7.2707409801000003</v>
      </c>
      <c r="AP70" s="9"/>
      <c r="AQ70" s="21">
        <v>0.397949</v>
      </c>
      <c r="AR70" s="21">
        <v>50.051499999999997</v>
      </c>
      <c r="AS70" s="21">
        <v>-3.5696400000000003E-2</v>
      </c>
      <c r="AT70" s="21">
        <v>60</v>
      </c>
      <c r="AU70" s="21">
        <v>0.39685100000000001</v>
      </c>
      <c r="AV70">
        <f t="shared" si="8"/>
        <v>35.696400000000004</v>
      </c>
      <c r="AW70">
        <f t="shared" si="9"/>
        <v>14.205346683600002</v>
      </c>
      <c r="AX70" s="9"/>
      <c r="AY70" s="21">
        <v>0.202179</v>
      </c>
      <c r="AZ70" s="21">
        <v>62.822200000000002</v>
      </c>
      <c r="BA70" s="21">
        <v>-3.5964999999999997E-2</v>
      </c>
      <c r="BB70" s="21">
        <v>60</v>
      </c>
      <c r="BC70" s="21">
        <v>0.20108000000000001</v>
      </c>
      <c r="BD70">
        <f t="shared" si="10"/>
        <v>35.964999999999996</v>
      </c>
      <c r="BE70">
        <f t="shared" si="11"/>
        <v>7.2713677349999992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0.39291399999999999</v>
      </c>
      <c r="H71" s="21">
        <v>31.713100000000001</v>
      </c>
      <c r="I71" s="21">
        <v>-3.5717800000000001E-2</v>
      </c>
      <c r="J71" s="21">
        <v>61</v>
      </c>
      <c r="K71" s="21">
        <v>0.39193699999999998</v>
      </c>
      <c r="L71">
        <f t="shared" si="0"/>
        <v>35.717800000000004</v>
      </c>
      <c r="M71">
        <f t="shared" si="1"/>
        <v>14.034023669200002</v>
      </c>
      <c r="N71" s="9"/>
      <c r="O71" s="21">
        <v>0.20721400000000001</v>
      </c>
      <c r="P71" s="21">
        <v>36.137700000000002</v>
      </c>
      <c r="Q71" s="21">
        <v>-3.5882600000000001E-2</v>
      </c>
      <c r="R71" s="21">
        <v>61</v>
      </c>
      <c r="S71" s="21">
        <v>0.206238</v>
      </c>
      <c r="T71">
        <f t="shared" si="2"/>
        <v>35.882600000000004</v>
      </c>
      <c r="U71">
        <f t="shared" si="3"/>
        <v>7.4353770764000009</v>
      </c>
      <c r="X71" s="9"/>
      <c r="Y71" s="21">
        <v>0.39291399999999999</v>
      </c>
      <c r="Z71" s="21">
        <v>38.878300000000003</v>
      </c>
      <c r="AA71" s="21">
        <v>-3.5757400000000002E-2</v>
      </c>
      <c r="AB71" s="21">
        <v>61</v>
      </c>
      <c r="AC71" s="21">
        <v>0.39181500000000002</v>
      </c>
      <c r="AD71">
        <f t="shared" si="4"/>
        <v>35.757400000000004</v>
      </c>
      <c r="AE71">
        <f t="shared" si="5"/>
        <v>14.049583063600002</v>
      </c>
      <c r="AF71" s="9"/>
      <c r="AG71" s="21">
        <v>0.20721400000000001</v>
      </c>
      <c r="AH71" s="21">
        <v>42.155900000000003</v>
      </c>
      <c r="AI71" s="21">
        <v>-3.5964999999999997E-2</v>
      </c>
      <c r="AJ71" s="21">
        <v>61</v>
      </c>
      <c r="AK71" s="21">
        <v>0.206177</v>
      </c>
      <c r="AL71">
        <f t="shared" si="6"/>
        <v>35.964999999999996</v>
      </c>
      <c r="AM71">
        <f t="shared" si="7"/>
        <v>7.4524515099999995</v>
      </c>
      <c r="AP71" s="9"/>
      <c r="AQ71" s="21">
        <v>0.39291399999999999</v>
      </c>
      <c r="AR71" s="21">
        <v>50.061599999999999</v>
      </c>
      <c r="AS71" s="21">
        <v>-3.5711699999999999E-2</v>
      </c>
      <c r="AT71" s="21">
        <v>61</v>
      </c>
      <c r="AU71" s="21">
        <v>0.39181500000000002</v>
      </c>
      <c r="AV71">
        <f t="shared" si="8"/>
        <v>35.7117</v>
      </c>
      <c r="AW71">
        <f t="shared" si="9"/>
        <v>14.0316268938</v>
      </c>
      <c r="AX71" s="9"/>
      <c r="AY71" s="21">
        <v>0.20721400000000001</v>
      </c>
      <c r="AZ71" s="21">
        <v>62.832299999999996</v>
      </c>
      <c r="BA71" s="21">
        <v>-3.5968E-2</v>
      </c>
      <c r="BB71" s="21">
        <v>61</v>
      </c>
      <c r="BC71" s="21">
        <v>0.206177</v>
      </c>
      <c r="BD71">
        <f t="shared" si="10"/>
        <v>35.968000000000004</v>
      </c>
      <c r="BE71">
        <f t="shared" si="11"/>
        <v>7.4530731520000009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0.387878</v>
      </c>
      <c r="H72" s="21">
        <v>31.723199999999999</v>
      </c>
      <c r="I72" s="21">
        <v>-3.5729999999999998E-2</v>
      </c>
      <c r="J72" s="21">
        <v>62</v>
      </c>
      <c r="K72" s="21">
        <v>0.38674900000000001</v>
      </c>
      <c r="L72">
        <f t="shared" si="0"/>
        <v>35.729999999999997</v>
      </c>
      <c r="M72">
        <f t="shared" si="1"/>
        <v>13.858880939999999</v>
      </c>
      <c r="N72" s="9"/>
      <c r="O72" s="21">
        <v>0.21224999999999999</v>
      </c>
      <c r="P72" s="21">
        <v>36.147799999999997</v>
      </c>
      <c r="Q72" s="21">
        <v>-3.5876499999999999E-2</v>
      </c>
      <c r="R72" s="21">
        <v>62</v>
      </c>
      <c r="S72" s="21">
        <v>0.21121200000000001</v>
      </c>
      <c r="T72">
        <f t="shared" si="2"/>
        <v>35.8765</v>
      </c>
      <c r="U72">
        <f t="shared" si="3"/>
        <v>7.6147871249999994</v>
      </c>
      <c r="X72" s="9"/>
      <c r="Y72" s="21">
        <v>0.387878</v>
      </c>
      <c r="Z72" s="21">
        <v>38.888399999999997</v>
      </c>
      <c r="AA72" s="21">
        <v>-3.5754399999999999E-2</v>
      </c>
      <c r="AB72" s="21">
        <v>62</v>
      </c>
      <c r="AC72" s="21">
        <v>0.38678000000000001</v>
      </c>
      <c r="AD72">
        <f t="shared" si="4"/>
        <v>35.754399999999997</v>
      </c>
      <c r="AE72">
        <f t="shared" si="5"/>
        <v>13.868345163199999</v>
      </c>
      <c r="AF72" s="9"/>
      <c r="AG72" s="21">
        <v>0.21224999999999999</v>
      </c>
      <c r="AH72" s="21">
        <v>42.165999999999997</v>
      </c>
      <c r="AI72" s="21">
        <v>-3.5980199999999997E-2</v>
      </c>
      <c r="AJ72" s="21">
        <v>62</v>
      </c>
      <c r="AK72" s="21">
        <v>0.21115100000000001</v>
      </c>
      <c r="AL72">
        <f t="shared" si="6"/>
        <v>35.980199999999996</v>
      </c>
      <c r="AM72">
        <f t="shared" si="7"/>
        <v>7.6367974499999987</v>
      </c>
      <c r="AP72" s="9"/>
      <c r="AQ72" s="21">
        <v>0.387878</v>
      </c>
      <c r="AR72" s="21">
        <v>50.071599999999997</v>
      </c>
      <c r="AS72" s="21">
        <v>-3.5739100000000003E-2</v>
      </c>
      <c r="AT72" s="21">
        <v>62</v>
      </c>
      <c r="AU72" s="21">
        <v>0.38680999999999999</v>
      </c>
      <c r="AV72">
        <f t="shared" si="8"/>
        <v>35.739100000000001</v>
      </c>
      <c r="AW72">
        <f t="shared" si="9"/>
        <v>13.862410629799999</v>
      </c>
      <c r="AX72" s="9"/>
      <c r="AY72" s="21">
        <v>0.21224999999999999</v>
      </c>
      <c r="AZ72" s="21">
        <v>62.842399999999998</v>
      </c>
      <c r="BA72" s="21">
        <v>-3.5974100000000002E-2</v>
      </c>
      <c r="BB72" s="21">
        <v>62</v>
      </c>
      <c r="BC72" s="21">
        <v>0.21118200000000001</v>
      </c>
      <c r="BD72">
        <f t="shared" si="10"/>
        <v>35.9741</v>
      </c>
      <c r="BE72">
        <f t="shared" si="11"/>
        <v>7.6355027249999994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0.38284299999999999</v>
      </c>
      <c r="H73" s="21">
        <v>31.7333</v>
      </c>
      <c r="I73" s="21">
        <v>-3.5742200000000002E-2</v>
      </c>
      <c r="J73" s="21">
        <v>63</v>
      </c>
      <c r="K73" s="21">
        <v>0.381714</v>
      </c>
      <c r="L73">
        <f t="shared" si="0"/>
        <v>35.742200000000004</v>
      </c>
      <c r="M73">
        <f t="shared" si="1"/>
        <v>13.683651074600002</v>
      </c>
      <c r="N73" s="9"/>
      <c r="O73" s="21">
        <v>0.21728500000000001</v>
      </c>
      <c r="P73" s="21">
        <v>36.157899999999998</v>
      </c>
      <c r="Q73" s="21">
        <v>-3.5870399999999997E-2</v>
      </c>
      <c r="R73" s="21">
        <v>63</v>
      </c>
      <c r="S73" s="21">
        <v>0.21621699999999999</v>
      </c>
      <c r="T73">
        <f t="shared" si="2"/>
        <v>35.870399999999997</v>
      </c>
      <c r="U73">
        <f t="shared" si="3"/>
        <v>7.7940998639999997</v>
      </c>
      <c r="X73" s="9"/>
      <c r="Y73" s="21">
        <v>0.38284299999999999</v>
      </c>
      <c r="Z73" s="21">
        <v>38.898400000000002</v>
      </c>
      <c r="AA73" s="21">
        <v>-3.5763499999999997E-2</v>
      </c>
      <c r="AB73" s="21">
        <v>63</v>
      </c>
      <c r="AC73" s="21">
        <v>0.381714</v>
      </c>
      <c r="AD73">
        <f t="shared" si="4"/>
        <v>35.763499999999993</v>
      </c>
      <c r="AE73">
        <f t="shared" si="5"/>
        <v>13.691805630499998</v>
      </c>
      <c r="AF73" s="9"/>
      <c r="AG73" s="21">
        <v>0.21728500000000001</v>
      </c>
      <c r="AH73" s="21">
        <v>42.176000000000002</v>
      </c>
      <c r="AI73" s="21">
        <v>-3.5992400000000001E-2</v>
      </c>
      <c r="AJ73" s="21">
        <v>63</v>
      </c>
      <c r="AK73" s="21">
        <v>0.216278</v>
      </c>
      <c r="AL73">
        <f t="shared" si="6"/>
        <v>35.992400000000004</v>
      </c>
      <c r="AM73">
        <f t="shared" si="7"/>
        <v>7.8206086340000009</v>
      </c>
      <c r="AP73" s="9"/>
      <c r="AQ73" s="21">
        <v>0.38284299999999999</v>
      </c>
      <c r="AR73" s="21">
        <v>50.081699999999998</v>
      </c>
      <c r="AS73" s="21">
        <v>-3.5760500000000001E-2</v>
      </c>
      <c r="AT73" s="21">
        <v>63</v>
      </c>
      <c r="AU73" s="21">
        <v>0.38177499999999998</v>
      </c>
      <c r="AV73">
        <f t="shared" si="8"/>
        <v>35.7605</v>
      </c>
      <c r="AW73">
        <f t="shared" si="9"/>
        <v>13.690657101499999</v>
      </c>
      <c r="AX73" s="9"/>
      <c r="AY73" s="21">
        <v>0.21728500000000001</v>
      </c>
      <c r="AZ73" s="21">
        <v>62.852499999999999</v>
      </c>
      <c r="BA73" s="21">
        <v>-3.5971099999999999E-2</v>
      </c>
      <c r="BB73" s="21">
        <v>63</v>
      </c>
      <c r="BC73" s="21">
        <v>0.21615599999999999</v>
      </c>
      <c r="BD73">
        <f t="shared" si="10"/>
        <v>35.9711</v>
      </c>
      <c r="BE73">
        <f t="shared" si="11"/>
        <v>7.8159804634999999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0.37780799999999998</v>
      </c>
      <c r="H74" s="21">
        <v>31.743300000000001</v>
      </c>
      <c r="I74" s="21">
        <v>-3.5748299999999997E-2</v>
      </c>
      <c r="J74" s="21">
        <v>64</v>
      </c>
      <c r="K74" s="21">
        <v>0.37670900000000002</v>
      </c>
      <c r="L74">
        <f t="shared" si="0"/>
        <v>35.748299999999993</v>
      </c>
      <c r="M74">
        <f t="shared" si="1"/>
        <v>13.505993726399996</v>
      </c>
      <c r="N74" s="9"/>
      <c r="O74" s="21">
        <v>0.22232099999999999</v>
      </c>
      <c r="P74" s="21">
        <v>36.167900000000003</v>
      </c>
      <c r="Q74" s="21">
        <v>-3.5879500000000002E-2</v>
      </c>
      <c r="R74" s="21">
        <v>64</v>
      </c>
      <c r="S74" s="21">
        <v>0.22128300000000001</v>
      </c>
      <c r="T74">
        <f t="shared" si="2"/>
        <v>35.8795</v>
      </c>
      <c r="U74">
        <f t="shared" si="3"/>
        <v>7.9767663194999994</v>
      </c>
      <c r="X74" s="9"/>
      <c r="Y74" s="21">
        <v>0.37780799999999998</v>
      </c>
      <c r="Z74" s="21">
        <v>38.908499999999997</v>
      </c>
      <c r="AA74" s="21">
        <v>-3.5757400000000002E-2</v>
      </c>
      <c r="AB74" s="21">
        <v>64</v>
      </c>
      <c r="AC74" s="21">
        <v>0.37670900000000002</v>
      </c>
      <c r="AD74">
        <f t="shared" si="4"/>
        <v>35.757400000000004</v>
      </c>
      <c r="AE74">
        <f t="shared" si="5"/>
        <v>13.509431779200002</v>
      </c>
      <c r="AF74" s="9"/>
      <c r="AG74" s="21">
        <v>0.22232099999999999</v>
      </c>
      <c r="AH74" s="21">
        <v>42.186100000000003</v>
      </c>
      <c r="AI74" s="21">
        <v>-3.5983300000000003E-2</v>
      </c>
      <c r="AJ74" s="21">
        <v>64</v>
      </c>
      <c r="AK74" s="21">
        <v>0.221222</v>
      </c>
      <c r="AL74">
        <f t="shared" si="6"/>
        <v>35.9833</v>
      </c>
      <c r="AM74">
        <f t="shared" si="7"/>
        <v>7.9998432392999996</v>
      </c>
      <c r="AP74" s="9"/>
      <c r="AQ74" s="21">
        <v>0.37780799999999998</v>
      </c>
      <c r="AR74" s="21">
        <v>50.091799999999999</v>
      </c>
      <c r="AS74" s="21">
        <v>-3.5766600000000003E-2</v>
      </c>
      <c r="AT74" s="21">
        <v>64</v>
      </c>
      <c r="AU74" s="21">
        <v>0.37674000000000002</v>
      </c>
      <c r="AV74">
        <f t="shared" si="8"/>
        <v>35.766600000000004</v>
      </c>
      <c r="AW74">
        <f t="shared" si="9"/>
        <v>13.512907612800001</v>
      </c>
      <c r="AX74" s="9"/>
      <c r="AY74" s="21">
        <v>0.22232099999999999</v>
      </c>
      <c r="AZ74" s="21">
        <v>62.862499999999997</v>
      </c>
      <c r="BA74" s="21">
        <v>-3.5974100000000002E-2</v>
      </c>
      <c r="BB74" s="21">
        <v>64</v>
      </c>
      <c r="BC74" s="21">
        <v>0.22128300000000001</v>
      </c>
      <c r="BD74">
        <f t="shared" si="10"/>
        <v>35.9741</v>
      </c>
      <c r="BE74">
        <f t="shared" si="11"/>
        <v>7.9977978860999999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0.37277199999999999</v>
      </c>
      <c r="H75" s="21">
        <v>31.753399999999999</v>
      </c>
      <c r="I75" s="21">
        <v>-3.5757400000000002E-2</v>
      </c>
      <c r="J75" s="21">
        <v>65</v>
      </c>
      <c r="K75" s="21">
        <v>0.37173499999999998</v>
      </c>
      <c r="L75">
        <f t="shared" si="0"/>
        <v>35.757400000000004</v>
      </c>
      <c r="M75">
        <f t="shared" si="1"/>
        <v>13.329357512800001</v>
      </c>
      <c r="N75" s="9"/>
      <c r="O75" s="21">
        <v>0.227356</v>
      </c>
      <c r="P75" s="21">
        <v>36.177999999999997</v>
      </c>
      <c r="Q75" s="21">
        <v>-3.5876499999999999E-2</v>
      </c>
      <c r="R75" s="21">
        <v>65</v>
      </c>
      <c r="S75" s="21">
        <v>0.22628799999999999</v>
      </c>
      <c r="T75">
        <f t="shared" si="2"/>
        <v>35.8765</v>
      </c>
      <c r="U75">
        <f t="shared" si="3"/>
        <v>8.1567375339999995</v>
      </c>
      <c r="X75" s="9"/>
      <c r="Y75" s="21">
        <v>0.37277199999999999</v>
      </c>
      <c r="Z75" s="21">
        <v>38.918599999999998</v>
      </c>
      <c r="AA75" s="21">
        <v>-3.5754399999999999E-2</v>
      </c>
      <c r="AB75" s="21">
        <v>65</v>
      </c>
      <c r="AC75" s="21">
        <v>0.37170399999999998</v>
      </c>
      <c r="AD75">
        <f t="shared" si="4"/>
        <v>35.754399999999997</v>
      </c>
      <c r="AE75">
        <f t="shared" si="5"/>
        <v>13.328239196799998</v>
      </c>
      <c r="AF75" s="9"/>
      <c r="AG75" s="21">
        <v>0.227356</v>
      </c>
      <c r="AH75" s="21">
        <v>42.196199999999997</v>
      </c>
      <c r="AI75" s="21">
        <v>-3.5971099999999999E-2</v>
      </c>
      <c r="AJ75" s="21">
        <v>65</v>
      </c>
      <c r="AK75" s="21">
        <v>0.22628799999999999</v>
      </c>
      <c r="AL75">
        <f t="shared" si="6"/>
        <v>35.9711</v>
      </c>
      <c r="AM75">
        <f t="shared" si="7"/>
        <v>8.1782454116000007</v>
      </c>
      <c r="AP75" s="9"/>
      <c r="AQ75" s="21">
        <v>0.37277199999999999</v>
      </c>
      <c r="AR75" s="21">
        <v>50.101799999999997</v>
      </c>
      <c r="AS75" s="21">
        <v>-3.5769700000000001E-2</v>
      </c>
      <c r="AT75" s="21">
        <v>65</v>
      </c>
      <c r="AU75" s="21">
        <v>0.371643</v>
      </c>
      <c r="AV75">
        <f t="shared" si="8"/>
        <v>35.7697</v>
      </c>
      <c r="AW75">
        <f t="shared" si="9"/>
        <v>13.333942608399999</v>
      </c>
      <c r="AX75" s="9"/>
      <c r="AY75" s="21">
        <v>0.227356</v>
      </c>
      <c r="AZ75" s="21">
        <v>62.872599999999998</v>
      </c>
      <c r="BA75" s="21">
        <v>-3.5968E-2</v>
      </c>
      <c r="BB75" s="21">
        <v>65</v>
      </c>
      <c r="BC75" s="21">
        <v>0.22625700000000001</v>
      </c>
      <c r="BD75">
        <f t="shared" si="10"/>
        <v>35.968000000000004</v>
      </c>
      <c r="BE75">
        <f t="shared" si="11"/>
        <v>8.177540608000001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0.36773699999999998</v>
      </c>
      <c r="H76" s="21">
        <v>31.763500000000001</v>
      </c>
      <c r="I76" s="21">
        <v>-3.5760500000000001E-2</v>
      </c>
      <c r="J76" s="21">
        <v>66</v>
      </c>
      <c r="K76" s="21">
        <v>0.36666900000000002</v>
      </c>
      <c r="L76">
        <f t="shared" ref="L76:L139" si="12">-I76/$F$2*1000</f>
        <v>35.7605</v>
      </c>
      <c r="M76">
        <f t="shared" ref="M76:M139" si="13">L76*G76</f>
        <v>13.150458988499999</v>
      </c>
      <c r="N76" s="9"/>
      <c r="O76" s="21">
        <v>0.23239099999999999</v>
      </c>
      <c r="P76" s="21">
        <v>36.188099999999999</v>
      </c>
      <c r="Q76" s="21">
        <v>-3.5876499999999999E-2</v>
      </c>
      <c r="R76" s="21">
        <v>66</v>
      </c>
      <c r="S76" s="21">
        <v>0.23138400000000001</v>
      </c>
      <c r="T76">
        <f t="shared" ref="T76:T139" si="14">-Q76/$F$2*1000</f>
        <v>35.8765</v>
      </c>
      <c r="U76">
        <f t="shared" ref="U76:U139" si="15">T76*O76</f>
        <v>8.3373757115</v>
      </c>
      <c r="X76" s="9"/>
      <c r="Y76" s="21">
        <v>0.36773699999999998</v>
      </c>
      <c r="Z76" s="21">
        <v>38.928699999999999</v>
      </c>
      <c r="AA76" s="21">
        <v>-3.5763499999999997E-2</v>
      </c>
      <c r="AB76" s="21">
        <v>66</v>
      </c>
      <c r="AC76" s="21">
        <v>0.366699</v>
      </c>
      <c r="AD76">
        <f t="shared" ref="AD76:AD139" si="16">-AA76/$F$2*1000</f>
        <v>35.763499999999993</v>
      </c>
      <c r="AE76">
        <f t="shared" ref="AE76:AE139" si="17">AD76*Y76</f>
        <v>13.151562199499997</v>
      </c>
      <c r="AF76" s="9"/>
      <c r="AG76" s="21">
        <v>0.23239099999999999</v>
      </c>
      <c r="AH76" s="21">
        <v>42.206200000000003</v>
      </c>
      <c r="AI76" s="21">
        <v>-3.5955800000000003E-2</v>
      </c>
      <c r="AJ76" s="21">
        <v>66</v>
      </c>
      <c r="AK76" s="21">
        <v>0.231354</v>
      </c>
      <c r="AL76">
        <f t="shared" ref="AL76:AL139" si="18">-AI76/$F$2*1000</f>
        <v>35.955800000000004</v>
      </c>
      <c r="AM76">
        <f t="shared" ref="AM76:AM139" si="19">AL76*AG76</f>
        <v>8.3558043178000005</v>
      </c>
      <c r="AP76" s="9"/>
      <c r="AQ76" s="21">
        <v>0.36773699999999998</v>
      </c>
      <c r="AR76" s="21">
        <v>50.111899999999999</v>
      </c>
      <c r="AS76" s="21">
        <v>-3.5791000000000003E-2</v>
      </c>
      <c r="AT76" s="21">
        <v>66</v>
      </c>
      <c r="AU76" s="21">
        <v>0.36660799999999999</v>
      </c>
      <c r="AV76">
        <f t="shared" ref="AV76:AV139" si="20">-AS76/$F$2*1000</f>
        <v>35.791000000000004</v>
      </c>
      <c r="AW76">
        <f t="shared" ref="AW76:AW139" si="21">AV76*AQ76</f>
        <v>13.161674967000002</v>
      </c>
      <c r="AX76" s="9"/>
      <c r="AY76" s="21">
        <v>0.23239099999999999</v>
      </c>
      <c r="AZ76" s="21">
        <v>62.8827</v>
      </c>
      <c r="BA76" s="21">
        <v>-3.5940600000000003E-2</v>
      </c>
      <c r="BB76" s="21">
        <v>66</v>
      </c>
      <c r="BC76" s="21">
        <v>0.231323</v>
      </c>
      <c r="BD76">
        <f t="shared" ref="BD76:BD139" si="22">-BA76/$F$2*1000</f>
        <v>35.940600000000003</v>
      </c>
      <c r="BE76">
        <f t="shared" ref="BE76:BE139" si="23">BD76*AY76</f>
        <v>8.3522719746000007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0.362701</v>
      </c>
      <c r="H77" s="21">
        <v>31.773599999999998</v>
      </c>
      <c r="I77" s="21">
        <v>-3.5772699999999998E-2</v>
      </c>
      <c r="J77" s="21">
        <v>67</v>
      </c>
      <c r="K77" s="21">
        <v>0.36166399999999999</v>
      </c>
      <c r="L77">
        <f t="shared" si="12"/>
        <v>35.7727</v>
      </c>
      <c r="M77">
        <f t="shared" si="13"/>
        <v>12.974794062699999</v>
      </c>
      <c r="N77" s="9"/>
      <c r="O77" s="21">
        <v>0.237427</v>
      </c>
      <c r="P77" s="21">
        <v>36.1982</v>
      </c>
      <c r="Q77" s="21">
        <v>-3.5876499999999999E-2</v>
      </c>
      <c r="R77" s="21">
        <v>67</v>
      </c>
      <c r="S77" s="21">
        <v>0.23629800000000001</v>
      </c>
      <c r="T77">
        <f t="shared" si="14"/>
        <v>35.8765</v>
      </c>
      <c r="U77">
        <f t="shared" si="15"/>
        <v>8.5180497655000007</v>
      </c>
      <c r="X77" s="9"/>
      <c r="Y77" s="21">
        <v>0.362701</v>
      </c>
      <c r="Z77" s="21">
        <v>38.938699999999997</v>
      </c>
      <c r="AA77" s="21">
        <v>-3.5775800000000003E-2</v>
      </c>
      <c r="AB77" s="21">
        <v>67</v>
      </c>
      <c r="AC77" s="21">
        <v>0.36163299999999998</v>
      </c>
      <c r="AD77">
        <f t="shared" si="16"/>
        <v>35.775800000000004</v>
      </c>
      <c r="AE77">
        <f t="shared" si="17"/>
        <v>12.975918435800001</v>
      </c>
      <c r="AF77" s="9"/>
      <c r="AG77" s="21">
        <v>0.237427</v>
      </c>
      <c r="AH77" s="21">
        <v>42.216299999999997</v>
      </c>
      <c r="AI77" s="21">
        <v>-3.5937499999999997E-2</v>
      </c>
      <c r="AJ77" s="21">
        <v>67</v>
      </c>
      <c r="AK77" s="21">
        <v>0.23632800000000001</v>
      </c>
      <c r="AL77">
        <f t="shared" si="18"/>
        <v>35.9375</v>
      </c>
      <c r="AM77">
        <f t="shared" si="19"/>
        <v>8.5325328124999995</v>
      </c>
      <c r="AP77" s="9"/>
      <c r="AQ77" s="21">
        <v>0.362701</v>
      </c>
      <c r="AR77" s="21">
        <v>50.122</v>
      </c>
      <c r="AS77" s="21">
        <v>-3.5809300000000002E-2</v>
      </c>
      <c r="AT77" s="21">
        <v>67</v>
      </c>
      <c r="AU77" s="21">
        <v>0.361572</v>
      </c>
      <c r="AV77">
        <f t="shared" si="20"/>
        <v>35.8093</v>
      </c>
      <c r="AW77">
        <f t="shared" si="21"/>
        <v>12.9880689193</v>
      </c>
      <c r="AX77" s="9"/>
      <c r="AY77" s="21">
        <v>0.237427</v>
      </c>
      <c r="AZ77" s="21">
        <v>62.892699999999998</v>
      </c>
      <c r="BA77" s="21">
        <v>-3.5928300000000003E-2</v>
      </c>
      <c r="BB77" s="21">
        <v>67</v>
      </c>
      <c r="BC77" s="21">
        <v>0.23638899999999999</v>
      </c>
      <c r="BD77">
        <f t="shared" si="22"/>
        <v>35.9283</v>
      </c>
      <c r="BE77">
        <f t="shared" si="23"/>
        <v>8.5303484840999992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0.35766599999999998</v>
      </c>
      <c r="H78" s="21">
        <v>31.7836</v>
      </c>
      <c r="I78" s="21">
        <v>-3.5775800000000003E-2</v>
      </c>
      <c r="J78" s="21">
        <v>68</v>
      </c>
      <c r="K78" s="21">
        <v>0.35653699999999999</v>
      </c>
      <c r="L78">
        <f t="shared" si="12"/>
        <v>35.775800000000004</v>
      </c>
      <c r="M78">
        <f t="shared" si="13"/>
        <v>12.795787282800001</v>
      </c>
      <c r="N78" s="9"/>
      <c r="O78" s="21">
        <v>0.24246200000000001</v>
      </c>
      <c r="P78" s="21">
        <v>36.208199999999998</v>
      </c>
      <c r="Q78" s="21">
        <v>-3.5870399999999997E-2</v>
      </c>
      <c r="R78" s="21">
        <v>68</v>
      </c>
      <c r="S78" s="21">
        <v>0.241425</v>
      </c>
      <c r="T78">
        <f t="shared" si="14"/>
        <v>35.870399999999997</v>
      </c>
      <c r="U78">
        <f t="shared" si="15"/>
        <v>8.6972089248</v>
      </c>
      <c r="X78" s="9"/>
      <c r="Y78" s="21">
        <v>0.35766599999999998</v>
      </c>
      <c r="Z78" s="21">
        <v>38.948799999999999</v>
      </c>
      <c r="AA78" s="21">
        <v>-3.5784900000000001E-2</v>
      </c>
      <c r="AB78" s="21">
        <v>68</v>
      </c>
      <c r="AC78" s="21">
        <v>0.35656700000000002</v>
      </c>
      <c r="AD78">
        <f t="shared" si="16"/>
        <v>35.7849</v>
      </c>
      <c r="AE78">
        <f t="shared" si="17"/>
        <v>12.7990420434</v>
      </c>
      <c r="AF78" s="9"/>
      <c r="AG78" s="21">
        <v>0.24246200000000001</v>
      </c>
      <c r="AH78" s="21">
        <v>42.226399999999998</v>
      </c>
      <c r="AI78" s="21">
        <v>-3.59253E-2</v>
      </c>
      <c r="AJ78" s="21">
        <v>68</v>
      </c>
      <c r="AK78" s="21">
        <v>0.241425</v>
      </c>
      <c r="AL78">
        <f t="shared" si="18"/>
        <v>35.9253</v>
      </c>
      <c r="AM78">
        <f t="shared" si="19"/>
        <v>8.7105200886000009</v>
      </c>
      <c r="AP78" s="9"/>
      <c r="AQ78" s="21">
        <v>0.35766599999999998</v>
      </c>
      <c r="AR78" s="21">
        <v>50.132100000000001</v>
      </c>
      <c r="AS78" s="21">
        <v>-3.5824599999999998E-2</v>
      </c>
      <c r="AT78" s="21">
        <v>68</v>
      </c>
      <c r="AU78" s="21">
        <v>0.35653699999999999</v>
      </c>
      <c r="AV78">
        <f t="shared" si="20"/>
        <v>35.824599999999997</v>
      </c>
      <c r="AW78">
        <f t="shared" si="21"/>
        <v>12.813241383599998</v>
      </c>
      <c r="AX78" s="9"/>
      <c r="AY78" s="21">
        <v>0.24246200000000001</v>
      </c>
      <c r="AZ78" s="21">
        <v>62.902799999999999</v>
      </c>
      <c r="BA78" s="21">
        <v>-3.5919199999999998E-2</v>
      </c>
      <c r="BB78" s="21">
        <v>68</v>
      </c>
      <c r="BC78" s="21">
        <v>0.241364</v>
      </c>
      <c r="BD78">
        <f t="shared" si="22"/>
        <v>35.919199999999996</v>
      </c>
      <c r="BE78">
        <f t="shared" si="23"/>
        <v>8.7090410703999996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0.35263100000000003</v>
      </c>
      <c r="H79" s="21">
        <v>31.793700000000001</v>
      </c>
      <c r="I79" s="21">
        <v>-3.5775800000000003E-2</v>
      </c>
      <c r="J79" s="21">
        <v>69</v>
      </c>
      <c r="K79" s="21">
        <v>0.35156300000000001</v>
      </c>
      <c r="L79">
        <f t="shared" si="12"/>
        <v>35.775800000000004</v>
      </c>
      <c r="M79">
        <f t="shared" si="13"/>
        <v>12.615656129800003</v>
      </c>
      <c r="N79" s="9"/>
      <c r="O79" s="21">
        <v>0.247498</v>
      </c>
      <c r="P79" s="21">
        <v>36.218299999999999</v>
      </c>
      <c r="Q79" s="21">
        <v>-3.5876499999999999E-2</v>
      </c>
      <c r="R79" s="21">
        <v>69</v>
      </c>
      <c r="S79" s="21">
        <v>0.24646000000000001</v>
      </c>
      <c r="T79">
        <f t="shared" si="14"/>
        <v>35.8765</v>
      </c>
      <c r="U79">
        <f t="shared" si="15"/>
        <v>8.8793619970000002</v>
      </c>
      <c r="X79" s="9"/>
      <c r="Y79" s="21">
        <v>0.35263100000000003</v>
      </c>
      <c r="Z79" s="21">
        <v>38.9589</v>
      </c>
      <c r="AA79" s="21">
        <v>-3.5772699999999998E-2</v>
      </c>
      <c r="AB79" s="21">
        <v>69</v>
      </c>
      <c r="AC79" s="21">
        <v>0.35153200000000001</v>
      </c>
      <c r="AD79">
        <f t="shared" si="16"/>
        <v>35.7727</v>
      </c>
      <c r="AE79">
        <f t="shared" si="17"/>
        <v>12.614562973700002</v>
      </c>
      <c r="AF79" s="9"/>
      <c r="AG79" s="21">
        <v>0.247498</v>
      </c>
      <c r="AH79" s="21">
        <v>42.236499999999999</v>
      </c>
      <c r="AI79" s="21">
        <v>-3.5916099999999999E-2</v>
      </c>
      <c r="AJ79" s="21">
        <v>69</v>
      </c>
      <c r="AK79" s="21">
        <v>0.24646000000000001</v>
      </c>
      <c r="AL79">
        <f t="shared" si="18"/>
        <v>35.9161</v>
      </c>
      <c r="AM79">
        <f t="shared" si="19"/>
        <v>8.8891629178000002</v>
      </c>
      <c r="AP79" s="9"/>
      <c r="AQ79" s="21">
        <v>0.35263100000000003</v>
      </c>
      <c r="AR79" s="21">
        <v>50.142099999999999</v>
      </c>
      <c r="AS79" s="21">
        <v>-3.5836800000000002E-2</v>
      </c>
      <c r="AT79" s="21">
        <v>69</v>
      </c>
      <c r="AU79" s="21">
        <v>0.35143999999999997</v>
      </c>
      <c r="AV79">
        <f t="shared" si="20"/>
        <v>35.836800000000004</v>
      </c>
      <c r="AW79">
        <f t="shared" si="21"/>
        <v>12.637166620800002</v>
      </c>
      <c r="AX79" s="9"/>
      <c r="AY79" s="21">
        <v>0.247498</v>
      </c>
      <c r="AZ79" s="21">
        <v>62.9129</v>
      </c>
      <c r="BA79" s="21">
        <v>-3.5913100000000003E-2</v>
      </c>
      <c r="BB79" s="21">
        <v>69</v>
      </c>
      <c r="BC79" s="21">
        <v>0.24646000000000001</v>
      </c>
      <c r="BD79">
        <f t="shared" si="22"/>
        <v>35.9131</v>
      </c>
      <c r="BE79">
        <f t="shared" si="23"/>
        <v>8.8884204237999995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0.34759499999999999</v>
      </c>
      <c r="H80" s="21">
        <v>31.803799999999999</v>
      </c>
      <c r="I80" s="21">
        <v>-3.5769700000000001E-2</v>
      </c>
      <c r="J80" s="21">
        <v>70</v>
      </c>
      <c r="K80" s="21">
        <v>0.346497</v>
      </c>
      <c r="L80">
        <f t="shared" si="12"/>
        <v>35.7697</v>
      </c>
      <c r="M80">
        <f t="shared" si="13"/>
        <v>12.433368871499999</v>
      </c>
      <c r="N80" s="9"/>
      <c r="O80" s="21">
        <v>0.25253300000000001</v>
      </c>
      <c r="P80" s="21">
        <v>36.228400000000001</v>
      </c>
      <c r="Q80" s="21">
        <v>-3.5870399999999997E-2</v>
      </c>
      <c r="R80" s="21">
        <v>70</v>
      </c>
      <c r="S80" s="21">
        <v>0.25146499999999999</v>
      </c>
      <c r="T80">
        <f t="shared" si="14"/>
        <v>35.870399999999997</v>
      </c>
      <c r="U80">
        <f t="shared" si="15"/>
        <v>9.0584597231999986</v>
      </c>
      <c r="X80" s="9"/>
      <c r="Y80" s="21">
        <v>0.34759499999999999</v>
      </c>
      <c r="Z80" s="21">
        <v>38.968899999999998</v>
      </c>
      <c r="AA80" s="21">
        <v>-3.5775800000000003E-2</v>
      </c>
      <c r="AB80" s="21">
        <v>70</v>
      </c>
      <c r="AC80" s="21">
        <v>0.346497</v>
      </c>
      <c r="AD80">
        <f t="shared" si="16"/>
        <v>35.775800000000004</v>
      </c>
      <c r="AE80">
        <f t="shared" si="17"/>
        <v>12.435489201000001</v>
      </c>
      <c r="AF80" s="9"/>
      <c r="AG80" s="21">
        <v>0.25253300000000001</v>
      </c>
      <c r="AH80" s="21">
        <v>42.246499999999997</v>
      </c>
      <c r="AI80" s="21">
        <v>-3.5903900000000002E-2</v>
      </c>
      <c r="AJ80" s="21">
        <v>70</v>
      </c>
      <c r="AK80" s="21">
        <v>0.25149500000000002</v>
      </c>
      <c r="AL80">
        <f t="shared" si="18"/>
        <v>35.9039</v>
      </c>
      <c r="AM80">
        <f t="shared" si="19"/>
        <v>9.0669195787000003</v>
      </c>
      <c r="AP80" s="9"/>
      <c r="AQ80" s="21">
        <v>0.34759499999999999</v>
      </c>
      <c r="AR80" s="21">
        <v>50.152200000000001</v>
      </c>
      <c r="AS80" s="21">
        <v>-3.5836800000000002E-2</v>
      </c>
      <c r="AT80" s="21">
        <v>70</v>
      </c>
      <c r="AU80" s="21">
        <v>0.34634399999999999</v>
      </c>
      <c r="AV80">
        <f t="shared" si="20"/>
        <v>35.836800000000004</v>
      </c>
      <c r="AW80">
        <f t="shared" si="21"/>
        <v>12.456692496000001</v>
      </c>
      <c r="AX80" s="9"/>
      <c r="AY80" s="21">
        <v>0.25253300000000001</v>
      </c>
      <c r="AZ80" s="21">
        <v>62.923000000000002</v>
      </c>
      <c r="BA80" s="21">
        <v>-3.5891699999999999E-2</v>
      </c>
      <c r="BB80" s="21">
        <v>70</v>
      </c>
      <c r="BC80" s="21">
        <v>0.25134299999999998</v>
      </c>
      <c r="BD80">
        <f t="shared" si="22"/>
        <v>35.8917</v>
      </c>
      <c r="BE80">
        <f t="shared" si="23"/>
        <v>9.0638386760999996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0.34255999999999998</v>
      </c>
      <c r="H81" s="21">
        <v>31.813800000000001</v>
      </c>
      <c r="I81" s="21">
        <v>-3.5763499999999997E-2</v>
      </c>
      <c r="J81" s="21">
        <v>71</v>
      </c>
      <c r="K81" s="21">
        <v>0.34149200000000002</v>
      </c>
      <c r="L81">
        <f t="shared" si="12"/>
        <v>35.763499999999993</v>
      </c>
      <c r="M81">
        <f t="shared" si="13"/>
        <v>12.251144559999997</v>
      </c>
      <c r="N81" s="9"/>
      <c r="O81" s="21">
        <v>0.25756800000000002</v>
      </c>
      <c r="P81" s="21">
        <v>36.238399999999999</v>
      </c>
      <c r="Q81" s="21">
        <v>-3.58582E-2</v>
      </c>
      <c r="R81" s="21">
        <v>71</v>
      </c>
      <c r="S81" s="21">
        <v>0.25643899999999997</v>
      </c>
      <c r="T81">
        <f t="shared" si="14"/>
        <v>35.858199999999997</v>
      </c>
      <c r="U81">
        <f t="shared" si="15"/>
        <v>9.2359248576000006</v>
      </c>
      <c r="X81" s="9"/>
      <c r="Y81" s="21">
        <v>0.34255999999999998</v>
      </c>
      <c r="Z81" s="21">
        <v>38.978999999999999</v>
      </c>
      <c r="AA81" s="21">
        <v>-3.5778799999999999E-2</v>
      </c>
      <c r="AB81" s="21">
        <v>71</v>
      </c>
      <c r="AC81" s="21">
        <v>0.34152199999999999</v>
      </c>
      <c r="AD81">
        <f t="shared" si="16"/>
        <v>35.778799999999997</v>
      </c>
      <c r="AE81">
        <f t="shared" si="17"/>
        <v>12.256385727999998</v>
      </c>
      <c r="AF81" s="9"/>
      <c r="AG81" s="21">
        <v>0.25756800000000002</v>
      </c>
      <c r="AH81" s="21">
        <v>42.256599999999999</v>
      </c>
      <c r="AI81" s="21">
        <v>-3.5894799999999998E-2</v>
      </c>
      <c r="AJ81" s="21">
        <v>71</v>
      </c>
      <c r="AK81" s="21">
        <v>0.25650000000000001</v>
      </c>
      <c r="AL81">
        <f t="shared" si="18"/>
        <v>35.894799999999996</v>
      </c>
      <c r="AM81">
        <f t="shared" si="19"/>
        <v>9.2453518464000002</v>
      </c>
      <c r="AP81" s="9"/>
      <c r="AQ81" s="21">
        <v>0.34255999999999998</v>
      </c>
      <c r="AR81" s="21">
        <v>50.162300000000002</v>
      </c>
      <c r="AS81" s="21">
        <v>-3.5836800000000002E-2</v>
      </c>
      <c r="AT81" s="21">
        <v>71</v>
      </c>
      <c r="AU81" s="21">
        <v>0.34143099999999998</v>
      </c>
      <c r="AV81">
        <f t="shared" si="20"/>
        <v>35.836800000000004</v>
      </c>
      <c r="AW81">
        <f t="shared" si="21"/>
        <v>12.276254208000001</v>
      </c>
      <c r="AX81" s="9"/>
      <c r="AY81" s="21">
        <v>0.25756800000000002</v>
      </c>
      <c r="AZ81" s="21">
        <v>62.933</v>
      </c>
      <c r="BA81" s="21">
        <v>-3.5879500000000002E-2</v>
      </c>
      <c r="BB81" s="21">
        <v>71</v>
      </c>
      <c r="BC81" s="21">
        <v>0.25637799999999999</v>
      </c>
      <c r="BD81">
        <f t="shared" si="22"/>
        <v>35.8795</v>
      </c>
      <c r="BE81">
        <f t="shared" si="23"/>
        <v>9.2414110560000005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0.33752399999999999</v>
      </c>
      <c r="H82" s="21">
        <v>31.823899999999998</v>
      </c>
      <c r="I82" s="21">
        <v>-3.5766600000000003E-2</v>
      </c>
      <c r="J82" s="21">
        <v>72</v>
      </c>
      <c r="K82" s="21">
        <v>0.336395</v>
      </c>
      <c r="L82">
        <f t="shared" si="12"/>
        <v>35.766600000000004</v>
      </c>
      <c r="M82">
        <f t="shared" si="13"/>
        <v>12.072085898400001</v>
      </c>
      <c r="N82" s="9"/>
      <c r="O82" s="21">
        <v>0.262604</v>
      </c>
      <c r="P82" s="21">
        <v>36.2485</v>
      </c>
      <c r="Q82" s="21">
        <v>-3.5836800000000002E-2</v>
      </c>
      <c r="R82" s="21">
        <v>72</v>
      </c>
      <c r="S82" s="21">
        <v>0.26156600000000002</v>
      </c>
      <c r="T82">
        <f t="shared" si="14"/>
        <v>35.836800000000004</v>
      </c>
      <c r="U82">
        <f t="shared" si="15"/>
        <v>9.4108870272000011</v>
      </c>
      <c r="X82" s="9"/>
      <c r="Y82" s="21">
        <v>0.33752399999999999</v>
      </c>
      <c r="Z82" s="21">
        <v>38.989100000000001</v>
      </c>
      <c r="AA82" s="21">
        <v>-3.5781899999999998E-2</v>
      </c>
      <c r="AB82" s="21">
        <v>72</v>
      </c>
      <c r="AC82" s="21">
        <v>0.33648699999999998</v>
      </c>
      <c r="AD82">
        <f t="shared" si="16"/>
        <v>35.7819</v>
      </c>
      <c r="AE82">
        <f t="shared" si="17"/>
        <v>12.077250015599999</v>
      </c>
      <c r="AF82" s="9"/>
      <c r="AG82" s="21">
        <v>0.262604</v>
      </c>
      <c r="AH82" s="21">
        <v>42.2667</v>
      </c>
      <c r="AI82" s="21">
        <v>-3.5882600000000001E-2</v>
      </c>
      <c r="AJ82" s="21">
        <v>72</v>
      </c>
      <c r="AK82" s="21">
        <v>0.26150499999999999</v>
      </c>
      <c r="AL82">
        <f t="shared" si="18"/>
        <v>35.882600000000004</v>
      </c>
      <c r="AM82">
        <f t="shared" si="19"/>
        <v>9.4229142904000014</v>
      </c>
      <c r="AP82" s="9"/>
      <c r="AQ82" s="21">
        <v>0.33752399999999999</v>
      </c>
      <c r="AR82" s="21">
        <v>50.1723</v>
      </c>
      <c r="AS82" s="21">
        <v>-3.5833700000000003E-2</v>
      </c>
      <c r="AT82" s="21">
        <v>72</v>
      </c>
      <c r="AU82" s="21">
        <v>0.336395</v>
      </c>
      <c r="AV82">
        <f t="shared" si="20"/>
        <v>35.8337</v>
      </c>
      <c r="AW82">
        <f t="shared" si="21"/>
        <v>12.0947337588</v>
      </c>
      <c r="AX82" s="9"/>
      <c r="AY82" s="21">
        <v>0.262604</v>
      </c>
      <c r="AZ82" s="21">
        <v>62.943100000000001</v>
      </c>
      <c r="BA82" s="21">
        <v>-3.5852099999999998E-2</v>
      </c>
      <c r="BB82" s="21">
        <v>72</v>
      </c>
      <c r="BC82" s="21">
        <v>0.26150499999999999</v>
      </c>
      <c r="BD82">
        <f t="shared" si="22"/>
        <v>35.8521</v>
      </c>
      <c r="BE82">
        <f t="shared" si="23"/>
        <v>9.4149048684000007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0.33248899999999998</v>
      </c>
      <c r="H83" s="21">
        <v>31.834</v>
      </c>
      <c r="I83" s="21">
        <v>-3.5757400000000002E-2</v>
      </c>
      <c r="J83" s="21">
        <v>73</v>
      </c>
      <c r="K83" s="21">
        <v>0.33132899999999998</v>
      </c>
      <c r="L83">
        <f t="shared" si="12"/>
        <v>35.757400000000004</v>
      </c>
      <c r="M83">
        <f t="shared" si="13"/>
        <v>11.8889421686</v>
      </c>
      <c r="N83" s="9"/>
      <c r="O83" s="21">
        <v>0.26763900000000002</v>
      </c>
      <c r="P83" s="21">
        <v>36.258600000000001</v>
      </c>
      <c r="Q83" s="21">
        <v>-3.5815399999999997E-2</v>
      </c>
      <c r="R83" s="21">
        <v>73</v>
      </c>
      <c r="S83" s="21">
        <v>0.266571</v>
      </c>
      <c r="T83">
        <f t="shared" si="14"/>
        <v>35.815399999999997</v>
      </c>
      <c r="U83">
        <f t="shared" si="15"/>
        <v>9.5855978406000002</v>
      </c>
      <c r="X83" s="9"/>
      <c r="Y83" s="21">
        <v>0.33248899999999998</v>
      </c>
      <c r="Z83" s="21">
        <v>38.999200000000002</v>
      </c>
      <c r="AA83" s="21">
        <v>-3.5788E-2</v>
      </c>
      <c r="AB83" s="21">
        <v>73</v>
      </c>
      <c r="AC83" s="21">
        <v>0.33135999999999999</v>
      </c>
      <c r="AD83">
        <f t="shared" si="16"/>
        <v>35.788000000000004</v>
      </c>
      <c r="AE83">
        <f t="shared" si="17"/>
        <v>11.899116332</v>
      </c>
      <c r="AF83" s="9"/>
      <c r="AG83" s="21">
        <v>0.26763900000000002</v>
      </c>
      <c r="AH83" s="21">
        <v>42.276699999999998</v>
      </c>
      <c r="AI83" s="21">
        <v>-3.58734E-2</v>
      </c>
      <c r="AJ83" s="21">
        <v>73</v>
      </c>
      <c r="AK83" s="21">
        <v>0.26651000000000002</v>
      </c>
      <c r="AL83">
        <f t="shared" si="18"/>
        <v>35.873399999999997</v>
      </c>
      <c r="AM83">
        <f t="shared" si="19"/>
        <v>9.6011209026</v>
      </c>
      <c r="AP83" s="9"/>
      <c r="AQ83" s="21">
        <v>0.33248899999999998</v>
      </c>
      <c r="AR83" s="21">
        <v>50.182400000000001</v>
      </c>
      <c r="AS83" s="21">
        <v>-3.5827600000000001E-2</v>
      </c>
      <c r="AT83" s="21">
        <v>73</v>
      </c>
      <c r="AU83" s="21">
        <v>0.33142100000000002</v>
      </c>
      <c r="AV83">
        <f t="shared" si="20"/>
        <v>35.827600000000004</v>
      </c>
      <c r="AW83">
        <f t="shared" si="21"/>
        <v>11.912282896400001</v>
      </c>
      <c r="AX83" s="9"/>
      <c r="AY83" s="21">
        <v>0.26763900000000002</v>
      </c>
      <c r="AZ83" s="21">
        <v>62.953200000000002</v>
      </c>
      <c r="BA83" s="21">
        <v>-3.5848999999999999E-2</v>
      </c>
      <c r="BB83" s="21">
        <v>73</v>
      </c>
      <c r="BC83" s="21">
        <v>0.26654099999999997</v>
      </c>
      <c r="BD83">
        <f t="shared" si="22"/>
        <v>35.848999999999997</v>
      </c>
      <c r="BE83">
        <f t="shared" si="23"/>
        <v>9.5945905109999998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0.32745400000000002</v>
      </c>
      <c r="H84" s="21">
        <v>31.844100000000001</v>
      </c>
      <c r="I84" s="21">
        <v>-3.5760500000000001E-2</v>
      </c>
      <c r="J84" s="21">
        <v>74</v>
      </c>
      <c r="K84" s="21">
        <v>0.326233</v>
      </c>
      <c r="L84">
        <f t="shared" si="12"/>
        <v>35.7605</v>
      </c>
      <c r="M84">
        <f t="shared" si="13"/>
        <v>11.709918767000001</v>
      </c>
      <c r="N84" s="9"/>
      <c r="O84" s="21">
        <v>0.272675</v>
      </c>
      <c r="P84" s="21">
        <v>36.268700000000003</v>
      </c>
      <c r="Q84" s="21">
        <v>-3.58032E-2</v>
      </c>
      <c r="R84" s="21">
        <v>74</v>
      </c>
      <c r="S84" s="21">
        <v>0.271484</v>
      </c>
      <c r="T84">
        <f t="shared" si="14"/>
        <v>35.803199999999997</v>
      </c>
      <c r="U84">
        <f t="shared" si="15"/>
        <v>9.7626375599999999</v>
      </c>
      <c r="X84" s="9"/>
      <c r="Y84" s="21">
        <v>0.32745400000000002</v>
      </c>
      <c r="Z84" s="21">
        <v>39.0092</v>
      </c>
      <c r="AA84" s="21">
        <v>-3.5791000000000003E-2</v>
      </c>
      <c r="AB84" s="21">
        <v>74</v>
      </c>
      <c r="AC84" s="21">
        <v>0.326324</v>
      </c>
      <c r="AD84">
        <f t="shared" si="16"/>
        <v>35.791000000000004</v>
      </c>
      <c r="AE84">
        <f t="shared" si="17"/>
        <v>11.719906114000002</v>
      </c>
      <c r="AF84" s="9"/>
      <c r="AG84" s="21">
        <v>0.272675</v>
      </c>
      <c r="AH84" s="21">
        <v>42.286799999999999</v>
      </c>
      <c r="AI84" s="21">
        <v>-3.5864300000000002E-2</v>
      </c>
      <c r="AJ84" s="21">
        <v>74</v>
      </c>
      <c r="AK84" s="21">
        <v>0.27157599999999998</v>
      </c>
      <c r="AL84">
        <f t="shared" si="18"/>
        <v>35.8643</v>
      </c>
      <c r="AM84">
        <f t="shared" si="19"/>
        <v>9.7792980025000009</v>
      </c>
      <c r="AP84" s="9"/>
      <c r="AQ84" s="21">
        <v>0.32745400000000002</v>
      </c>
      <c r="AR84" s="21">
        <v>50.192500000000003</v>
      </c>
      <c r="AS84" s="21">
        <v>-3.5812400000000001E-2</v>
      </c>
      <c r="AT84" s="21">
        <v>74</v>
      </c>
      <c r="AU84" s="21">
        <v>0.326324</v>
      </c>
      <c r="AV84">
        <f t="shared" si="20"/>
        <v>35.812400000000004</v>
      </c>
      <c r="AW84">
        <f t="shared" si="21"/>
        <v>11.726913629600002</v>
      </c>
      <c r="AX84" s="9"/>
      <c r="AY84" s="21">
        <v>0.272675</v>
      </c>
      <c r="AZ84" s="21">
        <v>62.963200000000001</v>
      </c>
      <c r="BA84" s="21">
        <v>-3.58582E-2</v>
      </c>
      <c r="BB84" s="21">
        <v>74</v>
      </c>
      <c r="BC84" s="21">
        <v>0.27151500000000001</v>
      </c>
      <c r="BD84">
        <f t="shared" si="22"/>
        <v>35.858199999999997</v>
      </c>
      <c r="BE84">
        <f t="shared" si="23"/>
        <v>9.7776346849999989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0.32241799999999998</v>
      </c>
      <c r="H85" s="21">
        <v>31.854099999999999</v>
      </c>
      <c r="I85" s="21">
        <v>-3.5772699999999998E-2</v>
      </c>
      <c r="J85" s="21">
        <v>75</v>
      </c>
      <c r="K85" s="21">
        <v>0.32135000000000002</v>
      </c>
      <c r="L85">
        <f t="shared" si="12"/>
        <v>35.7727</v>
      </c>
      <c r="M85">
        <f t="shared" si="13"/>
        <v>11.5337623886</v>
      </c>
      <c r="N85" s="9"/>
      <c r="O85" s="21">
        <v>0.27771000000000001</v>
      </c>
      <c r="P85" s="21">
        <v>36.278700000000001</v>
      </c>
      <c r="Q85" s="21">
        <v>-3.5784900000000001E-2</v>
      </c>
      <c r="R85" s="21">
        <v>75</v>
      </c>
      <c r="S85" s="21">
        <v>0.276642</v>
      </c>
      <c r="T85">
        <f t="shared" si="14"/>
        <v>35.7849</v>
      </c>
      <c r="U85">
        <f t="shared" si="15"/>
        <v>9.9378245790000008</v>
      </c>
      <c r="X85" s="9"/>
      <c r="Y85" s="21">
        <v>0.32241799999999998</v>
      </c>
      <c r="Z85" s="21">
        <v>39.019300000000001</v>
      </c>
      <c r="AA85" s="21">
        <v>-3.5781899999999998E-2</v>
      </c>
      <c r="AB85" s="21">
        <v>75</v>
      </c>
      <c r="AC85" s="21">
        <v>0.32131999999999999</v>
      </c>
      <c r="AD85">
        <f t="shared" si="16"/>
        <v>35.7819</v>
      </c>
      <c r="AE85">
        <f t="shared" si="17"/>
        <v>11.536728634199999</v>
      </c>
      <c r="AF85" s="9"/>
      <c r="AG85" s="21">
        <v>0.27771000000000001</v>
      </c>
      <c r="AH85" s="21">
        <v>42.296900000000001</v>
      </c>
      <c r="AI85" s="21">
        <v>-3.5852099999999998E-2</v>
      </c>
      <c r="AJ85" s="21">
        <v>75</v>
      </c>
      <c r="AK85" s="21">
        <v>0.276642</v>
      </c>
      <c r="AL85">
        <f t="shared" si="18"/>
        <v>35.8521</v>
      </c>
      <c r="AM85">
        <f t="shared" si="19"/>
        <v>9.9564866910000003</v>
      </c>
      <c r="AP85" s="9"/>
      <c r="AQ85" s="21">
        <v>0.32241799999999998</v>
      </c>
      <c r="AR85" s="21">
        <v>50.202599999999997</v>
      </c>
      <c r="AS85" s="21">
        <v>-3.5815399999999997E-2</v>
      </c>
      <c r="AT85" s="21">
        <v>75</v>
      </c>
      <c r="AU85" s="21">
        <v>0.32128899999999999</v>
      </c>
      <c r="AV85">
        <f t="shared" si="20"/>
        <v>35.815399999999997</v>
      </c>
      <c r="AW85">
        <f t="shared" si="21"/>
        <v>11.547529637199998</v>
      </c>
      <c r="AX85" s="9"/>
      <c r="AY85" s="21">
        <v>0.27771000000000001</v>
      </c>
      <c r="AZ85" s="21">
        <v>62.973300000000002</v>
      </c>
      <c r="BA85" s="21">
        <v>-3.5864300000000002E-2</v>
      </c>
      <c r="BB85" s="21">
        <v>75</v>
      </c>
      <c r="BC85" s="21">
        <v>0.276611</v>
      </c>
      <c r="BD85">
        <f t="shared" si="22"/>
        <v>35.8643</v>
      </c>
      <c r="BE85">
        <f t="shared" si="23"/>
        <v>9.9598747530000011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0.31738300000000003</v>
      </c>
      <c r="H86" s="21">
        <v>31.8642</v>
      </c>
      <c r="I86" s="21">
        <v>-3.5794100000000002E-2</v>
      </c>
      <c r="J86" s="21">
        <v>76</v>
      </c>
      <c r="K86" s="21">
        <v>0.31625399999999998</v>
      </c>
      <c r="L86">
        <f t="shared" si="12"/>
        <v>35.7941</v>
      </c>
      <c r="M86">
        <f t="shared" si="13"/>
        <v>11.360438840300001</v>
      </c>
      <c r="N86" s="9"/>
      <c r="O86" s="21">
        <v>0.28274500000000002</v>
      </c>
      <c r="P86" s="21">
        <v>36.288800000000002</v>
      </c>
      <c r="Q86" s="21">
        <v>-3.5784900000000001E-2</v>
      </c>
      <c r="R86" s="21">
        <v>76</v>
      </c>
      <c r="S86" s="21">
        <v>0.28173799999999999</v>
      </c>
      <c r="T86">
        <f t="shared" si="14"/>
        <v>35.7849</v>
      </c>
      <c r="U86">
        <f t="shared" si="15"/>
        <v>10.118001550500001</v>
      </c>
      <c r="X86" s="9"/>
      <c r="Y86" s="21">
        <v>0.31738300000000003</v>
      </c>
      <c r="Z86" s="21">
        <v>39.029400000000003</v>
      </c>
      <c r="AA86" s="21">
        <v>-3.5784900000000001E-2</v>
      </c>
      <c r="AB86" s="21">
        <v>76</v>
      </c>
      <c r="AC86" s="21">
        <v>0.31625399999999998</v>
      </c>
      <c r="AD86">
        <f t="shared" si="16"/>
        <v>35.7849</v>
      </c>
      <c r="AE86">
        <f t="shared" si="17"/>
        <v>11.357518916700002</v>
      </c>
      <c r="AF86" s="9"/>
      <c r="AG86" s="21">
        <v>0.28274500000000002</v>
      </c>
      <c r="AH86" s="21">
        <v>42.307000000000002</v>
      </c>
      <c r="AI86" s="21">
        <v>-3.5852099999999998E-2</v>
      </c>
      <c r="AJ86" s="21">
        <v>76</v>
      </c>
      <c r="AK86" s="21">
        <v>0.28164699999999998</v>
      </c>
      <c r="AL86">
        <f t="shared" si="18"/>
        <v>35.8521</v>
      </c>
      <c r="AM86">
        <f t="shared" si="19"/>
        <v>10.1370020145</v>
      </c>
      <c r="AP86" s="9"/>
      <c r="AQ86" s="21">
        <v>0.31738300000000003</v>
      </c>
      <c r="AR86" s="21">
        <v>50.212600000000002</v>
      </c>
      <c r="AS86" s="21">
        <v>-3.5839799999999998E-2</v>
      </c>
      <c r="AT86" s="21">
        <v>76</v>
      </c>
      <c r="AU86" s="21">
        <v>0.31622299999999998</v>
      </c>
      <c r="AV86">
        <f t="shared" si="20"/>
        <v>35.839799999999997</v>
      </c>
      <c r="AW86">
        <f t="shared" si="21"/>
        <v>11.374943243400001</v>
      </c>
      <c r="AX86" s="9"/>
      <c r="AY86" s="21">
        <v>0.28274500000000002</v>
      </c>
      <c r="AZ86" s="21">
        <v>62.983400000000003</v>
      </c>
      <c r="BA86" s="21">
        <v>-3.5876499999999999E-2</v>
      </c>
      <c r="BB86" s="21">
        <v>76</v>
      </c>
      <c r="BC86" s="21">
        <v>0.28170800000000001</v>
      </c>
      <c r="BD86">
        <f t="shared" si="22"/>
        <v>35.8765</v>
      </c>
      <c r="BE86">
        <f t="shared" si="23"/>
        <v>10.143900992500001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0.31234699999999999</v>
      </c>
      <c r="H87" s="21">
        <v>31.874300000000002</v>
      </c>
      <c r="I87" s="21">
        <v>-3.5815399999999997E-2</v>
      </c>
      <c r="J87" s="21">
        <v>77</v>
      </c>
      <c r="K87" s="21">
        <v>0.31130999999999998</v>
      </c>
      <c r="L87">
        <f t="shared" si="12"/>
        <v>35.815399999999997</v>
      </c>
      <c r="M87">
        <f t="shared" si="13"/>
        <v>11.186832743799998</v>
      </c>
      <c r="N87" s="9"/>
      <c r="O87" s="21">
        <v>0.28778100000000001</v>
      </c>
      <c r="P87" s="21">
        <v>36.298900000000003</v>
      </c>
      <c r="Q87" s="21">
        <v>-3.5775800000000003E-2</v>
      </c>
      <c r="R87" s="21">
        <v>77</v>
      </c>
      <c r="S87" s="21">
        <v>0.286713</v>
      </c>
      <c r="T87">
        <f t="shared" si="14"/>
        <v>35.775800000000004</v>
      </c>
      <c r="U87">
        <f t="shared" si="15"/>
        <v>10.295595499800001</v>
      </c>
      <c r="X87" s="9"/>
      <c r="Y87" s="21">
        <v>0.31234699999999999</v>
      </c>
      <c r="Z87" s="21">
        <v>39.039400000000001</v>
      </c>
      <c r="AA87" s="21">
        <v>-3.5797099999999998E-2</v>
      </c>
      <c r="AB87" s="21">
        <v>77</v>
      </c>
      <c r="AC87" s="21">
        <v>0.311249</v>
      </c>
      <c r="AD87">
        <f t="shared" si="16"/>
        <v>35.7971</v>
      </c>
      <c r="AE87">
        <f t="shared" si="17"/>
        <v>11.181116793699999</v>
      </c>
      <c r="AF87" s="9"/>
      <c r="AG87" s="21">
        <v>0.28778100000000001</v>
      </c>
      <c r="AH87" s="21">
        <v>42.317</v>
      </c>
      <c r="AI87" s="21">
        <v>-3.5839799999999998E-2</v>
      </c>
      <c r="AJ87" s="21">
        <v>77</v>
      </c>
      <c r="AK87" s="21">
        <v>0.28674300000000003</v>
      </c>
      <c r="AL87">
        <f t="shared" si="18"/>
        <v>35.839799999999997</v>
      </c>
      <c r="AM87">
        <f t="shared" si="19"/>
        <v>10.3140134838</v>
      </c>
      <c r="AP87" s="9"/>
      <c r="AQ87" s="21">
        <v>0.31234699999999999</v>
      </c>
      <c r="AR87" s="21">
        <v>50.222700000000003</v>
      </c>
      <c r="AS87" s="21">
        <v>-3.5870399999999997E-2</v>
      </c>
      <c r="AT87" s="21">
        <v>77</v>
      </c>
      <c r="AU87" s="21">
        <v>0.31121799999999999</v>
      </c>
      <c r="AV87">
        <f t="shared" si="20"/>
        <v>35.870399999999997</v>
      </c>
      <c r="AW87">
        <f t="shared" si="21"/>
        <v>11.204011828799999</v>
      </c>
      <c r="AX87" s="9"/>
      <c r="AY87" s="21">
        <v>0.28778100000000001</v>
      </c>
      <c r="AZ87" s="21">
        <v>62.993499999999997</v>
      </c>
      <c r="BA87" s="21">
        <v>-3.5897800000000001E-2</v>
      </c>
      <c r="BB87" s="21">
        <v>77</v>
      </c>
      <c r="BC87" s="21">
        <v>0.286713</v>
      </c>
      <c r="BD87">
        <f t="shared" si="22"/>
        <v>35.897800000000004</v>
      </c>
      <c r="BE87">
        <f t="shared" si="23"/>
        <v>10.330704781800002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0.30731199999999997</v>
      </c>
      <c r="H88" s="21">
        <v>31.8843</v>
      </c>
      <c r="I88" s="21">
        <v>-3.5821499999999999E-2</v>
      </c>
      <c r="J88" s="21">
        <v>78</v>
      </c>
      <c r="K88" s="21">
        <v>0.30621300000000001</v>
      </c>
      <c r="L88">
        <f t="shared" si="12"/>
        <v>35.8215</v>
      </c>
      <c r="M88">
        <f t="shared" si="13"/>
        <v>11.008376808</v>
      </c>
      <c r="N88" s="9"/>
      <c r="O88" s="21">
        <v>0.29281600000000002</v>
      </c>
      <c r="P88" s="21">
        <v>36.308900000000001</v>
      </c>
      <c r="Q88" s="21">
        <v>-3.5784900000000001E-2</v>
      </c>
      <c r="R88" s="21">
        <v>78</v>
      </c>
      <c r="S88" s="21">
        <v>0.29168699999999997</v>
      </c>
      <c r="T88">
        <f t="shared" si="14"/>
        <v>35.7849</v>
      </c>
      <c r="U88">
        <f t="shared" si="15"/>
        <v>10.4783912784</v>
      </c>
      <c r="X88" s="9"/>
      <c r="Y88" s="21">
        <v>0.30731199999999997</v>
      </c>
      <c r="Z88" s="21">
        <v>39.049500000000002</v>
      </c>
      <c r="AA88" s="21">
        <v>-3.58032E-2</v>
      </c>
      <c r="AB88" s="21">
        <v>78</v>
      </c>
      <c r="AC88" s="21">
        <v>0.30621300000000001</v>
      </c>
      <c r="AD88">
        <f t="shared" si="16"/>
        <v>35.803199999999997</v>
      </c>
      <c r="AE88">
        <f t="shared" si="17"/>
        <v>11.002752998399998</v>
      </c>
      <c r="AF88" s="9"/>
      <c r="AG88" s="21">
        <v>0.29281600000000002</v>
      </c>
      <c r="AH88" s="21">
        <v>42.327100000000002</v>
      </c>
      <c r="AI88" s="21">
        <v>-3.5836800000000002E-2</v>
      </c>
      <c r="AJ88" s="21">
        <v>78</v>
      </c>
      <c r="AK88" s="21">
        <v>0.29168699999999997</v>
      </c>
      <c r="AL88">
        <f t="shared" si="18"/>
        <v>35.836800000000004</v>
      </c>
      <c r="AM88">
        <f t="shared" si="19"/>
        <v>10.493588428800003</v>
      </c>
      <c r="AP88" s="9"/>
      <c r="AQ88" s="21">
        <v>0.30731199999999997</v>
      </c>
      <c r="AR88" s="21">
        <v>50.232799999999997</v>
      </c>
      <c r="AS88" s="21">
        <v>-3.5885599999999997E-2</v>
      </c>
      <c r="AT88" s="21">
        <v>78</v>
      </c>
      <c r="AU88" s="21">
        <v>0.30618299999999998</v>
      </c>
      <c r="AV88">
        <f t="shared" si="20"/>
        <v>35.885599999999997</v>
      </c>
      <c r="AW88">
        <f t="shared" si="21"/>
        <v>11.028075507199999</v>
      </c>
      <c r="AX88" s="9"/>
      <c r="AY88" s="21">
        <v>0.29281600000000002</v>
      </c>
      <c r="AZ88" s="21">
        <v>63.003500000000003</v>
      </c>
      <c r="BA88" s="21">
        <v>-3.5907000000000001E-2</v>
      </c>
      <c r="BB88" s="21">
        <v>78</v>
      </c>
      <c r="BC88" s="21">
        <v>0.29168699999999997</v>
      </c>
      <c r="BD88">
        <f t="shared" si="22"/>
        <v>35.907000000000004</v>
      </c>
      <c r="BE88">
        <f t="shared" si="23"/>
        <v>10.514144112000002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0.30227700000000002</v>
      </c>
      <c r="H89" s="21">
        <v>31.894400000000001</v>
      </c>
      <c r="I89" s="21">
        <v>-3.5827600000000001E-2</v>
      </c>
      <c r="J89" s="21">
        <v>79</v>
      </c>
      <c r="K89" s="21">
        <v>0.301178</v>
      </c>
      <c r="L89">
        <f t="shared" si="12"/>
        <v>35.827600000000004</v>
      </c>
      <c r="M89">
        <f t="shared" si="13"/>
        <v>10.829859445200002</v>
      </c>
      <c r="N89" s="9"/>
      <c r="O89" s="21">
        <v>0.29785200000000001</v>
      </c>
      <c r="P89" s="21">
        <v>36.319000000000003</v>
      </c>
      <c r="Q89" s="21">
        <v>-3.5784900000000001E-2</v>
      </c>
      <c r="R89" s="21">
        <v>79</v>
      </c>
      <c r="S89" s="21">
        <v>0.29672199999999999</v>
      </c>
      <c r="T89">
        <f t="shared" si="14"/>
        <v>35.7849</v>
      </c>
      <c r="U89">
        <f t="shared" si="15"/>
        <v>10.6586040348</v>
      </c>
      <c r="X89" s="9"/>
      <c r="Y89" s="21">
        <v>0.30227700000000002</v>
      </c>
      <c r="Z89" s="21">
        <v>39.059600000000003</v>
      </c>
      <c r="AA89" s="21">
        <v>-3.5809300000000002E-2</v>
      </c>
      <c r="AB89" s="21">
        <v>79</v>
      </c>
      <c r="AC89" s="21">
        <v>0.301178</v>
      </c>
      <c r="AD89">
        <f t="shared" si="16"/>
        <v>35.8093</v>
      </c>
      <c r="AE89">
        <f t="shared" si="17"/>
        <v>10.824327776100001</v>
      </c>
      <c r="AF89" s="9"/>
      <c r="AG89" s="21">
        <v>0.29785200000000001</v>
      </c>
      <c r="AH89" s="21">
        <v>42.337200000000003</v>
      </c>
      <c r="AI89" s="21">
        <v>-3.5827600000000001E-2</v>
      </c>
      <c r="AJ89" s="21">
        <v>79</v>
      </c>
      <c r="AK89" s="21">
        <v>0.29675299999999999</v>
      </c>
      <c r="AL89">
        <f t="shared" si="18"/>
        <v>35.827600000000004</v>
      </c>
      <c r="AM89">
        <f t="shared" si="19"/>
        <v>10.671322315200001</v>
      </c>
      <c r="AP89" s="9"/>
      <c r="AQ89" s="21">
        <v>0.30227700000000002</v>
      </c>
      <c r="AR89" s="21">
        <v>50.242800000000003</v>
      </c>
      <c r="AS89" s="21">
        <v>-3.5891699999999999E-2</v>
      </c>
      <c r="AT89" s="21">
        <v>79</v>
      </c>
      <c r="AU89" s="21">
        <v>0.30120799999999998</v>
      </c>
      <c r="AV89">
        <f t="shared" si="20"/>
        <v>35.8917</v>
      </c>
      <c r="AW89">
        <f t="shared" si="21"/>
        <v>10.849235400900001</v>
      </c>
      <c r="AX89" s="9"/>
      <c r="AY89" s="21">
        <v>0.29785200000000001</v>
      </c>
      <c r="AZ89" s="21">
        <v>63.013599999999997</v>
      </c>
      <c r="BA89" s="21">
        <v>-3.5900899999999999E-2</v>
      </c>
      <c r="BB89" s="21">
        <v>79</v>
      </c>
      <c r="BC89" s="21">
        <v>0.29675299999999999</v>
      </c>
      <c r="BD89">
        <f t="shared" si="22"/>
        <v>35.9009</v>
      </c>
      <c r="BE89">
        <f t="shared" si="23"/>
        <v>10.6931548668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0.29724099999999998</v>
      </c>
      <c r="H90" s="21">
        <v>31.904499999999999</v>
      </c>
      <c r="I90" s="21">
        <v>-3.5824599999999998E-2</v>
      </c>
      <c r="J90" s="21">
        <v>80</v>
      </c>
      <c r="K90" s="21">
        <v>0.29611199999999999</v>
      </c>
      <c r="L90">
        <f t="shared" si="12"/>
        <v>35.824599999999997</v>
      </c>
      <c r="M90">
        <f t="shared" si="13"/>
        <v>10.648539928599998</v>
      </c>
      <c r="N90" s="9"/>
      <c r="O90" s="21">
        <v>0.30288700000000002</v>
      </c>
      <c r="P90" s="21">
        <v>36.329099999999997</v>
      </c>
      <c r="Q90" s="21">
        <v>-3.5778799999999999E-2</v>
      </c>
      <c r="R90" s="21">
        <v>80</v>
      </c>
      <c r="S90" s="21">
        <v>0.301819</v>
      </c>
      <c r="T90">
        <f t="shared" si="14"/>
        <v>35.778799999999997</v>
      </c>
      <c r="U90">
        <f t="shared" si="15"/>
        <v>10.836933395599999</v>
      </c>
      <c r="X90" s="9"/>
      <c r="Y90" s="21">
        <v>0.29724099999999998</v>
      </c>
      <c r="Z90" s="21">
        <v>39.069699999999997</v>
      </c>
      <c r="AA90" s="21">
        <v>-3.5818500000000003E-2</v>
      </c>
      <c r="AB90" s="21">
        <v>80</v>
      </c>
      <c r="AC90" s="21">
        <v>0.29611199999999999</v>
      </c>
      <c r="AD90">
        <f t="shared" si="16"/>
        <v>35.8185</v>
      </c>
      <c r="AE90">
        <f t="shared" si="17"/>
        <v>10.6467267585</v>
      </c>
      <c r="AF90" s="9"/>
      <c r="AG90" s="21">
        <v>0.30288700000000002</v>
      </c>
      <c r="AH90" s="21">
        <v>42.347200000000001</v>
      </c>
      <c r="AI90" s="21">
        <v>-3.5809300000000002E-2</v>
      </c>
      <c r="AJ90" s="21">
        <v>80</v>
      </c>
      <c r="AK90" s="21">
        <v>0.301819</v>
      </c>
      <c r="AL90">
        <f t="shared" si="18"/>
        <v>35.8093</v>
      </c>
      <c r="AM90">
        <f t="shared" si="19"/>
        <v>10.8461714491</v>
      </c>
      <c r="AP90" s="9"/>
      <c r="AQ90" s="21">
        <v>0.29724099999999998</v>
      </c>
      <c r="AR90" s="21">
        <v>50.252899999999997</v>
      </c>
      <c r="AS90" s="21">
        <v>-3.5891699999999999E-2</v>
      </c>
      <c r="AT90" s="21">
        <v>80</v>
      </c>
      <c r="AU90" s="21">
        <v>0.29614299999999999</v>
      </c>
      <c r="AV90">
        <f t="shared" si="20"/>
        <v>35.8917</v>
      </c>
      <c r="AW90">
        <f t="shared" si="21"/>
        <v>10.6684847997</v>
      </c>
      <c r="AX90" s="9"/>
      <c r="AY90" s="21">
        <v>0.30288700000000002</v>
      </c>
      <c r="AZ90" s="21">
        <v>63.023699999999998</v>
      </c>
      <c r="BA90" s="21">
        <v>-3.5888700000000003E-2</v>
      </c>
      <c r="BB90" s="21">
        <v>80</v>
      </c>
      <c r="BC90" s="21">
        <v>0.301788</v>
      </c>
      <c r="BD90">
        <f t="shared" si="22"/>
        <v>35.8887</v>
      </c>
      <c r="BE90">
        <f t="shared" si="23"/>
        <v>10.870220676900001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0.29220600000000002</v>
      </c>
      <c r="H91" s="21">
        <v>31.9146</v>
      </c>
      <c r="I91" s="21">
        <v>-3.5806299999999999E-2</v>
      </c>
      <c r="J91" s="21">
        <v>81</v>
      </c>
      <c r="K91" s="21">
        <v>0.29104600000000003</v>
      </c>
      <c r="L91">
        <f t="shared" si="12"/>
        <v>35.8063</v>
      </c>
      <c r="M91">
        <f t="shared" si="13"/>
        <v>10.4628156978</v>
      </c>
      <c r="N91" s="9"/>
      <c r="O91" s="21">
        <v>0.30792199999999997</v>
      </c>
      <c r="P91" s="21">
        <v>36.339100000000002</v>
      </c>
      <c r="Q91" s="21">
        <v>-3.5778799999999999E-2</v>
      </c>
      <c r="R91" s="21">
        <v>81</v>
      </c>
      <c r="S91" s="21">
        <v>0.30682399999999999</v>
      </c>
      <c r="T91">
        <f t="shared" si="14"/>
        <v>35.778799999999997</v>
      </c>
      <c r="U91">
        <f t="shared" si="15"/>
        <v>11.017079653599998</v>
      </c>
      <c r="X91" s="9"/>
      <c r="Y91" s="21">
        <v>0.29220600000000002</v>
      </c>
      <c r="Z91" s="21">
        <v>39.079700000000003</v>
      </c>
      <c r="AA91" s="21">
        <v>-3.58307E-2</v>
      </c>
      <c r="AB91" s="21">
        <v>81</v>
      </c>
      <c r="AC91" s="21">
        <v>0.29113800000000001</v>
      </c>
      <c r="AD91">
        <f t="shared" si="16"/>
        <v>35.8307</v>
      </c>
      <c r="AE91">
        <f t="shared" si="17"/>
        <v>10.469945524200002</v>
      </c>
      <c r="AF91" s="9"/>
      <c r="AG91" s="21">
        <v>0.30792199999999997</v>
      </c>
      <c r="AH91" s="21">
        <v>42.357300000000002</v>
      </c>
      <c r="AI91" s="21">
        <v>-3.5794100000000002E-2</v>
      </c>
      <c r="AJ91" s="21">
        <v>81</v>
      </c>
      <c r="AK91" s="21">
        <v>0.30676300000000001</v>
      </c>
      <c r="AL91">
        <f t="shared" si="18"/>
        <v>35.7941</v>
      </c>
      <c r="AM91">
        <f t="shared" si="19"/>
        <v>11.021790860199999</v>
      </c>
      <c r="AP91" s="9"/>
      <c r="AQ91" s="21">
        <v>0.29220600000000002</v>
      </c>
      <c r="AR91" s="21">
        <v>50.262999999999998</v>
      </c>
      <c r="AS91" s="21">
        <v>-3.5879500000000002E-2</v>
      </c>
      <c r="AT91" s="21">
        <v>81</v>
      </c>
      <c r="AU91" s="21">
        <v>0.29113800000000001</v>
      </c>
      <c r="AV91">
        <f t="shared" si="20"/>
        <v>35.8795</v>
      </c>
      <c r="AW91">
        <f t="shared" si="21"/>
        <v>10.484205177000002</v>
      </c>
      <c r="AX91" s="9"/>
      <c r="AY91" s="21">
        <v>0.30792199999999997</v>
      </c>
      <c r="AZ91" s="21">
        <v>63.033700000000003</v>
      </c>
      <c r="BA91" s="21">
        <v>-3.5879500000000002E-2</v>
      </c>
      <c r="BB91" s="21">
        <v>81</v>
      </c>
      <c r="BC91" s="21">
        <v>0.30691499999999999</v>
      </c>
      <c r="BD91">
        <f t="shared" si="22"/>
        <v>35.8795</v>
      </c>
      <c r="BE91">
        <f t="shared" si="23"/>
        <v>11.048087399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0.28716999999999998</v>
      </c>
      <c r="H92" s="21">
        <v>31.924600000000002</v>
      </c>
      <c r="I92" s="21">
        <v>-3.5809300000000002E-2</v>
      </c>
      <c r="J92" s="21">
        <v>82</v>
      </c>
      <c r="K92" s="21">
        <v>0.28604099999999999</v>
      </c>
      <c r="L92">
        <f t="shared" si="12"/>
        <v>35.8093</v>
      </c>
      <c r="M92">
        <f t="shared" si="13"/>
        <v>10.283356680999999</v>
      </c>
      <c r="N92" s="9"/>
      <c r="O92" s="21">
        <v>0.31295800000000001</v>
      </c>
      <c r="P92" s="21">
        <v>36.349200000000003</v>
      </c>
      <c r="Q92" s="21">
        <v>-3.5754399999999999E-2</v>
      </c>
      <c r="R92" s="21">
        <v>82</v>
      </c>
      <c r="S92" s="21">
        <v>0.31182900000000002</v>
      </c>
      <c r="T92">
        <f t="shared" si="14"/>
        <v>35.754399999999997</v>
      </c>
      <c r="U92">
        <f t="shared" si="15"/>
        <v>11.189625515199999</v>
      </c>
      <c r="X92" s="9"/>
      <c r="Y92" s="21">
        <v>0.28716999999999998</v>
      </c>
      <c r="Z92" s="21">
        <v>39.089799999999997</v>
      </c>
      <c r="AA92" s="21">
        <v>-3.5852099999999998E-2</v>
      </c>
      <c r="AB92" s="21">
        <v>82</v>
      </c>
      <c r="AC92" s="21">
        <v>0.28604099999999999</v>
      </c>
      <c r="AD92">
        <f t="shared" si="16"/>
        <v>35.8521</v>
      </c>
      <c r="AE92">
        <f t="shared" si="17"/>
        <v>10.295647556999999</v>
      </c>
      <c r="AF92" s="9"/>
      <c r="AG92" s="21">
        <v>0.31295800000000001</v>
      </c>
      <c r="AH92" s="21">
        <v>42.367400000000004</v>
      </c>
      <c r="AI92" s="21">
        <v>-3.5769700000000001E-2</v>
      </c>
      <c r="AJ92" s="21">
        <v>82</v>
      </c>
      <c r="AK92" s="21">
        <v>0.31195099999999998</v>
      </c>
      <c r="AL92">
        <f t="shared" si="18"/>
        <v>35.7697</v>
      </c>
      <c r="AM92">
        <f t="shared" si="19"/>
        <v>11.194413772600001</v>
      </c>
      <c r="AP92" s="9"/>
      <c r="AQ92" s="21">
        <v>0.28716999999999998</v>
      </c>
      <c r="AR92" s="21">
        <v>50.273000000000003</v>
      </c>
      <c r="AS92" s="21">
        <v>-3.5879500000000002E-2</v>
      </c>
      <c r="AT92" s="21">
        <v>82</v>
      </c>
      <c r="AU92" s="21">
        <v>0.28604099999999999</v>
      </c>
      <c r="AV92">
        <f t="shared" si="20"/>
        <v>35.8795</v>
      </c>
      <c r="AW92">
        <f t="shared" si="21"/>
        <v>10.303516015</v>
      </c>
      <c r="AX92" s="9"/>
      <c r="AY92" s="21">
        <v>0.31295800000000001</v>
      </c>
      <c r="AZ92" s="21">
        <v>63.043799999999997</v>
      </c>
      <c r="BA92" s="21">
        <v>-3.58582E-2</v>
      </c>
      <c r="BB92" s="21">
        <v>82</v>
      </c>
      <c r="BC92" s="21">
        <v>0.31182900000000002</v>
      </c>
      <c r="BD92">
        <f t="shared" si="22"/>
        <v>35.858199999999997</v>
      </c>
      <c r="BE92">
        <f t="shared" si="23"/>
        <v>11.222110555599999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0.28213500000000002</v>
      </c>
      <c r="H93" s="21">
        <v>31.934699999999999</v>
      </c>
      <c r="I93" s="21">
        <v>-3.5809300000000002E-2</v>
      </c>
      <c r="J93" s="21">
        <v>83</v>
      </c>
      <c r="K93" s="21">
        <v>0.28097499999999997</v>
      </c>
      <c r="L93">
        <f t="shared" si="12"/>
        <v>35.8093</v>
      </c>
      <c r="M93">
        <f t="shared" si="13"/>
        <v>10.1030568555</v>
      </c>
      <c r="N93" s="9"/>
      <c r="O93" s="21">
        <v>0.31799300000000003</v>
      </c>
      <c r="P93" s="21">
        <v>36.359299999999998</v>
      </c>
      <c r="Q93" s="21">
        <v>-3.5726899999999999E-2</v>
      </c>
      <c r="R93" s="21">
        <v>83</v>
      </c>
      <c r="S93" s="21">
        <v>0.31686399999999998</v>
      </c>
      <c r="T93">
        <f t="shared" si="14"/>
        <v>35.726900000000001</v>
      </c>
      <c r="U93">
        <f t="shared" si="15"/>
        <v>11.360904111700002</v>
      </c>
      <c r="X93" s="9"/>
      <c r="Y93" s="21">
        <v>0.28213500000000002</v>
      </c>
      <c r="Z93" s="21">
        <v>39.099899999999998</v>
      </c>
      <c r="AA93" s="21">
        <v>-3.5867299999999998E-2</v>
      </c>
      <c r="AB93" s="21">
        <v>83</v>
      </c>
      <c r="AC93" s="21">
        <v>0.28103600000000001</v>
      </c>
      <c r="AD93">
        <f t="shared" si="16"/>
        <v>35.8673</v>
      </c>
      <c r="AE93">
        <f t="shared" si="17"/>
        <v>10.119420685500002</v>
      </c>
      <c r="AF93" s="9"/>
      <c r="AG93" s="21">
        <v>0.31799300000000003</v>
      </c>
      <c r="AH93" s="21">
        <v>42.377400000000002</v>
      </c>
      <c r="AI93" s="21">
        <v>-3.5766600000000003E-2</v>
      </c>
      <c r="AJ93" s="21">
        <v>83</v>
      </c>
      <c r="AK93" s="21">
        <v>0.31692500000000001</v>
      </c>
      <c r="AL93">
        <f t="shared" si="18"/>
        <v>35.766600000000004</v>
      </c>
      <c r="AM93">
        <f t="shared" si="19"/>
        <v>11.373528433800002</v>
      </c>
      <c r="AP93" s="9"/>
      <c r="AQ93" s="21">
        <v>0.28213500000000002</v>
      </c>
      <c r="AR93" s="21">
        <v>50.283099999999997</v>
      </c>
      <c r="AS93" s="21">
        <v>-3.5894799999999998E-2</v>
      </c>
      <c r="AT93" s="21">
        <v>83</v>
      </c>
      <c r="AU93" s="21">
        <v>0.28100599999999998</v>
      </c>
      <c r="AV93">
        <f t="shared" si="20"/>
        <v>35.894799999999996</v>
      </c>
      <c r="AW93">
        <f t="shared" si="21"/>
        <v>10.127179397999999</v>
      </c>
      <c r="AX93" s="9"/>
      <c r="AY93" s="21">
        <v>0.31799300000000003</v>
      </c>
      <c r="AZ93" s="21">
        <v>63.053899999999999</v>
      </c>
      <c r="BA93" s="21">
        <v>-3.5842899999999997E-2</v>
      </c>
      <c r="BB93" s="21">
        <v>83</v>
      </c>
      <c r="BC93" s="21">
        <v>0.31683299999999998</v>
      </c>
      <c r="BD93">
        <f t="shared" si="22"/>
        <v>35.8429</v>
      </c>
      <c r="BE93">
        <f t="shared" si="23"/>
        <v>11.397791299700001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0.27710000000000001</v>
      </c>
      <c r="H94" s="21">
        <v>31.944800000000001</v>
      </c>
      <c r="I94" s="21">
        <v>-3.58307E-2</v>
      </c>
      <c r="J94" s="21">
        <v>84</v>
      </c>
      <c r="K94" s="21">
        <v>0.276001</v>
      </c>
      <c r="L94">
        <f t="shared" si="12"/>
        <v>35.8307</v>
      </c>
      <c r="M94">
        <f t="shared" si="13"/>
        <v>9.9286869700000011</v>
      </c>
      <c r="N94" s="9"/>
      <c r="O94" s="21">
        <v>0.32302900000000001</v>
      </c>
      <c r="P94" s="21">
        <v>36.369399999999999</v>
      </c>
      <c r="Q94" s="21">
        <v>-3.57086E-2</v>
      </c>
      <c r="R94" s="21">
        <v>84</v>
      </c>
      <c r="S94" s="21">
        <v>0.32189899999999999</v>
      </c>
      <c r="T94">
        <f t="shared" si="14"/>
        <v>35.708599999999997</v>
      </c>
      <c r="U94">
        <f t="shared" si="15"/>
        <v>11.5349133494</v>
      </c>
      <c r="X94" s="9"/>
      <c r="Y94" s="21">
        <v>0.27710000000000001</v>
      </c>
      <c r="Z94" s="21">
        <v>39.109900000000003</v>
      </c>
      <c r="AA94" s="21">
        <v>-3.5876499999999999E-2</v>
      </c>
      <c r="AB94" s="21">
        <v>84</v>
      </c>
      <c r="AC94" s="21">
        <v>0.27603100000000003</v>
      </c>
      <c r="AD94">
        <f t="shared" si="16"/>
        <v>35.8765</v>
      </c>
      <c r="AE94">
        <f t="shared" si="17"/>
        <v>9.9413781500000002</v>
      </c>
      <c r="AF94" s="9"/>
      <c r="AG94" s="21">
        <v>0.32302900000000001</v>
      </c>
      <c r="AH94" s="21">
        <v>42.387500000000003</v>
      </c>
      <c r="AI94" s="21">
        <v>-3.5769700000000001E-2</v>
      </c>
      <c r="AJ94" s="21">
        <v>84</v>
      </c>
      <c r="AK94" s="21">
        <v>0.32189899999999999</v>
      </c>
      <c r="AL94">
        <f t="shared" si="18"/>
        <v>35.7697</v>
      </c>
      <c r="AM94">
        <f t="shared" si="19"/>
        <v>11.5546504213</v>
      </c>
      <c r="AP94" s="9"/>
      <c r="AQ94" s="21">
        <v>0.27710000000000001</v>
      </c>
      <c r="AR94" s="21">
        <v>50.293199999999999</v>
      </c>
      <c r="AS94" s="21">
        <v>-3.5891699999999999E-2</v>
      </c>
      <c r="AT94" s="21">
        <v>84</v>
      </c>
      <c r="AU94" s="21">
        <v>0.27603100000000003</v>
      </c>
      <c r="AV94">
        <f t="shared" si="20"/>
        <v>35.8917</v>
      </c>
      <c r="AW94">
        <f t="shared" si="21"/>
        <v>9.9455900699999997</v>
      </c>
      <c r="AX94" s="9"/>
      <c r="AY94" s="21">
        <v>0.32302900000000001</v>
      </c>
      <c r="AZ94" s="21">
        <v>63.064</v>
      </c>
      <c r="BA94" s="21">
        <v>-3.5836800000000002E-2</v>
      </c>
      <c r="BB94" s="21">
        <v>84</v>
      </c>
      <c r="BC94" s="21">
        <v>0.32192999999999999</v>
      </c>
      <c r="BD94">
        <f t="shared" si="22"/>
        <v>35.836800000000004</v>
      </c>
      <c r="BE94">
        <f t="shared" si="23"/>
        <v>11.576325667200001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0.27206399999999997</v>
      </c>
      <c r="H95" s="21">
        <v>31.954799999999999</v>
      </c>
      <c r="I95" s="21">
        <v>-3.58459E-2</v>
      </c>
      <c r="J95" s="21">
        <v>85</v>
      </c>
      <c r="K95" s="21">
        <v>0.27096599999999998</v>
      </c>
      <c r="L95">
        <f t="shared" si="12"/>
        <v>35.8459</v>
      </c>
      <c r="M95">
        <f t="shared" si="13"/>
        <v>9.7523789375999996</v>
      </c>
      <c r="N95" s="9"/>
      <c r="O95" s="21">
        <v>0.32806400000000002</v>
      </c>
      <c r="P95" s="21">
        <v>36.379399999999997</v>
      </c>
      <c r="Q95" s="21">
        <v>-3.5702499999999998E-2</v>
      </c>
      <c r="R95" s="21">
        <v>85</v>
      </c>
      <c r="S95" s="21">
        <v>0.32693499999999998</v>
      </c>
      <c r="T95">
        <f t="shared" si="14"/>
        <v>35.702500000000001</v>
      </c>
      <c r="U95">
        <f t="shared" si="15"/>
        <v>11.712704960000002</v>
      </c>
      <c r="X95" s="9"/>
      <c r="Y95" s="21">
        <v>0.27206399999999997</v>
      </c>
      <c r="Z95" s="21">
        <v>39.119999999999997</v>
      </c>
      <c r="AA95" s="21">
        <v>-3.5894799999999998E-2</v>
      </c>
      <c r="AB95" s="21">
        <v>85</v>
      </c>
      <c r="AC95" s="21">
        <v>0.27105699999999999</v>
      </c>
      <c r="AD95">
        <f t="shared" si="16"/>
        <v>35.894799999999996</v>
      </c>
      <c r="AE95">
        <f t="shared" si="17"/>
        <v>9.7656828671999989</v>
      </c>
      <c r="AF95" s="9"/>
      <c r="AG95" s="21">
        <v>0.32806400000000002</v>
      </c>
      <c r="AH95" s="21">
        <v>42.397599999999997</v>
      </c>
      <c r="AI95" s="21">
        <v>-3.5781899999999998E-2</v>
      </c>
      <c r="AJ95" s="21">
        <v>85</v>
      </c>
      <c r="AK95" s="21">
        <v>0.32696500000000001</v>
      </c>
      <c r="AL95">
        <f t="shared" si="18"/>
        <v>35.7819</v>
      </c>
      <c r="AM95">
        <f t="shared" si="19"/>
        <v>11.738753241600001</v>
      </c>
      <c r="AP95" s="9"/>
      <c r="AQ95" s="21">
        <v>0.27206399999999997</v>
      </c>
      <c r="AR95" s="21">
        <v>50.3033</v>
      </c>
      <c r="AS95" s="21">
        <v>-3.5900899999999999E-2</v>
      </c>
      <c r="AT95" s="21">
        <v>85</v>
      </c>
      <c r="AU95" s="21">
        <v>0.27096599999999998</v>
      </c>
      <c r="AV95">
        <f t="shared" si="20"/>
        <v>35.9009</v>
      </c>
      <c r="AW95">
        <f t="shared" si="21"/>
        <v>9.7673424575999999</v>
      </c>
      <c r="AX95" s="9"/>
      <c r="AY95" s="21">
        <v>0.32806400000000002</v>
      </c>
      <c r="AZ95" s="21">
        <v>63.073999999999998</v>
      </c>
      <c r="BA95" s="21">
        <v>-3.5836800000000002E-2</v>
      </c>
      <c r="BB95" s="21">
        <v>85</v>
      </c>
      <c r="BC95" s="21">
        <v>0.32690399999999997</v>
      </c>
      <c r="BD95">
        <f t="shared" si="22"/>
        <v>35.836800000000004</v>
      </c>
      <c r="BE95">
        <f t="shared" si="23"/>
        <v>11.756763955200002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0.26702900000000002</v>
      </c>
      <c r="H96" s="21">
        <v>31.9649</v>
      </c>
      <c r="I96" s="21">
        <v>-3.5842899999999997E-2</v>
      </c>
      <c r="J96" s="21">
        <v>86</v>
      </c>
      <c r="K96" s="21">
        <v>0.26586900000000002</v>
      </c>
      <c r="L96">
        <f t="shared" si="12"/>
        <v>35.8429</v>
      </c>
      <c r="M96">
        <f t="shared" si="13"/>
        <v>9.5710937441000006</v>
      </c>
      <c r="N96" s="9"/>
      <c r="O96" s="21">
        <v>0.33309899999999998</v>
      </c>
      <c r="P96" s="21">
        <v>36.389499999999998</v>
      </c>
      <c r="Q96" s="21">
        <v>-3.57086E-2</v>
      </c>
      <c r="R96" s="21">
        <v>86</v>
      </c>
      <c r="S96" s="21">
        <v>0.33196999999999999</v>
      </c>
      <c r="T96">
        <f t="shared" si="14"/>
        <v>35.708599999999997</v>
      </c>
      <c r="U96">
        <f t="shared" si="15"/>
        <v>11.894498951399997</v>
      </c>
      <c r="X96" s="9"/>
      <c r="Y96" s="21">
        <v>0.26702900000000002</v>
      </c>
      <c r="Z96" s="21">
        <v>39.130099999999999</v>
      </c>
      <c r="AA96" s="21">
        <v>-3.5888700000000003E-2</v>
      </c>
      <c r="AB96" s="21">
        <v>86</v>
      </c>
      <c r="AC96" s="21">
        <v>0.26593</v>
      </c>
      <c r="AD96">
        <f t="shared" si="16"/>
        <v>35.8887</v>
      </c>
      <c r="AE96">
        <f t="shared" si="17"/>
        <v>9.5833236723000006</v>
      </c>
      <c r="AF96" s="9"/>
      <c r="AG96" s="21">
        <v>0.33309899999999998</v>
      </c>
      <c r="AH96" s="21">
        <v>42.407699999999998</v>
      </c>
      <c r="AI96" s="21">
        <v>-3.5775800000000003E-2</v>
      </c>
      <c r="AJ96" s="21">
        <v>86</v>
      </c>
      <c r="AK96" s="21">
        <v>0.33196999999999999</v>
      </c>
      <c r="AL96">
        <f t="shared" si="18"/>
        <v>35.775800000000004</v>
      </c>
      <c r="AM96">
        <f t="shared" si="19"/>
        <v>11.916883204200001</v>
      </c>
      <c r="AP96" s="9"/>
      <c r="AQ96" s="21">
        <v>0.26702900000000002</v>
      </c>
      <c r="AR96" s="21">
        <v>50.313299999999998</v>
      </c>
      <c r="AS96" s="21">
        <v>-3.5903900000000002E-2</v>
      </c>
      <c r="AT96" s="21">
        <v>86</v>
      </c>
      <c r="AU96" s="21">
        <v>0.265961</v>
      </c>
      <c r="AV96">
        <f t="shared" si="20"/>
        <v>35.9039</v>
      </c>
      <c r="AW96">
        <f t="shared" si="21"/>
        <v>9.5873825131000014</v>
      </c>
      <c r="AX96" s="9"/>
      <c r="AY96" s="21">
        <v>0.33309899999999998</v>
      </c>
      <c r="AZ96" s="21">
        <v>63.084099999999999</v>
      </c>
      <c r="BA96" s="21">
        <v>-3.5839799999999998E-2</v>
      </c>
      <c r="BB96" s="21">
        <v>86</v>
      </c>
      <c r="BC96" s="21">
        <v>0.33200099999999999</v>
      </c>
      <c r="BD96">
        <f t="shared" si="22"/>
        <v>35.839799999999997</v>
      </c>
      <c r="BE96">
        <f t="shared" si="23"/>
        <v>11.938201540199998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0.26199299999999998</v>
      </c>
      <c r="H97" s="21">
        <v>31.975000000000001</v>
      </c>
      <c r="I97" s="21">
        <v>-3.5852099999999998E-2</v>
      </c>
      <c r="J97" s="21">
        <v>87</v>
      </c>
      <c r="K97" s="21">
        <v>0.26089499999999999</v>
      </c>
      <c r="L97">
        <f t="shared" si="12"/>
        <v>35.8521</v>
      </c>
      <c r="M97">
        <f t="shared" si="13"/>
        <v>9.3929992352999996</v>
      </c>
      <c r="N97" s="9"/>
      <c r="O97" s="21">
        <v>0.33813500000000002</v>
      </c>
      <c r="P97" s="21">
        <v>36.3996</v>
      </c>
      <c r="Q97" s="21">
        <v>-3.5699500000000002E-2</v>
      </c>
      <c r="R97" s="21">
        <v>87</v>
      </c>
      <c r="S97" s="21">
        <v>0.33700600000000003</v>
      </c>
      <c r="T97">
        <f t="shared" si="14"/>
        <v>35.6995</v>
      </c>
      <c r="U97">
        <f t="shared" si="15"/>
        <v>12.071250432500001</v>
      </c>
      <c r="X97" s="9"/>
      <c r="Y97" s="21">
        <v>0.26199299999999998</v>
      </c>
      <c r="Z97" s="21">
        <v>39.140099999999997</v>
      </c>
      <c r="AA97" s="21">
        <v>-3.5891699999999999E-2</v>
      </c>
      <c r="AB97" s="21">
        <v>87</v>
      </c>
      <c r="AC97" s="21">
        <v>0.26086399999999998</v>
      </c>
      <c r="AD97">
        <f t="shared" si="16"/>
        <v>35.8917</v>
      </c>
      <c r="AE97">
        <f t="shared" si="17"/>
        <v>9.4033741580999983</v>
      </c>
      <c r="AF97" s="9"/>
      <c r="AG97" s="21">
        <v>0.33813500000000002</v>
      </c>
      <c r="AH97" s="21">
        <v>42.417700000000004</v>
      </c>
      <c r="AI97" s="21">
        <v>-3.5772699999999998E-2</v>
      </c>
      <c r="AJ97" s="21">
        <v>87</v>
      </c>
      <c r="AK97" s="21">
        <v>0.33697500000000002</v>
      </c>
      <c r="AL97">
        <f t="shared" si="18"/>
        <v>35.7727</v>
      </c>
      <c r="AM97">
        <f t="shared" si="19"/>
        <v>12.0960019145</v>
      </c>
      <c r="AP97" s="9"/>
      <c r="AQ97" s="21">
        <v>0.26199299999999998</v>
      </c>
      <c r="AR97" s="21">
        <v>50.323399999999999</v>
      </c>
      <c r="AS97" s="21">
        <v>-3.5913100000000003E-2</v>
      </c>
      <c r="AT97" s="21">
        <v>87</v>
      </c>
      <c r="AU97" s="21">
        <v>0.26092500000000002</v>
      </c>
      <c r="AV97">
        <f t="shared" si="20"/>
        <v>35.9131</v>
      </c>
      <c r="AW97">
        <f t="shared" si="21"/>
        <v>9.4089808082999991</v>
      </c>
      <c r="AX97" s="9"/>
      <c r="AY97" s="21">
        <v>0.33813500000000002</v>
      </c>
      <c r="AZ97" s="21">
        <v>63.094200000000001</v>
      </c>
      <c r="BA97" s="21">
        <v>-3.5839799999999998E-2</v>
      </c>
      <c r="BB97" s="21">
        <v>87</v>
      </c>
      <c r="BC97" s="21">
        <v>0.33700600000000003</v>
      </c>
      <c r="BD97">
        <f t="shared" si="22"/>
        <v>35.839799999999997</v>
      </c>
      <c r="BE97">
        <f t="shared" si="23"/>
        <v>12.118690772999999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0.25695800000000002</v>
      </c>
      <c r="H98" s="21">
        <v>31.985099999999999</v>
      </c>
      <c r="I98" s="21">
        <v>-3.5855100000000001E-2</v>
      </c>
      <c r="J98" s="21">
        <v>88</v>
      </c>
      <c r="K98" s="21">
        <v>0.255859</v>
      </c>
      <c r="L98">
        <f t="shared" si="12"/>
        <v>35.8551</v>
      </c>
      <c r="M98">
        <f t="shared" si="13"/>
        <v>9.2132547858000002</v>
      </c>
      <c r="N98" s="9"/>
      <c r="O98" s="21">
        <v>0.34316999999999998</v>
      </c>
      <c r="P98" s="21">
        <v>36.409599999999998</v>
      </c>
      <c r="Q98" s="21">
        <v>-3.5690300000000001E-2</v>
      </c>
      <c r="R98" s="21">
        <v>88</v>
      </c>
      <c r="S98" s="21">
        <v>0.34207199999999999</v>
      </c>
      <c r="T98">
        <f t="shared" si="14"/>
        <v>35.690300000000001</v>
      </c>
      <c r="U98">
        <f t="shared" si="15"/>
        <v>12.247840251</v>
      </c>
      <c r="X98" s="9"/>
      <c r="Y98" s="21">
        <v>0.25695800000000002</v>
      </c>
      <c r="Z98" s="21">
        <v>39.150199999999998</v>
      </c>
      <c r="AA98" s="21">
        <v>-3.5891699999999999E-2</v>
      </c>
      <c r="AB98" s="21">
        <v>88</v>
      </c>
      <c r="AC98" s="21">
        <v>0.25582899999999997</v>
      </c>
      <c r="AD98">
        <f t="shared" si="16"/>
        <v>35.8917</v>
      </c>
      <c r="AE98">
        <f t="shared" si="17"/>
        <v>9.2226594486</v>
      </c>
      <c r="AF98" s="9"/>
      <c r="AG98" s="21">
        <v>0.34316999999999998</v>
      </c>
      <c r="AH98" s="21">
        <v>42.427799999999998</v>
      </c>
      <c r="AI98" s="21">
        <v>-3.5772699999999998E-2</v>
      </c>
      <c r="AJ98" s="21">
        <v>88</v>
      </c>
      <c r="AK98" s="21">
        <v>0.34204099999999998</v>
      </c>
      <c r="AL98">
        <f t="shared" si="18"/>
        <v>35.7727</v>
      </c>
      <c r="AM98">
        <f t="shared" si="19"/>
        <v>12.276117459</v>
      </c>
      <c r="AP98" s="9"/>
      <c r="AQ98" s="21">
        <v>0.25695800000000002</v>
      </c>
      <c r="AR98" s="21">
        <v>50.333500000000001</v>
      </c>
      <c r="AS98" s="21">
        <v>-3.59253E-2</v>
      </c>
      <c r="AT98" s="21">
        <v>88</v>
      </c>
      <c r="AU98" s="21">
        <v>0.255859</v>
      </c>
      <c r="AV98">
        <f t="shared" si="20"/>
        <v>35.9253</v>
      </c>
      <c r="AW98">
        <f t="shared" si="21"/>
        <v>9.231293237400001</v>
      </c>
      <c r="AX98" s="9"/>
      <c r="AY98" s="21">
        <v>0.34316999999999998</v>
      </c>
      <c r="AZ98" s="21">
        <v>63.104199999999999</v>
      </c>
      <c r="BA98" s="21">
        <v>-3.5833700000000003E-2</v>
      </c>
      <c r="BB98" s="21">
        <v>88</v>
      </c>
      <c r="BC98" s="21">
        <v>0.34204099999999998</v>
      </c>
      <c r="BD98">
        <f t="shared" si="22"/>
        <v>35.8337</v>
      </c>
      <c r="BE98">
        <f t="shared" si="23"/>
        <v>12.297050829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0.25192300000000001</v>
      </c>
      <c r="H99" s="21">
        <v>31.995100000000001</v>
      </c>
      <c r="I99" s="21">
        <v>-3.5864300000000002E-2</v>
      </c>
      <c r="J99" s="21">
        <v>89</v>
      </c>
      <c r="K99" s="21">
        <v>0.25082399999999999</v>
      </c>
      <c r="L99">
        <f t="shared" si="12"/>
        <v>35.8643</v>
      </c>
      <c r="M99">
        <f t="shared" si="13"/>
        <v>9.0350420489000012</v>
      </c>
      <c r="N99" s="9"/>
      <c r="O99" s="21">
        <v>0.34820600000000002</v>
      </c>
      <c r="P99" s="21">
        <v>36.419699999999999</v>
      </c>
      <c r="Q99" s="21">
        <v>-3.5681200000000003E-2</v>
      </c>
      <c r="R99" s="21">
        <v>89</v>
      </c>
      <c r="S99" s="21">
        <v>0.34701500000000002</v>
      </c>
      <c r="T99">
        <f t="shared" si="14"/>
        <v>35.681200000000004</v>
      </c>
      <c r="U99">
        <f t="shared" si="15"/>
        <v>12.424407927200003</v>
      </c>
      <c r="X99" s="9"/>
      <c r="Y99" s="21">
        <v>0.25192300000000001</v>
      </c>
      <c r="Z99" s="21">
        <v>39.160299999999999</v>
      </c>
      <c r="AA99" s="21">
        <v>-3.5900899999999999E-2</v>
      </c>
      <c r="AB99" s="21">
        <v>89</v>
      </c>
      <c r="AC99" s="21">
        <v>0.25079299999999999</v>
      </c>
      <c r="AD99">
        <f t="shared" si="16"/>
        <v>35.9009</v>
      </c>
      <c r="AE99">
        <f t="shared" si="17"/>
        <v>9.0442624306999999</v>
      </c>
      <c r="AF99" s="9"/>
      <c r="AG99" s="21">
        <v>0.34820600000000002</v>
      </c>
      <c r="AH99" s="21">
        <v>42.437899999999999</v>
      </c>
      <c r="AI99" s="21">
        <v>-3.5760500000000001E-2</v>
      </c>
      <c r="AJ99" s="21">
        <v>89</v>
      </c>
      <c r="AK99" s="21">
        <v>0.34704600000000002</v>
      </c>
      <c r="AL99">
        <f t="shared" si="18"/>
        <v>35.7605</v>
      </c>
      <c r="AM99">
        <f t="shared" si="19"/>
        <v>12.452020663000001</v>
      </c>
      <c r="AP99" s="9"/>
      <c r="AQ99" s="21">
        <v>0.25192300000000001</v>
      </c>
      <c r="AR99" s="21">
        <v>50.343499999999999</v>
      </c>
      <c r="AS99" s="21">
        <v>-3.5937499999999997E-2</v>
      </c>
      <c r="AT99" s="21">
        <v>89</v>
      </c>
      <c r="AU99" s="21">
        <v>0.25085400000000002</v>
      </c>
      <c r="AV99">
        <f t="shared" si="20"/>
        <v>35.9375</v>
      </c>
      <c r="AW99">
        <f t="shared" si="21"/>
        <v>9.0534828125000004</v>
      </c>
      <c r="AX99" s="9"/>
      <c r="AY99" s="21">
        <v>0.34820600000000002</v>
      </c>
      <c r="AZ99" s="21">
        <v>63.1143</v>
      </c>
      <c r="BA99" s="21">
        <v>-3.58307E-2</v>
      </c>
      <c r="BB99" s="21">
        <v>89</v>
      </c>
      <c r="BC99" s="21">
        <v>0.347076</v>
      </c>
      <c r="BD99">
        <f t="shared" si="22"/>
        <v>35.8307</v>
      </c>
      <c r="BE99">
        <f t="shared" si="23"/>
        <v>12.476464724200001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0.246887</v>
      </c>
      <c r="H100" s="21">
        <v>32.005200000000002</v>
      </c>
      <c r="I100" s="21">
        <v>-3.5870399999999997E-2</v>
      </c>
      <c r="J100" s="21">
        <v>90</v>
      </c>
      <c r="K100" s="21">
        <v>0.24578900000000001</v>
      </c>
      <c r="L100">
        <f t="shared" si="12"/>
        <v>35.870399999999997</v>
      </c>
      <c r="M100">
        <f t="shared" si="13"/>
        <v>8.8559354447999983</v>
      </c>
      <c r="N100" s="9"/>
      <c r="O100" s="21">
        <v>0.35324100000000003</v>
      </c>
      <c r="P100" s="21">
        <v>36.4298</v>
      </c>
      <c r="Q100" s="21">
        <v>-3.5699500000000002E-2</v>
      </c>
      <c r="R100" s="21">
        <v>90</v>
      </c>
      <c r="S100" s="21">
        <v>0.35211199999999998</v>
      </c>
      <c r="T100">
        <f t="shared" si="14"/>
        <v>35.6995</v>
      </c>
      <c r="U100">
        <f t="shared" si="15"/>
        <v>12.610527079500001</v>
      </c>
      <c r="X100" s="9"/>
      <c r="Y100" s="21">
        <v>0.246887</v>
      </c>
      <c r="Z100" s="21">
        <v>39.170400000000001</v>
      </c>
      <c r="AA100" s="21">
        <v>-3.5897800000000001E-2</v>
      </c>
      <c r="AB100" s="21">
        <v>90</v>
      </c>
      <c r="AC100" s="21">
        <v>0.24587999999999999</v>
      </c>
      <c r="AD100">
        <f t="shared" si="16"/>
        <v>35.897800000000004</v>
      </c>
      <c r="AE100">
        <f t="shared" si="17"/>
        <v>8.8627001486000001</v>
      </c>
      <c r="AF100" s="9"/>
      <c r="AG100" s="21">
        <v>0.35324100000000003</v>
      </c>
      <c r="AH100" s="21">
        <v>42.447899999999997</v>
      </c>
      <c r="AI100" s="21">
        <v>-3.5757400000000002E-2</v>
      </c>
      <c r="AJ100" s="21">
        <v>90</v>
      </c>
      <c r="AK100" s="21">
        <v>0.35208099999999998</v>
      </c>
      <c r="AL100">
        <f t="shared" si="18"/>
        <v>35.757400000000004</v>
      </c>
      <c r="AM100">
        <f t="shared" si="19"/>
        <v>12.630979733400002</v>
      </c>
      <c r="AP100" s="9"/>
      <c r="AQ100" s="21">
        <v>0.246887</v>
      </c>
      <c r="AR100" s="21">
        <v>50.3536</v>
      </c>
      <c r="AS100" s="21">
        <v>-3.5955800000000003E-2</v>
      </c>
      <c r="AT100" s="21">
        <v>90</v>
      </c>
      <c r="AU100" s="21">
        <v>0.24578900000000001</v>
      </c>
      <c r="AV100">
        <f t="shared" si="20"/>
        <v>35.955800000000004</v>
      </c>
      <c r="AW100">
        <f t="shared" si="21"/>
        <v>8.8770195946000001</v>
      </c>
      <c r="AX100" s="9"/>
      <c r="AY100" s="21">
        <v>0.35324100000000003</v>
      </c>
      <c r="AZ100" s="21">
        <v>63.124400000000001</v>
      </c>
      <c r="BA100" s="21">
        <v>-3.5827600000000001E-2</v>
      </c>
      <c r="BB100" s="21">
        <v>90</v>
      </c>
      <c r="BC100" s="21">
        <v>0.35214200000000001</v>
      </c>
      <c r="BD100">
        <f t="shared" si="22"/>
        <v>35.827600000000004</v>
      </c>
      <c r="BE100">
        <f t="shared" si="23"/>
        <v>12.655777251600002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0.24185200000000001</v>
      </c>
      <c r="H101" s="21">
        <v>32.015300000000003</v>
      </c>
      <c r="I101" s="21">
        <v>-3.58734E-2</v>
      </c>
      <c r="J101" s="21">
        <v>91</v>
      </c>
      <c r="K101" s="21">
        <v>0.240784</v>
      </c>
      <c r="L101">
        <f t="shared" si="12"/>
        <v>35.873399999999997</v>
      </c>
      <c r="M101">
        <f t="shared" si="13"/>
        <v>8.6760535367999996</v>
      </c>
      <c r="N101" s="9"/>
      <c r="O101" s="21">
        <v>0.35827599999999998</v>
      </c>
      <c r="P101" s="21">
        <v>36.439900000000002</v>
      </c>
      <c r="Q101" s="21">
        <v>-3.5702499999999998E-2</v>
      </c>
      <c r="R101" s="21">
        <v>91</v>
      </c>
      <c r="S101" s="21">
        <v>0.35711700000000002</v>
      </c>
      <c r="T101">
        <f t="shared" si="14"/>
        <v>35.702500000000001</v>
      </c>
      <c r="U101">
        <f t="shared" si="15"/>
        <v>12.79134889</v>
      </c>
      <c r="X101" s="9"/>
      <c r="Y101" s="21">
        <v>0.24185200000000001</v>
      </c>
      <c r="Z101" s="21">
        <v>39.180399999999999</v>
      </c>
      <c r="AA101" s="21">
        <v>-3.5891699999999999E-2</v>
      </c>
      <c r="AB101" s="21">
        <v>91</v>
      </c>
      <c r="AC101" s="21">
        <v>0.24069199999999999</v>
      </c>
      <c r="AD101">
        <f t="shared" si="16"/>
        <v>35.8917</v>
      </c>
      <c r="AE101">
        <f t="shared" si="17"/>
        <v>8.6804794284</v>
      </c>
      <c r="AF101" s="9"/>
      <c r="AG101" s="21">
        <v>0.35827599999999998</v>
      </c>
      <c r="AH101" s="21">
        <v>42.457999999999998</v>
      </c>
      <c r="AI101" s="21">
        <v>-3.5760500000000001E-2</v>
      </c>
      <c r="AJ101" s="21">
        <v>91</v>
      </c>
      <c r="AK101" s="21">
        <v>0.35723899999999997</v>
      </c>
      <c r="AL101">
        <f t="shared" si="18"/>
        <v>35.7605</v>
      </c>
      <c r="AM101">
        <f t="shared" si="19"/>
        <v>12.812128897999999</v>
      </c>
      <c r="AP101" s="9"/>
      <c r="AQ101" s="21">
        <v>0.24185200000000001</v>
      </c>
      <c r="AR101" s="21">
        <v>50.363700000000001</v>
      </c>
      <c r="AS101" s="21">
        <v>-3.59528E-2</v>
      </c>
      <c r="AT101" s="21">
        <v>91</v>
      </c>
      <c r="AU101" s="21">
        <v>0.240784</v>
      </c>
      <c r="AV101">
        <f t="shared" si="20"/>
        <v>35.952800000000003</v>
      </c>
      <c r="AW101">
        <f t="shared" si="21"/>
        <v>8.695256585600001</v>
      </c>
      <c r="AX101" s="9"/>
      <c r="AY101" s="21">
        <v>0.35827599999999998</v>
      </c>
      <c r="AZ101" s="21">
        <v>63.134399999999999</v>
      </c>
      <c r="BA101" s="21">
        <v>-3.5839799999999998E-2</v>
      </c>
      <c r="BB101" s="21">
        <v>91</v>
      </c>
      <c r="BC101" s="21">
        <v>0.357178</v>
      </c>
      <c r="BD101">
        <f t="shared" si="22"/>
        <v>35.839799999999997</v>
      </c>
      <c r="BE101">
        <f t="shared" si="23"/>
        <v>12.840540184799998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0.236816</v>
      </c>
      <c r="H102" s="21">
        <v>32.025300000000001</v>
      </c>
      <c r="I102" s="21">
        <v>-3.5870399999999997E-2</v>
      </c>
      <c r="J102" s="21">
        <v>92</v>
      </c>
      <c r="K102" s="21">
        <v>0.23574800000000001</v>
      </c>
      <c r="L102">
        <f t="shared" si="12"/>
        <v>35.870399999999997</v>
      </c>
      <c r="M102">
        <f t="shared" si="13"/>
        <v>8.4946846463999997</v>
      </c>
      <c r="N102" s="9"/>
      <c r="O102" s="21">
        <v>0.36331200000000002</v>
      </c>
      <c r="P102" s="21">
        <v>36.4499</v>
      </c>
      <c r="Q102" s="21">
        <v>-3.5699500000000002E-2</v>
      </c>
      <c r="R102" s="21">
        <v>92</v>
      </c>
      <c r="S102" s="21">
        <v>0.36215199999999997</v>
      </c>
      <c r="T102">
        <f t="shared" si="14"/>
        <v>35.6995</v>
      </c>
      <c r="U102">
        <f t="shared" si="15"/>
        <v>12.970056744000001</v>
      </c>
      <c r="X102" s="9"/>
      <c r="Y102" s="21">
        <v>0.236816</v>
      </c>
      <c r="Z102" s="21">
        <v>39.1905</v>
      </c>
      <c r="AA102" s="21">
        <v>-3.5903900000000002E-2</v>
      </c>
      <c r="AB102" s="21">
        <v>92</v>
      </c>
      <c r="AC102" s="21">
        <v>0.23574800000000001</v>
      </c>
      <c r="AD102">
        <f t="shared" si="16"/>
        <v>35.9039</v>
      </c>
      <c r="AE102">
        <f t="shared" si="17"/>
        <v>8.5026179824000003</v>
      </c>
      <c r="AF102" s="9"/>
      <c r="AG102" s="21">
        <v>0.36331200000000002</v>
      </c>
      <c r="AH102" s="21">
        <v>42.4681</v>
      </c>
      <c r="AI102" s="21">
        <v>-3.5763499999999997E-2</v>
      </c>
      <c r="AJ102" s="21">
        <v>92</v>
      </c>
      <c r="AK102" s="21">
        <v>0.36218299999999998</v>
      </c>
      <c r="AL102">
        <f t="shared" si="18"/>
        <v>35.763499999999993</v>
      </c>
      <c r="AM102">
        <f t="shared" si="19"/>
        <v>12.993308711999999</v>
      </c>
      <c r="AP102" s="9"/>
      <c r="AQ102" s="21">
        <v>0.236816</v>
      </c>
      <c r="AR102" s="21">
        <v>50.373800000000003</v>
      </c>
      <c r="AS102" s="21">
        <v>-3.5955800000000003E-2</v>
      </c>
      <c r="AT102" s="21">
        <v>92</v>
      </c>
      <c r="AU102" s="21">
        <v>0.23574800000000001</v>
      </c>
      <c r="AV102">
        <f t="shared" si="20"/>
        <v>35.955800000000004</v>
      </c>
      <c r="AW102">
        <f t="shared" si="21"/>
        <v>8.5149087328000004</v>
      </c>
      <c r="AX102" s="9"/>
      <c r="AY102" s="21">
        <v>0.36331200000000002</v>
      </c>
      <c r="AZ102" s="21">
        <v>63.144500000000001</v>
      </c>
      <c r="BA102" s="21">
        <v>-3.5839799999999998E-2</v>
      </c>
      <c r="BB102" s="21">
        <v>92</v>
      </c>
      <c r="BC102" s="21">
        <v>0.36221300000000001</v>
      </c>
      <c r="BD102">
        <f t="shared" si="22"/>
        <v>35.839799999999997</v>
      </c>
      <c r="BE102">
        <f t="shared" si="23"/>
        <v>13.021029417599999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0.23178099999999999</v>
      </c>
      <c r="H103" s="21">
        <v>32.035400000000003</v>
      </c>
      <c r="I103" s="21">
        <v>-3.5867299999999998E-2</v>
      </c>
      <c r="J103" s="21">
        <v>93</v>
      </c>
      <c r="K103" s="21">
        <v>0.230682</v>
      </c>
      <c r="L103">
        <f t="shared" si="12"/>
        <v>35.8673</v>
      </c>
      <c r="M103">
        <f t="shared" si="13"/>
        <v>8.3133586612999988</v>
      </c>
      <c r="N103" s="9"/>
      <c r="O103" s="21">
        <v>0.36834699999999998</v>
      </c>
      <c r="P103" s="21">
        <v>36.46</v>
      </c>
      <c r="Q103" s="21">
        <v>-3.5699500000000002E-2</v>
      </c>
      <c r="R103" s="21">
        <v>93</v>
      </c>
      <c r="S103" s="21">
        <v>0.36724899999999999</v>
      </c>
      <c r="T103">
        <f t="shared" si="14"/>
        <v>35.6995</v>
      </c>
      <c r="U103">
        <f t="shared" si="15"/>
        <v>13.1498037265</v>
      </c>
      <c r="X103" s="9"/>
      <c r="Y103" s="21">
        <v>0.23178099999999999</v>
      </c>
      <c r="Z103" s="21">
        <v>39.200600000000001</v>
      </c>
      <c r="AA103" s="21">
        <v>-3.5897800000000001E-2</v>
      </c>
      <c r="AB103" s="21">
        <v>93</v>
      </c>
      <c r="AC103" s="21">
        <v>0.23077400000000001</v>
      </c>
      <c r="AD103">
        <f t="shared" si="16"/>
        <v>35.897800000000004</v>
      </c>
      <c r="AE103">
        <f t="shared" si="17"/>
        <v>8.3204279818</v>
      </c>
      <c r="AF103" s="9"/>
      <c r="AG103" s="21">
        <v>0.36834699999999998</v>
      </c>
      <c r="AH103" s="21">
        <v>42.478200000000001</v>
      </c>
      <c r="AI103" s="21">
        <v>-3.5763499999999997E-2</v>
      </c>
      <c r="AJ103" s="21">
        <v>93</v>
      </c>
      <c r="AK103" s="21">
        <v>0.36715700000000001</v>
      </c>
      <c r="AL103">
        <f t="shared" si="18"/>
        <v>35.763499999999993</v>
      </c>
      <c r="AM103">
        <f t="shared" si="19"/>
        <v>13.173377934499998</v>
      </c>
      <c r="AP103" s="9"/>
      <c r="AQ103" s="21">
        <v>0.23178099999999999</v>
      </c>
      <c r="AR103" s="21">
        <v>50.383800000000001</v>
      </c>
      <c r="AS103" s="21">
        <v>-3.5943599999999999E-2</v>
      </c>
      <c r="AT103" s="21">
        <v>93</v>
      </c>
      <c r="AU103" s="21">
        <v>0.230713</v>
      </c>
      <c r="AV103">
        <f t="shared" si="20"/>
        <v>35.943599999999996</v>
      </c>
      <c r="AW103">
        <f t="shared" si="21"/>
        <v>8.3310435515999988</v>
      </c>
      <c r="AX103" s="9"/>
      <c r="AY103" s="21">
        <v>0.36834699999999998</v>
      </c>
      <c r="AZ103" s="21">
        <v>63.154600000000002</v>
      </c>
      <c r="BA103" s="21">
        <v>-3.5836800000000002E-2</v>
      </c>
      <c r="BB103" s="21">
        <v>93</v>
      </c>
      <c r="BC103" s="21">
        <v>0.36727900000000002</v>
      </c>
      <c r="BD103">
        <f t="shared" si="22"/>
        <v>35.836800000000004</v>
      </c>
      <c r="BE103">
        <f t="shared" si="23"/>
        <v>13.200377769600001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0.226746</v>
      </c>
      <c r="H104" s="21">
        <v>32.045499999999997</v>
      </c>
      <c r="I104" s="21">
        <v>-3.58734E-2</v>
      </c>
      <c r="J104" s="21">
        <v>94</v>
      </c>
      <c r="K104" s="21">
        <v>0.22570799999999999</v>
      </c>
      <c r="L104">
        <f t="shared" si="12"/>
        <v>35.873399999999997</v>
      </c>
      <c r="M104">
        <f t="shared" si="13"/>
        <v>8.1341499563999999</v>
      </c>
      <c r="N104" s="9"/>
      <c r="O104" s="21">
        <v>0.37338300000000002</v>
      </c>
      <c r="P104" s="21">
        <v>36.470100000000002</v>
      </c>
      <c r="Q104" s="21">
        <v>-3.5690300000000001E-2</v>
      </c>
      <c r="R104" s="21">
        <v>94</v>
      </c>
      <c r="S104" s="21">
        <v>0.372253</v>
      </c>
      <c r="T104">
        <f t="shared" si="14"/>
        <v>35.690300000000001</v>
      </c>
      <c r="U104">
        <f t="shared" si="15"/>
        <v>13.326151284900002</v>
      </c>
      <c r="X104" s="9"/>
      <c r="Y104" s="21">
        <v>0.226746</v>
      </c>
      <c r="Z104" s="21">
        <v>39.210599999999999</v>
      </c>
      <c r="AA104" s="21">
        <v>-3.5909999999999997E-2</v>
      </c>
      <c r="AB104" s="21">
        <v>94</v>
      </c>
      <c r="AC104" s="21">
        <v>0.22564699999999999</v>
      </c>
      <c r="AD104">
        <f t="shared" si="16"/>
        <v>35.909999999999997</v>
      </c>
      <c r="AE104">
        <f t="shared" si="17"/>
        <v>8.14244886</v>
      </c>
      <c r="AF104" s="9"/>
      <c r="AG104" s="21">
        <v>0.37338300000000002</v>
      </c>
      <c r="AH104" s="21">
        <v>42.488199999999999</v>
      </c>
      <c r="AI104" s="21">
        <v>-3.5745199999999998E-2</v>
      </c>
      <c r="AJ104" s="21">
        <v>94</v>
      </c>
      <c r="AK104" s="21">
        <v>0.37234499999999998</v>
      </c>
      <c r="AL104">
        <f t="shared" si="18"/>
        <v>35.745199999999997</v>
      </c>
      <c r="AM104">
        <f t="shared" si="19"/>
        <v>13.3466500116</v>
      </c>
      <c r="AP104" s="9"/>
      <c r="AQ104" s="21">
        <v>0.226746</v>
      </c>
      <c r="AR104" s="21">
        <v>50.393900000000002</v>
      </c>
      <c r="AS104" s="21">
        <v>-3.5931400000000002E-2</v>
      </c>
      <c r="AT104" s="21">
        <v>94</v>
      </c>
      <c r="AU104" s="21">
        <v>0.22567699999999999</v>
      </c>
      <c r="AV104">
        <f t="shared" si="20"/>
        <v>35.931400000000004</v>
      </c>
      <c r="AW104">
        <f t="shared" si="21"/>
        <v>8.1473012244000014</v>
      </c>
      <c r="AX104" s="9"/>
      <c r="AY104" s="21">
        <v>0.37338300000000002</v>
      </c>
      <c r="AZ104" s="21">
        <v>63.164700000000003</v>
      </c>
      <c r="BA104" s="21">
        <v>-3.5836800000000002E-2</v>
      </c>
      <c r="BB104" s="21">
        <v>94</v>
      </c>
      <c r="BC104" s="21">
        <v>0.37222300000000003</v>
      </c>
      <c r="BD104">
        <f t="shared" si="22"/>
        <v>35.836800000000004</v>
      </c>
      <c r="BE104">
        <f t="shared" si="23"/>
        <v>13.380851894400003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0.22170999999999999</v>
      </c>
      <c r="H105" s="21">
        <v>32.055500000000002</v>
      </c>
      <c r="I105" s="21">
        <v>-3.5879500000000002E-2</v>
      </c>
      <c r="J105" s="21">
        <v>95</v>
      </c>
      <c r="K105" s="21">
        <v>0.22067300000000001</v>
      </c>
      <c r="L105">
        <f t="shared" si="12"/>
        <v>35.8795</v>
      </c>
      <c r="M105">
        <f t="shared" si="13"/>
        <v>7.9548439449999995</v>
      </c>
      <c r="N105" s="9"/>
      <c r="O105" s="21">
        <v>0.37841799999999998</v>
      </c>
      <c r="P105" s="21">
        <v>36.4801</v>
      </c>
      <c r="Q105" s="21">
        <v>-3.5674999999999998E-2</v>
      </c>
      <c r="R105" s="21">
        <v>95</v>
      </c>
      <c r="S105" s="21">
        <v>0.37731900000000002</v>
      </c>
      <c r="T105">
        <f t="shared" si="14"/>
        <v>35.674999999999997</v>
      </c>
      <c r="U105">
        <f t="shared" si="15"/>
        <v>13.500062149999998</v>
      </c>
      <c r="X105" s="9"/>
      <c r="Y105" s="21">
        <v>0.22170999999999999</v>
      </c>
      <c r="Z105" s="21">
        <v>39.220700000000001</v>
      </c>
      <c r="AA105" s="21">
        <v>-3.5916099999999999E-2</v>
      </c>
      <c r="AB105" s="21">
        <v>95</v>
      </c>
      <c r="AC105" s="21">
        <v>0.22067300000000001</v>
      </c>
      <c r="AD105">
        <f t="shared" si="16"/>
        <v>35.9161</v>
      </c>
      <c r="AE105">
        <f t="shared" si="17"/>
        <v>7.962958531</v>
      </c>
      <c r="AF105" s="9"/>
      <c r="AG105" s="21">
        <v>0.37841799999999998</v>
      </c>
      <c r="AH105" s="21">
        <v>42.4983</v>
      </c>
      <c r="AI105" s="21">
        <v>-3.5733000000000001E-2</v>
      </c>
      <c r="AJ105" s="21">
        <v>95</v>
      </c>
      <c r="AK105" s="21">
        <v>0.37731900000000002</v>
      </c>
      <c r="AL105">
        <f t="shared" si="18"/>
        <v>35.733000000000004</v>
      </c>
      <c r="AM105">
        <f t="shared" si="19"/>
        <v>13.522010394</v>
      </c>
      <c r="AP105" s="9"/>
      <c r="AQ105" s="21">
        <v>0.22170999999999999</v>
      </c>
      <c r="AR105" s="21">
        <v>50.404000000000003</v>
      </c>
      <c r="AS105" s="21">
        <v>-3.5928300000000003E-2</v>
      </c>
      <c r="AT105" s="21">
        <v>95</v>
      </c>
      <c r="AU105" s="21">
        <v>0.22067300000000001</v>
      </c>
      <c r="AV105">
        <f t="shared" si="20"/>
        <v>35.9283</v>
      </c>
      <c r="AW105">
        <f t="shared" si="21"/>
        <v>7.9656633929999998</v>
      </c>
      <c r="AX105" s="9"/>
      <c r="AY105" s="21">
        <v>0.37841799999999998</v>
      </c>
      <c r="AZ105" s="21">
        <v>63.174700000000001</v>
      </c>
      <c r="BA105" s="21">
        <v>-3.5824599999999998E-2</v>
      </c>
      <c r="BB105" s="21">
        <v>95</v>
      </c>
      <c r="BC105" s="21">
        <v>0.37731900000000002</v>
      </c>
      <c r="BD105">
        <f t="shared" si="22"/>
        <v>35.824599999999997</v>
      </c>
      <c r="BE105">
        <f t="shared" si="23"/>
        <v>13.556673482799997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0.21667500000000001</v>
      </c>
      <c r="H106" s="21">
        <v>32.065600000000003</v>
      </c>
      <c r="I106" s="21">
        <v>-3.5879500000000002E-2</v>
      </c>
      <c r="J106" s="21">
        <v>96</v>
      </c>
      <c r="K106" s="21">
        <v>0.215637</v>
      </c>
      <c r="L106">
        <f t="shared" si="12"/>
        <v>35.8795</v>
      </c>
      <c r="M106">
        <f t="shared" si="13"/>
        <v>7.7741906625000006</v>
      </c>
      <c r="N106" s="9"/>
      <c r="O106" s="21">
        <v>0.38345299999999999</v>
      </c>
      <c r="P106" s="21">
        <v>36.490200000000002</v>
      </c>
      <c r="Q106" s="21">
        <v>-3.5653700000000003E-2</v>
      </c>
      <c r="R106" s="21">
        <v>96</v>
      </c>
      <c r="S106" s="21">
        <v>0.382324</v>
      </c>
      <c r="T106">
        <f t="shared" si="14"/>
        <v>35.653700000000001</v>
      </c>
      <c r="U106">
        <f t="shared" si="15"/>
        <v>13.6715182261</v>
      </c>
      <c r="X106" s="9"/>
      <c r="Y106" s="21">
        <v>0.21667500000000001</v>
      </c>
      <c r="Z106" s="21">
        <v>39.230800000000002</v>
      </c>
      <c r="AA106" s="21">
        <v>-3.5919199999999998E-2</v>
      </c>
      <c r="AB106" s="21">
        <v>96</v>
      </c>
      <c r="AC106" s="21">
        <v>0.21557599999999999</v>
      </c>
      <c r="AD106">
        <f t="shared" si="16"/>
        <v>35.919199999999996</v>
      </c>
      <c r="AE106">
        <f t="shared" si="17"/>
        <v>7.7827926599999993</v>
      </c>
      <c r="AF106" s="9"/>
      <c r="AG106" s="21">
        <v>0.38345299999999999</v>
      </c>
      <c r="AH106" s="21">
        <v>42.508400000000002</v>
      </c>
      <c r="AI106" s="21">
        <v>-3.5717800000000001E-2</v>
      </c>
      <c r="AJ106" s="21">
        <v>96</v>
      </c>
      <c r="AK106" s="21">
        <v>0.382355</v>
      </c>
      <c r="AL106">
        <f t="shared" si="18"/>
        <v>35.717800000000004</v>
      </c>
      <c r="AM106">
        <f t="shared" si="19"/>
        <v>13.6960975634</v>
      </c>
      <c r="AP106" s="9"/>
      <c r="AQ106" s="21">
        <v>0.21667500000000001</v>
      </c>
      <c r="AR106" s="21">
        <v>50.414000000000001</v>
      </c>
      <c r="AS106" s="21">
        <v>-3.5931400000000002E-2</v>
      </c>
      <c r="AT106" s="21">
        <v>96</v>
      </c>
      <c r="AU106" s="21">
        <v>0.21560699999999999</v>
      </c>
      <c r="AV106">
        <f t="shared" si="20"/>
        <v>35.931400000000004</v>
      </c>
      <c r="AW106">
        <f t="shared" si="21"/>
        <v>7.7854360950000014</v>
      </c>
      <c r="AX106" s="9"/>
      <c r="AY106" s="21">
        <v>0.38345299999999999</v>
      </c>
      <c r="AZ106" s="21">
        <v>63.184800000000003</v>
      </c>
      <c r="BA106" s="21">
        <v>-3.5794100000000002E-2</v>
      </c>
      <c r="BB106" s="21">
        <v>96</v>
      </c>
      <c r="BC106" s="21">
        <v>0.38238499999999997</v>
      </c>
      <c r="BD106">
        <f t="shared" si="22"/>
        <v>35.7941</v>
      </c>
      <c r="BE106">
        <f t="shared" si="23"/>
        <v>13.725355027299999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0.21163899999999999</v>
      </c>
      <c r="H107" s="21">
        <v>32.075699999999998</v>
      </c>
      <c r="I107" s="21">
        <v>-3.5861200000000003E-2</v>
      </c>
      <c r="J107" s="21">
        <v>97</v>
      </c>
      <c r="K107" s="21">
        <v>0.21054100000000001</v>
      </c>
      <c r="L107">
        <f t="shared" si="12"/>
        <v>35.861200000000004</v>
      </c>
      <c r="M107">
        <f t="shared" si="13"/>
        <v>7.5896285068000005</v>
      </c>
      <c r="N107" s="9"/>
      <c r="O107" s="21">
        <v>0.38848899999999997</v>
      </c>
      <c r="P107" s="21">
        <v>36.500300000000003</v>
      </c>
      <c r="Q107" s="21">
        <v>-3.5650599999999998E-2</v>
      </c>
      <c r="R107" s="21">
        <v>97</v>
      </c>
      <c r="S107" s="21">
        <v>0.38735999999999998</v>
      </c>
      <c r="T107">
        <f t="shared" si="14"/>
        <v>35.650599999999997</v>
      </c>
      <c r="U107">
        <f t="shared" si="15"/>
        <v>13.849865943399998</v>
      </c>
      <c r="X107" s="9"/>
      <c r="Y107" s="21">
        <v>0.21163899999999999</v>
      </c>
      <c r="Z107" s="21">
        <v>39.240900000000003</v>
      </c>
      <c r="AA107" s="21">
        <v>-3.5940600000000003E-2</v>
      </c>
      <c r="AB107" s="21">
        <v>97</v>
      </c>
      <c r="AC107" s="21">
        <v>0.21054100000000001</v>
      </c>
      <c r="AD107">
        <f t="shared" si="16"/>
        <v>35.940600000000003</v>
      </c>
      <c r="AE107">
        <f t="shared" si="17"/>
        <v>7.6064326434000007</v>
      </c>
      <c r="AF107" s="9"/>
      <c r="AG107" s="21">
        <v>0.38848899999999997</v>
      </c>
      <c r="AH107" s="21">
        <v>42.5184</v>
      </c>
      <c r="AI107" s="21">
        <v>-3.57086E-2</v>
      </c>
      <c r="AJ107" s="21">
        <v>97</v>
      </c>
      <c r="AK107" s="21">
        <v>0.38739000000000001</v>
      </c>
      <c r="AL107">
        <f t="shared" si="18"/>
        <v>35.708599999999997</v>
      </c>
      <c r="AM107">
        <f t="shared" si="19"/>
        <v>13.872398305399997</v>
      </c>
      <c r="AP107" s="9"/>
      <c r="AQ107" s="21">
        <v>0.21163899999999999</v>
      </c>
      <c r="AR107" s="21">
        <v>50.424100000000003</v>
      </c>
      <c r="AS107" s="21">
        <v>-3.5943599999999999E-2</v>
      </c>
      <c r="AT107" s="21">
        <v>97</v>
      </c>
      <c r="AU107" s="21">
        <v>0.21051</v>
      </c>
      <c r="AV107">
        <f t="shared" si="20"/>
        <v>35.943599999999996</v>
      </c>
      <c r="AW107">
        <f t="shared" si="21"/>
        <v>7.6070675603999991</v>
      </c>
      <c r="AX107" s="9"/>
      <c r="AY107" s="21">
        <v>0.38848899999999997</v>
      </c>
      <c r="AZ107" s="21">
        <v>63.194899999999997</v>
      </c>
      <c r="BA107" s="21">
        <v>-3.5760500000000001E-2</v>
      </c>
      <c r="BB107" s="21">
        <v>97</v>
      </c>
      <c r="BC107" s="21">
        <v>0.38742100000000002</v>
      </c>
      <c r="BD107">
        <f t="shared" si="22"/>
        <v>35.7605</v>
      </c>
      <c r="BE107">
        <f t="shared" si="23"/>
        <v>13.8925608845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0.20660400000000001</v>
      </c>
      <c r="H108" s="21">
        <v>32.085799999999999</v>
      </c>
      <c r="I108" s="21">
        <v>-3.5855100000000001E-2</v>
      </c>
      <c r="J108" s="21">
        <v>98</v>
      </c>
      <c r="K108" s="21">
        <v>0.20550499999999999</v>
      </c>
      <c r="L108">
        <f t="shared" si="12"/>
        <v>35.8551</v>
      </c>
      <c r="M108">
        <f t="shared" si="13"/>
        <v>7.4078070804000005</v>
      </c>
      <c r="N108" s="9"/>
      <c r="O108" s="21">
        <v>0.39352399999999998</v>
      </c>
      <c r="P108" s="21">
        <v>36.510399999999997</v>
      </c>
      <c r="Q108" s="21">
        <v>-3.56567E-2</v>
      </c>
      <c r="R108" s="21">
        <v>98</v>
      </c>
      <c r="S108" s="21">
        <v>0.39245600000000003</v>
      </c>
      <c r="T108">
        <f t="shared" si="14"/>
        <v>35.656700000000001</v>
      </c>
      <c r="U108">
        <f t="shared" si="15"/>
        <v>14.0317672108</v>
      </c>
      <c r="X108" s="9"/>
      <c r="Y108" s="21">
        <v>0.20660400000000001</v>
      </c>
      <c r="Z108" s="21">
        <v>39.250900000000001</v>
      </c>
      <c r="AA108" s="21">
        <v>-3.59528E-2</v>
      </c>
      <c r="AB108" s="21">
        <v>98</v>
      </c>
      <c r="AC108" s="21">
        <v>0.205597</v>
      </c>
      <c r="AD108">
        <f t="shared" si="16"/>
        <v>35.952800000000003</v>
      </c>
      <c r="AE108">
        <f t="shared" si="17"/>
        <v>7.4279922912000007</v>
      </c>
      <c r="AF108" s="9"/>
      <c r="AG108" s="21">
        <v>0.39352399999999998</v>
      </c>
      <c r="AH108" s="21">
        <v>42.528500000000001</v>
      </c>
      <c r="AI108" s="21">
        <v>-3.5684199999999999E-2</v>
      </c>
      <c r="AJ108" s="21">
        <v>98</v>
      </c>
      <c r="AK108" s="21">
        <v>0.39239499999999999</v>
      </c>
      <c r="AL108">
        <f t="shared" si="18"/>
        <v>35.684199999999997</v>
      </c>
      <c r="AM108">
        <f t="shared" si="19"/>
        <v>14.042589120799999</v>
      </c>
      <c r="AP108" s="9"/>
      <c r="AQ108" s="21">
        <v>0.20660400000000001</v>
      </c>
      <c r="AR108" s="21">
        <v>50.434199999999997</v>
      </c>
      <c r="AS108" s="21">
        <v>-3.5958900000000002E-2</v>
      </c>
      <c r="AT108" s="21">
        <v>98</v>
      </c>
      <c r="AU108" s="21">
        <v>0.205627</v>
      </c>
      <c r="AV108">
        <f t="shared" si="20"/>
        <v>35.9589</v>
      </c>
      <c r="AW108">
        <f t="shared" si="21"/>
        <v>7.4292525756000005</v>
      </c>
      <c r="AX108" s="9"/>
      <c r="AY108" s="21">
        <v>0.39352399999999998</v>
      </c>
      <c r="AZ108" s="21">
        <v>63.204900000000002</v>
      </c>
      <c r="BA108" s="21">
        <v>-3.5745199999999998E-2</v>
      </c>
      <c r="BB108" s="21">
        <v>98</v>
      </c>
      <c r="BC108" s="21">
        <v>0.392426</v>
      </c>
      <c r="BD108">
        <f t="shared" si="22"/>
        <v>35.745199999999997</v>
      </c>
      <c r="BE108">
        <f t="shared" si="23"/>
        <v>14.066594084799998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0.201569</v>
      </c>
      <c r="H109" s="21">
        <v>32.095799999999997</v>
      </c>
      <c r="I109" s="21">
        <v>-3.58459E-2</v>
      </c>
      <c r="J109" s="21">
        <v>99</v>
      </c>
      <c r="K109" s="21">
        <v>0.20047000000000001</v>
      </c>
      <c r="L109">
        <f t="shared" si="12"/>
        <v>35.8459</v>
      </c>
      <c r="M109">
        <f t="shared" si="13"/>
        <v>7.2254222171000002</v>
      </c>
      <c r="N109" s="9"/>
      <c r="O109" s="21">
        <v>0.39856000000000003</v>
      </c>
      <c r="P109" s="21">
        <v>36.520400000000002</v>
      </c>
      <c r="Q109" s="21">
        <v>-3.5647600000000002E-2</v>
      </c>
      <c r="R109" s="21">
        <v>99</v>
      </c>
      <c r="S109" s="21">
        <v>0.39736900000000003</v>
      </c>
      <c r="T109">
        <f t="shared" si="14"/>
        <v>35.647600000000004</v>
      </c>
      <c r="U109">
        <f t="shared" si="15"/>
        <v>14.207707456000003</v>
      </c>
      <c r="X109" s="9"/>
      <c r="Y109" s="21">
        <v>0.201569</v>
      </c>
      <c r="Z109" s="21">
        <v>39.261000000000003</v>
      </c>
      <c r="AA109" s="21">
        <v>-3.5974100000000002E-2</v>
      </c>
      <c r="AB109" s="21">
        <v>99</v>
      </c>
      <c r="AC109" s="21">
        <v>0.20043900000000001</v>
      </c>
      <c r="AD109">
        <f t="shared" si="16"/>
        <v>35.9741</v>
      </c>
      <c r="AE109">
        <f t="shared" si="17"/>
        <v>7.2512633628999996</v>
      </c>
      <c r="AF109" s="9"/>
      <c r="AG109" s="21">
        <v>0.39856000000000003</v>
      </c>
      <c r="AH109" s="21">
        <v>42.538600000000002</v>
      </c>
      <c r="AI109" s="21">
        <v>-3.56659E-2</v>
      </c>
      <c r="AJ109" s="21">
        <v>99</v>
      </c>
      <c r="AK109" s="21">
        <v>0.39743000000000001</v>
      </c>
      <c r="AL109">
        <f t="shared" si="18"/>
        <v>35.665900000000001</v>
      </c>
      <c r="AM109">
        <f t="shared" si="19"/>
        <v>14.215001104000001</v>
      </c>
      <c r="AP109" s="9"/>
      <c r="AQ109" s="21">
        <v>0.201569</v>
      </c>
      <c r="AR109" s="21">
        <v>50.444299999999998</v>
      </c>
      <c r="AS109" s="21">
        <v>-3.5958900000000002E-2</v>
      </c>
      <c r="AT109" s="21">
        <v>99</v>
      </c>
      <c r="AU109" s="21">
        <v>0.20050000000000001</v>
      </c>
      <c r="AV109">
        <f t="shared" si="20"/>
        <v>35.9589</v>
      </c>
      <c r="AW109">
        <f t="shared" si="21"/>
        <v>7.2481995140999995</v>
      </c>
      <c r="AX109" s="9"/>
      <c r="AY109" s="21">
        <v>0.39856000000000003</v>
      </c>
      <c r="AZ109" s="21">
        <v>63.215000000000003</v>
      </c>
      <c r="BA109" s="21">
        <v>-3.5729999999999998E-2</v>
      </c>
      <c r="BB109" s="21">
        <v>99</v>
      </c>
      <c r="BC109" s="21">
        <v>0.39752199999999999</v>
      </c>
      <c r="BD109">
        <f t="shared" si="22"/>
        <v>35.729999999999997</v>
      </c>
      <c r="BE109">
        <f t="shared" si="23"/>
        <v>14.240548799999999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0.19653300000000001</v>
      </c>
      <c r="H110" s="21">
        <v>32.105899999999998</v>
      </c>
      <c r="I110" s="21">
        <v>-3.5836800000000002E-2</v>
      </c>
      <c r="J110" s="21">
        <v>100</v>
      </c>
      <c r="K110" s="21">
        <v>0.195496</v>
      </c>
      <c r="L110">
        <f t="shared" si="12"/>
        <v>35.836800000000004</v>
      </c>
      <c r="M110">
        <f t="shared" si="13"/>
        <v>7.0431138144000016</v>
      </c>
      <c r="N110" s="9"/>
      <c r="O110" s="21">
        <v>0.40359499999999998</v>
      </c>
      <c r="P110" s="21">
        <v>36.530500000000004</v>
      </c>
      <c r="Q110" s="21">
        <v>-3.5629300000000003E-2</v>
      </c>
      <c r="R110" s="21">
        <v>100</v>
      </c>
      <c r="S110" s="21">
        <v>0.40243499999999999</v>
      </c>
      <c r="T110">
        <f t="shared" si="14"/>
        <v>35.629300000000001</v>
      </c>
      <c r="U110">
        <f t="shared" si="15"/>
        <v>14.379807333499999</v>
      </c>
      <c r="X110" s="9"/>
      <c r="Y110" s="21">
        <v>0.19653300000000001</v>
      </c>
      <c r="Z110" s="21">
        <v>39.271099999999997</v>
      </c>
      <c r="AA110" s="21">
        <v>-3.5980199999999997E-2</v>
      </c>
      <c r="AB110" s="21">
        <v>100</v>
      </c>
      <c r="AC110" s="21">
        <v>0.195496</v>
      </c>
      <c r="AD110">
        <f t="shared" si="16"/>
        <v>35.980199999999996</v>
      </c>
      <c r="AE110">
        <f t="shared" si="17"/>
        <v>7.0712966465999996</v>
      </c>
      <c r="AF110" s="9"/>
      <c r="AG110" s="21">
        <v>0.40359499999999998</v>
      </c>
      <c r="AH110" s="21">
        <v>42.548699999999997</v>
      </c>
      <c r="AI110" s="21">
        <v>-3.56567E-2</v>
      </c>
      <c r="AJ110" s="21">
        <v>100</v>
      </c>
      <c r="AK110" s="21">
        <v>0.40249600000000002</v>
      </c>
      <c r="AL110">
        <f t="shared" si="18"/>
        <v>35.656700000000001</v>
      </c>
      <c r="AM110">
        <f t="shared" si="19"/>
        <v>14.3908658365</v>
      </c>
      <c r="AP110" s="9"/>
      <c r="AQ110" s="21">
        <v>0.19653300000000001</v>
      </c>
      <c r="AR110" s="21">
        <v>50.454300000000003</v>
      </c>
      <c r="AS110" s="21">
        <v>-3.5971099999999999E-2</v>
      </c>
      <c r="AT110" s="21">
        <v>100</v>
      </c>
      <c r="AU110" s="21">
        <v>0.195465</v>
      </c>
      <c r="AV110">
        <f t="shared" si="20"/>
        <v>35.9711</v>
      </c>
      <c r="AW110">
        <f t="shared" si="21"/>
        <v>7.0695081963000002</v>
      </c>
      <c r="AX110" s="9"/>
      <c r="AY110" s="21">
        <v>0.40359499999999998</v>
      </c>
      <c r="AZ110" s="21">
        <v>63.225099999999998</v>
      </c>
      <c r="BA110" s="21">
        <v>-3.5733000000000001E-2</v>
      </c>
      <c r="BB110" s="21">
        <v>100</v>
      </c>
      <c r="BC110" s="21">
        <v>0.402557</v>
      </c>
      <c r="BD110">
        <f t="shared" si="22"/>
        <v>35.733000000000004</v>
      </c>
      <c r="BE110">
        <f t="shared" si="23"/>
        <v>14.421660135000002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0.191498</v>
      </c>
      <c r="H111" s="21">
        <v>32.116</v>
      </c>
      <c r="I111" s="21">
        <v>-3.58459E-2</v>
      </c>
      <c r="J111" s="21">
        <v>101</v>
      </c>
      <c r="K111" s="21">
        <v>0.19049099999999999</v>
      </c>
      <c r="L111">
        <f t="shared" si="12"/>
        <v>35.8459</v>
      </c>
      <c r="M111">
        <f t="shared" si="13"/>
        <v>6.8644181582000003</v>
      </c>
      <c r="N111" s="9"/>
      <c r="O111" s="21">
        <v>0.40862999999999999</v>
      </c>
      <c r="P111" s="21">
        <v>36.540599999999998</v>
      </c>
      <c r="Q111" s="21">
        <v>-3.5614E-2</v>
      </c>
      <c r="R111" s="21">
        <v>101</v>
      </c>
      <c r="S111" s="21">
        <v>0.40747100000000003</v>
      </c>
      <c r="T111">
        <f t="shared" si="14"/>
        <v>35.613999999999997</v>
      </c>
      <c r="U111">
        <f t="shared" si="15"/>
        <v>14.552948819999999</v>
      </c>
      <c r="X111" s="9"/>
      <c r="Y111" s="21">
        <v>0.191498</v>
      </c>
      <c r="Z111" s="21">
        <v>39.281100000000002</v>
      </c>
      <c r="AA111" s="21">
        <v>-3.5980199999999997E-2</v>
      </c>
      <c r="AB111" s="21">
        <v>101</v>
      </c>
      <c r="AC111" s="21">
        <v>0.19033800000000001</v>
      </c>
      <c r="AD111">
        <f t="shared" si="16"/>
        <v>35.980199999999996</v>
      </c>
      <c r="AE111">
        <f t="shared" si="17"/>
        <v>6.8901363395999997</v>
      </c>
      <c r="AF111" s="9"/>
      <c r="AG111" s="21">
        <v>0.40862999999999999</v>
      </c>
      <c r="AH111" s="21">
        <v>42.558700000000002</v>
      </c>
      <c r="AI111" s="21">
        <v>-3.5638400000000001E-2</v>
      </c>
      <c r="AJ111" s="21">
        <v>101</v>
      </c>
      <c r="AK111" s="21">
        <v>0.40747100000000003</v>
      </c>
      <c r="AL111">
        <f t="shared" si="18"/>
        <v>35.638399999999997</v>
      </c>
      <c r="AM111">
        <f t="shared" si="19"/>
        <v>14.562919391999998</v>
      </c>
      <c r="AP111" s="9"/>
      <c r="AQ111" s="21">
        <v>0.191498</v>
      </c>
      <c r="AR111" s="21">
        <v>50.464399999999998</v>
      </c>
      <c r="AS111" s="21">
        <v>-3.5992400000000001E-2</v>
      </c>
      <c r="AT111" s="21">
        <v>101</v>
      </c>
      <c r="AU111" s="21">
        <v>0.19039900000000001</v>
      </c>
      <c r="AV111">
        <f t="shared" si="20"/>
        <v>35.992400000000004</v>
      </c>
      <c r="AW111">
        <f t="shared" si="21"/>
        <v>6.8924726152000009</v>
      </c>
      <c r="AX111" s="9"/>
      <c r="AY111" s="21">
        <v>0.40862999999999999</v>
      </c>
      <c r="AZ111" s="21">
        <v>63.235199999999999</v>
      </c>
      <c r="BA111" s="21">
        <v>-3.5726899999999999E-2</v>
      </c>
      <c r="BB111" s="21">
        <v>101</v>
      </c>
      <c r="BC111" s="21">
        <v>0.40747100000000003</v>
      </c>
      <c r="BD111">
        <f t="shared" si="22"/>
        <v>35.726900000000001</v>
      </c>
      <c r="BE111">
        <f t="shared" si="23"/>
        <v>14.599083147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0.18646199999999999</v>
      </c>
      <c r="H112" s="21">
        <v>32.125999999999998</v>
      </c>
      <c r="I112" s="21">
        <v>-3.5852099999999998E-2</v>
      </c>
      <c r="J112" s="21">
        <v>102</v>
      </c>
      <c r="K112" s="21">
        <v>0.18542500000000001</v>
      </c>
      <c r="L112">
        <f t="shared" si="12"/>
        <v>35.8521</v>
      </c>
      <c r="M112">
        <f t="shared" si="13"/>
        <v>6.6850542701999993</v>
      </c>
      <c r="N112" s="9"/>
      <c r="O112" s="21">
        <v>0.41366599999999998</v>
      </c>
      <c r="P112" s="21">
        <v>36.550600000000003</v>
      </c>
      <c r="Q112" s="21">
        <v>-3.5595700000000001E-2</v>
      </c>
      <c r="R112" s="21">
        <v>102</v>
      </c>
      <c r="S112" s="21">
        <v>0.41259800000000002</v>
      </c>
      <c r="T112">
        <f t="shared" si="14"/>
        <v>35.595700000000001</v>
      </c>
      <c r="U112">
        <f t="shared" si="15"/>
        <v>14.724730836199999</v>
      </c>
      <c r="X112" s="9"/>
      <c r="Y112" s="21">
        <v>0.18646199999999999</v>
      </c>
      <c r="Z112" s="21">
        <v>39.291200000000003</v>
      </c>
      <c r="AA112" s="21">
        <v>-3.5986299999999999E-2</v>
      </c>
      <c r="AB112" s="21">
        <v>102</v>
      </c>
      <c r="AC112" s="21">
        <v>0.185394</v>
      </c>
      <c r="AD112">
        <f t="shared" si="16"/>
        <v>35.9863</v>
      </c>
      <c r="AE112">
        <f t="shared" si="17"/>
        <v>6.7100774705999999</v>
      </c>
      <c r="AF112" s="9"/>
      <c r="AG112" s="21">
        <v>0.41366599999999998</v>
      </c>
      <c r="AH112" s="21">
        <v>42.568800000000003</v>
      </c>
      <c r="AI112" s="21">
        <v>-3.5620100000000002E-2</v>
      </c>
      <c r="AJ112" s="21">
        <v>102</v>
      </c>
      <c r="AK112" s="21">
        <v>0.41247600000000001</v>
      </c>
      <c r="AL112">
        <f t="shared" si="18"/>
        <v>35.620100000000001</v>
      </c>
      <c r="AM112">
        <f t="shared" si="19"/>
        <v>14.7348242866</v>
      </c>
      <c r="AP112" s="9"/>
      <c r="AQ112" s="21">
        <v>0.18646199999999999</v>
      </c>
      <c r="AR112" s="21">
        <v>50.474499999999999</v>
      </c>
      <c r="AS112" s="21">
        <v>-3.6022899999999997E-2</v>
      </c>
      <c r="AT112" s="21">
        <v>102</v>
      </c>
      <c r="AU112" s="21">
        <v>0.185394</v>
      </c>
      <c r="AV112">
        <f t="shared" si="20"/>
        <v>36.0229</v>
      </c>
      <c r="AW112">
        <f t="shared" si="21"/>
        <v>6.7169019797999994</v>
      </c>
      <c r="AX112" s="9"/>
      <c r="AY112" s="21">
        <v>0.41366599999999998</v>
      </c>
      <c r="AZ112" s="21">
        <v>63.245199999999997</v>
      </c>
      <c r="BA112" s="21">
        <v>-3.5726899999999999E-2</v>
      </c>
      <c r="BB112" s="21">
        <v>102</v>
      </c>
      <c r="BC112" s="21">
        <v>0.41259800000000002</v>
      </c>
      <c r="BD112">
        <f t="shared" si="22"/>
        <v>35.726900000000001</v>
      </c>
      <c r="BE112">
        <f t="shared" si="23"/>
        <v>14.779003815399999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0.181427</v>
      </c>
      <c r="H113" s="21">
        <v>32.136099999999999</v>
      </c>
      <c r="I113" s="21">
        <v>-3.5855100000000001E-2</v>
      </c>
      <c r="J113" s="21">
        <v>103</v>
      </c>
      <c r="K113" s="21">
        <v>0.18032799999999999</v>
      </c>
      <c r="L113">
        <f t="shared" si="12"/>
        <v>35.8551</v>
      </c>
      <c r="M113">
        <f t="shared" si="13"/>
        <v>6.5050832277000001</v>
      </c>
      <c r="N113" s="9"/>
      <c r="O113" s="21">
        <v>0.41870099999999999</v>
      </c>
      <c r="P113" s="21">
        <v>36.560699999999997</v>
      </c>
      <c r="Q113" s="21">
        <v>-3.5580399999999998E-2</v>
      </c>
      <c r="R113" s="21">
        <v>103</v>
      </c>
      <c r="S113" s="21">
        <v>0.41751100000000002</v>
      </c>
      <c r="T113">
        <f t="shared" si="14"/>
        <v>35.580399999999997</v>
      </c>
      <c r="U113">
        <f t="shared" si="15"/>
        <v>14.897549060399999</v>
      </c>
      <c r="X113" s="9"/>
      <c r="Y113" s="21">
        <v>0.181427</v>
      </c>
      <c r="Z113" s="21">
        <v>39.301299999999998</v>
      </c>
      <c r="AA113" s="21">
        <v>-3.5961899999999998E-2</v>
      </c>
      <c r="AB113" s="21">
        <v>103</v>
      </c>
      <c r="AC113" s="21">
        <v>0.18042</v>
      </c>
      <c r="AD113">
        <f t="shared" si="16"/>
        <v>35.9619</v>
      </c>
      <c r="AE113">
        <f t="shared" si="17"/>
        <v>6.5244596313000001</v>
      </c>
      <c r="AF113" s="9"/>
      <c r="AG113" s="21">
        <v>0.41870099999999999</v>
      </c>
      <c r="AH113" s="21">
        <v>42.578899999999997</v>
      </c>
      <c r="AI113" s="21">
        <v>-3.5601800000000003E-2</v>
      </c>
      <c r="AJ113" s="21">
        <v>103</v>
      </c>
      <c r="AK113" s="21">
        <v>0.417572</v>
      </c>
      <c r="AL113">
        <f t="shared" si="18"/>
        <v>35.601800000000004</v>
      </c>
      <c r="AM113">
        <f t="shared" si="19"/>
        <v>14.906509261800002</v>
      </c>
      <c r="AP113" s="9"/>
      <c r="AQ113" s="21">
        <v>0.181427</v>
      </c>
      <c r="AR113" s="21">
        <v>50.484499999999997</v>
      </c>
      <c r="AS113" s="21">
        <v>-3.6026000000000002E-2</v>
      </c>
      <c r="AT113" s="21">
        <v>103</v>
      </c>
      <c r="AU113" s="21">
        <v>0.18035899999999999</v>
      </c>
      <c r="AV113">
        <f t="shared" si="20"/>
        <v>36.026000000000003</v>
      </c>
      <c r="AW113">
        <f t="shared" si="21"/>
        <v>6.5360891020000009</v>
      </c>
      <c r="AX113" s="9"/>
      <c r="AY113" s="21">
        <v>0.41870099999999999</v>
      </c>
      <c r="AZ113" s="21">
        <v>63.255299999999998</v>
      </c>
      <c r="BA113" s="21">
        <v>-3.5729999999999998E-2</v>
      </c>
      <c r="BB113" s="21">
        <v>103</v>
      </c>
      <c r="BC113" s="21">
        <v>0.41763299999999998</v>
      </c>
      <c r="BD113">
        <f t="shared" si="22"/>
        <v>35.729999999999997</v>
      </c>
      <c r="BE113">
        <f t="shared" si="23"/>
        <v>14.960186729999998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0.17639199999999999</v>
      </c>
      <c r="H114" s="21">
        <v>32.1462</v>
      </c>
      <c r="I114" s="21">
        <v>-3.5870399999999997E-2</v>
      </c>
      <c r="J114" s="21">
        <v>104</v>
      </c>
      <c r="K114" s="21">
        <v>0.17535400000000001</v>
      </c>
      <c r="L114">
        <f t="shared" si="12"/>
        <v>35.870399999999997</v>
      </c>
      <c r="M114">
        <f t="shared" si="13"/>
        <v>6.3272515967999992</v>
      </c>
      <c r="N114" s="9"/>
      <c r="O114" s="21">
        <v>0.42373699999999997</v>
      </c>
      <c r="P114" s="21">
        <v>36.570799999999998</v>
      </c>
      <c r="Q114" s="21">
        <v>-3.5565199999999998E-2</v>
      </c>
      <c r="R114" s="21">
        <v>104</v>
      </c>
      <c r="S114" s="21">
        <v>0.42257699999999998</v>
      </c>
      <c r="T114">
        <f t="shared" si="14"/>
        <v>35.565199999999997</v>
      </c>
      <c r="U114">
        <f t="shared" si="15"/>
        <v>15.070291152399998</v>
      </c>
      <c r="X114" s="9"/>
      <c r="Y114" s="21">
        <v>0.17639199999999999</v>
      </c>
      <c r="Z114" s="21">
        <v>39.311399999999999</v>
      </c>
      <c r="AA114" s="21">
        <v>-3.5946699999999998E-2</v>
      </c>
      <c r="AB114" s="21">
        <v>104</v>
      </c>
      <c r="AC114" s="21">
        <v>0.17535400000000001</v>
      </c>
      <c r="AD114">
        <f t="shared" si="16"/>
        <v>35.9467</v>
      </c>
      <c r="AE114">
        <f t="shared" si="17"/>
        <v>6.3407103064000001</v>
      </c>
      <c r="AF114" s="9"/>
      <c r="AG114" s="21">
        <v>0.42373699999999997</v>
      </c>
      <c r="AH114" s="21">
        <v>42.588900000000002</v>
      </c>
      <c r="AI114" s="21">
        <v>-3.5592699999999998E-2</v>
      </c>
      <c r="AJ114" s="21">
        <v>104</v>
      </c>
      <c r="AK114" s="21">
        <v>0.42266799999999999</v>
      </c>
      <c r="AL114">
        <f t="shared" si="18"/>
        <v>35.592700000000001</v>
      </c>
      <c r="AM114">
        <f t="shared" si="19"/>
        <v>15.081943919899999</v>
      </c>
      <c r="AP114" s="9"/>
      <c r="AQ114" s="21">
        <v>0.17639199999999999</v>
      </c>
      <c r="AR114" s="21">
        <v>50.494599999999998</v>
      </c>
      <c r="AS114" s="21">
        <v>-3.6035200000000003E-2</v>
      </c>
      <c r="AT114" s="21">
        <v>104</v>
      </c>
      <c r="AU114" s="21">
        <v>0.17538500000000001</v>
      </c>
      <c r="AV114">
        <f t="shared" si="20"/>
        <v>36.035200000000003</v>
      </c>
      <c r="AW114">
        <f t="shared" si="21"/>
        <v>6.3563209984000002</v>
      </c>
      <c r="AX114" s="9"/>
      <c r="AY114" s="21">
        <v>0.42373699999999997</v>
      </c>
      <c r="AZ114" s="21">
        <v>63.2654</v>
      </c>
      <c r="BA114" s="21">
        <v>-3.57361E-2</v>
      </c>
      <c r="BB114" s="21">
        <v>104</v>
      </c>
      <c r="BC114" s="21">
        <v>0.42257699999999998</v>
      </c>
      <c r="BD114">
        <f t="shared" si="22"/>
        <v>35.7361</v>
      </c>
      <c r="BE114">
        <f t="shared" si="23"/>
        <v>15.142707805699999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0.17135600000000001</v>
      </c>
      <c r="H115" s="21">
        <v>32.156300000000002</v>
      </c>
      <c r="I115" s="21">
        <v>-3.5876499999999999E-2</v>
      </c>
      <c r="J115" s="21">
        <v>105</v>
      </c>
      <c r="K115" s="21">
        <v>0.17028799999999999</v>
      </c>
      <c r="L115">
        <f t="shared" si="12"/>
        <v>35.8765</v>
      </c>
      <c r="M115">
        <f t="shared" si="13"/>
        <v>6.1476535340000007</v>
      </c>
      <c r="N115" s="9"/>
      <c r="O115" s="21">
        <v>0.42877199999999999</v>
      </c>
      <c r="P115" s="21">
        <v>36.5809</v>
      </c>
      <c r="Q115" s="21">
        <v>-3.5562099999999999E-2</v>
      </c>
      <c r="R115" s="21">
        <v>105</v>
      </c>
      <c r="S115" s="21">
        <v>0.42761199999999999</v>
      </c>
      <c r="T115">
        <f t="shared" si="14"/>
        <v>35.562100000000001</v>
      </c>
      <c r="U115">
        <f t="shared" si="15"/>
        <v>15.248032741199999</v>
      </c>
      <c r="X115" s="9"/>
      <c r="Y115" s="21">
        <v>0.17135600000000001</v>
      </c>
      <c r="Z115" s="21">
        <v>39.321399999999997</v>
      </c>
      <c r="AA115" s="21">
        <v>-3.5940600000000003E-2</v>
      </c>
      <c r="AB115" s="21">
        <v>105</v>
      </c>
      <c r="AC115" s="21">
        <v>0.170319</v>
      </c>
      <c r="AD115">
        <f t="shared" si="16"/>
        <v>35.940600000000003</v>
      </c>
      <c r="AE115">
        <f t="shared" si="17"/>
        <v>6.1586374536000008</v>
      </c>
      <c r="AF115" s="9"/>
      <c r="AG115" s="21">
        <v>0.42877199999999999</v>
      </c>
      <c r="AH115" s="21">
        <v>42.598999999999997</v>
      </c>
      <c r="AI115" s="21">
        <v>-3.5604900000000002E-2</v>
      </c>
      <c r="AJ115" s="21">
        <v>105</v>
      </c>
      <c r="AK115" s="21">
        <v>0.42761199999999999</v>
      </c>
      <c r="AL115">
        <f t="shared" si="18"/>
        <v>35.604900000000001</v>
      </c>
      <c r="AM115">
        <f t="shared" si="19"/>
        <v>15.2663841828</v>
      </c>
      <c r="AP115" s="9"/>
      <c r="AQ115" s="21">
        <v>0.17135600000000001</v>
      </c>
      <c r="AR115" s="21">
        <v>50.5047</v>
      </c>
      <c r="AS115" s="21">
        <v>-3.6026000000000002E-2</v>
      </c>
      <c r="AT115" s="21">
        <v>105</v>
      </c>
      <c r="AU115" s="21">
        <v>0.17025799999999999</v>
      </c>
      <c r="AV115">
        <f t="shared" si="20"/>
        <v>36.026000000000003</v>
      </c>
      <c r="AW115">
        <f t="shared" si="21"/>
        <v>6.1732712560000005</v>
      </c>
      <c r="AX115" s="9"/>
      <c r="AY115" s="21">
        <v>0.42877199999999999</v>
      </c>
      <c r="AZ115" s="21">
        <v>63.275399999999998</v>
      </c>
      <c r="BA115" s="21">
        <v>-3.5729999999999998E-2</v>
      </c>
      <c r="BB115" s="21">
        <v>105</v>
      </c>
      <c r="BC115" s="21">
        <v>0.42761199999999999</v>
      </c>
      <c r="BD115">
        <f t="shared" si="22"/>
        <v>35.729999999999997</v>
      </c>
      <c r="BE115">
        <f t="shared" si="23"/>
        <v>15.320023559999997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0.166321</v>
      </c>
      <c r="H116" s="21">
        <v>32.1663</v>
      </c>
      <c r="I116" s="21">
        <v>-3.5882600000000001E-2</v>
      </c>
      <c r="J116" s="21">
        <v>106</v>
      </c>
      <c r="K116" s="21">
        <v>0.16522200000000001</v>
      </c>
      <c r="L116">
        <f t="shared" si="12"/>
        <v>35.882600000000004</v>
      </c>
      <c r="M116">
        <f t="shared" si="13"/>
        <v>5.9680299146000007</v>
      </c>
      <c r="N116" s="9"/>
      <c r="O116" s="21">
        <v>0.433807</v>
      </c>
      <c r="P116" s="21">
        <v>36.590899999999998</v>
      </c>
      <c r="Q116" s="21">
        <v>-3.5546899999999999E-2</v>
      </c>
      <c r="R116" s="21">
        <v>106</v>
      </c>
      <c r="S116" s="21">
        <v>0.43264799999999998</v>
      </c>
      <c r="T116">
        <f t="shared" si="14"/>
        <v>35.546900000000001</v>
      </c>
      <c r="U116">
        <f t="shared" si="15"/>
        <v>15.4204940483</v>
      </c>
      <c r="X116" s="9"/>
      <c r="Y116" s="21">
        <v>0.166321</v>
      </c>
      <c r="Z116" s="21">
        <v>39.331499999999998</v>
      </c>
      <c r="AA116" s="21">
        <v>-3.5955800000000003E-2</v>
      </c>
      <c r="AB116" s="21">
        <v>106</v>
      </c>
      <c r="AC116" s="21">
        <v>0.16525300000000001</v>
      </c>
      <c r="AD116">
        <f t="shared" si="16"/>
        <v>35.955800000000004</v>
      </c>
      <c r="AE116">
        <f t="shared" si="17"/>
        <v>5.9802046118000005</v>
      </c>
      <c r="AF116" s="9"/>
      <c r="AG116" s="21">
        <v>0.433807</v>
      </c>
      <c r="AH116" s="21">
        <v>42.609099999999998</v>
      </c>
      <c r="AI116" s="21">
        <v>-3.5607899999999998E-2</v>
      </c>
      <c r="AJ116" s="21">
        <v>106</v>
      </c>
      <c r="AK116" s="21">
        <v>0.43280000000000002</v>
      </c>
      <c r="AL116">
        <f t="shared" si="18"/>
        <v>35.607900000000001</v>
      </c>
      <c r="AM116">
        <f t="shared" si="19"/>
        <v>15.4469562753</v>
      </c>
      <c r="AP116" s="9"/>
      <c r="AQ116" s="21">
        <v>0.166321</v>
      </c>
      <c r="AR116" s="21">
        <v>50.514800000000001</v>
      </c>
      <c r="AS116" s="21">
        <v>-3.6032099999999997E-2</v>
      </c>
      <c r="AT116" s="21">
        <v>106</v>
      </c>
      <c r="AU116" s="21">
        <v>0.16519200000000001</v>
      </c>
      <c r="AV116">
        <f t="shared" si="20"/>
        <v>36.0321</v>
      </c>
      <c r="AW116">
        <f t="shared" si="21"/>
        <v>5.9928949040999999</v>
      </c>
      <c r="AX116" s="9"/>
      <c r="AY116" s="21">
        <v>0.433807</v>
      </c>
      <c r="AZ116" s="21">
        <v>63.285499999999999</v>
      </c>
      <c r="BA116" s="21">
        <v>-3.5696400000000003E-2</v>
      </c>
      <c r="BB116" s="21">
        <v>106</v>
      </c>
      <c r="BC116" s="21">
        <v>0.43276999999999999</v>
      </c>
      <c r="BD116">
        <f t="shared" si="22"/>
        <v>35.696400000000004</v>
      </c>
      <c r="BE116">
        <f t="shared" si="23"/>
        <v>15.485348194800002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0.16128500000000001</v>
      </c>
      <c r="H117" s="21">
        <v>32.176400000000001</v>
      </c>
      <c r="I117" s="21">
        <v>-3.5888700000000003E-2</v>
      </c>
      <c r="J117" s="21">
        <v>107</v>
      </c>
      <c r="K117" s="21">
        <v>0.160248</v>
      </c>
      <c r="L117">
        <f t="shared" si="12"/>
        <v>35.8887</v>
      </c>
      <c r="M117">
        <f t="shared" si="13"/>
        <v>5.7883089795</v>
      </c>
      <c r="N117" s="9"/>
      <c r="O117" s="21">
        <v>0.43884299999999998</v>
      </c>
      <c r="P117" s="21">
        <v>36.600999999999999</v>
      </c>
      <c r="Q117" s="21">
        <v>-3.5531600000000003E-2</v>
      </c>
      <c r="R117" s="21">
        <v>107</v>
      </c>
      <c r="S117" s="21">
        <v>0.43765300000000001</v>
      </c>
      <c r="T117">
        <f t="shared" si="14"/>
        <v>35.531600000000005</v>
      </c>
      <c r="U117">
        <f t="shared" si="15"/>
        <v>15.592793938800002</v>
      </c>
      <c r="X117" s="9"/>
      <c r="Y117" s="21">
        <v>0.16128500000000001</v>
      </c>
      <c r="Z117" s="21">
        <v>39.3416</v>
      </c>
      <c r="AA117" s="21">
        <v>-3.5974100000000002E-2</v>
      </c>
      <c r="AB117" s="21">
        <v>107</v>
      </c>
      <c r="AC117" s="21">
        <v>0.16015599999999999</v>
      </c>
      <c r="AD117">
        <f t="shared" si="16"/>
        <v>35.9741</v>
      </c>
      <c r="AE117">
        <f t="shared" si="17"/>
        <v>5.8020827185000003</v>
      </c>
      <c r="AF117" s="9"/>
      <c r="AG117" s="21">
        <v>0.43884299999999998</v>
      </c>
      <c r="AH117" s="21">
        <v>42.619199999999999</v>
      </c>
      <c r="AI117" s="21">
        <v>-3.5607899999999998E-2</v>
      </c>
      <c r="AJ117" s="21">
        <v>107</v>
      </c>
      <c r="AK117" s="21">
        <v>0.43768299999999999</v>
      </c>
      <c r="AL117">
        <f t="shared" si="18"/>
        <v>35.607900000000001</v>
      </c>
      <c r="AM117">
        <f t="shared" si="19"/>
        <v>15.626277659699999</v>
      </c>
      <c r="AP117" s="9"/>
      <c r="AQ117" s="21">
        <v>0.16128500000000001</v>
      </c>
      <c r="AR117" s="21">
        <v>50.524799999999999</v>
      </c>
      <c r="AS117" s="21">
        <v>-3.60474E-2</v>
      </c>
      <c r="AT117" s="21">
        <v>107</v>
      </c>
      <c r="AU117" s="21">
        <v>0.160217</v>
      </c>
      <c r="AV117">
        <f t="shared" si="20"/>
        <v>36.047400000000003</v>
      </c>
      <c r="AW117">
        <f t="shared" si="21"/>
        <v>5.8139049090000006</v>
      </c>
      <c r="AX117" s="9"/>
      <c r="AY117" s="21">
        <v>0.43884299999999998</v>
      </c>
      <c r="AZ117" s="21">
        <v>63.2956</v>
      </c>
      <c r="BA117" s="21">
        <v>-3.5674999999999998E-2</v>
      </c>
      <c r="BB117" s="21">
        <v>107</v>
      </c>
      <c r="BC117" s="21">
        <v>0.43765300000000001</v>
      </c>
      <c r="BD117">
        <f t="shared" si="22"/>
        <v>35.674999999999997</v>
      </c>
      <c r="BE117">
        <f t="shared" si="23"/>
        <v>15.655724024999998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0.15625</v>
      </c>
      <c r="H118" s="21">
        <v>32.186500000000002</v>
      </c>
      <c r="I118" s="21">
        <v>-3.5897800000000001E-2</v>
      </c>
      <c r="J118" s="21">
        <v>108</v>
      </c>
      <c r="K118" s="21">
        <v>0.15518199999999999</v>
      </c>
      <c r="L118">
        <f t="shared" si="12"/>
        <v>35.897800000000004</v>
      </c>
      <c r="M118">
        <f t="shared" si="13"/>
        <v>5.609031250000001</v>
      </c>
      <c r="N118" s="9"/>
      <c r="O118" s="21">
        <v>0.44387799999999999</v>
      </c>
      <c r="P118" s="21">
        <v>36.6111</v>
      </c>
      <c r="Q118" s="21">
        <v>-3.5516399999999997E-2</v>
      </c>
      <c r="R118" s="21">
        <v>108</v>
      </c>
      <c r="S118" s="21">
        <v>0.44278000000000001</v>
      </c>
      <c r="T118">
        <f t="shared" si="14"/>
        <v>35.516399999999997</v>
      </c>
      <c r="U118">
        <f t="shared" si="15"/>
        <v>15.764948599199998</v>
      </c>
      <c r="X118" s="9"/>
      <c r="Y118" s="21">
        <v>0.15625</v>
      </c>
      <c r="Z118" s="21">
        <v>39.351599999999998</v>
      </c>
      <c r="AA118" s="21">
        <v>-3.5998500000000003E-2</v>
      </c>
      <c r="AB118" s="21">
        <v>108</v>
      </c>
      <c r="AC118" s="21">
        <v>0.15521199999999999</v>
      </c>
      <c r="AD118">
        <f t="shared" si="16"/>
        <v>35.9985</v>
      </c>
      <c r="AE118">
        <f t="shared" si="17"/>
        <v>5.6247656250000002</v>
      </c>
      <c r="AF118" s="9"/>
      <c r="AG118" s="21">
        <v>0.44387799999999999</v>
      </c>
      <c r="AH118" s="21">
        <v>42.629199999999997</v>
      </c>
      <c r="AI118" s="21">
        <v>-3.55865E-2</v>
      </c>
      <c r="AJ118" s="21">
        <v>108</v>
      </c>
      <c r="AK118" s="21">
        <v>0.442749</v>
      </c>
      <c r="AL118">
        <f t="shared" si="18"/>
        <v>35.586500000000001</v>
      </c>
      <c r="AM118">
        <f t="shared" si="19"/>
        <v>15.796064447000001</v>
      </c>
      <c r="AP118" s="9"/>
      <c r="AQ118" s="21">
        <v>0.15625</v>
      </c>
      <c r="AR118" s="21">
        <v>50.5349</v>
      </c>
      <c r="AS118" s="21">
        <v>-3.6059599999999997E-2</v>
      </c>
      <c r="AT118" s="21">
        <v>108</v>
      </c>
      <c r="AU118" s="21">
        <v>0.15521199999999999</v>
      </c>
      <c r="AV118">
        <f t="shared" si="20"/>
        <v>36.059599999999996</v>
      </c>
      <c r="AW118">
        <f t="shared" si="21"/>
        <v>5.6343124999999992</v>
      </c>
      <c r="AX118" s="9"/>
      <c r="AY118" s="21">
        <v>0.44387799999999999</v>
      </c>
      <c r="AZ118" s="21">
        <v>63.305700000000002</v>
      </c>
      <c r="BA118" s="21">
        <v>-3.5653700000000003E-2</v>
      </c>
      <c r="BB118" s="21">
        <v>108</v>
      </c>
      <c r="BC118" s="21">
        <v>0.442749</v>
      </c>
      <c r="BD118">
        <f t="shared" si="22"/>
        <v>35.653700000000001</v>
      </c>
      <c r="BE118">
        <f t="shared" si="23"/>
        <v>15.825893048599999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0.15121499999999999</v>
      </c>
      <c r="H119" s="21">
        <v>32.1965</v>
      </c>
      <c r="I119" s="21">
        <v>-3.5897800000000001E-2</v>
      </c>
      <c r="J119" s="21">
        <v>109</v>
      </c>
      <c r="K119" s="21">
        <v>0.150116</v>
      </c>
      <c r="L119">
        <f t="shared" si="12"/>
        <v>35.897800000000004</v>
      </c>
      <c r="M119">
        <f t="shared" si="13"/>
        <v>5.4282858269999998</v>
      </c>
      <c r="N119" s="9"/>
      <c r="O119" s="21">
        <v>0.44891399999999998</v>
      </c>
      <c r="P119" s="21">
        <v>36.621099999999998</v>
      </c>
      <c r="Q119" s="21">
        <v>-3.5498000000000002E-2</v>
      </c>
      <c r="R119" s="21">
        <v>109</v>
      </c>
      <c r="S119" s="21">
        <v>0.44781500000000002</v>
      </c>
      <c r="T119">
        <f t="shared" si="14"/>
        <v>35.498000000000005</v>
      </c>
      <c r="U119">
        <f t="shared" si="15"/>
        <v>15.935549172000002</v>
      </c>
      <c r="X119" s="9"/>
      <c r="Y119" s="21">
        <v>0.15121499999999999</v>
      </c>
      <c r="Z119" s="21">
        <v>39.361699999999999</v>
      </c>
      <c r="AA119" s="21">
        <v>-3.5989399999999998E-2</v>
      </c>
      <c r="AB119" s="21">
        <v>109</v>
      </c>
      <c r="AC119" s="21">
        <v>0.150146</v>
      </c>
      <c r="AD119">
        <f t="shared" si="16"/>
        <v>35.989399999999996</v>
      </c>
      <c r="AE119">
        <f t="shared" si="17"/>
        <v>5.4421371209999991</v>
      </c>
      <c r="AF119" s="9"/>
      <c r="AG119" s="21">
        <v>0.44891399999999998</v>
      </c>
      <c r="AH119" s="21">
        <v>42.639299999999999</v>
      </c>
      <c r="AI119" s="21">
        <v>-3.5562099999999999E-2</v>
      </c>
      <c r="AJ119" s="21">
        <v>109</v>
      </c>
      <c r="AK119" s="21">
        <v>0.44781500000000002</v>
      </c>
      <c r="AL119">
        <f t="shared" si="18"/>
        <v>35.562100000000001</v>
      </c>
      <c r="AM119">
        <f t="shared" si="19"/>
        <v>15.9643245594</v>
      </c>
      <c r="AP119" s="9"/>
      <c r="AQ119" s="21">
        <v>0.15121499999999999</v>
      </c>
      <c r="AR119" s="21">
        <v>50.545000000000002</v>
      </c>
      <c r="AS119" s="21">
        <v>-3.6044300000000001E-2</v>
      </c>
      <c r="AT119" s="21">
        <v>109</v>
      </c>
      <c r="AU119" s="21">
        <v>0.150146</v>
      </c>
      <c r="AV119">
        <f t="shared" si="20"/>
        <v>36.0443</v>
      </c>
      <c r="AW119">
        <f t="shared" si="21"/>
        <v>5.4504388244999999</v>
      </c>
      <c r="AX119" s="9"/>
      <c r="AY119" s="21">
        <v>0.44891399999999998</v>
      </c>
      <c r="AZ119" s="21">
        <v>63.3157</v>
      </c>
      <c r="BA119" s="21">
        <v>-3.5632299999999999E-2</v>
      </c>
      <c r="BB119" s="21">
        <v>109</v>
      </c>
      <c r="BC119" s="21">
        <v>0.44772299999999998</v>
      </c>
      <c r="BD119">
        <f t="shared" si="22"/>
        <v>35.632300000000001</v>
      </c>
      <c r="BE119">
        <f t="shared" si="23"/>
        <v>15.995838322199999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0.146179</v>
      </c>
      <c r="H120" s="21">
        <v>32.206600000000002</v>
      </c>
      <c r="I120" s="21">
        <v>-3.5919199999999998E-2</v>
      </c>
      <c r="J120" s="21">
        <v>110</v>
      </c>
      <c r="K120" s="21">
        <v>0.14505000000000001</v>
      </c>
      <c r="L120">
        <f t="shared" si="12"/>
        <v>35.919199999999996</v>
      </c>
      <c r="M120">
        <f t="shared" si="13"/>
        <v>5.2506327367999992</v>
      </c>
      <c r="N120" s="9"/>
      <c r="O120" s="21">
        <v>0.45394899999999999</v>
      </c>
      <c r="P120" s="21">
        <v>36.6312</v>
      </c>
      <c r="Q120" s="21">
        <v>-3.5470599999999998E-2</v>
      </c>
      <c r="R120" s="21">
        <v>110</v>
      </c>
      <c r="S120" s="21">
        <v>0.452789</v>
      </c>
      <c r="T120">
        <f t="shared" si="14"/>
        <v>35.470599999999997</v>
      </c>
      <c r="U120">
        <f t="shared" si="15"/>
        <v>16.1018433994</v>
      </c>
      <c r="X120" s="9"/>
      <c r="Y120" s="21">
        <v>0.146179</v>
      </c>
      <c r="Z120" s="21">
        <v>39.3718</v>
      </c>
      <c r="AA120" s="21">
        <v>-3.5974100000000002E-2</v>
      </c>
      <c r="AB120" s="21">
        <v>110</v>
      </c>
      <c r="AC120" s="21">
        <v>0.14505000000000001</v>
      </c>
      <c r="AD120">
        <f t="shared" si="16"/>
        <v>35.9741</v>
      </c>
      <c r="AE120">
        <f t="shared" si="17"/>
        <v>5.2586579639000002</v>
      </c>
      <c r="AF120" s="9"/>
      <c r="AG120" s="21">
        <v>0.45394899999999999</v>
      </c>
      <c r="AH120" s="21">
        <v>42.6494</v>
      </c>
      <c r="AI120" s="21">
        <v>-3.5531600000000003E-2</v>
      </c>
      <c r="AJ120" s="21">
        <v>110</v>
      </c>
      <c r="AK120" s="21">
        <v>0.45282</v>
      </c>
      <c r="AL120">
        <f t="shared" si="18"/>
        <v>35.531600000000005</v>
      </c>
      <c r="AM120">
        <f t="shared" si="19"/>
        <v>16.129534288400002</v>
      </c>
      <c r="AP120" s="9"/>
      <c r="AQ120" s="21">
        <v>0.146179</v>
      </c>
      <c r="AR120" s="21">
        <v>50.555</v>
      </c>
      <c r="AS120" s="21">
        <v>-3.6029100000000001E-2</v>
      </c>
      <c r="AT120" s="21">
        <v>110</v>
      </c>
      <c r="AU120" s="21">
        <v>0.14508099999999999</v>
      </c>
      <c r="AV120">
        <f t="shared" si="20"/>
        <v>36.0291</v>
      </c>
      <c r="AW120">
        <f t="shared" si="21"/>
        <v>5.2666978089000001</v>
      </c>
      <c r="AX120" s="9"/>
      <c r="AY120" s="21">
        <v>0.45394899999999999</v>
      </c>
      <c r="AZ120" s="21">
        <v>63.325800000000001</v>
      </c>
      <c r="BA120" s="21">
        <v>-3.5620100000000002E-2</v>
      </c>
      <c r="BB120" s="21">
        <v>110</v>
      </c>
      <c r="BC120" s="21">
        <v>0.45275900000000002</v>
      </c>
      <c r="BD120">
        <f t="shared" si="22"/>
        <v>35.620100000000001</v>
      </c>
      <c r="BE120">
        <f t="shared" si="23"/>
        <v>16.169708774899998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0.14114399999999999</v>
      </c>
      <c r="H121" s="21">
        <v>32.216700000000003</v>
      </c>
      <c r="I121" s="21">
        <v>-3.5931400000000002E-2</v>
      </c>
      <c r="J121" s="21">
        <v>111</v>
      </c>
      <c r="K121" s="21">
        <v>0.14013700000000001</v>
      </c>
      <c r="L121">
        <f t="shared" si="12"/>
        <v>35.931400000000004</v>
      </c>
      <c r="M121">
        <f t="shared" si="13"/>
        <v>5.0715015216000001</v>
      </c>
      <c r="N121" s="9"/>
      <c r="O121" s="21">
        <v>0.458984</v>
      </c>
      <c r="P121" s="21">
        <v>36.641300000000001</v>
      </c>
      <c r="Q121" s="21">
        <v>-3.5434E-2</v>
      </c>
      <c r="R121" s="21">
        <v>111</v>
      </c>
      <c r="S121" s="21">
        <v>0.45785500000000001</v>
      </c>
      <c r="T121">
        <f t="shared" si="14"/>
        <v>35.433999999999997</v>
      </c>
      <c r="U121">
        <f t="shared" si="15"/>
        <v>16.263639055999999</v>
      </c>
      <c r="X121" s="9"/>
      <c r="Y121" s="21">
        <v>0.14114399999999999</v>
      </c>
      <c r="Z121" s="21">
        <v>39.381900000000002</v>
      </c>
      <c r="AA121" s="21">
        <v>-3.5974100000000002E-2</v>
      </c>
      <c r="AB121" s="21">
        <v>111</v>
      </c>
      <c r="AC121" s="21">
        <v>0.14013700000000001</v>
      </c>
      <c r="AD121">
        <f t="shared" si="16"/>
        <v>35.9741</v>
      </c>
      <c r="AE121">
        <f t="shared" si="17"/>
        <v>5.0775283703999996</v>
      </c>
      <c r="AF121" s="9"/>
      <c r="AG121" s="21">
        <v>0.458984</v>
      </c>
      <c r="AH121" s="21">
        <v>42.659399999999998</v>
      </c>
      <c r="AI121" s="21">
        <v>-3.55042E-2</v>
      </c>
      <c r="AJ121" s="21">
        <v>111</v>
      </c>
      <c r="AK121" s="21">
        <v>0.45791599999999999</v>
      </c>
      <c r="AL121">
        <f t="shared" si="18"/>
        <v>35.504199999999997</v>
      </c>
      <c r="AM121">
        <f t="shared" si="19"/>
        <v>16.2958597328</v>
      </c>
      <c r="AP121" s="9"/>
      <c r="AQ121" s="21">
        <v>0.14114399999999999</v>
      </c>
      <c r="AR121" s="21">
        <v>50.565100000000001</v>
      </c>
      <c r="AS121" s="21">
        <v>-3.6035200000000003E-2</v>
      </c>
      <c r="AT121" s="21">
        <v>111</v>
      </c>
      <c r="AU121" s="21">
        <v>0.14007600000000001</v>
      </c>
      <c r="AV121">
        <f t="shared" si="20"/>
        <v>36.035200000000003</v>
      </c>
      <c r="AW121">
        <f t="shared" si="21"/>
        <v>5.0861522688000003</v>
      </c>
      <c r="AX121" s="9"/>
      <c r="AY121" s="21">
        <v>0.458984</v>
      </c>
      <c r="AZ121" s="21">
        <v>63.335900000000002</v>
      </c>
      <c r="BA121" s="21">
        <v>-3.5604900000000002E-2</v>
      </c>
      <c r="BB121" s="21">
        <v>111</v>
      </c>
      <c r="BC121" s="21">
        <v>0.45785500000000001</v>
      </c>
      <c r="BD121">
        <f t="shared" si="22"/>
        <v>35.604900000000001</v>
      </c>
      <c r="BE121">
        <f t="shared" si="23"/>
        <v>16.342079421600001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0.13610800000000001</v>
      </c>
      <c r="H122" s="21">
        <v>32.226799999999997</v>
      </c>
      <c r="I122" s="21">
        <v>-3.5928300000000003E-2</v>
      </c>
      <c r="J122" s="21">
        <v>112</v>
      </c>
      <c r="K122" s="21">
        <v>0.13500999999999999</v>
      </c>
      <c r="L122">
        <f t="shared" si="12"/>
        <v>35.9283</v>
      </c>
      <c r="M122">
        <f t="shared" si="13"/>
        <v>4.8901290564000002</v>
      </c>
      <c r="N122" s="9"/>
      <c r="O122" s="21">
        <v>0.46401999999999999</v>
      </c>
      <c r="P122" s="21">
        <v>36.651400000000002</v>
      </c>
      <c r="Q122" s="21">
        <v>-3.5403400000000002E-2</v>
      </c>
      <c r="R122" s="21">
        <v>112</v>
      </c>
      <c r="S122" s="21">
        <v>0.46285999999999999</v>
      </c>
      <c r="T122">
        <f t="shared" si="14"/>
        <v>35.403400000000005</v>
      </c>
      <c r="U122">
        <f t="shared" si="15"/>
        <v>16.427885668000002</v>
      </c>
      <c r="X122" s="9"/>
      <c r="Y122" s="21">
        <v>0.13610800000000001</v>
      </c>
      <c r="Z122" s="21">
        <v>39.3919</v>
      </c>
      <c r="AA122" s="21">
        <v>-3.5977200000000001E-2</v>
      </c>
      <c r="AB122" s="21">
        <v>112</v>
      </c>
      <c r="AC122" s="21">
        <v>0.135071</v>
      </c>
      <c r="AD122">
        <f t="shared" si="16"/>
        <v>35.977200000000003</v>
      </c>
      <c r="AE122">
        <f t="shared" si="17"/>
        <v>4.8967847376000009</v>
      </c>
      <c r="AF122" s="9"/>
      <c r="AG122" s="21">
        <v>0.46401999999999999</v>
      </c>
      <c r="AH122" s="21">
        <v>42.669499999999999</v>
      </c>
      <c r="AI122" s="21">
        <v>-3.5498000000000002E-2</v>
      </c>
      <c r="AJ122" s="21">
        <v>112</v>
      </c>
      <c r="AK122" s="21">
        <v>0.462891</v>
      </c>
      <c r="AL122">
        <f t="shared" si="18"/>
        <v>35.498000000000005</v>
      </c>
      <c r="AM122">
        <f t="shared" si="19"/>
        <v>16.471781960000001</v>
      </c>
      <c r="AP122" s="9"/>
      <c r="AQ122" s="21">
        <v>0.13610800000000001</v>
      </c>
      <c r="AR122" s="21">
        <v>50.575200000000002</v>
      </c>
      <c r="AS122" s="21">
        <v>-3.60474E-2</v>
      </c>
      <c r="AT122" s="21">
        <v>112</v>
      </c>
      <c r="AU122" s="21">
        <v>0.135071</v>
      </c>
      <c r="AV122">
        <f t="shared" si="20"/>
        <v>36.047400000000003</v>
      </c>
      <c r="AW122">
        <f t="shared" si="21"/>
        <v>4.9063395192000003</v>
      </c>
      <c r="AX122" s="9"/>
      <c r="AY122" s="21">
        <v>0.46401999999999999</v>
      </c>
      <c r="AZ122" s="21">
        <v>63.3459</v>
      </c>
      <c r="BA122" s="21">
        <v>-3.5589599999999999E-2</v>
      </c>
      <c r="BB122" s="21">
        <v>112</v>
      </c>
      <c r="BC122" s="21">
        <v>0.462891</v>
      </c>
      <c r="BD122">
        <f t="shared" si="22"/>
        <v>35.589599999999997</v>
      </c>
      <c r="BE122">
        <f t="shared" si="23"/>
        <v>16.514286191999997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0.131073</v>
      </c>
      <c r="H123" s="21">
        <v>32.236800000000002</v>
      </c>
      <c r="I123" s="21">
        <v>-3.5934399999999998E-2</v>
      </c>
      <c r="J123" s="21">
        <v>113</v>
      </c>
      <c r="K123" s="21">
        <v>0.13006599999999999</v>
      </c>
      <c r="L123">
        <f t="shared" si="12"/>
        <v>35.934399999999997</v>
      </c>
      <c r="M123">
        <f t="shared" si="13"/>
        <v>4.7100296111999995</v>
      </c>
      <c r="N123" s="9"/>
      <c r="O123" s="21">
        <v>0.469055</v>
      </c>
      <c r="P123" s="21">
        <v>36.6614</v>
      </c>
      <c r="Q123" s="21">
        <v>-3.5379000000000001E-2</v>
      </c>
      <c r="R123" s="21">
        <v>113</v>
      </c>
      <c r="S123" s="21">
        <v>0.46792600000000001</v>
      </c>
      <c r="T123">
        <f t="shared" si="14"/>
        <v>35.378999999999998</v>
      </c>
      <c r="U123">
        <f t="shared" si="15"/>
        <v>16.594696844999998</v>
      </c>
      <c r="X123" s="9"/>
      <c r="Y123" s="21">
        <v>0.131073</v>
      </c>
      <c r="Z123" s="21">
        <v>39.402000000000001</v>
      </c>
      <c r="AA123" s="21">
        <v>-3.5989399999999998E-2</v>
      </c>
      <c r="AB123" s="21">
        <v>113</v>
      </c>
      <c r="AC123" s="21">
        <v>0.13009599999999999</v>
      </c>
      <c r="AD123">
        <f t="shared" si="16"/>
        <v>35.989399999999996</v>
      </c>
      <c r="AE123">
        <f t="shared" si="17"/>
        <v>4.7172386261999995</v>
      </c>
      <c r="AF123" s="9"/>
      <c r="AG123" s="21">
        <v>0.469055</v>
      </c>
      <c r="AH123" s="21">
        <v>42.679600000000001</v>
      </c>
      <c r="AI123" s="21">
        <v>-3.5482800000000002E-2</v>
      </c>
      <c r="AJ123" s="21">
        <v>113</v>
      </c>
      <c r="AK123" s="21">
        <v>0.46795700000000001</v>
      </c>
      <c r="AL123">
        <f t="shared" si="18"/>
        <v>35.482800000000005</v>
      </c>
      <c r="AM123">
        <f t="shared" si="19"/>
        <v>16.643384754000003</v>
      </c>
      <c r="AP123" s="9"/>
      <c r="AQ123" s="21">
        <v>0.131073</v>
      </c>
      <c r="AR123" s="21">
        <v>50.585299999999997</v>
      </c>
      <c r="AS123" s="21">
        <v>-3.6053500000000002E-2</v>
      </c>
      <c r="AT123" s="21">
        <v>113</v>
      </c>
      <c r="AU123" s="21">
        <v>0.13003500000000001</v>
      </c>
      <c r="AV123">
        <f t="shared" si="20"/>
        <v>36.0535</v>
      </c>
      <c r="AW123">
        <f t="shared" si="21"/>
        <v>4.7256404055000001</v>
      </c>
      <c r="AX123" s="9"/>
      <c r="AY123" s="21">
        <v>0.469055</v>
      </c>
      <c r="AZ123" s="21">
        <v>63.356000000000002</v>
      </c>
      <c r="BA123" s="21">
        <v>-3.5568200000000001E-2</v>
      </c>
      <c r="BB123" s="21">
        <v>113</v>
      </c>
      <c r="BC123" s="21">
        <v>0.46795700000000001</v>
      </c>
      <c r="BD123">
        <f t="shared" si="22"/>
        <v>35.568200000000004</v>
      </c>
      <c r="BE123">
        <f t="shared" si="23"/>
        <v>16.683442051000004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0.12603800000000001</v>
      </c>
      <c r="H124" s="21">
        <v>32.246899999999997</v>
      </c>
      <c r="I124" s="21">
        <v>-3.5931400000000002E-2</v>
      </c>
      <c r="J124" s="21">
        <v>114</v>
      </c>
      <c r="K124" s="21">
        <v>0.125</v>
      </c>
      <c r="L124">
        <f t="shared" si="12"/>
        <v>35.931400000000004</v>
      </c>
      <c r="M124">
        <f t="shared" si="13"/>
        <v>4.5287217932000008</v>
      </c>
      <c r="N124" s="9"/>
      <c r="O124" s="21">
        <v>0.47409099999999998</v>
      </c>
      <c r="P124" s="21">
        <v>36.671500000000002</v>
      </c>
      <c r="Q124" s="21">
        <v>-3.5351599999999997E-2</v>
      </c>
      <c r="R124" s="21">
        <v>114</v>
      </c>
      <c r="S124" s="21">
        <v>0.47299200000000002</v>
      </c>
      <c r="T124">
        <f t="shared" si="14"/>
        <v>35.351599999999998</v>
      </c>
      <c r="U124">
        <f t="shared" si="15"/>
        <v>16.759875395599998</v>
      </c>
      <c r="X124" s="9"/>
      <c r="Y124" s="21">
        <v>0.12603800000000001</v>
      </c>
      <c r="Z124" s="21">
        <v>39.412100000000002</v>
      </c>
      <c r="AA124" s="21">
        <v>-3.6001600000000002E-2</v>
      </c>
      <c r="AB124" s="21">
        <v>114</v>
      </c>
      <c r="AC124" s="21">
        <v>0.125031</v>
      </c>
      <c r="AD124">
        <f t="shared" si="16"/>
        <v>36.001600000000003</v>
      </c>
      <c r="AE124">
        <f t="shared" si="17"/>
        <v>4.5375696608000009</v>
      </c>
      <c r="AF124" s="9"/>
      <c r="AG124" s="21">
        <v>0.47409099999999998</v>
      </c>
      <c r="AH124" s="21">
        <v>42.689700000000002</v>
      </c>
      <c r="AI124" s="21">
        <v>-3.5464500000000003E-2</v>
      </c>
      <c r="AJ124" s="21">
        <v>114</v>
      </c>
      <c r="AK124" s="21">
        <v>0.47293099999999999</v>
      </c>
      <c r="AL124">
        <f t="shared" si="18"/>
        <v>35.464500000000001</v>
      </c>
      <c r="AM124">
        <f t="shared" si="19"/>
        <v>16.813400269500001</v>
      </c>
      <c r="AP124" s="9"/>
      <c r="AQ124" s="21">
        <v>0.12603800000000001</v>
      </c>
      <c r="AR124" s="21">
        <v>50.595300000000002</v>
      </c>
      <c r="AS124" s="21">
        <v>-3.6038199999999999E-2</v>
      </c>
      <c r="AT124" s="21">
        <v>114</v>
      </c>
      <c r="AU124" s="21">
        <v>0.12490800000000001</v>
      </c>
      <c r="AV124">
        <f t="shared" si="20"/>
        <v>36.038199999999996</v>
      </c>
      <c r="AW124">
        <f t="shared" si="21"/>
        <v>4.5421826516000001</v>
      </c>
      <c r="AX124" s="9"/>
      <c r="AY124" s="21">
        <v>0.47409099999999998</v>
      </c>
      <c r="AZ124" s="21">
        <v>63.366100000000003</v>
      </c>
      <c r="BA124" s="21">
        <v>-3.55286E-2</v>
      </c>
      <c r="BB124" s="21">
        <v>114</v>
      </c>
      <c r="BC124" s="21">
        <v>0.47299200000000002</v>
      </c>
      <c r="BD124">
        <f t="shared" si="22"/>
        <v>35.528599999999997</v>
      </c>
      <c r="BE124">
        <f t="shared" si="23"/>
        <v>16.843789502599996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0.121002</v>
      </c>
      <c r="H125" s="21">
        <v>32.256999999999998</v>
      </c>
      <c r="I125" s="21">
        <v>-3.5937499999999997E-2</v>
      </c>
      <c r="J125" s="21">
        <v>115</v>
      </c>
      <c r="K125" s="21">
        <v>0.12002599999999999</v>
      </c>
      <c r="L125">
        <f t="shared" si="12"/>
        <v>35.9375</v>
      </c>
      <c r="M125">
        <f t="shared" si="13"/>
        <v>4.3485093749999999</v>
      </c>
      <c r="N125" s="9"/>
      <c r="O125" s="21">
        <v>0.479126</v>
      </c>
      <c r="P125" s="21">
        <v>36.681600000000003</v>
      </c>
      <c r="Q125" s="21">
        <v>-3.53394E-2</v>
      </c>
      <c r="R125" s="21">
        <v>115</v>
      </c>
      <c r="S125" s="21">
        <v>0.47793600000000003</v>
      </c>
      <c r="T125">
        <f t="shared" si="14"/>
        <v>35.339399999999998</v>
      </c>
      <c r="U125">
        <f t="shared" si="15"/>
        <v>16.932025364399998</v>
      </c>
      <c r="X125" s="9"/>
      <c r="Y125" s="21">
        <v>0.121002</v>
      </c>
      <c r="Z125" s="21">
        <v>39.4221</v>
      </c>
      <c r="AA125" s="21">
        <v>-3.5992400000000001E-2</v>
      </c>
      <c r="AB125" s="21">
        <v>115</v>
      </c>
      <c r="AC125" s="21">
        <v>0.119965</v>
      </c>
      <c r="AD125">
        <f t="shared" si="16"/>
        <v>35.992400000000004</v>
      </c>
      <c r="AE125">
        <f t="shared" si="17"/>
        <v>4.3551523848000002</v>
      </c>
      <c r="AF125" s="9"/>
      <c r="AG125" s="21">
        <v>0.479126</v>
      </c>
      <c r="AH125" s="21">
        <v>42.6997</v>
      </c>
      <c r="AI125" s="21">
        <v>-3.5427899999999998E-2</v>
      </c>
      <c r="AJ125" s="21">
        <v>115</v>
      </c>
      <c r="AK125" s="21">
        <v>0.47805799999999998</v>
      </c>
      <c r="AL125">
        <f t="shared" si="18"/>
        <v>35.427900000000001</v>
      </c>
      <c r="AM125">
        <f t="shared" si="19"/>
        <v>16.974428015400001</v>
      </c>
      <c r="AP125" s="9"/>
      <c r="AQ125" s="21">
        <v>0.121002</v>
      </c>
      <c r="AR125" s="21">
        <v>50.605400000000003</v>
      </c>
      <c r="AS125" s="21">
        <v>-3.6026000000000002E-2</v>
      </c>
      <c r="AT125" s="21">
        <v>115</v>
      </c>
      <c r="AU125" s="21">
        <v>0.119965</v>
      </c>
      <c r="AV125">
        <f t="shared" si="20"/>
        <v>36.026000000000003</v>
      </c>
      <c r="AW125">
        <f t="shared" si="21"/>
        <v>4.3592180520000001</v>
      </c>
      <c r="AX125" s="9"/>
      <c r="AY125" s="21">
        <v>0.479126</v>
      </c>
      <c r="AZ125" s="21">
        <v>63.376199999999997</v>
      </c>
      <c r="BA125" s="21">
        <v>-3.54767E-2</v>
      </c>
      <c r="BB125" s="21">
        <v>115</v>
      </c>
      <c r="BC125" s="21">
        <v>0.47799700000000001</v>
      </c>
      <c r="BD125">
        <f t="shared" si="22"/>
        <v>35.476700000000001</v>
      </c>
      <c r="BE125">
        <f t="shared" si="23"/>
        <v>16.997809364200002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0.115967</v>
      </c>
      <c r="H126" s="21">
        <v>32.267000000000003</v>
      </c>
      <c r="I126" s="21">
        <v>-3.5943599999999999E-2</v>
      </c>
      <c r="J126" s="21">
        <v>116</v>
      </c>
      <c r="K126" s="21">
        <v>0.114899</v>
      </c>
      <c r="L126">
        <f t="shared" si="12"/>
        <v>35.943599999999996</v>
      </c>
      <c r="M126">
        <f t="shared" si="13"/>
        <v>4.1682714611999998</v>
      </c>
      <c r="N126" s="9"/>
      <c r="O126" s="21">
        <v>0.48416100000000001</v>
      </c>
      <c r="P126" s="21">
        <v>36.691600000000001</v>
      </c>
      <c r="Q126" s="21">
        <v>-3.5324099999999997E-2</v>
      </c>
      <c r="R126" s="21">
        <v>116</v>
      </c>
      <c r="S126" s="21">
        <v>0.48303200000000002</v>
      </c>
      <c r="T126">
        <f t="shared" si="14"/>
        <v>35.324099999999994</v>
      </c>
      <c r="U126">
        <f t="shared" si="15"/>
        <v>17.102551580099998</v>
      </c>
      <c r="X126" s="9"/>
      <c r="Y126" s="21">
        <v>0.115967</v>
      </c>
      <c r="Z126" s="21">
        <v>39.432200000000002</v>
      </c>
      <c r="AA126" s="21">
        <v>-3.5986299999999999E-2</v>
      </c>
      <c r="AB126" s="21">
        <v>116</v>
      </c>
      <c r="AC126" s="21">
        <v>0.114868</v>
      </c>
      <c r="AD126">
        <f t="shared" si="16"/>
        <v>35.9863</v>
      </c>
      <c r="AE126">
        <f t="shared" si="17"/>
        <v>4.1732232520999997</v>
      </c>
      <c r="AF126" s="9"/>
      <c r="AG126" s="21">
        <v>0.48416100000000001</v>
      </c>
      <c r="AH126" s="21">
        <v>42.709800000000001</v>
      </c>
      <c r="AI126" s="21">
        <v>-3.5391199999999998E-2</v>
      </c>
      <c r="AJ126" s="21">
        <v>116</v>
      </c>
      <c r="AK126" s="21">
        <v>0.48300199999999999</v>
      </c>
      <c r="AL126">
        <f t="shared" si="18"/>
        <v>35.391199999999998</v>
      </c>
      <c r="AM126">
        <f t="shared" si="19"/>
        <v>17.135038783199999</v>
      </c>
      <c r="AP126" s="9"/>
      <c r="AQ126" s="21">
        <v>0.115967</v>
      </c>
      <c r="AR126" s="21">
        <v>50.615499999999997</v>
      </c>
      <c r="AS126" s="21">
        <v>-3.6032099999999997E-2</v>
      </c>
      <c r="AT126" s="21">
        <v>116</v>
      </c>
      <c r="AU126" s="21">
        <v>0.114929</v>
      </c>
      <c r="AV126">
        <f t="shared" si="20"/>
        <v>36.0321</v>
      </c>
      <c r="AW126">
        <f t="shared" si="21"/>
        <v>4.1785345407000003</v>
      </c>
      <c r="AX126" s="9"/>
      <c r="AY126" s="21">
        <v>0.48416100000000001</v>
      </c>
      <c r="AZ126" s="21">
        <v>63.386200000000002</v>
      </c>
      <c r="BA126" s="21">
        <v>-3.5430900000000001E-2</v>
      </c>
      <c r="BB126" s="21">
        <v>116</v>
      </c>
      <c r="BC126" s="21">
        <v>0.48297099999999998</v>
      </c>
      <c r="BD126">
        <f t="shared" si="22"/>
        <v>35.430900000000001</v>
      </c>
      <c r="BE126">
        <f t="shared" si="23"/>
        <v>17.1542599749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0.110931</v>
      </c>
      <c r="H127" s="21">
        <v>32.277099999999997</v>
      </c>
      <c r="I127" s="21">
        <v>-3.5955800000000003E-2</v>
      </c>
      <c r="J127" s="21">
        <v>117</v>
      </c>
      <c r="K127" s="21">
        <v>0.10992399999999999</v>
      </c>
      <c r="L127">
        <f t="shared" si="12"/>
        <v>35.955800000000004</v>
      </c>
      <c r="M127">
        <f t="shared" si="13"/>
        <v>3.9886128498000004</v>
      </c>
      <c r="N127" s="9"/>
      <c r="O127" s="21">
        <v>0.48919699999999999</v>
      </c>
      <c r="P127" s="21">
        <v>36.701700000000002</v>
      </c>
      <c r="Q127" s="21">
        <v>-3.5296599999999997E-2</v>
      </c>
      <c r="R127" s="21">
        <v>117</v>
      </c>
      <c r="S127" s="21">
        <v>0.48809799999999998</v>
      </c>
      <c r="T127">
        <f t="shared" si="14"/>
        <v>35.296599999999998</v>
      </c>
      <c r="U127">
        <f t="shared" si="15"/>
        <v>17.266990830199997</v>
      </c>
      <c r="X127" s="9"/>
      <c r="Y127" s="21">
        <v>0.110931</v>
      </c>
      <c r="Z127" s="21">
        <v>39.442300000000003</v>
      </c>
      <c r="AA127" s="21">
        <v>-3.5980199999999997E-2</v>
      </c>
      <c r="AB127" s="21">
        <v>117</v>
      </c>
      <c r="AC127" s="21">
        <v>0.109955</v>
      </c>
      <c r="AD127">
        <f t="shared" si="16"/>
        <v>35.980199999999996</v>
      </c>
      <c r="AE127">
        <f t="shared" si="17"/>
        <v>3.9913195661999996</v>
      </c>
      <c r="AF127" s="9"/>
      <c r="AG127" s="21">
        <v>0.48919699999999999</v>
      </c>
      <c r="AH127" s="21">
        <v>42.719900000000003</v>
      </c>
      <c r="AI127" s="21">
        <v>-3.5357699999999999E-2</v>
      </c>
      <c r="AJ127" s="21">
        <v>117</v>
      </c>
      <c r="AK127" s="21">
        <v>0.488068</v>
      </c>
      <c r="AL127">
        <f t="shared" si="18"/>
        <v>35.357700000000001</v>
      </c>
      <c r="AM127">
        <f t="shared" si="19"/>
        <v>17.296880766899999</v>
      </c>
      <c r="AP127" s="9"/>
      <c r="AQ127" s="21">
        <v>0.110931</v>
      </c>
      <c r="AR127" s="21">
        <v>50.625500000000002</v>
      </c>
      <c r="AS127" s="21">
        <v>-3.6032099999999997E-2</v>
      </c>
      <c r="AT127" s="21">
        <v>117</v>
      </c>
      <c r="AU127" s="21">
        <v>0.10992399999999999</v>
      </c>
      <c r="AV127">
        <f t="shared" si="20"/>
        <v>36.0321</v>
      </c>
      <c r="AW127">
        <f t="shared" si="21"/>
        <v>3.9970768851000003</v>
      </c>
      <c r="AX127" s="9"/>
      <c r="AY127" s="21">
        <v>0.48919699999999999</v>
      </c>
      <c r="AZ127" s="21">
        <v>63.396299999999997</v>
      </c>
      <c r="BA127" s="21">
        <v>-3.5388200000000002E-2</v>
      </c>
      <c r="BB127" s="21">
        <v>117</v>
      </c>
      <c r="BC127" s="21">
        <v>0.48809799999999998</v>
      </c>
      <c r="BD127">
        <f t="shared" si="22"/>
        <v>35.388200000000005</v>
      </c>
      <c r="BE127">
        <f t="shared" si="23"/>
        <v>17.311801275400001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0.105896</v>
      </c>
      <c r="H128" s="21">
        <v>32.287199999999999</v>
      </c>
      <c r="I128" s="21">
        <v>-3.5964999999999997E-2</v>
      </c>
      <c r="J128" s="21">
        <v>118</v>
      </c>
      <c r="K128" s="21">
        <v>0.10485800000000001</v>
      </c>
      <c r="L128">
        <f t="shared" si="12"/>
        <v>35.964999999999996</v>
      </c>
      <c r="M128">
        <f t="shared" si="13"/>
        <v>3.8085496399999998</v>
      </c>
      <c r="N128" s="9"/>
      <c r="O128" s="21">
        <v>0.494232</v>
      </c>
      <c r="P128" s="21">
        <v>36.711799999999997</v>
      </c>
      <c r="Q128" s="21">
        <v>-3.5266100000000002E-2</v>
      </c>
      <c r="R128" s="21">
        <v>118</v>
      </c>
      <c r="S128" s="21">
        <v>0.49310300000000001</v>
      </c>
      <c r="T128">
        <f t="shared" si="14"/>
        <v>35.266100000000002</v>
      </c>
      <c r="U128">
        <f t="shared" si="15"/>
        <v>17.429635135200002</v>
      </c>
      <c r="X128" s="9"/>
      <c r="Y128" s="21">
        <v>0.105896</v>
      </c>
      <c r="Z128" s="21">
        <v>39.452300000000001</v>
      </c>
      <c r="AA128" s="21">
        <v>-3.6001600000000002E-2</v>
      </c>
      <c r="AB128" s="21">
        <v>118</v>
      </c>
      <c r="AC128" s="21">
        <v>0.104828</v>
      </c>
      <c r="AD128">
        <f t="shared" si="16"/>
        <v>36.001600000000003</v>
      </c>
      <c r="AE128">
        <f t="shared" si="17"/>
        <v>3.8124254336000005</v>
      </c>
      <c r="AF128" s="9"/>
      <c r="AG128" s="21">
        <v>0.494232</v>
      </c>
      <c r="AH128" s="21">
        <v>42.729900000000001</v>
      </c>
      <c r="AI128" s="21">
        <v>-3.53119E-2</v>
      </c>
      <c r="AJ128" s="21">
        <v>118</v>
      </c>
      <c r="AK128" s="21">
        <v>0.49307299999999998</v>
      </c>
      <c r="AL128">
        <f t="shared" si="18"/>
        <v>35.311900000000001</v>
      </c>
      <c r="AM128">
        <f t="shared" si="19"/>
        <v>17.4522709608</v>
      </c>
      <c r="AP128" s="9"/>
      <c r="AQ128" s="21">
        <v>0.105896</v>
      </c>
      <c r="AR128" s="21">
        <v>50.635599999999997</v>
      </c>
      <c r="AS128" s="21">
        <v>-3.6035200000000003E-2</v>
      </c>
      <c r="AT128" s="21">
        <v>118</v>
      </c>
      <c r="AU128" s="21">
        <v>0.104889</v>
      </c>
      <c r="AV128">
        <f t="shared" si="20"/>
        <v>36.035200000000003</v>
      </c>
      <c r="AW128">
        <f t="shared" si="21"/>
        <v>3.8159835392000003</v>
      </c>
      <c r="AX128" s="9"/>
      <c r="AY128" s="21">
        <v>0.494232</v>
      </c>
      <c r="AZ128" s="21">
        <v>63.406399999999998</v>
      </c>
      <c r="BA128" s="21">
        <v>-3.53271E-2</v>
      </c>
      <c r="BB128" s="21">
        <v>118</v>
      </c>
      <c r="BC128" s="21">
        <v>0.49310300000000001</v>
      </c>
      <c r="BD128">
        <f t="shared" si="22"/>
        <v>35.327100000000002</v>
      </c>
      <c r="BE128">
        <f t="shared" si="23"/>
        <v>17.459783287200001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0.10086100000000001</v>
      </c>
      <c r="H129" s="21">
        <v>32.2973</v>
      </c>
      <c r="I129" s="21">
        <v>-3.5968E-2</v>
      </c>
      <c r="J129" s="21">
        <v>119</v>
      </c>
      <c r="K129" s="21">
        <v>9.9822999999999995E-2</v>
      </c>
      <c r="L129">
        <f t="shared" si="12"/>
        <v>35.968000000000004</v>
      </c>
      <c r="M129">
        <f t="shared" si="13"/>
        <v>3.6277684480000008</v>
      </c>
      <c r="N129" s="9"/>
      <c r="O129" s="21">
        <v>0.49926799999999999</v>
      </c>
      <c r="P129" s="21">
        <v>36.721800000000002</v>
      </c>
      <c r="Q129" s="21">
        <v>-3.5220300000000003E-2</v>
      </c>
      <c r="R129" s="21">
        <v>119</v>
      </c>
      <c r="S129" s="21">
        <v>0.498108</v>
      </c>
      <c r="T129">
        <f t="shared" si="14"/>
        <v>35.220300000000002</v>
      </c>
      <c r="U129">
        <f t="shared" si="15"/>
        <v>17.584368740400002</v>
      </c>
      <c r="X129" s="9"/>
      <c r="Y129" s="21">
        <v>0.10086100000000001</v>
      </c>
      <c r="Z129" s="21">
        <v>39.462400000000002</v>
      </c>
      <c r="AA129" s="21">
        <v>-3.6013799999999999E-2</v>
      </c>
      <c r="AB129" s="21">
        <v>119</v>
      </c>
      <c r="AC129" s="21">
        <v>9.9822999999999995E-2</v>
      </c>
      <c r="AD129">
        <f t="shared" si="16"/>
        <v>36.013799999999996</v>
      </c>
      <c r="AE129">
        <f t="shared" si="17"/>
        <v>3.6323878817999997</v>
      </c>
      <c r="AF129" s="9"/>
      <c r="AG129" s="21">
        <v>0.49926799999999999</v>
      </c>
      <c r="AH129" s="21">
        <v>42.74</v>
      </c>
      <c r="AI129" s="21">
        <v>-3.5269200000000001E-2</v>
      </c>
      <c r="AJ129" s="21">
        <v>119</v>
      </c>
      <c r="AK129" s="21">
        <v>0.49816899999999997</v>
      </c>
      <c r="AL129">
        <f t="shared" si="18"/>
        <v>35.269199999999998</v>
      </c>
      <c r="AM129">
        <f t="shared" si="19"/>
        <v>17.608782945599998</v>
      </c>
      <c r="AP129" s="9"/>
      <c r="AQ129" s="21">
        <v>0.10086100000000001</v>
      </c>
      <c r="AR129" s="21">
        <v>50.645699999999998</v>
      </c>
      <c r="AS129" s="21">
        <v>-3.6035200000000003E-2</v>
      </c>
      <c r="AT129" s="21">
        <v>119</v>
      </c>
      <c r="AU129" s="21">
        <v>9.9822999999999995E-2</v>
      </c>
      <c r="AV129">
        <f t="shared" si="20"/>
        <v>36.035200000000003</v>
      </c>
      <c r="AW129">
        <f t="shared" si="21"/>
        <v>3.6345463072000004</v>
      </c>
      <c r="AX129" s="9"/>
      <c r="AY129" s="21">
        <v>0.49926799999999999</v>
      </c>
      <c r="AZ129" s="21">
        <v>63.416400000000003</v>
      </c>
      <c r="BA129" s="21">
        <v>-3.5263099999999999E-2</v>
      </c>
      <c r="BB129" s="21">
        <v>119</v>
      </c>
      <c r="BC129" s="21">
        <v>0.49813800000000003</v>
      </c>
      <c r="BD129">
        <f t="shared" si="22"/>
        <v>35.263100000000001</v>
      </c>
      <c r="BE129">
        <f t="shared" si="23"/>
        <v>17.6057374108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9.5825199999999999E-2</v>
      </c>
      <c r="H130" s="21">
        <v>32.307299999999998</v>
      </c>
      <c r="I130" s="21">
        <v>-3.5980199999999997E-2</v>
      </c>
      <c r="J130" s="21">
        <v>120</v>
      </c>
      <c r="K130" s="21">
        <v>9.4757099999999997E-2</v>
      </c>
      <c r="L130">
        <f t="shared" si="12"/>
        <v>35.980199999999996</v>
      </c>
      <c r="M130">
        <f t="shared" si="13"/>
        <v>3.4478098610399996</v>
      </c>
      <c r="N130" s="9"/>
      <c r="O130" s="21">
        <v>0.50430299999999995</v>
      </c>
      <c r="P130" s="21">
        <v>36.731900000000003</v>
      </c>
      <c r="Q130" s="21">
        <v>-3.5150099999999997E-2</v>
      </c>
      <c r="R130" s="21">
        <v>120</v>
      </c>
      <c r="S130" s="21">
        <v>0.50308200000000003</v>
      </c>
      <c r="T130">
        <f t="shared" si="14"/>
        <v>35.150099999999995</v>
      </c>
      <c r="U130">
        <f t="shared" si="15"/>
        <v>17.726300880299995</v>
      </c>
      <c r="X130" s="9"/>
      <c r="Y130" s="21">
        <v>9.5825199999999999E-2</v>
      </c>
      <c r="Z130" s="21">
        <v>39.472499999999997</v>
      </c>
      <c r="AA130" s="21">
        <v>-3.6032099999999997E-2</v>
      </c>
      <c r="AB130" s="21">
        <v>120</v>
      </c>
      <c r="AC130" s="21">
        <v>9.47876E-2</v>
      </c>
      <c r="AD130">
        <f t="shared" si="16"/>
        <v>36.0321</v>
      </c>
      <c r="AE130">
        <f t="shared" si="17"/>
        <v>3.4527831889199998</v>
      </c>
      <c r="AF130" s="9"/>
      <c r="AG130" s="21">
        <v>0.50430299999999995</v>
      </c>
      <c r="AH130" s="21">
        <v>42.750100000000003</v>
      </c>
      <c r="AI130" s="21">
        <v>-3.5211199999999998E-2</v>
      </c>
      <c r="AJ130" s="21">
        <v>120</v>
      </c>
      <c r="AK130" s="21">
        <v>0.50314300000000001</v>
      </c>
      <c r="AL130">
        <f t="shared" si="18"/>
        <v>35.211199999999998</v>
      </c>
      <c r="AM130">
        <f t="shared" si="19"/>
        <v>17.757113793599999</v>
      </c>
      <c r="AP130" s="9"/>
      <c r="AQ130" s="21">
        <v>9.5825199999999999E-2</v>
      </c>
      <c r="AR130" s="21">
        <v>50.655700000000003</v>
      </c>
      <c r="AS130" s="21">
        <v>-3.6044300000000001E-2</v>
      </c>
      <c r="AT130" s="21">
        <v>120</v>
      </c>
      <c r="AU130" s="21">
        <v>9.47876E-2</v>
      </c>
      <c r="AV130">
        <f t="shared" si="20"/>
        <v>36.0443</v>
      </c>
      <c r="AW130">
        <f t="shared" si="21"/>
        <v>3.45395225636</v>
      </c>
      <c r="AX130" s="9"/>
      <c r="AY130" s="21">
        <v>0.50430299999999995</v>
      </c>
      <c r="AZ130" s="21">
        <v>63.426499999999997</v>
      </c>
      <c r="BA130" s="21">
        <v>-3.5195900000000002E-2</v>
      </c>
      <c r="BB130" s="21">
        <v>120</v>
      </c>
      <c r="BC130" s="21">
        <v>0.50314300000000001</v>
      </c>
      <c r="BD130">
        <f t="shared" si="22"/>
        <v>35.195900000000002</v>
      </c>
      <c r="BE130">
        <f t="shared" si="23"/>
        <v>17.749397957699998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9.0789800000000004E-2</v>
      </c>
      <c r="H131" s="21">
        <v>32.317399999999999</v>
      </c>
      <c r="I131" s="21">
        <v>-3.5980199999999997E-2</v>
      </c>
      <c r="J131" s="21">
        <v>121</v>
      </c>
      <c r="K131" s="21">
        <v>8.9782699999999993E-2</v>
      </c>
      <c r="L131">
        <f t="shared" si="12"/>
        <v>35.980199999999996</v>
      </c>
      <c r="M131">
        <f t="shared" si="13"/>
        <v>3.26663516196</v>
      </c>
      <c r="N131" s="9"/>
      <c r="O131" s="21">
        <v>0.50933799999999996</v>
      </c>
      <c r="P131" s="21">
        <v>36.741999999999997</v>
      </c>
      <c r="Q131" s="21">
        <v>-3.5070799999999999E-2</v>
      </c>
      <c r="R131" s="21">
        <v>121</v>
      </c>
      <c r="S131" s="21">
        <v>0.50820900000000002</v>
      </c>
      <c r="T131">
        <f t="shared" si="14"/>
        <v>35.070799999999998</v>
      </c>
      <c r="U131">
        <f t="shared" si="15"/>
        <v>17.862891130399998</v>
      </c>
      <c r="X131" s="9"/>
      <c r="Y131" s="21">
        <v>9.0789800000000004E-2</v>
      </c>
      <c r="Z131" s="21">
        <v>39.482599999999998</v>
      </c>
      <c r="AA131" s="21">
        <v>-3.6050400000000003E-2</v>
      </c>
      <c r="AB131" s="21">
        <v>121</v>
      </c>
      <c r="AC131" s="21">
        <v>8.9782699999999993E-2</v>
      </c>
      <c r="AD131">
        <f t="shared" si="16"/>
        <v>36.050400000000003</v>
      </c>
      <c r="AE131">
        <f t="shared" si="17"/>
        <v>3.2730086059200003</v>
      </c>
      <c r="AF131" s="9"/>
      <c r="AG131" s="21">
        <v>0.50933799999999996</v>
      </c>
      <c r="AH131" s="21">
        <v>42.760100000000001</v>
      </c>
      <c r="AI131" s="21">
        <v>-3.5147100000000001E-2</v>
      </c>
      <c r="AJ131" s="21">
        <v>121</v>
      </c>
      <c r="AK131" s="21">
        <v>0.50814800000000004</v>
      </c>
      <c r="AL131">
        <f t="shared" si="18"/>
        <v>35.147100000000002</v>
      </c>
      <c r="AM131">
        <f t="shared" si="19"/>
        <v>17.901753619800001</v>
      </c>
      <c r="AP131" s="9"/>
      <c r="AQ131" s="21">
        <v>9.0789800000000004E-2</v>
      </c>
      <c r="AR131" s="21">
        <v>50.665799999999997</v>
      </c>
      <c r="AS131" s="21">
        <v>-3.6053500000000002E-2</v>
      </c>
      <c r="AT131" s="21">
        <v>121</v>
      </c>
      <c r="AU131" s="21">
        <v>8.9813199999999996E-2</v>
      </c>
      <c r="AV131">
        <f t="shared" si="20"/>
        <v>36.0535</v>
      </c>
      <c r="AW131">
        <f t="shared" si="21"/>
        <v>3.2732900543000003</v>
      </c>
      <c r="AX131" s="9"/>
      <c r="AY131" s="21">
        <v>0.50933799999999996</v>
      </c>
      <c r="AZ131" s="21">
        <v>63.436599999999999</v>
      </c>
      <c r="BA131" s="21">
        <v>-3.5116599999999998E-2</v>
      </c>
      <c r="BB131" s="21">
        <v>121</v>
      </c>
      <c r="BC131" s="21">
        <v>0.50817900000000005</v>
      </c>
      <c r="BD131">
        <f t="shared" si="22"/>
        <v>35.116599999999998</v>
      </c>
      <c r="BE131">
        <f t="shared" si="23"/>
        <v>17.886218810799999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8.5754399999999995E-2</v>
      </c>
      <c r="H132" s="21">
        <v>32.327500000000001</v>
      </c>
      <c r="I132" s="21">
        <v>-3.5983300000000003E-2</v>
      </c>
      <c r="J132" s="21">
        <v>122</v>
      </c>
      <c r="K132" s="21">
        <v>8.4747299999999998E-2</v>
      </c>
      <c r="L132">
        <f t="shared" si="12"/>
        <v>35.9833</v>
      </c>
      <c r="M132">
        <f t="shared" si="13"/>
        <v>3.0857263015199998</v>
      </c>
      <c r="N132" s="9"/>
      <c r="O132" s="21">
        <v>0.514374</v>
      </c>
      <c r="P132" s="21">
        <v>36.752099999999999</v>
      </c>
      <c r="Q132" s="21">
        <v>-3.5012799999999997E-2</v>
      </c>
      <c r="R132" s="21">
        <v>122</v>
      </c>
      <c r="S132" s="21">
        <v>0.51318399999999997</v>
      </c>
      <c r="T132">
        <f t="shared" si="14"/>
        <v>35.012799999999999</v>
      </c>
      <c r="U132">
        <f t="shared" si="15"/>
        <v>18.009673987199999</v>
      </c>
      <c r="X132" s="9"/>
      <c r="Y132" s="21">
        <v>8.5754399999999995E-2</v>
      </c>
      <c r="Z132" s="21">
        <v>39.492600000000003</v>
      </c>
      <c r="AA132" s="21">
        <v>-3.6056499999999998E-2</v>
      </c>
      <c r="AB132" s="21">
        <v>122</v>
      </c>
      <c r="AC132" s="21">
        <v>8.4747299999999998E-2</v>
      </c>
      <c r="AD132">
        <f t="shared" si="16"/>
        <v>36.0565</v>
      </c>
      <c r="AE132">
        <f t="shared" si="17"/>
        <v>3.0920035235999999</v>
      </c>
      <c r="AF132" s="9"/>
      <c r="AG132" s="21">
        <v>0.514374</v>
      </c>
      <c r="AH132" s="21">
        <v>42.770200000000003</v>
      </c>
      <c r="AI132" s="21">
        <v>-3.5064699999999997E-2</v>
      </c>
      <c r="AJ132" s="21">
        <v>122</v>
      </c>
      <c r="AK132" s="21">
        <v>0.51321399999999995</v>
      </c>
      <c r="AL132">
        <f t="shared" si="18"/>
        <v>35.064699999999995</v>
      </c>
      <c r="AM132">
        <f t="shared" si="19"/>
        <v>18.036369997799998</v>
      </c>
      <c r="AP132" s="9"/>
      <c r="AQ132" s="21">
        <v>8.5754399999999995E-2</v>
      </c>
      <c r="AR132" s="21">
        <v>50.675899999999999</v>
      </c>
      <c r="AS132" s="21">
        <v>-3.6050400000000003E-2</v>
      </c>
      <c r="AT132" s="21">
        <v>122</v>
      </c>
      <c r="AU132" s="21">
        <v>8.4716799999999995E-2</v>
      </c>
      <c r="AV132">
        <f t="shared" si="20"/>
        <v>36.050400000000003</v>
      </c>
      <c r="AW132">
        <f t="shared" si="21"/>
        <v>3.09148042176</v>
      </c>
      <c r="AX132" s="9"/>
      <c r="AY132" s="21">
        <v>0.514374</v>
      </c>
      <c r="AZ132" s="21">
        <v>63.446599999999997</v>
      </c>
      <c r="BA132" s="21">
        <v>-3.5043299999999999E-2</v>
      </c>
      <c r="BB132" s="21">
        <v>122</v>
      </c>
      <c r="BC132" s="21">
        <v>0.51324499999999995</v>
      </c>
      <c r="BD132">
        <f t="shared" si="22"/>
        <v>35.043300000000002</v>
      </c>
      <c r="BE132">
        <f t="shared" si="23"/>
        <v>18.025362394200002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8.0718999999999999E-2</v>
      </c>
      <c r="H133" s="21">
        <v>32.337499999999999</v>
      </c>
      <c r="I133" s="21">
        <v>-3.5977200000000001E-2</v>
      </c>
      <c r="J133" s="21">
        <v>123</v>
      </c>
      <c r="K133" s="21">
        <v>7.9742400000000005E-2</v>
      </c>
      <c r="L133">
        <f t="shared" si="12"/>
        <v>35.977200000000003</v>
      </c>
      <c r="M133">
        <f t="shared" si="13"/>
        <v>2.9040436068000002</v>
      </c>
      <c r="N133" s="9"/>
      <c r="O133" s="21">
        <v>0.51940900000000001</v>
      </c>
      <c r="P133" s="21">
        <v>36.762099999999997</v>
      </c>
      <c r="Q133" s="21">
        <v>-3.4948699999999999E-2</v>
      </c>
      <c r="R133" s="21">
        <v>123</v>
      </c>
      <c r="S133" s="21">
        <v>0.51818799999999998</v>
      </c>
      <c r="T133">
        <f t="shared" si="14"/>
        <v>34.948700000000002</v>
      </c>
      <c r="U133">
        <f t="shared" si="15"/>
        <v>18.152669318300003</v>
      </c>
      <c r="X133" s="9"/>
      <c r="Y133" s="21">
        <v>8.0718999999999999E-2</v>
      </c>
      <c r="Z133" s="21">
        <v>39.502699999999997</v>
      </c>
      <c r="AA133" s="21">
        <v>-3.6065699999999999E-2</v>
      </c>
      <c r="AB133" s="21">
        <v>123</v>
      </c>
      <c r="AC133" s="21">
        <v>7.9711900000000002E-2</v>
      </c>
      <c r="AD133">
        <f t="shared" si="16"/>
        <v>36.0657</v>
      </c>
      <c r="AE133">
        <f t="shared" si="17"/>
        <v>2.9111872383000001</v>
      </c>
      <c r="AF133" s="9"/>
      <c r="AG133" s="21">
        <v>0.51940900000000001</v>
      </c>
      <c r="AH133" s="21">
        <v>42.780299999999997</v>
      </c>
      <c r="AI133" s="21">
        <v>-3.4948699999999999E-2</v>
      </c>
      <c r="AJ133" s="21">
        <v>123</v>
      </c>
      <c r="AK133" s="21">
        <v>0.51827999999999996</v>
      </c>
      <c r="AL133">
        <f t="shared" si="18"/>
        <v>34.948700000000002</v>
      </c>
      <c r="AM133">
        <f t="shared" si="19"/>
        <v>18.152669318300003</v>
      </c>
      <c r="AP133" s="9"/>
      <c r="AQ133" s="21">
        <v>8.0718999999999999E-2</v>
      </c>
      <c r="AR133" s="21">
        <v>50.686</v>
      </c>
      <c r="AS133" s="21">
        <v>-3.6044300000000001E-2</v>
      </c>
      <c r="AT133" s="21">
        <v>123</v>
      </c>
      <c r="AU133" s="21">
        <v>7.9711900000000002E-2</v>
      </c>
      <c r="AV133">
        <f t="shared" si="20"/>
        <v>36.0443</v>
      </c>
      <c r="AW133">
        <f t="shared" si="21"/>
        <v>2.9094598516999999</v>
      </c>
      <c r="AX133" s="9"/>
      <c r="AY133" s="21">
        <v>0.51940900000000001</v>
      </c>
      <c r="AZ133" s="21">
        <v>63.456699999999998</v>
      </c>
      <c r="BA133" s="21">
        <v>-3.4951799999999998E-2</v>
      </c>
      <c r="BB133" s="21">
        <v>123</v>
      </c>
      <c r="BC133" s="21">
        <v>0.51818799999999998</v>
      </c>
      <c r="BD133">
        <f t="shared" si="22"/>
        <v>34.951799999999999</v>
      </c>
      <c r="BE133">
        <f t="shared" si="23"/>
        <v>18.1542794862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7.5683600000000004E-2</v>
      </c>
      <c r="H134" s="21">
        <v>32.3476</v>
      </c>
      <c r="I134" s="21">
        <v>-3.5977200000000001E-2</v>
      </c>
      <c r="J134" s="21">
        <v>124</v>
      </c>
      <c r="K134" s="21">
        <v>7.4646000000000004E-2</v>
      </c>
      <c r="L134">
        <f t="shared" si="12"/>
        <v>35.977200000000003</v>
      </c>
      <c r="M134">
        <f t="shared" si="13"/>
        <v>2.7228840139200003</v>
      </c>
      <c r="N134" s="9"/>
      <c r="O134" s="21">
        <v>0.52444500000000005</v>
      </c>
      <c r="P134" s="21">
        <v>36.772199999999998</v>
      </c>
      <c r="Q134" s="21">
        <v>-3.48633E-2</v>
      </c>
      <c r="R134" s="21">
        <v>124</v>
      </c>
      <c r="S134" s="21">
        <v>0.52331499999999997</v>
      </c>
      <c r="T134">
        <f t="shared" si="14"/>
        <v>34.863300000000002</v>
      </c>
      <c r="U134">
        <f t="shared" si="15"/>
        <v>18.283883368500003</v>
      </c>
      <c r="X134" s="9"/>
      <c r="Y134" s="21">
        <v>7.5683600000000004E-2</v>
      </c>
      <c r="Z134" s="21">
        <v>39.512799999999999</v>
      </c>
      <c r="AA134" s="21">
        <v>-3.60474E-2</v>
      </c>
      <c r="AB134" s="21">
        <v>124</v>
      </c>
      <c r="AC134" s="21">
        <v>7.4646000000000004E-2</v>
      </c>
      <c r="AD134">
        <f t="shared" si="16"/>
        <v>36.047400000000003</v>
      </c>
      <c r="AE134">
        <f t="shared" si="17"/>
        <v>2.7281970026400004</v>
      </c>
      <c r="AF134" s="9"/>
      <c r="AG134" s="21">
        <v>0.52444500000000005</v>
      </c>
      <c r="AH134" s="21">
        <v>42.790399999999998</v>
      </c>
      <c r="AI134" s="21">
        <v>-3.4841900000000002E-2</v>
      </c>
      <c r="AJ134" s="21">
        <v>124</v>
      </c>
      <c r="AK134" s="21">
        <v>0.523254</v>
      </c>
      <c r="AL134">
        <f t="shared" si="18"/>
        <v>34.841900000000003</v>
      </c>
      <c r="AM134">
        <f t="shared" si="19"/>
        <v>18.272660245500003</v>
      </c>
      <c r="AP134" s="9"/>
      <c r="AQ134" s="21">
        <v>7.5683600000000004E-2</v>
      </c>
      <c r="AR134" s="21">
        <v>50.695999999999998</v>
      </c>
      <c r="AS134" s="21">
        <v>-3.6050400000000003E-2</v>
      </c>
      <c r="AT134" s="21">
        <v>124</v>
      </c>
      <c r="AU134" s="21">
        <v>7.4523900000000004E-2</v>
      </c>
      <c r="AV134">
        <f t="shared" si="20"/>
        <v>36.050400000000003</v>
      </c>
      <c r="AW134">
        <f t="shared" si="21"/>
        <v>2.7284240534400004</v>
      </c>
      <c r="AX134" s="9"/>
      <c r="AY134" s="21">
        <v>0.52444500000000005</v>
      </c>
      <c r="AZ134" s="21">
        <v>63.466799999999999</v>
      </c>
      <c r="BA134" s="21">
        <v>-3.4857199999999998E-2</v>
      </c>
      <c r="BB134" s="21">
        <v>124</v>
      </c>
      <c r="BC134" s="21">
        <v>0.523285</v>
      </c>
      <c r="BD134">
        <f t="shared" si="22"/>
        <v>34.857199999999999</v>
      </c>
      <c r="BE134">
        <f t="shared" si="23"/>
        <v>18.280684254000001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7.0648199999999994E-2</v>
      </c>
      <c r="H135" s="21">
        <v>32.357700000000001</v>
      </c>
      <c r="I135" s="21">
        <v>-3.5989399999999998E-2</v>
      </c>
      <c r="J135" s="21">
        <v>125</v>
      </c>
      <c r="K135" s="21">
        <v>6.9702100000000003E-2</v>
      </c>
      <c r="L135">
        <f t="shared" si="12"/>
        <v>35.989399999999996</v>
      </c>
      <c r="M135">
        <f t="shared" si="13"/>
        <v>2.5425863290799997</v>
      </c>
      <c r="N135" s="9"/>
      <c r="O135" s="21">
        <v>0.52947999999999995</v>
      </c>
      <c r="P135" s="21">
        <v>36.782299999999999</v>
      </c>
      <c r="Q135" s="21">
        <v>-3.4750400000000001E-2</v>
      </c>
      <c r="R135" s="21">
        <v>125</v>
      </c>
      <c r="S135" s="21">
        <v>0.52825900000000003</v>
      </c>
      <c r="T135">
        <f t="shared" si="14"/>
        <v>34.750399999999999</v>
      </c>
      <c r="U135">
        <f t="shared" si="15"/>
        <v>18.399641791999997</v>
      </c>
      <c r="X135" s="9"/>
      <c r="Y135" s="21">
        <v>7.0648199999999994E-2</v>
      </c>
      <c r="Z135" s="21">
        <v>39.522799999999997</v>
      </c>
      <c r="AA135" s="21">
        <v>-3.6022899999999997E-2</v>
      </c>
      <c r="AB135" s="21">
        <v>125</v>
      </c>
      <c r="AC135" s="21">
        <v>6.9641099999999997E-2</v>
      </c>
      <c r="AD135">
        <f t="shared" si="16"/>
        <v>36.0229</v>
      </c>
      <c r="AE135">
        <f t="shared" si="17"/>
        <v>2.5449530437799996</v>
      </c>
      <c r="AF135" s="9"/>
      <c r="AG135" s="21">
        <v>0.52947999999999995</v>
      </c>
      <c r="AH135" s="21">
        <v>42.800400000000003</v>
      </c>
      <c r="AI135" s="21">
        <v>-3.4719800000000002E-2</v>
      </c>
      <c r="AJ135" s="21">
        <v>125</v>
      </c>
      <c r="AK135" s="21">
        <v>0.52832000000000001</v>
      </c>
      <c r="AL135">
        <f t="shared" si="18"/>
        <v>34.719799999999999</v>
      </c>
      <c r="AM135">
        <f t="shared" si="19"/>
        <v>18.383439703999997</v>
      </c>
      <c r="AP135" s="9"/>
      <c r="AQ135" s="21">
        <v>7.0648199999999994E-2</v>
      </c>
      <c r="AR135" s="21">
        <v>50.706099999999999</v>
      </c>
      <c r="AS135" s="21">
        <v>-3.6059599999999997E-2</v>
      </c>
      <c r="AT135" s="21">
        <v>125</v>
      </c>
      <c r="AU135" s="21">
        <v>6.9641099999999997E-2</v>
      </c>
      <c r="AV135">
        <f t="shared" si="20"/>
        <v>36.059599999999996</v>
      </c>
      <c r="AW135">
        <f t="shared" si="21"/>
        <v>2.5475458327199996</v>
      </c>
      <c r="AX135" s="9"/>
      <c r="AY135" s="21">
        <v>0.52947999999999995</v>
      </c>
      <c r="AZ135" s="21">
        <v>63.476900000000001</v>
      </c>
      <c r="BA135" s="21">
        <v>-3.4738199999999997E-2</v>
      </c>
      <c r="BB135" s="21">
        <v>125</v>
      </c>
      <c r="BC135" s="21">
        <v>0.52838099999999999</v>
      </c>
      <c r="BD135">
        <f t="shared" si="22"/>
        <v>34.738199999999999</v>
      </c>
      <c r="BE135">
        <f t="shared" si="23"/>
        <v>18.393182135999997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6.5612799999999999E-2</v>
      </c>
      <c r="H136" s="21">
        <v>32.367699999999999</v>
      </c>
      <c r="I136" s="21">
        <v>-3.5986299999999999E-2</v>
      </c>
      <c r="J136" s="21">
        <v>126</v>
      </c>
      <c r="K136" s="21">
        <v>6.4666699999999994E-2</v>
      </c>
      <c r="L136">
        <f t="shared" si="12"/>
        <v>35.9863</v>
      </c>
      <c r="M136">
        <f t="shared" si="13"/>
        <v>2.3611619046399999</v>
      </c>
      <c r="N136" s="9"/>
      <c r="O136" s="21">
        <v>0.53451499999999996</v>
      </c>
      <c r="P136" s="21">
        <v>36.792299999999997</v>
      </c>
      <c r="Q136" s="21">
        <v>-3.46191E-2</v>
      </c>
      <c r="R136" s="21">
        <v>126</v>
      </c>
      <c r="S136" s="21">
        <v>0.53335600000000005</v>
      </c>
      <c r="T136">
        <f t="shared" si="14"/>
        <v>34.619100000000003</v>
      </c>
      <c r="U136">
        <f t="shared" si="15"/>
        <v>18.504428236500001</v>
      </c>
      <c r="X136" s="9"/>
      <c r="Y136" s="21">
        <v>6.5612799999999999E-2</v>
      </c>
      <c r="Z136" s="21">
        <v>39.532899999999998</v>
      </c>
      <c r="AA136" s="21">
        <v>-3.6013799999999999E-2</v>
      </c>
      <c r="AB136" s="21">
        <v>126</v>
      </c>
      <c r="AC136" s="21">
        <v>6.4544699999999997E-2</v>
      </c>
      <c r="AD136">
        <f t="shared" si="16"/>
        <v>36.013799999999996</v>
      </c>
      <c r="AE136">
        <f t="shared" si="17"/>
        <v>2.3629662566399996</v>
      </c>
      <c r="AF136" s="9"/>
      <c r="AG136" s="21">
        <v>0.53451499999999996</v>
      </c>
      <c r="AH136" s="21">
        <v>42.810499999999998</v>
      </c>
      <c r="AI136" s="21">
        <v>-3.4585600000000001E-2</v>
      </c>
      <c r="AJ136" s="21">
        <v>126</v>
      </c>
      <c r="AK136" s="21">
        <v>0.53338600000000003</v>
      </c>
      <c r="AL136">
        <f t="shared" si="18"/>
        <v>34.585599999999999</v>
      </c>
      <c r="AM136">
        <f t="shared" si="19"/>
        <v>18.486521983999999</v>
      </c>
      <c r="AP136" s="9"/>
      <c r="AQ136" s="21">
        <v>6.5612799999999999E-2</v>
      </c>
      <c r="AR136" s="21">
        <v>50.716200000000001</v>
      </c>
      <c r="AS136" s="21">
        <v>-3.6074799999999997E-2</v>
      </c>
      <c r="AT136" s="21">
        <v>126</v>
      </c>
      <c r="AU136" s="21">
        <v>6.4544699999999997E-2</v>
      </c>
      <c r="AV136">
        <f t="shared" si="20"/>
        <v>36.074799999999996</v>
      </c>
      <c r="AW136">
        <f t="shared" si="21"/>
        <v>2.3669686374399999</v>
      </c>
      <c r="AX136" s="9"/>
      <c r="AY136" s="21">
        <v>0.53451499999999996</v>
      </c>
      <c r="AZ136" s="21">
        <v>63.486899999999999</v>
      </c>
      <c r="BA136" s="21">
        <v>-3.4582500000000002E-2</v>
      </c>
      <c r="BB136" s="21">
        <v>126</v>
      </c>
      <c r="BC136" s="21">
        <v>0.53335600000000005</v>
      </c>
      <c r="BD136">
        <f t="shared" si="22"/>
        <v>34.582500000000003</v>
      </c>
      <c r="BE136">
        <f t="shared" si="23"/>
        <v>18.4848649875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6.0577400000000003E-2</v>
      </c>
      <c r="H137" s="21">
        <v>32.377800000000001</v>
      </c>
      <c r="I137" s="21">
        <v>-3.5980199999999997E-2</v>
      </c>
      <c r="J137" s="21">
        <v>127</v>
      </c>
      <c r="K137" s="21">
        <v>5.9509300000000001E-2</v>
      </c>
      <c r="L137">
        <f t="shared" si="12"/>
        <v>35.980199999999996</v>
      </c>
      <c r="M137">
        <f t="shared" si="13"/>
        <v>2.1795869674799997</v>
      </c>
      <c r="N137" s="9"/>
      <c r="O137" s="21">
        <v>0.539551</v>
      </c>
      <c r="P137" s="21">
        <v>36.802399999999999</v>
      </c>
      <c r="Q137" s="21">
        <v>-3.44818E-2</v>
      </c>
      <c r="R137" s="21">
        <v>127</v>
      </c>
      <c r="S137" s="21">
        <v>0.53836099999999998</v>
      </c>
      <c r="T137">
        <f t="shared" si="14"/>
        <v>34.4818</v>
      </c>
      <c r="U137">
        <f t="shared" si="15"/>
        <v>18.604689671799999</v>
      </c>
      <c r="X137" s="9"/>
      <c r="Y137" s="21">
        <v>6.0577400000000003E-2</v>
      </c>
      <c r="Z137" s="21">
        <v>39.542999999999999</v>
      </c>
      <c r="AA137" s="21">
        <v>-3.60107E-2</v>
      </c>
      <c r="AB137" s="21">
        <v>127</v>
      </c>
      <c r="AC137" s="21">
        <v>5.9539799999999997E-2</v>
      </c>
      <c r="AD137">
        <f t="shared" si="16"/>
        <v>36.0107</v>
      </c>
      <c r="AE137">
        <f t="shared" si="17"/>
        <v>2.1814345781800002</v>
      </c>
      <c r="AF137" s="9"/>
      <c r="AG137" s="21">
        <v>0.539551</v>
      </c>
      <c r="AH137" s="21">
        <v>42.820599999999999</v>
      </c>
      <c r="AI137" s="21">
        <v>-3.4429899999999999E-2</v>
      </c>
      <c r="AJ137" s="21">
        <v>127</v>
      </c>
      <c r="AK137" s="21">
        <v>0.53839099999999995</v>
      </c>
      <c r="AL137">
        <f t="shared" si="18"/>
        <v>34.429899999999996</v>
      </c>
      <c r="AM137">
        <f t="shared" si="19"/>
        <v>18.576686974899999</v>
      </c>
      <c r="AP137" s="9"/>
      <c r="AQ137" s="21">
        <v>6.0577400000000003E-2</v>
      </c>
      <c r="AR137" s="21">
        <v>50.726199999999999</v>
      </c>
      <c r="AS137" s="21">
        <v>-3.6074799999999997E-2</v>
      </c>
      <c r="AT137" s="21">
        <v>127</v>
      </c>
      <c r="AU137" s="21">
        <v>5.9539799999999997E-2</v>
      </c>
      <c r="AV137">
        <f t="shared" si="20"/>
        <v>36.074799999999996</v>
      </c>
      <c r="AW137">
        <f t="shared" si="21"/>
        <v>2.1853175895199999</v>
      </c>
      <c r="AX137" s="9"/>
      <c r="AY137" s="21">
        <v>0.539551</v>
      </c>
      <c r="AZ137" s="21">
        <v>63.497</v>
      </c>
      <c r="BA137" s="21">
        <v>-3.4399399999999997E-2</v>
      </c>
      <c r="BB137" s="21">
        <v>127</v>
      </c>
      <c r="BC137" s="21">
        <v>0.53839099999999995</v>
      </c>
      <c r="BD137">
        <f t="shared" si="22"/>
        <v>34.3994</v>
      </c>
      <c r="BE137">
        <f t="shared" si="23"/>
        <v>18.560230669399999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5.5542000000000001E-2</v>
      </c>
      <c r="H138" s="21">
        <v>32.387900000000002</v>
      </c>
      <c r="I138" s="21">
        <v>-3.5983300000000003E-2</v>
      </c>
      <c r="J138" s="21">
        <v>128</v>
      </c>
      <c r="K138" s="21">
        <v>5.4534899999999997E-2</v>
      </c>
      <c r="L138">
        <f t="shared" si="12"/>
        <v>35.9833</v>
      </c>
      <c r="M138">
        <f t="shared" si="13"/>
        <v>1.9985844486</v>
      </c>
      <c r="N138" s="9"/>
      <c r="O138" s="21">
        <v>0.54458600000000001</v>
      </c>
      <c r="P138" s="21">
        <v>36.8125</v>
      </c>
      <c r="Q138" s="21">
        <v>-3.4329199999999997E-2</v>
      </c>
      <c r="R138" s="21">
        <v>128</v>
      </c>
      <c r="S138" s="21">
        <v>0.54342699999999999</v>
      </c>
      <c r="T138">
        <f t="shared" si="14"/>
        <v>34.3292</v>
      </c>
      <c r="U138">
        <f t="shared" si="15"/>
        <v>18.695201711199999</v>
      </c>
      <c r="X138" s="9"/>
      <c r="Y138" s="21">
        <v>5.5542000000000001E-2</v>
      </c>
      <c r="Z138" s="21">
        <v>39.553100000000001</v>
      </c>
      <c r="AA138" s="21">
        <v>-3.60107E-2</v>
      </c>
      <c r="AB138" s="21">
        <v>128</v>
      </c>
      <c r="AC138" s="21">
        <v>5.4534899999999997E-2</v>
      </c>
      <c r="AD138">
        <f t="shared" si="16"/>
        <v>36.0107</v>
      </c>
      <c r="AE138">
        <f t="shared" si="17"/>
        <v>2.0001062994000001</v>
      </c>
      <c r="AF138" s="9"/>
      <c r="AG138" s="21">
        <v>0.54458600000000001</v>
      </c>
      <c r="AH138" s="21">
        <v>42.830599999999997</v>
      </c>
      <c r="AI138" s="21">
        <v>-3.4262099999999997E-2</v>
      </c>
      <c r="AJ138" s="21">
        <v>128</v>
      </c>
      <c r="AK138" s="21">
        <v>0.54348799999999997</v>
      </c>
      <c r="AL138">
        <f t="shared" si="18"/>
        <v>34.262099999999997</v>
      </c>
      <c r="AM138">
        <f t="shared" si="19"/>
        <v>18.6586599906</v>
      </c>
      <c r="AP138" s="9"/>
      <c r="AQ138" s="21">
        <v>5.5542000000000001E-2</v>
      </c>
      <c r="AR138" s="21">
        <v>50.7363</v>
      </c>
      <c r="AS138" s="21">
        <v>-3.6071800000000001E-2</v>
      </c>
      <c r="AT138" s="21">
        <v>128</v>
      </c>
      <c r="AU138" s="21">
        <v>5.45654E-2</v>
      </c>
      <c r="AV138">
        <f t="shared" si="20"/>
        <v>36.071800000000003</v>
      </c>
      <c r="AW138">
        <f t="shared" si="21"/>
        <v>2.0034999156000004</v>
      </c>
      <c r="AX138" s="9"/>
      <c r="AY138" s="21">
        <v>0.54458600000000001</v>
      </c>
      <c r="AZ138" s="21">
        <v>63.507100000000001</v>
      </c>
      <c r="BA138" s="21">
        <v>-3.4204100000000001E-2</v>
      </c>
      <c r="BB138" s="21">
        <v>128</v>
      </c>
      <c r="BC138" s="21">
        <v>0.54342699999999999</v>
      </c>
      <c r="BD138">
        <f t="shared" si="22"/>
        <v>34.204100000000004</v>
      </c>
      <c r="BE138">
        <f t="shared" si="23"/>
        <v>18.627074002600004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5.0506599999999999E-2</v>
      </c>
      <c r="H139" s="21">
        <v>32.398000000000003</v>
      </c>
      <c r="I139" s="21">
        <v>-3.6001600000000002E-2</v>
      </c>
      <c r="J139" s="21">
        <v>129</v>
      </c>
      <c r="K139" s="21">
        <v>5.0286900000000002E-2</v>
      </c>
      <c r="L139">
        <f t="shared" si="12"/>
        <v>36.001600000000003</v>
      </c>
      <c r="M139">
        <f t="shared" si="13"/>
        <v>1.8183184105600001</v>
      </c>
      <c r="N139" s="9"/>
      <c r="O139" s="21">
        <v>0.54962200000000005</v>
      </c>
      <c r="P139" s="21">
        <v>36.822600000000001</v>
      </c>
      <c r="Q139" s="21">
        <v>-3.4143100000000003E-2</v>
      </c>
      <c r="R139" s="21">
        <v>129</v>
      </c>
      <c r="S139" s="21">
        <v>0.548431</v>
      </c>
      <c r="T139">
        <f t="shared" si="14"/>
        <v>34.143100000000004</v>
      </c>
      <c r="U139">
        <f t="shared" si="15"/>
        <v>18.765798908200004</v>
      </c>
      <c r="X139" s="9"/>
      <c r="Y139" s="21">
        <v>5.0506599999999999E-2</v>
      </c>
      <c r="Z139" s="21">
        <v>39.563099999999999</v>
      </c>
      <c r="AA139" s="21">
        <v>-3.6001600000000002E-2</v>
      </c>
      <c r="AB139" s="21">
        <v>129</v>
      </c>
      <c r="AC139" s="21">
        <v>5.0262500000000002E-2</v>
      </c>
      <c r="AD139">
        <f t="shared" si="16"/>
        <v>36.001600000000003</v>
      </c>
      <c r="AE139">
        <f t="shared" si="17"/>
        <v>1.8183184105600001</v>
      </c>
      <c r="AF139" s="9"/>
      <c r="AG139" s="21">
        <v>0.54962200000000005</v>
      </c>
      <c r="AH139" s="21">
        <v>42.840699999999998</v>
      </c>
      <c r="AI139" s="21">
        <v>-3.4048500000000002E-2</v>
      </c>
      <c r="AJ139" s="21">
        <v>129</v>
      </c>
      <c r="AK139" s="21">
        <v>0.54846200000000001</v>
      </c>
      <c r="AL139">
        <f t="shared" si="18"/>
        <v>34.048500000000004</v>
      </c>
      <c r="AM139">
        <f t="shared" si="19"/>
        <v>18.713804667000005</v>
      </c>
      <c r="AP139" s="9"/>
      <c r="AQ139" s="21">
        <v>5.0506599999999999E-2</v>
      </c>
      <c r="AR139" s="21">
        <v>50.746400000000001</v>
      </c>
      <c r="AS139" s="21">
        <v>-3.6065699999999999E-2</v>
      </c>
      <c r="AT139" s="21">
        <v>129</v>
      </c>
      <c r="AU139" s="21">
        <v>5.0268599999999997E-2</v>
      </c>
      <c r="AV139">
        <f t="shared" si="20"/>
        <v>36.0657</v>
      </c>
      <c r="AW139">
        <f t="shared" si="21"/>
        <v>1.8215558836199999</v>
      </c>
      <c r="AX139" s="9"/>
      <c r="AY139" s="21">
        <v>0.54962200000000005</v>
      </c>
      <c r="AZ139" s="21">
        <v>63.517099999999999</v>
      </c>
      <c r="BA139" s="21">
        <v>-3.3987400000000001E-2</v>
      </c>
      <c r="BB139" s="21">
        <v>129</v>
      </c>
      <c r="BC139" s="21">
        <v>0.54846200000000001</v>
      </c>
      <c r="BD139">
        <f t="shared" si="22"/>
        <v>33.987400000000001</v>
      </c>
      <c r="BE139">
        <f t="shared" si="23"/>
        <v>18.680222762800003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4.5471200000000003E-2</v>
      </c>
      <c r="H140" s="21">
        <v>32.408000000000001</v>
      </c>
      <c r="I140" s="21">
        <v>-3.60107E-2</v>
      </c>
      <c r="J140" s="21">
        <v>130</v>
      </c>
      <c r="K140" s="21">
        <v>4.5193499999999998E-2</v>
      </c>
      <c r="L140">
        <f t="shared" ref="L140:L169" si="24">-I140/$F$2*1000</f>
        <v>36.0107</v>
      </c>
      <c r="M140">
        <f t="shared" ref="M140:M169" si="25">L140*G140</f>
        <v>1.63744974184</v>
      </c>
      <c r="N140" s="9"/>
      <c r="O140" s="21">
        <v>0.55465699999999996</v>
      </c>
      <c r="P140" s="21">
        <v>36.832599999999999</v>
      </c>
      <c r="Q140" s="21">
        <v>-3.39203E-2</v>
      </c>
      <c r="R140" s="21">
        <v>130</v>
      </c>
      <c r="S140" s="21">
        <v>0.55349700000000002</v>
      </c>
      <c r="T140">
        <f t="shared" ref="T140:T169" si="26">-Q140/$F$2*1000</f>
        <v>33.920299999999997</v>
      </c>
      <c r="U140">
        <f t="shared" ref="U140:U169" si="27">T140*O140</f>
        <v>18.814131837099996</v>
      </c>
      <c r="X140" s="9"/>
      <c r="Y140" s="21">
        <v>4.5471200000000003E-2</v>
      </c>
      <c r="Z140" s="21">
        <v>39.5732</v>
      </c>
      <c r="AA140" s="21">
        <v>-3.60107E-2</v>
      </c>
      <c r="AB140" s="21">
        <v>130</v>
      </c>
      <c r="AC140" s="21">
        <v>4.5220900000000001E-2</v>
      </c>
      <c r="AD140">
        <f t="shared" ref="AD140:AD169" si="28">-AA140/$F$2*1000</f>
        <v>36.0107</v>
      </c>
      <c r="AE140">
        <f t="shared" ref="AE140:AE169" si="29">AD140*Y140</f>
        <v>1.63744974184</v>
      </c>
      <c r="AF140" s="9"/>
      <c r="AG140" s="21">
        <v>0.55465699999999996</v>
      </c>
      <c r="AH140" s="21">
        <v>42.8508</v>
      </c>
      <c r="AI140" s="21">
        <v>-3.3819599999999998E-2</v>
      </c>
      <c r="AJ140" s="21">
        <v>130</v>
      </c>
      <c r="AK140" s="21">
        <v>0.55352800000000002</v>
      </c>
      <c r="AL140">
        <f t="shared" ref="AL140:AL169" si="30">-AI140/$F$2*1000</f>
        <v>33.819600000000001</v>
      </c>
      <c r="AM140">
        <f t="shared" ref="AM140:AM169" si="31">AL140*AG140</f>
        <v>18.758277877199998</v>
      </c>
      <c r="AP140" s="9"/>
      <c r="AQ140" s="21">
        <v>4.5471200000000003E-2</v>
      </c>
      <c r="AR140" s="21">
        <v>50.756500000000003</v>
      </c>
      <c r="AS140" s="21">
        <v>-3.6053500000000002E-2</v>
      </c>
      <c r="AT140" s="21">
        <v>130</v>
      </c>
      <c r="AU140" s="21">
        <v>4.5284999999999999E-2</v>
      </c>
      <c r="AV140">
        <f t="shared" ref="AV140:AV169" si="32">-AS140/$F$2*1000</f>
        <v>36.0535</v>
      </c>
      <c r="AW140">
        <f t="shared" ref="AW140:AW169" si="33">AV140*AQ140</f>
        <v>1.6393959092000001</v>
      </c>
      <c r="AX140" s="9"/>
      <c r="AY140" s="21">
        <v>0.55465699999999996</v>
      </c>
      <c r="AZ140" s="21">
        <v>63.527200000000001</v>
      </c>
      <c r="BA140" s="21">
        <v>-3.37311E-2</v>
      </c>
      <c r="BB140" s="21">
        <v>130</v>
      </c>
      <c r="BC140" s="21">
        <v>0.55346700000000004</v>
      </c>
      <c r="BD140">
        <f t="shared" ref="BD140:BD169" si="34">-BA140/$F$2*1000</f>
        <v>33.731099999999998</v>
      </c>
      <c r="BE140">
        <f t="shared" ref="BE140:BE169" si="35">BD140*AY140</f>
        <v>18.709190732699998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4.0435800000000001E-2</v>
      </c>
      <c r="H141" s="21">
        <v>32.418100000000003</v>
      </c>
      <c r="I141" s="21">
        <v>-3.6019900000000001E-2</v>
      </c>
      <c r="J141" s="21">
        <v>131</v>
      </c>
      <c r="K141" s="21">
        <v>4.0240499999999998E-2</v>
      </c>
      <c r="L141">
        <f t="shared" si="24"/>
        <v>36.0199</v>
      </c>
      <c r="M141">
        <f t="shared" si="25"/>
        <v>1.45649347242</v>
      </c>
      <c r="N141" s="9"/>
      <c r="O141" s="21">
        <v>0.55969199999999997</v>
      </c>
      <c r="P141" s="21">
        <v>36.842700000000001</v>
      </c>
      <c r="Q141" s="21">
        <v>-3.3667000000000002E-2</v>
      </c>
      <c r="R141" s="21">
        <v>131</v>
      </c>
      <c r="S141" s="21">
        <v>0.55865500000000001</v>
      </c>
      <c r="T141">
        <f t="shared" si="26"/>
        <v>33.667000000000002</v>
      </c>
      <c r="U141">
        <f t="shared" si="27"/>
        <v>18.843150563999998</v>
      </c>
      <c r="X141" s="9"/>
      <c r="Y141" s="21">
        <v>4.0435800000000001E-2</v>
      </c>
      <c r="Z141" s="21">
        <v>39.583300000000001</v>
      </c>
      <c r="AA141" s="21">
        <v>-3.6001600000000002E-2</v>
      </c>
      <c r="AB141" s="21">
        <v>131</v>
      </c>
      <c r="AC141" s="21">
        <v>4.0182500000000003E-2</v>
      </c>
      <c r="AD141">
        <f t="shared" si="28"/>
        <v>36.001600000000003</v>
      </c>
      <c r="AE141">
        <f t="shared" si="29"/>
        <v>1.4557534972800001</v>
      </c>
      <c r="AF141" s="9"/>
      <c r="AG141" s="21">
        <v>0.55969199999999997</v>
      </c>
      <c r="AH141" s="21">
        <v>42.860900000000001</v>
      </c>
      <c r="AI141" s="21">
        <v>-3.3544900000000002E-2</v>
      </c>
      <c r="AJ141" s="21">
        <v>131</v>
      </c>
      <c r="AK141" s="21">
        <v>0.55850200000000005</v>
      </c>
      <c r="AL141">
        <f t="shared" si="30"/>
        <v>33.544900000000005</v>
      </c>
      <c r="AM141">
        <f t="shared" si="31"/>
        <v>18.774812170800001</v>
      </c>
      <c r="AP141" s="9"/>
      <c r="AQ141" s="21">
        <v>4.0435800000000001E-2</v>
      </c>
      <c r="AR141" s="21">
        <v>50.766500000000001</v>
      </c>
      <c r="AS141" s="21">
        <v>-3.6053500000000002E-2</v>
      </c>
      <c r="AT141" s="21">
        <v>131</v>
      </c>
      <c r="AU141" s="21">
        <v>4.0240499999999998E-2</v>
      </c>
      <c r="AV141">
        <f t="shared" si="32"/>
        <v>36.0535</v>
      </c>
      <c r="AW141">
        <f t="shared" si="33"/>
        <v>1.4578521152999999</v>
      </c>
      <c r="AX141" s="9"/>
      <c r="AY141" s="21">
        <v>0.55969199999999997</v>
      </c>
      <c r="AZ141" s="21">
        <v>63.537300000000002</v>
      </c>
      <c r="BA141" s="21">
        <v>-3.3447299999999999E-2</v>
      </c>
      <c r="BB141" s="21">
        <v>131</v>
      </c>
      <c r="BC141" s="21">
        <v>0.55856300000000003</v>
      </c>
      <c r="BD141">
        <f t="shared" si="34"/>
        <v>33.447299999999998</v>
      </c>
      <c r="BE141">
        <f t="shared" si="35"/>
        <v>18.7201862316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3.5400399999999999E-2</v>
      </c>
      <c r="H142" s="21">
        <v>32.428199999999997</v>
      </c>
      <c r="I142" s="21">
        <v>-3.6035200000000003E-2</v>
      </c>
      <c r="J142" s="21">
        <v>132</v>
      </c>
      <c r="K142" s="21">
        <v>3.5186799999999997E-2</v>
      </c>
      <c r="L142">
        <f t="shared" si="24"/>
        <v>36.035200000000003</v>
      </c>
      <c r="M142">
        <f t="shared" si="25"/>
        <v>1.27566049408</v>
      </c>
      <c r="N142" s="9"/>
      <c r="O142" s="21">
        <v>0.56472800000000001</v>
      </c>
      <c r="P142" s="21">
        <v>36.852800000000002</v>
      </c>
      <c r="Q142" s="21">
        <v>-3.3367899999999999E-2</v>
      </c>
      <c r="R142" s="21">
        <v>132</v>
      </c>
      <c r="S142" s="21">
        <v>0.56359899999999996</v>
      </c>
      <c r="T142">
        <f t="shared" si="26"/>
        <v>33.367899999999999</v>
      </c>
      <c r="U142">
        <f t="shared" si="27"/>
        <v>18.843787431199999</v>
      </c>
      <c r="X142" s="9"/>
      <c r="Y142" s="21">
        <v>3.5400399999999999E-2</v>
      </c>
      <c r="Z142" s="21">
        <v>39.593299999999999</v>
      </c>
      <c r="AA142" s="21">
        <v>-3.6013799999999999E-2</v>
      </c>
      <c r="AB142" s="21">
        <v>132</v>
      </c>
      <c r="AC142" s="21">
        <v>3.5101300000000002E-2</v>
      </c>
      <c r="AD142">
        <f t="shared" si="28"/>
        <v>36.013799999999996</v>
      </c>
      <c r="AE142">
        <f t="shared" si="29"/>
        <v>1.2749029255199997</v>
      </c>
      <c r="AF142" s="9"/>
      <c r="AG142" s="21">
        <v>0.56472800000000001</v>
      </c>
      <c r="AH142" s="21">
        <v>42.870899999999999</v>
      </c>
      <c r="AI142" s="21">
        <v>-3.3239699999999997E-2</v>
      </c>
      <c r="AJ142" s="21">
        <v>132</v>
      </c>
      <c r="AK142" s="21">
        <v>0.56356799999999996</v>
      </c>
      <c r="AL142">
        <f t="shared" si="30"/>
        <v>33.239699999999999</v>
      </c>
      <c r="AM142">
        <f t="shared" si="31"/>
        <v>18.771389301599999</v>
      </c>
      <c r="AP142" s="9"/>
      <c r="AQ142" s="21">
        <v>3.5400399999999999E-2</v>
      </c>
      <c r="AR142" s="21">
        <v>50.776600000000002</v>
      </c>
      <c r="AS142" s="21">
        <v>-3.6056499999999998E-2</v>
      </c>
      <c r="AT142" s="21">
        <v>132</v>
      </c>
      <c r="AU142" s="21">
        <v>3.5101300000000002E-2</v>
      </c>
      <c r="AV142">
        <f t="shared" si="32"/>
        <v>36.0565</v>
      </c>
      <c r="AW142">
        <f t="shared" si="33"/>
        <v>1.2764145225999999</v>
      </c>
      <c r="AX142" s="9"/>
      <c r="AY142" s="21">
        <v>0.56472800000000001</v>
      </c>
      <c r="AZ142" s="21">
        <v>63.547400000000003</v>
      </c>
      <c r="BA142" s="21">
        <v>-3.3129899999999997E-2</v>
      </c>
      <c r="BB142" s="21">
        <v>132</v>
      </c>
      <c r="BC142" s="21">
        <v>0.56356799999999996</v>
      </c>
      <c r="BD142">
        <f t="shared" si="34"/>
        <v>33.129899999999999</v>
      </c>
      <c r="BE142">
        <f t="shared" si="35"/>
        <v>18.709382167200001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3.0365E-2</v>
      </c>
      <c r="H143" s="21">
        <v>32.438200000000002</v>
      </c>
      <c r="I143" s="21">
        <v>-3.6050400000000003E-2</v>
      </c>
      <c r="J143" s="21">
        <v>133</v>
      </c>
      <c r="K143" s="21">
        <v>3.0099500000000001E-2</v>
      </c>
      <c r="L143">
        <f t="shared" si="24"/>
        <v>36.050400000000003</v>
      </c>
      <c r="M143">
        <f t="shared" si="25"/>
        <v>1.0946703960000002</v>
      </c>
      <c r="N143" s="9"/>
      <c r="O143" s="21">
        <v>0.56976300000000002</v>
      </c>
      <c r="P143" s="21">
        <v>36.8628</v>
      </c>
      <c r="Q143" s="21">
        <v>-3.30383E-2</v>
      </c>
      <c r="R143" s="21">
        <v>133</v>
      </c>
      <c r="S143" s="21">
        <v>0.56863399999999997</v>
      </c>
      <c r="T143">
        <f t="shared" si="26"/>
        <v>33.0383</v>
      </c>
      <c r="U143">
        <f t="shared" si="27"/>
        <v>18.824000922900002</v>
      </c>
      <c r="X143" s="9"/>
      <c r="Y143" s="21">
        <v>3.0365E-2</v>
      </c>
      <c r="Z143" s="21">
        <v>39.603400000000001</v>
      </c>
      <c r="AA143" s="21">
        <v>-3.6013799999999999E-2</v>
      </c>
      <c r="AB143" s="21">
        <v>133</v>
      </c>
      <c r="AC143" s="21">
        <v>3.0114700000000001E-2</v>
      </c>
      <c r="AD143">
        <f t="shared" si="28"/>
        <v>36.013799999999996</v>
      </c>
      <c r="AE143">
        <f t="shared" si="29"/>
        <v>1.0935590369999999</v>
      </c>
      <c r="AF143" s="9"/>
      <c r="AG143" s="21">
        <v>0.56976300000000002</v>
      </c>
      <c r="AH143" s="21">
        <v>42.881</v>
      </c>
      <c r="AI143" s="21">
        <v>-3.2907100000000002E-2</v>
      </c>
      <c r="AJ143" s="21">
        <v>133</v>
      </c>
      <c r="AK143" s="21">
        <v>0.56866499999999998</v>
      </c>
      <c r="AL143">
        <f t="shared" si="30"/>
        <v>32.9071</v>
      </c>
      <c r="AM143">
        <f t="shared" si="31"/>
        <v>18.749248017300001</v>
      </c>
      <c r="AP143" s="9"/>
      <c r="AQ143" s="21">
        <v>3.0365E-2</v>
      </c>
      <c r="AR143" s="21">
        <v>50.786700000000003</v>
      </c>
      <c r="AS143" s="21">
        <v>-3.6056499999999998E-2</v>
      </c>
      <c r="AT143" s="21">
        <v>133</v>
      </c>
      <c r="AU143" s="21">
        <v>3.0114700000000001E-2</v>
      </c>
      <c r="AV143">
        <f t="shared" si="32"/>
        <v>36.0565</v>
      </c>
      <c r="AW143">
        <f t="shared" si="33"/>
        <v>1.0948556224999999</v>
      </c>
      <c r="AX143" s="9"/>
      <c r="AY143" s="21">
        <v>0.56976300000000002</v>
      </c>
      <c r="AZ143" s="21">
        <v>63.557400000000001</v>
      </c>
      <c r="BA143" s="21">
        <v>-3.2775899999999997E-2</v>
      </c>
      <c r="BB143" s="21">
        <v>133</v>
      </c>
      <c r="BC143" s="21">
        <v>0.56863399999999997</v>
      </c>
      <c r="BD143">
        <f t="shared" si="34"/>
        <v>32.7759</v>
      </c>
      <c r="BE143">
        <f t="shared" si="35"/>
        <v>18.674495111700001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2.5329600000000001E-2</v>
      </c>
      <c r="H144" s="21">
        <v>32.448300000000003</v>
      </c>
      <c r="I144" s="21">
        <v>-3.6053500000000002E-2</v>
      </c>
      <c r="J144" s="21">
        <v>134</v>
      </c>
      <c r="K144" s="21">
        <v>2.5042700000000001E-2</v>
      </c>
      <c r="L144">
        <f t="shared" si="24"/>
        <v>36.0535</v>
      </c>
      <c r="M144">
        <f t="shared" si="25"/>
        <v>0.9132207336</v>
      </c>
      <c r="N144" s="9"/>
      <c r="O144" s="21">
        <v>0.57479899999999995</v>
      </c>
      <c r="P144" s="21">
        <v>36.872900000000001</v>
      </c>
      <c r="Q144" s="21">
        <v>-3.2684299999999999E-2</v>
      </c>
      <c r="R144" s="21">
        <v>134</v>
      </c>
      <c r="S144" s="21">
        <v>0.57363900000000001</v>
      </c>
      <c r="T144">
        <f t="shared" si="26"/>
        <v>32.6843</v>
      </c>
      <c r="U144">
        <f t="shared" si="27"/>
        <v>18.786902955699997</v>
      </c>
      <c r="X144" s="9"/>
      <c r="Y144" s="21">
        <v>2.5329600000000001E-2</v>
      </c>
      <c r="Z144" s="21">
        <v>39.613500000000002</v>
      </c>
      <c r="AA144" s="21">
        <v>-3.6001600000000002E-2</v>
      </c>
      <c r="AB144" s="21">
        <v>134</v>
      </c>
      <c r="AC144" s="21">
        <v>2.5058E-2</v>
      </c>
      <c r="AD144">
        <f t="shared" si="28"/>
        <v>36.001600000000003</v>
      </c>
      <c r="AE144">
        <f t="shared" si="29"/>
        <v>0.9119061273600001</v>
      </c>
      <c r="AF144" s="9"/>
      <c r="AG144" s="21">
        <v>0.57479899999999995</v>
      </c>
      <c r="AH144" s="21">
        <v>42.891100000000002</v>
      </c>
      <c r="AI144" s="21">
        <v>-3.2537799999999999E-2</v>
      </c>
      <c r="AJ144" s="21">
        <v>134</v>
      </c>
      <c r="AK144" s="21">
        <v>0.57366899999999998</v>
      </c>
      <c r="AL144">
        <f t="shared" si="30"/>
        <v>32.537799999999997</v>
      </c>
      <c r="AM144">
        <f t="shared" si="31"/>
        <v>18.702694902199998</v>
      </c>
      <c r="AP144" s="9"/>
      <c r="AQ144" s="21">
        <v>2.5329600000000001E-2</v>
      </c>
      <c r="AR144" s="21">
        <v>50.796700000000001</v>
      </c>
      <c r="AS144" s="21">
        <v>-3.6059599999999997E-2</v>
      </c>
      <c r="AT144" s="21">
        <v>134</v>
      </c>
      <c r="AU144" s="21">
        <v>2.5061E-2</v>
      </c>
      <c r="AV144">
        <f t="shared" si="32"/>
        <v>36.059599999999996</v>
      </c>
      <c r="AW144">
        <f t="shared" si="33"/>
        <v>0.91337524415999993</v>
      </c>
      <c r="AX144" s="9"/>
      <c r="AY144" s="21">
        <v>0.57479899999999995</v>
      </c>
      <c r="AZ144" s="21">
        <v>63.567500000000003</v>
      </c>
      <c r="BA144" s="21">
        <v>-3.2370000000000003E-2</v>
      </c>
      <c r="BB144" s="21">
        <v>134</v>
      </c>
      <c r="BC144" s="21">
        <v>0.57363900000000001</v>
      </c>
      <c r="BD144">
        <f t="shared" si="34"/>
        <v>32.370000000000005</v>
      </c>
      <c r="BE144">
        <f t="shared" si="35"/>
        <v>18.606243630000002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2.0294199999999998E-2</v>
      </c>
      <c r="H145" s="21">
        <v>32.458399999999997</v>
      </c>
      <c r="I145" s="21">
        <v>-3.6035200000000003E-2</v>
      </c>
      <c r="J145" s="21">
        <v>135</v>
      </c>
      <c r="K145" s="21">
        <v>2.0049999999999998E-2</v>
      </c>
      <c r="L145">
        <f t="shared" si="24"/>
        <v>36.035200000000003</v>
      </c>
      <c r="M145">
        <f t="shared" si="25"/>
        <v>0.73130555584000001</v>
      </c>
      <c r="N145" s="9"/>
      <c r="O145" s="21">
        <v>0.57983399999999996</v>
      </c>
      <c r="P145" s="21">
        <v>36.883000000000003</v>
      </c>
      <c r="Q145" s="21">
        <v>-3.2269300000000001E-2</v>
      </c>
      <c r="R145" s="21">
        <v>135</v>
      </c>
      <c r="S145" s="21">
        <v>0.57870500000000002</v>
      </c>
      <c r="T145">
        <f t="shared" si="26"/>
        <v>32.269300000000001</v>
      </c>
      <c r="U145">
        <f t="shared" si="27"/>
        <v>18.710837296200001</v>
      </c>
      <c r="X145" s="9"/>
      <c r="Y145" s="21">
        <v>2.0294199999999998E-2</v>
      </c>
      <c r="Z145" s="21">
        <v>39.623600000000003</v>
      </c>
      <c r="AA145" s="21">
        <v>-3.6004599999999998E-2</v>
      </c>
      <c r="AB145" s="21">
        <v>135</v>
      </c>
      <c r="AC145" s="21">
        <v>2.00012E-2</v>
      </c>
      <c r="AD145">
        <f t="shared" si="28"/>
        <v>36.004599999999996</v>
      </c>
      <c r="AE145">
        <f t="shared" si="29"/>
        <v>0.73068455331999982</v>
      </c>
      <c r="AF145" s="9"/>
      <c r="AG145" s="21">
        <v>0.57983399999999996</v>
      </c>
      <c r="AH145" s="21">
        <v>42.9011</v>
      </c>
      <c r="AI145" s="21">
        <v>-3.2125899999999999E-2</v>
      </c>
      <c r="AJ145" s="21">
        <v>135</v>
      </c>
      <c r="AK145" s="21">
        <v>0.57867400000000002</v>
      </c>
      <c r="AL145">
        <f t="shared" si="30"/>
        <v>32.125900000000001</v>
      </c>
      <c r="AM145">
        <f t="shared" si="31"/>
        <v>18.627689100599998</v>
      </c>
      <c r="AP145" s="9"/>
      <c r="AQ145" s="21">
        <v>2.0294199999999998E-2</v>
      </c>
      <c r="AR145" s="21">
        <v>50.806800000000003</v>
      </c>
      <c r="AS145" s="21">
        <v>-3.6071800000000001E-2</v>
      </c>
      <c r="AT145" s="21">
        <v>135</v>
      </c>
      <c r="AU145" s="21">
        <v>2.0025600000000001E-2</v>
      </c>
      <c r="AV145">
        <f t="shared" si="32"/>
        <v>36.071800000000003</v>
      </c>
      <c r="AW145">
        <f t="shared" si="33"/>
        <v>0.73204832356000005</v>
      </c>
      <c r="AX145" s="9"/>
      <c r="AY145" s="21">
        <v>0.57983399999999996</v>
      </c>
      <c r="AZ145" s="21">
        <v>63.577599999999997</v>
      </c>
      <c r="BA145" s="21">
        <v>-3.1924399999999999E-2</v>
      </c>
      <c r="BB145" s="21">
        <v>135</v>
      </c>
      <c r="BC145" s="21">
        <v>0.57870500000000002</v>
      </c>
      <c r="BD145">
        <f t="shared" si="34"/>
        <v>31.924399999999999</v>
      </c>
      <c r="BE145">
        <f t="shared" si="35"/>
        <v>18.510852549599999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1.5258799999999999E-2</v>
      </c>
      <c r="H146" s="21">
        <v>32.468499999999999</v>
      </c>
      <c r="I146" s="21">
        <v>-3.6022899999999997E-2</v>
      </c>
      <c r="J146" s="21">
        <v>136</v>
      </c>
      <c r="K146" s="21">
        <v>1.49719E-2</v>
      </c>
      <c r="L146">
        <f t="shared" si="24"/>
        <v>36.0229</v>
      </c>
      <c r="M146">
        <f t="shared" si="25"/>
        <v>0.54966622651999997</v>
      </c>
      <c r="N146" s="9"/>
      <c r="O146" s="21">
        <v>0.58486899999999997</v>
      </c>
      <c r="P146" s="21">
        <v>36.893099999999997</v>
      </c>
      <c r="Q146" s="21">
        <v>-3.1808500000000003E-2</v>
      </c>
      <c r="R146" s="21">
        <v>136</v>
      </c>
      <c r="S146" s="21">
        <v>0.58380100000000001</v>
      </c>
      <c r="T146">
        <f t="shared" si="26"/>
        <v>31.808500000000002</v>
      </c>
      <c r="U146">
        <f t="shared" si="27"/>
        <v>18.603805586500002</v>
      </c>
      <c r="X146" s="9"/>
      <c r="Y146" s="21">
        <v>1.5258799999999999E-2</v>
      </c>
      <c r="Z146" s="21">
        <v>39.633600000000001</v>
      </c>
      <c r="AA146" s="21">
        <v>-3.6013799999999999E-2</v>
      </c>
      <c r="AB146" s="21">
        <v>136</v>
      </c>
      <c r="AC146" s="21">
        <v>1.49628E-2</v>
      </c>
      <c r="AD146">
        <f t="shared" si="28"/>
        <v>36.013799999999996</v>
      </c>
      <c r="AE146">
        <f t="shared" si="29"/>
        <v>0.54952737143999997</v>
      </c>
      <c r="AF146" s="9"/>
      <c r="AG146" s="21">
        <v>0.58486899999999997</v>
      </c>
      <c r="AH146" s="21">
        <v>42.911200000000001</v>
      </c>
      <c r="AI146" s="21">
        <v>-3.16742E-2</v>
      </c>
      <c r="AJ146" s="21">
        <v>136</v>
      </c>
      <c r="AK146" s="21">
        <v>0.58380100000000001</v>
      </c>
      <c r="AL146">
        <f t="shared" si="30"/>
        <v>31.674199999999999</v>
      </c>
      <c r="AM146">
        <f t="shared" si="31"/>
        <v>18.525257679799999</v>
      </c>
      <c r="AP146" s="9"/>
      <c r="AQ146" s="21">
        <v>1.5258799999999999E-2</v>
      </c>
      <c r="AR146" s="21">
        <v>50.816899999999997</v>
      </c>
      <c r="AS146" s="21">
        <v>-3.6071800000000001E-2</v>
      </c>
      <c r="AT146" s="21">
        <v>136</v>
      </c>
      <c r="AU146" s="21">
        <v>1.49567E-2</v>
      </c>
      <c r="AV146">
        <f t="shared" si="32"/>
        <v>36.071800000000003</v>
      </c>
      <c r="AW146">
        <f t="shared" si="33"/>
        <v>0.55041238184000008</v>
      </c>
      <c r="AX146" s="9"/>
      <c r="AY146" s="21">
        <v>0.58486899999999997</v>
      </c>
      <c r="AZ146" s="21">
        <v>63.587600000000002</v>
      </c>
      <c r="BA146" s="21">
        <v>-3.1424000000000001E-2</v>
      </c>
      <c r="BB146" s="21">
        <v>136</v>
      </c>
      <c r="BC146" s="21">
        <v>0.58383200000000002</v>
      </c>
      <c r="BD146">
        <f t="shared" si="34"/>
        <v>31.423999999999999</v>
      </c>
      <c r="BE146">
        <f t="shared" si="35"/>
        <v>18.378923455999999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1.0223400000000001E-2</v>
      </c>
      <c r="H147" s="21">
        <v>32.478499999999997</v>
      </c>
      <c r="I147" s="21">
        <v>-3.6013799999999999E-2</v>
      </c>
      <c r="J147" s="21">
        <v>137</v>
      </c>
      <c r="K147" s="21">
        <v>9.9334699999999998E-3</v>
      </c>
      <c r="L147">
        <f t="shared" si="24"/>
        <v>36.013799999999996</v>
      </c>
      <c r="M147">
        <f t="shared" si="25"/>
        <v>0.36818348291999997</v>
      </c>
      <c r="N147" s="9"/>
      <c r="O147" s="21">
        <v>0.58990500000000001</v>
      </c>
      <c r="P147" s="21">
        <v>36.903100000000002</v>
      </c>
      <c r="Q147" s="21">
        <v>-3.1283600000000002E-2</v>
      </c>
      <c r="R147" s="21">
        <v>137</v>
      </c>
      <c r="S147" s="21">
        <v>0.58877599999999997</v>
      </c>
      <c r="T147">
        <f t="shared" si="26"/>
        <v>31.283600000000003</v>
      </c>
      <c r="U147">
        <f t="shared" si="27"/>
        <v>18.454352058000001</v>
      </c>
      <c r="X147" s="9"/>
      <c r="Y147" s="21">
        <v>1.0223400000000001E-2</v>
      </c>
      <c r="Z147" s="21">
        <v>39.643700000000003</v>
      </c>
      <c r="AA147" s="21">
        <v>-3.6038199999999999E-2</v>
      </c>
      <c r="AB147" s="21">
        <v>137</v>
      </c>
      <c r="AC147" s="21">
        <v>9.9273699999999996E-3</v>
      </c>
      <c r="AD147">
        <f t="shared" si="28"/>
        <v>36.038199999999996</v>
      </c>
      <c r="AE147">
        <f t="shared" si="29"/>
        <v>0.36843293387999998</v>
      </c>
      <c r="AF147" s="9"/>
      <c r="AG147" s="21">
        <v>0.58990500000000001</v>
      </c>
      <c r="AH147" s="21">
        <v>42.921300000000002</v>
      </c>
      <c r="AI147" s="21">
        <v>-3.1137100000000001E-2</v>
      </c>
      <c r="AJ147" s="21">
        <v>137</v>
      </c>
      <c r="AK147" s="21">
        <v>0.58883700000000005</v>
      </c>
      <c r="AL147">
        <f t="shared" si="30"/>
        <v>31.1371</v>
      </c>
      <c r="AM147">
        <f t="shared" si="31"/>
        <v>18.367930975500002</v>
      </c>
      <c r="AP147" s="9"/>
      <c r="AQ147" s="21">
        <v>1.0223400000000001E-2</v>
      </c>
      <c r="AR147" s="21">
        <v>50.826999999999998</v>
      </c>
      <c r="AS147" s="21">
        <v>-3.6065699999999999E-2</v>
      </c>
      <c r="AT147" s="21">
        <v>137</v>
      </c>
      <c r="AU147" s="21">
        <v>9.9182100000000002E-3</v>
      </c>
      <c r="AV147">
        <f t="shared" si="32"/>
        <v>36.0657</v>
      </c>
      <c r="AW147">
        <f t="shared" si="33"/>
        <v>0.36871407738</v>
      </c>
      <c r="AX147" s="9"/>
      <c r="AY147" s="21">
        <v>0.58990500000000001</v>
      </c>
      <c r="AZ147" s="21">
        <v>63.597700000000003</v>
      </c>
      <c r="BA147" s="21">
        <v>-3.0850200000000001E-2</v>
      </c>
      <c r="BB147" s="21">
        <v>137</v>
      </c>
      <c r="BC147" s="21">
        <v>0.58883700000000005</v>
      </c>
      <c r="BD147">
        <f t="shared" si="34"/>
        <v>30.850200000000001</v>
      </c>
      <c r="BE147">
        <f t="shared" si="35"/>
        <v>18.198687231000001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5.18799E-3</v>
      </c>
      <c r="H148" s="21">
        <v>32.488599999999998</v>
      </c>
      <c r="I148" s="21">
        <v>-3.6022899999999997E-2</v>
      </c>
      <c r="J148" s="21">
        <v>138</v>
      </c>
      <c r="K148" s="21">
        <v>4.9011200000000001E-3</v>
      </c>
      <c r="L148">
        <f t="shared" si="24"/>
        <v>36.0229</v>
      </c>
      <c r="M148">
        <f t="shared" si="25"/>
        <v>0.18688644497099999</v>
      </c>
      <c r="N148" s="9"/>
      <c r="O148" s="21">
        <v>0.59494000000000002</v>
      </c>
      <c r="P148" s="21">
        <v>36.913200000000003</v>
      </c>
      <c r="Q148" s="21">
        <v>-3.0694599999999999E-2</v>
      </c>
      <c r="R148" s="21">
        <v>138</v>
      </c>
      <c r="S148" s="21">
        <v>0.59384199999999998</v>
      </c>
      <c r="T148">
        <f t="shared" si="26"/>
        <v>30.694599999999998</v>
      </c>
      <c r="U148">
        <f t="shared" si="27"/>
        <v>18.261445324</v>
      </c>
      <c r="X148" s="9"/>
      <c r="Y148" s="21">
        <v>5.18799E-3</v>
      </c>
      <c r="Z148" s="21">
        <v>39.653799999999997</v>
      </c>
      <c r="AA148" s="21">
        <v>-3.6050400000000003E-2</v>
      </c>
      <c r="AB148" s="21">
        <v>138</v>
      </c>
      <c r="AC148" s="21">
        <v>4.9438499999999996E-3</v>
      </c>
      <c r="AD148">
        <f t="shared" si="28"/>
        <v>36.050400000000003</v>
      </c>
      <c r="AE148">
        <f t="shared" si="29"/>
        <v>0.187029114696</v>
      </c>
      <c r="AF148" s="9"/>
      <c r="AG148" s="21">
        <v>0.59494000000000002</v>
      </c>
      <c r="AH148" s="21">
        <v>42.931399999999996</v>
      </c>
      <c r="AI148" s="21">
        <v>-3.0557299999999999E-2</v>
      </c>
      <c r="AJ148" s="21">
        <v>138</v>
      </c>
      <c r="AK148" s="21">
        <v>0.59384199999999998</v>
      </c>
      <c r="AL148">
        <f t="shared" si="30"/>
        <v>30.557299999999998</v>
      </c>
      <c r="AM148">
        <f t="shared" si="31"/>
        <v>18.179760062</v>
      </c>
      <c r="AP148" s="9"/>
      <c r="AQ148" s="21">
        <v>5.18799E-3</v>
      </c>
      <c r="AR148" s="21">
        <v>50.837000000000003</v>
      </c>
      <c r="AS148" s="21">
        <v>-3.6068700000000002E-2</v>
      </c>
      <c r="AT148" s="21">
        <v>138</v>
      </c>
      <c r="AU148" s="21">
        <v>4.8736600000000001E-3</v>
      </c>
      <c r="AV148">
        <f t="shared" si="32"/>
        <v>36.0687</v>
      </c>
      <c r="AW148">
        <f t="shared" si="33"/>
        <v>0.18712405491299999</v>
      </c>
      <c r="AX148" s="9"/>
      <c r="AY148" s="21">
        <v>0.59494000000000002</v>
      </c>
      <c r="AZ148" s="21">
        <v>63.607799999999997</v>
      </c>
      <c r="BA148" s="21">
        <v>-3.02002E-2</v>
      </c>
      <c r="BB148" s="21">
        <v>138</v>
      </c>
      <c r="BC148" s="21">
        <v>0.59381099999999998</v>
      </c>
      <c r="BD148">
        <f t="shared" si="34"/>
        <v>30.200199999999999</v>
      </c>
      <c r="BE148">
        <f t="shared" si="35"/>
        <v>17.967306988000001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1.52588E-4</v>
      </c>
      <c r="H149" s="21">
        <v>32.498699999999999</v>
      </c>
      <c r="I149" s="21">
        <v>-3.6038199999999999E-2</v>
      </c>
      <c r="J149" s="21">
        <v>139</v>
      </c>
      <c r="K149" s="21">
        <v>-2.01416E-4</v>
      </c>
      <c r="L149">
        <f t="shared" si="24"/>
        <v>36.038199999999996</v>
      </c>
      <c r="M149">
        <f t="shared" si="25"/>
        <v>5.4989968615999996E-3</v>
      </c>
      <c r="N149" s="9"/>
      <c r="O149" s="21">
        <v>0.59997599999999995</v>
      </c>
      <c r="P149" s="21">
        <v>36.923299999999998</v>
      </c>
      <c r="Q149" s="21">
        <v>-3.0032300000000001E-2</v>
      </c>
      <c r="R149" s="21">
        <v>139</v>
      </c>
      <c r="S149" s="21">
        <v>0.59893799999999997</v>
      </c>
      <c r="T149">
        <f t="shared" si="26"/>
        <v>30.032300000000003</v>
      </c>
      <c r="U149">
        <f t="shared" si="27"/>
        <v>18.0186592248</v>
      </c>
      <c r="X149" s="9"/>
      <c r="Y149" s="21">
        <v>1.52588E-4</v>
      </c>
      <c r="Z149" s="21">
        <v>39.663800000000002</v>
      </c>
      <c r="AA149" s="21">
        <v>-3.6056499999999998E-2</v>
      </c>
      <c r="AB149" s="21">
        <v>139</v>
      </c>
      <c r="AC149" s="21">
        <v>-1.40381E-4</v>
      </c>
      <c r="AD149">
        <f t="shared" si="28"/>
        <v>36.0565</v>
      </c>
      <c r="AE149">
        <f t="shared" si="29"/>
        <v>5.501789222E-3</v>
      </c>
      <c r="AF149" s="9"/>
      <c r="AG149" s="21">
        <v>0.59997599999999995</v>
      </c>
      <c r="AH149" s="21">
        <v>42.941400000000002</v>
      </c>
      <c r="AI149" s="21">
        <v>-2.9895000000000001E-2</v>
      </c>
      <c r="AJ149" s="21">
        <v>139</v>
      </c>
      <c r="AK149" s="21">
        <v>0.59893799999999997</v>
      </c>
      <c r="AL149">
        <f t="shared" si="30"/>
        <v>29.895000000000003</v>
      </c>
      <c r="AM149">
        <f t="shared" si="31"/>
        <v>17.936282519999999</v>
      </c>
      <c r="AP149" s="9"/>
      <c r="AQ149" s="21">
        <v>1.52588E-4</v>
      </c>
      <c r="AR149" s="21">
        <v>50.847099999999998</v>
      </c>
      <c r="AS149" s="21">
        <v>-3.6065699999999999E-2</v>
      </c>
      <c r="AT149" s="21">
        <v>139</v>
      </c>
      <c r="AU149" s="21">
        <v>-1.70898E-4</v>
      </c>
      <c r="AV149">
        <f t="shared" si="32"/>
        <v>36.0657</v>
      </c>
      <c r="AW149">
        <f t="shared" si="33"/>
        <v>5.5031930315999995E-3</v>
      </c>
      <c r="AX149" s="9"/>
      <c r="AY149" s="21">
        <v>0.59997599999999995</v>
      </c>
      <c r="AZ149" s="21">
        <v>63.617899999999999</v>
      </c>
      <c r="BA149" s="21">
        <v>-2.9486100000000001E-2</v>
      </c>
      <c r="BB149" s="21">
        <v>139</v>
      </c>
      <c r="BC149" s="21">
        <v>0.59896899999999997</v>
      </c>
      <c r="BD149">
        <f t="shared" si="34"/>
        <v>29.4861</v>
      </c>
      <c r="BE149">
        <f t="shared" si="35"/>
        <v>17.690952333599999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-4.8828099999999996E-3</v>
      </c>
      <c r="H150" s="21">
        <v>32.508699999999997</v>
      </c>
      <c r="I150" s="21">
        <v>-3.6041299999999998E-2</v>
      </c>
      <c r="J150" s="21">
        <v>140</v>
      </c>
      <c r="K150" s="21">
        <v>-5.16052E-3</v>
      </c>
      <c r="L150">
        <f t="shared" si="24"/>
        <v>36.0413</v>
      </c>
      <c r="M150">
        <f t="shared" si="25"/>
        <v>-0.17598282005299998</v>
      </c>
      <c r="N150" s="9"/>
      <c r="O150" s="21">
        <v>0.60501099999999997</v>
      </c>
      <c r="P150" s="21">
        <v>36.933300000000003</v>
      </c>
      <c r="Q150" s="21">
        <v>-2.9309100000000001E-2</v>
      </c>
      <c r="R150" s="21">
        <v>140</v>
      </c>
      <c r="S150" s="21">
        <v>0.60400399999999999</v>
      </c>
      <c r="T150">
        <f t="shared" si="26"/>
        <v>29.309100000000001</v>
      </c>
      <c r="U150">
        <f t="shared" si="27"/>
        <v>17.7323279001</v>
      </c>
      <c r="X150" s="9"/>
      <c r="Y150" s="21">
        <v>-4.8828099999999996E-3</v>
      </c>
      <c r="Z150" s="21">
        <v>39.673900000000003</v>
      </c>
      <c r="AA150" s="21">
        <v>-3.6068700000000002E-2</v>
      </c>
      <c r="AB150" s="21">
        <v>140</v>
      </c>
      <c r="AC150" s="21">
        <v>-5.2398699999999998E-3</v>
      </c>
      <c r="AD150">
        <f t="shared" si="28"/>
        <v>36.0687</v>
      </c>
      <c r="AE150">
        <f t="shared" si="29"/>
        <v>-0.17611660904699999</v>
      </c>
      <c r="AF150" s="9"/>
      <c r="AG150" s="21">
        <v>0.60501099999999997</v>
      </c>
      <c r="AH150" s="21">
        <v>42.951500000000003</v>
      </c>
      <c r="AI150" s="21">
        <v>-2.9159500000000001E-2</v>
      </c>
      <c r="AJ150" s="21">
        <v>140</v>
      </c>
      <c r="AK150" s="21">
        <v>0.603912</v>
      </c>
      <c r="AL150">
        <f t="shared" si="30"/>
        <v>29.159500000000001</v>
      </c>
      <c r="AM150">
        <f t="shared" si="31"/>
        <v>17.641818254499999</v>
      </c>
      <c r="AP150" s="9"/>
      <c r="AQ150" s="21">
        <v>-4.8828099999999996E-3</v>
      </c>
      <c r="AR150" s="21">
        <v>50.857199999999999</v>
      </c>
      <c r="AS150" s="21">
        <v>-3.6053500000000002E-2</v>
      </c>
      <c r="AT150" s="21">
        <v>140</v>
      </c>
      <c r="AU150" s="21">
        <v>-5.2337599999999996E-3</v>
      </c>
      <c r="AV150">
        <f t="shared" si="32"/>
        <v>36.0535</v>
      </c>
      <c r="AW150">
        <f t="shared" si="33"/>
        <v>-0.17604239033499999</v>
      </c>
      <c r="AX150" s="9"/>
      <c r="AY150" s="21">
        <v>0.60501099999999997</v>
      </c>
      <c r="AZ150" s="21">
        <v>63.627899999999997</v>
      </c>
      <c r="BA150" s="21">
        <v>-2.8695700000000001E-2</v>
      </c>
      <c r="BB150" s="21">
        <v>140</v>
      </c>
      <c r="BC150" s="21">
        <v>0.60394300000000001</v>
      </c>
      <c r="BD150">
        <f t="shared" si="34"/>
        <v>28.695700000000002</v>
      </c>
      <c r="BE150">
        <f t="shared" si="35"/>
        <v>17.361214152700001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-9.9182100000000002E-3</v>
      </c>
      <c r="H151" s="21">
        <v>32.518799999999999</v>
      </c>
      <c r="I151" s="21">
        <v>-3.60626E-2</v>
      </c>
      <c r="J151" s="21">
        <v>141</v>
      </c>
      <c r="K151" s="21">
        <v>-1.02997E-2</v>
      </c>
      <c r="L151">
        <f t="shared" si="24"/>
        <v>36.062600000000003</v>
      </c>
      <c r="M151">
        <f t="shared" si="25"/>
        <v>-0.35767643994600001</v>
      </c>
      <c r="N151" s="9"/>
      <c r="O151" s="21">
        <v>0.61004599999999998</v>
      </c>
      <c r="P151" s="21">
        <v>36.943399999999997</v>
      </c>
      <c r="Q151" s="21">
        <v>-2.8503400000000002E-2</v>
      </c>
      <c r="R151" s="21">
        <v>141</v>
      </c>
      <c r="S151" s="21">
        <v>0.60897800000000002</v>
      </c>
      <c r="T151">
        <f t="shared" si="26"/>
        <v>28.503400000000003</v>
      </c>
      <c r="U151">
        <f t="shared" si="27"/>
        <v>17.388385156400002</v>
      </c>
      <c r="X151" s="9"/>
      <c r="Y151" s="21">
        <v>-9.9182100000000002E-3</v>
      </c>
      <c r="Z151" s="21">
        <v>39.683999999999997</v>
      </c>
      <c r="AA151" s="21">
        <v>-3.6087000000000001E-2</v>
      </c>
      <c r="AB151" s="21">
        <v>141</v>
      </c>
      <c r="AC151" s="21">
        <v>-1.0318000000000001E-2</v>
      </c>
      <c r="AD151">
        <f t="shared" si="28"/>
        <v>36.087000000000003</v>
      </c>
      <c r="AE151">
        <f t="shared" si="29"/>
        <v>-0.35791844427000002</v>
      </c>
      <c r="AF151" s="9"/>
      <c r="AG151" s="21">
        <v>0.61004599999999998</v>
      </c>
      <c r="AH151" s="21">
        <v>42.961599999999997</v>
      </c>
      <c r="AI151" s="21">
        <v>-2.8338599999999999E-2</v>
      </c>
      <c r="AJ151" s="21">
        <v>141</v>
      </c>
      <c r="AK151" s="21">
        <v>0.60909999999999997</v>
      </c>
      <c r="AL151">
        <f t="shared" si="30"/>
        <v>28.3386</v>
      </c>
      <c r="AM151">
        <f t="shared" si="31"/>
        <v>17.287849575599999</v>
      </c>
      <c r="AP151" s="9"/>
      <c r="AQ151" s="21">
        <v>-9.9182100000000002E-3</v>
      </c>
      <c r="AR151" s="21">
        <v>50.867199999999997</v>
      </c>
      <c r="AS151" s="21">
        <v>-3.6065699999999999E-2</v>
      </c>
      <c r="AT151" s="21">
        <v>141</v>
      </c>
      <c r="AU151" s="21">
        <v>-1.03333E-2</v>
      </c>
      <c r="AV151">
        <f t="shared" si="32"/>
        <v>36.0657</v>
      </c>
      <c r="AW151">
        <f t="shared" si="33"/>
        <v>-0.357707186397</v>
      </c>
      <c r="AX151" s="9"/>
      <c r="AY151" s="21">
        <v>0.61004599999999998</v>
      </c>
      <c r="AZ151" s="21">
        <v>63.637999999999998</v>
      </c>
      <c r="BA151" s="21">
        <v>-2.7816799999999999E-2</v>
      </c>
      <c r="BB151" s="21">
        <v>141</v>
      </c>
      <c r="BC151" s="21">
        <v>0.60894800000000004</v>
      </c>
      <c r="BD151">
        <f t="shared" si="34"/>
        <v>27.816800000000001</v>
      </c>
      <c r="BE151">
        <f t="shared" si="35"/>
        <v>16.969527572800001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-1.4953599999999999E-2</v>
      </c>
      <c r="H152" s="21">
        <v>32.5289</v>
      </c>
      <c r="I152" s="21">
        <v>-3.6077900000000003E-2</v>
      </c>
      <c r="J152" s="21">
        <v>142</v>
      </c>
      <c r="K152" s="21">
        <v>-1.5344200000000001E-2</v>
      </c>
      <c r="L152">
        <f t="shared" si="24"/>
        <v>36.0779</v>
      </c>
      <c r="M152">
        <f t="shared" si="25"/>
        <v>-0.53949448544</v>
      </c>
      <c r="N152" s="9"/>
      <c r="O152" s="21">
        <v>0.61508200000000002</v>
      </c>
      <c r="P152" s="21">
        <v>36.953499999999998</v>
      </c>
      <c r="Q152" s="21">
        <v>-2.7600099999999999E-2</v>
      </c>
      <c r="R152" s="21">
        <v>142</v>
      </c>
      <c r="S152" s="21">
        <v>0.61404400000000003</v>
      </c>
      <c r="T152">
        <f t="shared" si="26"/>
        <v>27.600099999999998</v>
      </c>
      <c r="U152">
        <f t="shared" si="27"/>
        <v>16.9763247082</v>
      </c>
      <c r="X152" s="9"/>
      <c r="Y152" s="21">
        <v>-1.4953599999999999E-2</v>
      </c>
      <c r="Z152" s="21">
        <v>39.694099999999999</v>
      </c>
      <c r="AA152" s="21">
        <v>-3.6102299999999997E-2</v>
      </c>
      <c r="AB152" s="21">
        <v>142</v>
      </c>
      <c r="AC152" s="21">
        <v>-1.53229E-2</v>
      </c>
      <c r="AD152">
        <f t="shared" si="28"/>
        <v>36.1023</v>
      </c>
      <c r="AE152">
        <f t="shared" si="29"/>
        <v>-0.53985935328000001</v>
      </c>
      <c r="AF152" s="9"/>
      <c r="AG152" s="21">
        <v>0.61508200000000002</v>
      </c>
      <c r="AH152" s="21">
        <v>42.971600000000002</v>
      </c>
      <c r="AI152" s="21">
        <v>-2.7429200000000001E-2</v>
      </c>
      <c r="AJ152" s="21">
        <v>142</v>
      </c>
      <c r="AK152" s="21">
        <v>0.61410500000000001</v>
      </c>
      <c r="AL152">
        <f t="shared" si="30"/>
        <v>27.429200000000002</v>
      </c>
      <c r="AM152">
        <f t="shared" si="31"/>
        <v>16.8712071944</v>
      </c>
      <c r="AP152" s="9"/>
      <c r="AQ152" s="21">
        <v>-1.4953599999999999E-2</v>
      </c>
      <c r="AR152" s="21">
        <v>50.877299999999998</v>
      </c>
      <c r="AS152" s="21">
        <v>-3.6080899999999999E-2</v>
      </c>
      <c r="AT152" s="21">
        <v>142</v>
      </c>
      <c r="AU152" s="21">
        <v>-1.5356399999999999E-2</v>
      </c>
      <c r="AV152">
        <f t="shared" si="32"/>
        <v>36.0809</v>
      </c>
      <c r="AW152">
        <f t="shared" si="33"/>
        <v>-0.53953934624</v>
      </c>
      <c r="AX152" s="9"/>
      <c r="AY152" s="21">
        <v>0.61508200000000002</v>
      </c>
      <c r="AZ152" s="21">
        <v>63.648099999999999</v>
      </c>
      <c r="BA152" s="21">
        <v>-2.6828000000000001E-2</v>
      </c>
      <c r="BB152" s="21">
        <v>142</v>
      </c>
      <c r="BC152" s="21">
        <v>0.61407500000000004</v>
      </c>
      <c r="BD152">
        <f t="shared" si="34"/>
        <v>26.827999999999999</v>
      </c>
      <c r="BE152">
        <f t="shared" si="35"/>
        <v>16.501419896000002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-1.9989E-2</v>
      </c>
      <c r="H153" s="21">
        <v>32.539000000000001</v>
      </c>
      <c r="I153" s="21">
        <v>-3.6080899999999999E-2</v>
      </c>
      <c r="J153" s="21">
        <v>143</v>
      </c>
      <c r="K153" s="21">
        <v>-2.0416299999999998E-2</v>
      </c>
      <c r="L153">
        <f t="shared" si="24"/>
        <v>36.0809</v>
      </c>
      <c r="M153">
        <f t="shared" si="25"/>
        <v>-0.72122111010000001</v>
      </c>
      <c r="N153" s="9"/>
      <c r="O153" s="21">
        <v>0.62011700000000003</v>
      </c>
      <c r="P153" s="21">
        <v>36.9636</v>
      </c>
      <c r="Q153" s="21">
        <v>-2.6605199999999999E-2</v>
      </c>
      <c r="R153" s="21">
        <v>143</v>
      </c>
      <c r="S153" s="21">
        <v>0.61907999999999996</v>
      </c>
      <c r="T153">
        <f t="shared" si="26"/>
        <v>26.6052</v>
      </c>
      <c r="U153">
        <f t="shared" si="27"/>
        <v>16.498336808400001</v>
      </c>
      <c r="X153" s="9"/>
      <c r="Y153" s="21">
        <v>-1.9989E-2</v>
      </c>
      <c r="Z153" s="21">
        <v>39.704099999999997</v>
      </c>
      <c r="AA153" s="21">
        <v>-3.6108399999999999E-2</v>
      </c>
      <c r="AB153" s="21">
        <v>143</v>
      </c>
      <c r="AC153" s="21">
        <v>-2.0404100000000001E-2</v>
      </c>
      <c r="AD153">
        <f t="shared" si="28"/>
        <v>36.108399999999996</v>
      </c>
      <c r="AE153">
        <f t="shared" si="29"/>
        <v>-0.7217708075999999</v>
      </c>
      <c r="AF153" s="9"/>
      <c r="AG153" s="21">
        <v>0.62011700000000003</v>
      </c>
      <c r="AH153" s="21">
        <v>42.981699999999996</v>
      </c>
      <c r="AI153" s="21">
        <v>-2.64099E-2</v>
      </c>
      <c r="AJ153" s="21">
        <v>143</v>
      </c>
      <c r="AK153" s="21">
        <v>0.61911000000000005</v>
      </c>
      <c r="AL153">
        <f t="shared" si="30"/>
        <v>26.4099</v>
      </c>
      <c r="AM153">
        <f t="shared" si="31"/>
        <v>16.377227958300001</v>
      </c>
      <c r="AP153" s="9"/>
      <c r="AQ153" s="21">
        <v>-1.9989E-2</v>
      </c>
      <c r="AR153" s="21">
        <v>50.8874</v>
      </c>
      <c r="AS153" s="21">
        <v>-3.6077900000000003E-2</v>
      </c>
      <c r="AT153" s="21">
        <v>143</v>
      </c>
      <c r="AU153" s="21">
        <v>-2.0407100000000001E-2</v>
      </c>
      <c r="AV153">
        <f t="shared" si="32"/>
        <v>36.0779</v>
      </c>
      <c r="AW153">
        <f t="shared" si="33"/>
        <v>-0.72116114310000001</v>
      </c>
      <c r="AX153" s="9"/>
      <c r="AY153" s="21">
        <v>0.62011700000000003</v>
      </c>
      <c r="AZ153" s="21">
        <v>63.658099999999997</v>
      </c>
      <c r="BA153" s="21">
        <v>-2.5747699999999998E-2</v>
      </c>
      <c r="BB153" s="21">
        <v>143</v>
      </c>
      <c r="BC153" s="21">
        <v>0.61911000000000005</v>
      </c>
      <c r="BD153">
        <f t="shared" si="34"/>
        <v>25.747699999999998</v>
      </c>
      <c r="BE153">
        <f t="shared" si="35"/>
        <v>15.9665864809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-2.5024399999999999E-2</v>
      </c>
      <c r="H154" s="21">
        <v>32.548999999999999</v>
      </c>
      <c r="I154" s="21">
        <v>-3.6099199999999998E-2</v>
      </c>
      <c r="J154" s="21">
        <v>144</v>
      </c>
      <c r="K154" s="21">
        <v>-2.53723E-2</v>
      </c>
      <c r="L154">
        <f t="shared" si="24"/>
        <v>36.099199999999996</v>
      </c>
      <c r="M154">
        <f t="shared" si="25"/>
        <v>-0.90336082047999988</v>
      </c>
      <c r="N154" s="9"/>
      <c r="O154" s="21">
        <v>0.62515299999999996</v>
      </c>
      <c r="P154" s="21">
        <v>36.973599999999998</v>
      </c>
      <c r="Q154" s="21">
        <v>-2.54974E-2</v>
      </c>
      <c r="R154" s="21">
        <v>144</v>
      </c>
      <c r="S154" s="21">
        <v>0.62417599999999995</v>
      </c>
      <c r="T154">
        <f t="shared" si="26"/>
        <v>25.497399999999999</v>
      </c>
      <c r="U154">
        <f t="shared" si="27"/>
        <v>15.939776102199998</v>
      </c>
      <c r="X154" s="9"/>
      <c r="Y154" s="21">
        <v>-2.5024399999999999E-2</v>
      </c>
      <c r="Z154" s="21">
        <v>39.714199999999998</v>
      </c>
      <c r="AA154" s="21">
        <v>-3.6108399999999999E-2</v>
      </c>
      <c r="AB154" s="21">
        <v>144</v>
      </c>
      <c r="AC154" s="21">
        <v>-2.5369300000000001E-2</v>
      </c>
      <c r="AD154">
        <f t="shared" si="28"/>
        <v>36.108399999999996</v>
      </c>
      <c r="AE154">
        <f t="shared" si="29"/>
        <v>-0.90359104495999987</v>
      </c>
      <c r="AF154" s="9"/>
      <c r="AG154" s="21">
        <v>0.62515299999999996</v>
      </c>
      <c r="AH154" s="21">
        <v>42.991799999999998</v>
      </c>
      <c r="AI154" s="21">
        <v>-2.5295999999999999E-2</v>
      </c>
      <c r="AJ154" s="21">
        <v>144</v>
      </c>
      <c r="AK154" s="21">
        <v>0.62417599999999995</v>
      </c>
      <c r="AL154">
        <f t="shared" si="30"/>
        <v>25.295999999999999</v>
      </c>
      <c r="AM154">
        <f t="shared" si="31"/>
        <v>15.813870287999999</v>
      </c>
      <c r="AP154" s="9"/>
      <c r="AQ154" s="21">
        <v>-2.5024399999999999E-2</v>
      </c>
      <c r="AR154" s="21">
        <v>50.897500000000001</v>
      </c>
      <c r="AS154" s="21">
        <v>-3.6093100000000003E-2</v>
      </c>
      <c r="AT154" s="21">
        <v>144</v>
      </c>
      <c r="AU154" s="21">
        <v>-2.5390599999999999E-2</v>
      </c>
      <c r="AV154">
        <f t="shared" si="32"/>
        <v>36.0931</v>
      </c>
      <c r="AW154">
        <f t="shared" si="33"/>
        <v>-0.90320817164</v>
      </c>
      <c r="AX154" s="9"/>
      <c r="AY154" s="21">
        <v>0.62515299999999996</v>
      </c>
      <c r="AZ154" s="21">
        <v>63.668199999999999</v>
      </c>
      <c r="BA154" s="21">
        <v>-2.4527E-2</v>
      </c>
      <c r="BB154" s="21">
        <v>144</v>
      </c>
      <c r="BC154" s="21">
        <v>0.62417599999999995</v>
      </c>
      <c r="BD154">
        <f t="shared" si="34"/>
        <v>24.527000000000001</v>
      </c>
      <c r="BE154">
        <f t="shared" si="35"/>
        <v>15.333127631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-3.0059800000000001E-2</v>
      </c>
      <c r="H155" s="21">
        <v>32.559100000000001</v>
      </c>
      <c r="I155" s="21">
        <v>-3.6114500000000001E-2</v>
      </c>
      <c r="J155" s="21">
        <v>145</v>
      </c>
      <c r="K155" s="21">
        <v>-3.0496200000000001E-2</v>
      </c>
      <c r="L155">
        <f t="shared" si="24"/>
        <v>36.1145</v>
      </c>
      <c r="M155">
        <f t="shared" si="25"/>
        <v>-1.0855946471</v>
      </c>
      <c r="N155" s="9"/>
      <c r="O155" s="21">
        <v>0.63018799999999997</v>
      </c>
      <c r="P155" s="21">
        <v>36.983699999999999</v>
      </c>
      <c r="Q155" s="21">
        <v>-2.42554E-2</v>
      </c>
      <c r="R155" s="21">
        <v>145</v>
      </c>
      <c r="S155" s="21">
        <v>0.62924199999999997</v>
      </c>
      <c r="T155">
        <f t="shared" si="26"/>
        <v>24.255400000000002</v>
      </c>
      <c r="U155">
        <f t="shared" si="27"/>
        <v>15.2854620152</v>
      </c>
      <c r="X155" s="9"/>
      <c r="Y155" s="21">
        <v>-3.0059800000000001E-2</v>
      </c>
      <c r="Z155" s="21">
        <v>39.724299999999999</v>
      </c>
      <c r="AA155" s="21">
        <v>-3.6129799999999997E-2</v>
      </c>
      <c r="AB155" s="21">
        <v>145</v>
      </c>
      <c r="AC155" s="21">
        <v>-3.0535900000000001E-2</v>
      </c>
      <c r="AD155">
        <f t="shared" si="28"/>
        <v>36.129799999999996</v>
      </c>
      <c r="AE155">
        <f t="shared" si="29"/>
        <v>-1.0860545620399999</v>
      </c>
      <c r="AF155" s="9"/>
      <c r="AG155" s="21">
        <v>0.63018799999999997</v>
      </c>
      <c r="AH155" s="21">
        <v>43.001899999999999</v>
      </c>
      <c r="AI155" s="21">
        <v>-2.4053999999999999E-2</v>
      </c>
      <c r="AJ155" s="21">
        <v>145</v>
      </c>
      <c r="AK155" s="21">
        <v>0.62921099999999996</v>
      </c>
      <c r="AL155">
        <f t="shared" si="30"/>
        <v>24.053999999999998</v>
      </c>
      <c r="AM155">
        <f t="shared" si="31"/>
        <v>15.158542151999999</v>
      </c>
      <c r="AP155" s="9"/>
      <c r="AQ155" s="21">
        <v>-3.0059800000000001E-2</v>
      </c>
      <c r="AR155" s="21">
        <v>50.907499999999999</v>
      </c>
      <c r="AS155" s="21">
        <v>-3.61053E-2</v>
      </c>
      <c r="AT155" s="21">
        <v>145</v>
      </c>
      <c r="AU155" s="21">
        <v>-3.0477899999999999E-2</v>
      </c>
      <c r="AV155">
        <f t="shared" si="32"/>
        <v>36.1053</v>
      </c>
      <c r="AW155">
        <f t="shared" si="33"/>
        <v>-1.08531809694</v>
      </c>
      <c r="AX155" s="9"/>
      <c r="AY155" s="21">
        <v>0.63018799999999997</v>
      </c>
      <c r="AZ155" s="21">
        <v>63.6783</v>
      </c>
      <c r="BA155" s="21">
        <v>-2.32208E-2</v>
      </c>
      <c r="BB155" s="21">
        <v>145</v>
      </c>
      <c r="BC155" s="21">
        <v>0.62924199999999997</v>
      </c>
      <c r="BD155">
        <f t="shared" si="34"/>
        <v>23.220800000000001</v>
      </c>
      <c r="BE155">
        <f t="shared" si="35"/>
        <v>14.633469510399999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-3.50952E-2</v>
      </c>
      <c r="H156" s="21">
        <v>32.569200000000002</v>
      </c>
      <c r="I156" s="21">
        <v>-3.6129799999999997E-2</v>
      </c>
      <c r="J156" s="21">
        <v>146</v>
      </c>
      <c r="K156" s="21">
        <v>-3.5501100000000001E-2</v>
      </c>
      <c r="L156">
        <f t="shared" si="24"/>
        <v>36.129799999999996</v>
      </c>
      <c r="M156">
        <f t="shared" si="25"/>
        <v>-1.2679825569599998</v>
      </c>
      <c r="N156" s="9"/>
      <c r="O156" s="21">
        <v>0.63522299999999998</v>
      </c>
      <c r="P156" s="21">
        <v>36.9938</v>
      </c>
      <c r="Q156" s="21">
        <v>-2.2894299999999999E-2</v>
      </c>
      <c r="R156" s="21">
        <v>146</v>
      </c>
      <c r="S156" s="21">
        <v>0.63427699999999998</v>
      </c>
      <c r="T156">
        <f t="shared" si="26"/>
        <v>22.894299999999998</v>
      </c>
      <c r="U156">
        <f t="shared" si="27"/>
        <v>14.542985928899999</v>
      </c>
      <c r="X156" s="9"/>
      <c r="Y156" s="21">
        <v>-3.50952E-2</v>
      </c>
      <c r="Z156" s="21">
        <v>39.734299999999998</v>
      </c>
      <c r="AA156" s="21">
        <v>-3.6129799999999997E-2</v>
      </c>
      <c r="AB156" s="21">
        <v>146</v>
      </c>
      <c r="AC156" s="21">
        <v>-3.5467499999999999E-2</v>
      </c>
      <c r="AD156">
        <f t="shared" si="28"/>
        <v>36.129799999999996</v>
      </c>
      <c r="AE156">
        <f t="shared" si="29"/>
        <v>-1.2679825569599998</v>
      </c>
      <c r="AF156" s="9"/>
      <c r="AG156" s="21">
        <v>0.63522299999999998</v>
      </c>
      <c r="AH156" s="21">
        <v>43.011899999999997</v>
      </c>
      <c r="AI156" s="21">
        <v>-2.2668500000000001E-2</v>
      </c>
      <c r="AJ156" s="21">
        <v>146</v>
      </c>
      <c r="AK156" s="21">
        <v>0.63427699999999998</v>
      </c>
      <c r="AL156">
        <f t="shared" si="30"/>
        <v>22.668500000000002</v>
      </c>
      <c r="AM156">
        <f t="shared" si="31"/>
        <v>14.399552575500001</v>
      </c>
      <c r="AP156" s="9"/>
      <c r="AQ156" s="21">
        <v>-3.50952E-2</v>
      </c>
      <c r="AR156" s="21">
        <v>50.9176</v>
      </c>
      <c r="AS156" s="21">
        <v>-3.6108399999999999E-2</v>
      </c>
      <c r="AT156" s="21">
        <v>146</v>
      </c>
      <c r="AU156" s="21">
        <v>-3.5482800000000002E-2</v>
      </c>
      <c r="AV156">
        <f t="shared" si="32"/>
        <v>36.108399999999996</v>
      </c>
      <c r="AW156">
        <f t="shared" si="33"/>
        <v>-1.2672315196799999</v>
      </c>
      <c r="AX156" s="9"/>
      <c r="AY156" s="21">
        <v>0.63522299999999998</v>
      </c>
      <c r="AZ156" s="21">
        <v>63.688400000000001</v>
      </c>
      <c r="BA156" s="21">
        <v>-2.1756000000000001E-2</v>
      </c>
      <c r="BB156" s="21">
        <v>146</v>
      </c>
      <c r="BC156" s="21">
        <v>0.63430799999999998</v>
      </c>
      <c r="BD156">
        <f t="shared" si="34"/>
        <v>21.756</v>
      </c>
      <c r="BE156">
        <f t="shared" si="35"/>
        <v>13.819911588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-4.0130600000000002E-2</v>
      </c>
      <c r="H157" s="21">
        <v>32.5792</v>
      </c>
      <c r="I157" s="21">
        <v>-3.6142000000000001E-2</v>
      </c>
      <c r="J157" s="21">
        <v>147</v>
      </c>
      <c r="K157" s="21">
        <v>-4.0579200000000003E-2</v>
      </c>
      <c r="L157">
        <f t="shared" si="24"/>
        <v>36.142000000000003</v>
      </c>
      <c r="M157">
        <f t="shared" si="25"/>
        <v>-1.4504001452000002</v>
      </c>
      <c r="N157" s="9"/>
      <c r="O157" s="21">
        <v>0.64025900000000002</v>
      </c>
      <c r="P157" s="21">
        <v>37.003799999999998</v>
      </c>
      <c r="Q157" s="21">
        <v>-2.13898E-2</v>
      </c>
      <c r="R157" s="21">
        <v>147</v>
      </c>
      <c r="S157" s="21">
        <v>0.63934299999999999</v>
      </c>
      <c r="T157">
        <f t="shared" si="26"/>
        <v>21.389800000000001</v>
      </c>
      <c r="U157">
        <f t="shared" si="27"/>
        <v>13.6950119582</v>
      </c>
      <c r="X157" s="9"/>
      <c r="Y157" s="21">
        <v>-4.0130600000000002E-2</v>
      </c>
      <c r="Z157" s="21">
        <v>39.744399999999999</v>
      </c>
      <c r="AA157" s="21">
        <v>-3.6123700000000002E-2</v>
      </c>
      <c r="AB157" s="21">
        <v>147</v>
      </c>
      <c r="AC157" s="21">
        <v>-4.0588399999999997E-2</v>
      </c>
      <c r="AD157">
        <f t="shared" si="28"/>
        <v>36.123699999999999</v>
      </c>
      <c r="AE157">
        <f t="shared" si="29"/>
        <v>-1.4496657552200001</v>
      </c>
      <c r="AF157" s="9"/>
      <c r="AG157" s="21">
        <v>0.64025900000000002</v>
      </c>
      <c r="AH157" s="21">
        <v>43.021999999999998</v>
      </c>
      <c r="AI157" s="21">
        <v>-2.1142600000000001E-2</v>
      </c>
      <c r="AJ157" s="21">
        <v>147</v>
      </c>
      <c r="AK157" s="21">
        <v>0.639374</v>
      </c>
      <c r="AL157">
        <f t="shared" si="30"/>
        <v>21.142600000000002</v>
      </c>
      <c r="AM157">
        <f t="shared" si="31"/>
        <v>13.536739933400002</v>
      </c>
      <c r="AP157" s="9"/>
      <c r="AQ157" s="21">
        <v>-4.0130600000000002E-2</v>
      </c>
      <c r="AR157" s="21">
        <v>50.927700000000002</v>
      </c>
      <c r="AS157" s="21">
        <v>-3.6126699999999998E-2</v>
      </c>
      <c r="AT157" s="21">
        <v>147</v>
      </c>
      <c r="AU157" s="21">
        <v>-4.0615800000000001E-2</v>
      </c>
      <c r="AV157">
        <f t="shared" si="32"/>
        <v>36.1267</v>
      </c>
      <c r="AW157">
        <f t="shared" si="33"/>
        <v>-1.44978614702</v>
      </c>
      <c r="AX157" s="9"/>
      <c r="AY157" s="21">
        <v>0.64025900000000002</v>
      </c>
      <c r="AZ157" s="21">
        <v>63.698399999999999</v>
      </c>
      <c r="BA157" s="21">
        <v>-2.0175200000000001E-2</v>
      </c>
      <c r="BB157" s="21">
        <v>147</v>
      </c>
      <c r="BC157" s="21">
        <v>0.639374</v>
      </c>
      <c r="BD157">
        <f t="shared" si="34"/>
        <v>20.1752</v>
      </c>
      <c r="BE157">
        <f t="shared" si="35"/>
        <v>12.917353376800001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-4.5165999999999998E-2</v>
      </c>
      <c r="H158" s="21">
        <v>32.589300000000001</v>
      </c>
      <c r="I158" s="21">
        <v>-3.6142000000000001E-2</v>
      </c>
      <c r="J158" s="21">
        <v>148</v>
      </c>
      <c r="K158" s="21">
        <v>-4.5602400000000001E-2</v>
      </c>
      <c r="L158">
        <f t="shared" si="24"/>
        <v>36.142000000000003</v>
      </c>
      <c r="M158">
        <f t="shared" si="25"/>
        <v>-1.6323895720000001</v>
      </c>
      <c r="N158" s="9"/>
      <c r="O158" s="21">
        <v>0.64529400000000003</v>
      </c>
      <c r="P158" s="21">
        <v>37.0139</v>
      </c>
      <c r="Q158" s="21">
        <v>-1.97571E-2</v>
      </c>
      <c r="R158" s="21">
        <v>148</v>
      </c>
      <c r="S158" s="21">
        <v>0.64440900000000001</v>
      </c>
      <c r="T158">
        <f t="shared" si="26"/>
        <v>19.757100000000001</v>
      </c>
      <c r="U158">
        <f t="shared" si="27"/>
        <v>12.749138087400002</v>
      </c>
      <c r="X158" s="9"/>
      <c r="Y158" s="21">
        <v>-4.5165999999999998E-2</v>
      </c>
      <c r="Z158" s="21">
        <v>39.7545</v>
      </c>
      <c r="AA158" s="21">
        <v>-3.6111499999999998E-2</v>
      </c>
      <c r="AB158" s="21">
        <v>148</v>
      </c>
      <c r="AC158" s="21">
        <v>-4.5623799999999999E-2</v>
      </c>
      <c r="AD158">
        <f t="shared" si="28"/>
        <v>36.111499999999999</v>
      </c>
      <c r="AE158">
        <f t="shared" si="29"/>
        <v>-1.631012009</v>
      </c>
      <c r="AF158" s="9"/>
      <c r="AG158" s="21">
        <v>0.64529400000000003</v>
      </c>
      <c r="AH158" s="21">
        <v>43.0321</v>
      </c>
      <c r="AI158" s="21">
        <v>-1.9476299999999998E-2</v>
      </c>
      <c r="AJ158" s="21">
        <v>148</v>
      </c>
      <c r="AK158" s="21">
        <v>0.64444000000000001</v>
      </c>
      <c r="AL158">
        <f t="shared" si="30"/>
        <v>19.476299999999998</v>
      </c>
      <c r="AM158">
        <f t="shared" si="31"/>
        <v>12.5679395322</v>
      </c>
      <c r="AP158" s="9"/>
      <c r="AQ158" s="21">
        <v>-4.5165999999999998E-2</v>
      </c>
      <c r="AR158" s="21">
        <v>50.9377</v>
      </c>
      <c r="AS158" s="21">
        <v>-3.61572E-2</v>
      </c>
      <c r="AT158" s="21">
        <v>148</v>
      </c>
      <c r="AU158" s="21">
        <v>-4.56207E-2</v>
      </c>
      <c r="AV158">
        <f t="shared" si="32"/>
        <v>36.157200000000003</v>
      </c>
      <c r="AW158">
        <f t="shared" si="33"/>
        <v>-1.6330760952000001</v>
      </c>
      <c r="AX158" s="9"/>
      <c r="AY158" s="21">
        <v>0.64529400000000003</v>
      </c>
      <c r="AZ158" s="21">
        <v>63.708500000000001</v>
      </c>
      <c r="BA158" s="21">
        <v>-1.8414300000000002E-2</v>
      </c>
      <c r="BB158" s="21">
        <v>148</v>
      </c>
      <c r="BC158" s="21">
        <v>0.64440900000000001</v>
      </c>
      <c r="BD158">
        <f t="shared" si="34"/>
        <v>18.414300000000001</v>
      </c>
      <c r="BE158">
        <f t="shared" si="35"/>
        <v>11.882637304200001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-5.02014E-2</v>
      </c>
      <c r="H159" s="21">
        <v>32.599400000000003</v>
      </c>
      <c r="I159" s="21">
        <v>-3.6142000000000001E-2</v>
      </c>
      <c r="J159" s="21">
        <v>149</v>
      </c>
      <c r="K159" s="21">
        <v>-5.1178000000000001E-2</v>
      </c>
      <c r="L159">
        <f t="shared" si="24"/>
        <v>36.142000000000003</v>
      </c>
      <c r="M159">
        <f t="shared" si="25"/>
        <v>-1.8143789988000001</v>
      </c>
      <c r="N159" s="9"/>
      <c r="O159" s="21">
        <v>0.65032999999999996</v>
      </c>
      <c r="P159" s="21">
        <v>37.024000000000001</v>
      </c>
      <c r="Q159" s="21">
        <v>-1.79443E-2</v>
      </c>
      <c r="R159" s="21">
        <v>149</v>
      </c>
      <c r="S159" s="21">
        <v>0.64947500000000002</v>
      </c>
      <c r="T159">
        <f t="shared" si="26"/>
        <v>17.944299999999998</v>
      </c>
      <c r="U159">
        <f t="shared" si="27"/>
        <v>11.669716618999999</v>
      </c>
      <c r="X159" s="9"/>
      <c r="Y159" s="21">
        <v>-5.02014E-2</v>
      </c>
      <c r="Z159" s="21">
        <v>39.764600000000002</v>
      </c>
      <c r="AA159" s="21">
        <v>-3.6108399999999999E-2</v>
      </c>
      <c r="AB159" s="21">
        <v>149</v>
      </c>
      <c r="AC159" s="21">
        <v>-5.1208499999999997E-2</v>
      </c>
      <c r="AD159">
        <f t="shared" si="28"/>
        <v>36.108399999999996</v>
      </c>
      <c r="AE159">
        <f t="shared" si="29"/>
        <v>-1.8126922317599998</v>
      </c>
      <c r="AF159" s="9"/>
      <c r="AG159" s="21">
        <v>0.65032999999999996</v>
      </c>
      <c r="AH159" s="21">
        <v>43.042099999999998</v>
      </c>
      <c r="AI159" s="21">
        <v>-1.7654400000000001E-2</v>
      </c>
      <c r="AJ159" s="21">
        <v>149</v>
      </c>
      <c r="AK159" s="21">
        <v>0.64950600000000003</v>
      </c>
      <c r="AL159">
        <f t="shared" si="30"/>
        <v>17.654399999999999</v>
      </c>
      <c r="AM159">
        <f t="shared" si="31"/>
        <v>11.481185951999999</v>
      </c>
      <c r="AP159" s="9"/>
      <c r="AQ159" s="21">
        <v>-5.02014E-2</v>
      </c>
      <c r="AR159" s="21">
        <v>50.947800000000001</v>
      </c>
      <c r="AS159" s="21">
        <v>-3.6175499999999999E-2</v>
      </c>
      <c r="AT159" s="21">
        <v>149</v>
      </c>
      <c r="AU159" s="21">
        <v>-5.1239E-2</v>
      </c>
      <c r="AV159">
        <f t="shared" si="32"/>
        <v>36.1755</v>
      </c>
      <c r="AW159">
        <f t="shared" si="33"/>
        <v>-1.8160607457</v>
      </c>
      <c r="AX159" s="9"/>
      <c r="AY159" s="21">
        <v>0.65032999999999996</v>
      </c>
      <c r="AZ159" s="21">
        <v>63.718600000000002</v>
      </c>
      <c r="BA159" s="21">
        <v>-1.6522200000000001E-2</v>
      </c>
      <c r="BB159" s="21">
        <v>149</v>
      </c>
      <c r="BC159" s="21">
        <v>0.64950600000000003</v>
      </c>
      <c r="BD159">
        <f t="shared" si="34"/>
        <v>16.522200000000002</v>
      </c>
      <c r="BE159">
        <f t="shared" si="35"/>
        <v>10.744882326000001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-5.5236800000000003E-2</v>
      </c>
      <c r="H160" s="21">
        <v>32.609499999999997</v>
      </c>
      <c r="I160" s="21">
        <v>-3.6151099999999999E-2</v>
      </c>
      <c r="J160" s="21">
        <v>150</v>
      </c>
      <c r="K160" s="21">
        <v>-5.6243899999999999E-2</v>
      </c>
      <c r="L160">
        <f t="shared" si="24"/>
        <v>36.1511</v>
      </c>
      <c r="M160">
        <f t="shared" si="25"/>
        <v>-1.9968710804800001</v>
      </c>
      <c r="N160" s="9"/>
      <c r="O160" s="21">
        <v>0.65536499999999998</v>
      </c>
      <c r="P160" s="21">
        <v>37.033999999999999</v>
      </c>
      <c r="Q160" s="21">
        <v>-1.5979E-2</v>
      </c>
      <c r="R160" s="21">
        <v>150</v>
      </c>
      <c r="S160" s="21">
        <v>0.65454100000000004</v>
      </c>
      <c r="T160">
        <f t="shared" si="26"/>
        <v>15.979000000000001</v>
      </c>
      <c r="U160">
        <f t="shared" si="27"/>
        <v>10.472077335</v>
      </c>
      <c r="X160" s="9"/>
      <c r="Y160" s="21">
        <v>-5.5236800000000003E-2</v>
      </c>
      <c r="Z160" s="21">
        <v>39.7746</v>
      </c>
      <c r="AA160" s="21">
        <v>-3.61053E-2</v>
      </c>
      <c r="AB160" s="21">
        <v>150</v>
      </c>
      <c r="AC160" s="21">
        <v>-5.6213399999999997E-2</v>
      </c>
      <c r="AD160">
        <f t="shared" si="28"/>
        <v>36.1053</v>
      </c>
      <c r="AE160">
        <f t="shared" si="29"/>
        <v>-1.99434123504</v>
      </c>
      <c r="AF160" s="9"/>
      <c r="AG160" s="21">
        <v>0.65536499999999998</v>
      </c>
      <c r="AH160" s="21">
        <v>43.052199999999999</v>
      </c>
      <c r="AI160" s="21">
        <v>-1.5658600000000002E-2</v>
      </c>
      <c r="AJ160" s="21">
        <v>150</v>
      </c>
      <c r="AK160" s="21">
        <v>0.65451000000000004</v>
      </c>
      <c r="AL160">
        <f t="shared" si="30"/>
        <v>15.658600000000002</v>
      </c>
      <c r="AM160">
        <f t="shared" si="31"/>
        <v>10.262098389</v>
      </c>
      <c r="AP160" s="9"/>
      <c r="AQ160" s="21">
        <v>-5.5236800000000003E-2</v>
      </c>
      <c r="AR160" s="21">
        <v>50.957900000000002</v>
      </c>
      <c r="AS160" s="21">
        <v>-3.6169399999999997E-2</v>
      </c>
      <c r="AT160" s="21">
        <v>150</v>
      </c>
      <c r="AU160" s="21">
        <v>-5.6213399999999997E-2</v>
      </c>
      <c r="AV160">
        <f t="shared" si="32"/>
        <v>36.169399999999996</v>
      </c>
      <c r="AW160">
        <f t="shared" si="33"/>
        <v>-1.9978819139199999</v>
      </c>
      <c r="AX160" s="9"/>
      <c r="AY160" s="21">
        <v>0.65536499999999998</v>
      </c>
      <c r="AZ160" s="21">
        <v>63.7286</v>
      </c>
      <c r="BA160" s="21">
        <v>-1.4419599999999999E-2</v>
      </c>
      <c r="BB160" s="21">
        <v>150</v>
      </c>
      <c r="BC160" s="21">
        <v>0.65460200000000002</v>
      </c>
      <c r="BD160">
        <f t="shared" si="34"/>
        <v>14.419599999999999</v>
      </c>
      <c r="BE160">
        <f t="shared" si="35"/>
        <v>9.4501011539999986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-6.0272199999999998E-2</v>
      </c>
      <c r="H161" s="21">
        <v>32.619500000000002</v>
      </c>
      <c r="I161" s="21">
        <v>-3.6151099999999999E-2</v>
      </c>
      <c r="J161" s="21">
        <v>151</v>
      </c>
      <c r="K161" s="21">
        <v>-6.1218300000000003E-2</v>
      </c>
      <c r="L161">
        <f t="shared" si="24"/>
        <v>36.1511</v>
      </c>
      <c r="M161">
        <f t="shared" si="25"/>
        <v>-2.1789063294199997</v>
      </c>
      <c r="N161" s="9"/>
      <c r="O161" s="21">
        <v>0.66039999999999999</v>
      </c>
      <c r="P161" s="21">
        <v>37.0441</v>
      </c>
      <c r="Q161" s="21">
        <v>-1.3842800000000001E-2</v>
      </c>
      <c r="R161" s="21">
        <v>151</v>
      </c>
      <c r="S161" s="21">
        <v>0.65957600000000005</v>
      </c>
      <c r="T161">
        <f t="shared" si="26"/>
        <v>13.8428</v>
      </c>
      <c r="U161">
        <f t="shared" si="27"/>
        <v>9.1417851199999998</v>
      </c>
      <c r="X161" s="9"/>
      <c r="Y161" s="21">
        <v>-6.0272199999999998E-2</v>
      </c>
      <c r="Z161" s="21">
        <v>39.784700000000001</v>
      </c>
      <c r="AA161" s="21">
        <v>-3.61053E-2</v>
      </c>
      <c r="AB161" s="21">
        <v>151</v>
      </c>
      <c r="AC161" s="21">
        <v>-6.1248799999999999E-2</v>
      </c>
      <c r="AD161">
        <f t="shared" si="28"/>
        <v>36.1053</v>
      </c>
      <c r="AE161">
        <f t="shared" si="29"/>
        <v>-2.1761458626599999</v>
      </c>
      <c r="AF161" s="9"/>
      <c r="AG161" s="21">
        <v>0.66039999999999999</v>
      </c>
      <c r="AH161" s="21">
        <v>43.0623</v>
      </c>
      <c r="AI161" s="21">
        <v>-1.34827E-2</v>
      </c>
      <c r="AJ161" s="21">
        <v>151</v>
      </c>
      <c r="AK161" s="21">
        <v>0.65969800000000001</v>
      </c>
      <c r="AL161">
        <f t="shared" si="30"/>
        <v>13.482699999999999</v>
      </c>
      <c r="AM161">
        <f t="shared" si="31"/>
        <v>8.9039750799999986</v>
      </c>
      <c r="AP161" s="9"/>
      <c r="AQ161" s="21">
        <v>-6.0272199999999998E-2</v>
      </c>
      <c r="AR161" s="21">
        <v>50.9679</v>
      </c>
      <c r="AS161" s="21">
        <v>-3.61572E-2</v>
      </c>
      <c r="AT161" s="21">
        <v>151</v>
      </c>
      <c r="AU161" s="21">
        <v>-6.1279300000000002E-2</v>
      </c>
      <c r="AV161">
        <f t="shared" si="32"/>
        <v>36.157200000000003</v>
      </c>
      <c r="AW161">
        <f t="shared" si="33"/>
        <v>-2.17927398984</v>
      </c>
      <c r="AX161" s="9"/>
      <c r="AY161" s="21">
        <v>0.66039999999999999</v>
      </c>
      <c r="AZ161" s="21">
        <v>63.738700000000001</v>
      </c>
      <c r="BA161" s="21">
        <v>-1.21826E-2</v>
      </c>
      <c r="BB161" s="21">
        <v>151</v>
      </c>
      <c r="BC161" s="21">
        <v>0.65966800000000003</v>
      </c>
      <c r="BD161">
        <f t="shared" si="34"/>
        <v>12.182600000000001</v>
      </c>
      <c r="BE161">
        <f t="shared" si="35"/>
        <v>8.0453890399999999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-6.5307599999999993E-2</v>
      </c>
      <c r="H162" s="21">
        <v>32.629600000000003</v>
      </c>
      <c r="I162" s="21">
        <v>-3.6142000000000001E-2</v>
      </c>
      <c r="J162" s="21">
        <v>152</v>
      </c>
      <c r="K162" s="21">
        <v>-6.6192600000000004E-2</v>
      </c>
      <c r="L162">
        <f t="shared" si="24"/>
        <v>36.142000000000003</v>
      </c>
      <c r="M162">
        <f t="shared" si="25"/>
        <v>-2.3603472792</v>
      </c>
      <c r="N162" s="9"/>
      <c r="O162" s="21">
        <v>0.66543600000000003</v>
      </c>
      <c r="P162" s="21">
        <v>37.054200000000002</v>
      </c>
      <c r="Q162" s="21">
        <v>-1.15082E-2</v>
      </c>
      <c r="R162" s="21">
        <v>152</v>
      </c>
      <c r="S162" s="21">
        <v>0.66479500000000002</v>
      </c>
      <c r="T162">
        <f t="shared" si="26"/>
        <v>11.5082</v>
      </c>
      <c r="U162">
        <f t="shared" si="27"/>
        <v>7.6579705752000002</v>
      </c>
      <c r="X162" s="9"/>
      <c r="Y162" s="21">
        <v>-6.5307599999999993E-2</v>
      </c>
      <c r="Z162" s="21">
        <v>39.794800000000002</v>
      </c>
      <c r="AA162" s="21">
        <v>-3.6096200000000002E-2</v>
      </c>
      <c r="AB162" s="21">
        <v>152</v>
      </c>
      <c r="AC162" s="21">
        <v>-6.6223099999999993E-2</v>
      </c>
      <c r="AD162">
        <f t="shared" si="28"/>
        <v>36.096200000000003</v>
      </c>
      <c r="AE162">
        <f t="shared" si="29"/>
        <v>-2.3573561911200001</v>
      </c>
      <c r="AF162" s="9"/>
      <c r="AG162" s="21">
        <v>0.66543600000000003</v>
      </c>
      <c r="AH162" s="21">
        <v>43.072299999999998</v>
      </c>
      <c r="AI162" s="21">
        <v>-1.1114499999999999E-2</v>
      </c>
      <c r="AJ162" s="21">
        <v>152</v>
      </c>
      <c r="AK162" s="21">
        <v>0.66470300000000004</v>
      </c>
      <c r="AL162">
        <f t="shared" si="30"/>
        <v>11.1145</v>
      </c>
      <c r="AM162">
        <f t="shared" si="31"/>
        <v>7.3959884220000003</v>
      </c>
      <c r="AP162" s="9"/>
      <c r="AQ162" s="21">
        <v>-6.5307599999999993E-2</v>
      </c>
      <c r="AR162" s="21">
        <v>50.978000000000002</v>
      </c>
      <c r="AS162" s="21">
        <v>-3.6151099999999999E-2</v>
      </c>
      <c r="AT162" s="21">
        <v>152</v>
      </c>
      <c r="AU162" s="21">
        <v>-6.6162100000000001E-2</v>
      </c>
      <c r="AV162">
        <f t="shared" si="32"/>
        <v>36.1511</v>
      </c>
      <c r="AW162">
        <f t="shared" si="33"/>
        <v>-2.3609415783599998</v>
      </c>
      <c r="AX162" s="9"/>
      <c r="AY162" s="21">
        <v>0.66543600000000003</v>
      </c>
      <c r="AZ162" s="21">
        <v>63.748800000000003</v>
      </c>
      <c r="BA162" s="21">
        <v>-9.6862800000000002E-3</v>
      </c>
      <c r="BB162" s="21">
        <v>152</v>
      </c>
      <c r="BC162" s="21">
        <v>0.66476400000000002</v>
      </c>
      <c r="BD162">
        <f t="shared" si="34"/>
        <v>9.68628</v>
      </c>
      <c r="BE162">
        <f t="shared" si="35"/>
        <v>6.4455994180800005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-7.0343000000000003E-2</v>
      </c>
      <c r="H163" s="21">
        <v>32.639699999999998</v>
      </c>
      <c r="I163" s="21">
        <v>-3.6138900000000002E-2</v>
      </c>
      <c r="J163" s="21">
        <v>153</v>
      </c>
      <c r="K163" s="21">
        <v>-7.13501E-2</v>
      </c>
      <c r="L163">
        <f t="shared" si="24"/>
        <v>36.1389</v>
      </c>
      <c r="M163">
        <f t="shared" si="25"/>
        <v>-2.5421186427000002</v>
      </c>
      <c r="N163" s="9"/>
      <c r="O163" s="21">
        <v>0.67047100000000004</v>
      </c>
      <c r="P163" s="21">
        <v>37.064300000000003</v>
      </c>
      <c r="Q163" s="21">
        <v>-8.9691200000000006E-3</v>
      </c>
      <c r="R163" s="21">
        <v>153</v>
      </c>
      <c r="S163" s="21">
        <v>0.66973899999999997</v>
      </c>
      <c r="T163">
        <f t="shared" si="26"/>
        <v>8.9691200000000002</v>
      </c>
      <c r="U163">
        <f t="shared" si="27"/>
        <v>6.0135348555200006</v>
      </c>
      <c r="X163" s="9"/>
      <c r="Y163" s="21">
        <v>-7.0343000000000003E-2</v>
      </c>
      <c r="Z163" s="21">
        <v>39.8048</v>
      </c>
      <c r="AA163" s="21">
        <v>-3.6093100000000003E-2</v>
      </c>
      <c r="AB163" s="21">
        <v>153</v>
      </c>
      <c r="AC163" s="21">
        <v>-7.1289099999999994E-2</v>
      </c>
      <c r="AD163">
        <f t="shared" si="28"/>
        <v>36.0931</v>
      </c>
      <c r="AE163">
        <f t="shared" si="29"/>
        <v>-2.5388969333000002</v>
      </c>
      <c r="AF163" s="9"/>
      <c r="AG163" s="21">
        <v>0.67047100000000004</v>
      </c>
      <c r="AH163" s="21">
        <v>43.0824</v>
      </c>
      <c r="AI163" s="21">
        <v>-8.5662800000000008E-3</v>
      </c>
      <c r="AJ163" s="21">
        <v>153</v>
      </c>
      <c r="AK163" s="21">
        <v>0.66976899999999995</v>
      </c>
      <c r="AL163">
        <f t="shared" si="30"/>
        <v>8.5662800000000008</v>
      </c>
      <c r="AM163">
        <f t="shared" si="31"/>
        <v>5.7434423178800005</v>
      </c>
      <c r="AP163" s="9"/>
      <c r="AQ163" s="21">
        <v>-7.0343000000000003E-2</v>
      </c>
      <c r="AR163" s="21">
        <v>50.988100000000003</v>
      </c>
      <c r="AS163" s="21">
        <v>-3.6148100000000002E-2</v>
      </c>
      <c r="AT163" s="21">
        <v>153</v>
      </c>
      <c r="AU163" s="21">
        <v>-7.1319599999999997E-2</v>
      </c>
      <c r="AV163">
        <f t="shared" si="32"/>
        <v>36.148099999999999</v>
      </c>
      <c r="AW163">
        <f t="shared" si="33"/>
        <v>-2.5427657983</v>
      </c>
      <c r="AX163" s="9"/>
      <c r="AY163" s="21">
        <v>0.67047100000000004</v>
      </c>
      <c r="AZ163" s="21">
        <v>63.758899999999997</v>
      </c>
      <c r="BA163" s="21">
        <v>-7.0465099999999998E-3</v>
      </c>
      <c r="BB163" s="21">
        <v>153</v>
      </c>
      <c r="BC163" s="21">
        <v>0.66979999999999995</v>
      </c>
      <c r="BD163">
        <f t="shared" si="34"/>
        <v>7.0465099999999996</v>
      </c>
      <c r="BE163">
        <f t="shared" si="35"/>
        <v>4.7244806062100002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-7.5378399999999998E-2</v>
      </c>
      <c r="H164" s="21">
        <v>32.649700000000003</v>
      </c>
      <c r="I164" s="21">
        <v>-3.6135899999999999E-2</v>
      </c>
      <c r="J164" s="21">
        <v>154</v>
      </c>
      <c r="K164" s="21">
        <v>-7.6324500000000003E-2</v>
      </c>
      <c r="L164">
        <f t="shared" si="24"/>
        <v>36.135899999999999</v>
      </c>
      <c r="M164">
        <f t="shared" si="25"/>
        <v>-2.7238663245599999</v>
      </c>
      <c r="N164" s="9"/>
      <c r="O164" s="21">
        <v>0.67550699999999997</v>
      </c>
      <c r="P164" s="21">
        <v>37.074300000000001</v>
      </c>
      <c r="Q164" s="21">
        <v>-6.2347399999999999E-3</v>
      </c>
      <c r="R164" s="21">
        <v>154</v>
      </c>
      <c r="S164" s="21">
        <v>0.67486599999999997</v>
      </c>
      <c r="T164">
        <f t="shared" si="26"/>
        <v>6.2347399999999995</v>
      </c>
      <c r="U164">
        <f t="shared" si="27"/>
        <v>4.2116105131799992</v>
      </c>
      <c r="X164" s="9"/>
      <c r="Y164" s="21">
        <v>-7.5378399999999998E-2</v>
      </c>
      <c r="Z164" s="21">
        <v>39.814900000000002</v>
      </c>
      <c r="AA164" s="21">
        <v>-3.61053E-2</v>
      </c>
      <c r="AB164" s="21">
        <v>154</v>
      </c>
      <c r="AC164" s="21">
        <v>-7.6293899999999998E-2</v>
      </c>
      <c r="AD164">
        <f t="shared" si="28"/>
        <v>36.1053</v>
      </c>
      <c r="AE164">
        <f t="shared" si="29"/>
        <v>-2.72155974552</v>
      </c>
      <c r="AF164" s="9"/>
      <c r="AG164" s="21">
        <v>0.67550699999999997</v>
      </c>
      <c r="AH164" s="21">
        <v>43.092500000000001</v>
      </c>
      <c r="AI164" s="21">
        <v>-5.7861299999999996E-3</v>
      </c>
      <c r="AJ164" s="21">
        <v>154</v>
      </c>
      <c r="AK164" s="21">
        <v>0.67483499999999996</v>
      </c>
      <c r="AL164">
        <f t="shared" si="30"/>
        <v>5.78613</v>
      </c>
      <c r="AM164">
        <f t="shared" si="31"/>
        <v>3.9085713179099999</v>
      </c>
      <c r="AP164" s="9"/>
      <c r="AQ164" s="21">
        <v>-7.5378399999999998E-2</v>
      </c>
      <c r="AR164" s="21">
        <v>50.998199999999997</v>
      </c>
      <c r="AS164" s="21">
        <v>-3.6148100000000002E-2</v>
      </c>
      <c r="AT164" s="21">
        <v>154</v>
      </c>
      <c r="AU164" s="21">
        <v>-7.6355000000000006E-2</v>
      </c>
      <c r="AV164">
        <f t="shared" si="32"/>
        <v>36.148099999999999</v>
      </c>
      <c r="AW164">
        <f t="shared" si="33"/>
        <v>-2.7247859410399999</v>
      </c>
      <c r="AX164" s="9"/>
      <c r="AY164" s="21">
        <v>0.67550699999999997</v>
      </c>
      <c r="AZ164" s="21">
        <v>63.768900000000002</v>
      </c>
      <c r="BA164" s="21">
        <v>-4.1223099999999997E-3</v>
      </c>
      <c r="BB164" s="21">
        <v>154</v>
      </c>
      <c r="BC164" s="21">
        <v>0.67489600000000005</v>
      </c>
      <c r="BD164">
        <f t="shared" si="34"/>
        <v>4.1223099999999997</v>
      </c>
      <c r="BE164">
        <f t="shared" si="35"/>
        <v>2.7846492611699998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-8.0413799999999994E-2</v>
      </c>
      <c r="H165" s="21">
        <v>32.659799999999997</v>
      </c>
      <c r="I165" s="21">
        <v>-3.61328E-2</v>
      </c>
      <c r="J165" s="21">
        <v>155</v>
      </c>
      <c r="K165" s="21">
        <v>-8.1359899999999999E-2</v>
      </c>
      <c r="L165">
        <f t="shared" si="24"/>
        <v>36.132800000000003</v>
      </c>
      <c r="M165">
        <f t="shared" si="25"/>
        <v>-2.9055757526399999</v>
      </c>
      <c r="N165" s="9"/>
      <c r="O165" s="21">
        <v>0.68054199999999998</v>
      </c>
      <c r="P165" s="21">
        <v>37.084400000000002</v>
      </c>
      <c r="Q165" s="21">
        <v>-3.2702600000000001E-3</v>
      </c>
      <c r="R165" s="21">
        <v>155</v>
      </c>
      <c r="S165" s="21">
        <v>0.67996199999999996</v>
      </c>
      <c r="T165">
        <f t="shared" si="26"/>
        <v>3.2702599999999999</v>
      </c>
      <c r="U165">
        <f t="shared" si="27"/>
        <v>2.2255492809199997</v>
      </c>
      <c r="X165" s="9"/>
      <c r="Y165" s="21">
        <v>-8.0413799999999994E-2</v>
      </c>
      <c r="Z165" s="21">
        <v>39.825000000000003</v>
      </c>
      <c r="AA165" s="21">
        <v>-3.6102299999999997E-2</v>
      </c>
      <c r="AB165" s="21">
        <v>155</v>
      </c>
      <c r="AC165" s="21">
        <v>-8.1451399999999993E-2</v>
      </c>
      <c r="AD165">
        <f t="shared" si="28"/>
        <v>36.1023</v>
      </c>
      <c r="AE165">
        <f t="shared" si="29"/>
        <v>-2.9031231317399997</v>
      </c>
      <c r="AF165" s="9"/>
      <c r="AG165" s="21">
        <v>0.68054199999999998</v>
      </c>
      <c r="AH165" s="21">
        <v>43.102600000000002</v>
      </c>
      <c r="AI165" s="21">
        <v>-2.80365E-3</v>
      </c>
      <c r="AJ165" s="21">
        <v>155</v>
      </c>
      <c r="AK165" s="21">
        <v>0.67993199999999998</v>
      </c>
      <c r="AL165">
        <f t="shared" si="30"/>
        <v>2.8036500000000002</v>
      </c>
      <c r="AM165">
        <f t="shared" si="31"/>
        <v>1.9080015783000002</v>
      </c>
      <c r="AP165" s="9"/>
      <c r="AQ165" s="21">
        <v>-8.0413799999999994E-2</v>
      </c>
      <c r="AR165" s="21">
        <v>51.008200000000002</v>
      </c>
      <c r="AS165" s="21">
        <v>-3.6163300000000002E-2</v>
      </c>
      <c r="AT165" s="21">
        <v>155</v>
      </c>
      <c r="AU165" s="21">
        <v>-8.1420900000000004E-2</v>
      </c>
      <c r="AV165">
        <f t="shared" si="32"/>
        <v>36.1633</v>
      </c>
      <c r="AW165">
        <f t="shared" si="33"/>
        <v>-2.9080283735399997</v>
      </c>
      <c r="AX165" s="9"/>
      <c r="AY165" s="21">
        <v>0.68054199999999998</v>
      </c>
      <c r="AZ165" s="21">
        <v>63.779000000000003</v>
      </c>
      <c r="BA165" s="21">
        <v>-1.04156E-3</v>
      </c>
      <c r="BB165" s="21">
        <v>155</v>
      </c>
      <c r="BC165" s="21">
        <v>0.68005400000000005</v>
      </c>
      <c r="BD165">
        <f t="shared" si="34"/>
        <v>1.04156</v>
      </c>
      <c r="BE165">
        <f t="shared" si="35"/>
        <v>0.70882532551999999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-8.5449200000000003E-2</v>
      </c>
      <c r="H166" s="21">
        <v>32.669899999999998</v>
      </c>
      <c r="I166" s="21">
        <v>-3.6138900000000002E-2</v>
      </c>
      <c r="J166" s="21">
        <v>156</v>
      </c>
      <c r="K166" s="21">
        <v>-8.6395299999999994E-2</v>
      </c>
      <c r="L166">
        <f t="shared" si="24"/>
        <v>36.1389</v>
      </c>
      <c r="M166">
        <f t="shared" si="25"/>
        <v>-3.0880400938800001</v>
      </c>
      <c r="N166" s="9"/>
      <c r="O166" s="21">
        <v>0.68557699999999999</v>
      </c>
      <c r="P166" s="21">
        <v>37.094499999999996</v>
      </c>
      <c r="Q166" s="24">
        <v>-9.0362499999999994E-5</v>
      </c>
      <c r="R166" s="21">
        <v>156</v>
      </c>
      <c r="S166" s="21">
        <v>0.68502799999999997</v>
      </c>
      <c r="T166">
        <f t="shared" si="26"/>
        <v>9.0362499999999998E-2</v>
      </c>
      <c r="U166">
        <f t="shared" si="27"/>
        <v>6.1950451662499996E-2</v>
      </c>
      <c r="X166" s="9"/>
      <c r="Y166" s="21">
        <v>-8.5449200000000003E-2</v>
      </c>
      <c r="Z166" s="21">
        <v>39.835000000000001</v>
      </c>
      <c r="AA166" s="21">
        <v>-3.6099199999999998E-2</v>
      </c>
      <c r="AB166" s="21">
        <v>156</v>
      </c>
      <c r="AC166" s="21">
        <v>-8.6425799999999997E-2</v>
      </c>
      <c r="AD166">
        <f t="shared" si="28"/>
        <v>36.099199999999996</v>
      </c>
      <c r="AE166">
        <f t="shared" si="29"/>
        <v>-3.0846477606399998</v>
      </c>
      <c r="AF166" s="9"/>
      <c r="AG166" s="21">
        <v>0.68557699999999999</v>
      </c>
      <c r="AH166" s="21">
        <v>43.1126</v>
      </c>
      <c r="AI166" s="21">
        <v>4.2861899999999998E-4</v>
      </c>
      <c r="AJ166" s="21">
        <v>156</v>
      </c>
      <c r="AK166" s="21">
        <v>0.684998</v>
      </c>
      <c r="AL166">
        <f t="shared" si="30"/>
        <v>-0.42861899999999997</v>
      </c>
      <c r="AM166">
        <f t="shared" si="31"/>
        <v>-0.29385132816299997</v>
      </c>
      <c r="AP166" s="9"/>
      <c r="AQ166" s="21">
        <v>-8.5449200000000003E-2</v>
      </c>
      <c r="AR166" s="21">
        <v>51.018300000000004</v>
      </c>
      <c r="AS166" s="21">
        <v>-3.6160299999999999E-2</v>
      </c>
      <c r="AT166" s="21">
        <v>156</v>
      </c>
      <c r="AU166" s="21">
        <v>-8.6425799999999997E-2</v>
      </c>
      <c r="AV166">
        <f t="shared" si="32"/>
        <v>36.160299999999999</v>
      </c>
      <c r="AW166">
        <f t="shared" si="33"/>
        <v>-3.0898687067599999</v>
      </c>
      <c r="AX166" s="9"/>
      <c r="AY166" s="21">
        <v>0.68557699999999999</v>
      </c>
      <c r="AZ166" s="21">
        <v>63.789099999999998</v>
      </c>
      <c r="BA166" s="21">
        <v>2.31934E-3</v>
      </c>
      <c r="BB166" s="21">
        <v>156</v>
      </c>
      <c r="BC166" s="21">
        <v>0.68505899999999997</v>
      </c>
      <c r="BD166">
        <f t="shared" si="34"/>
        <v>-2.31934</v>
      </c>
      <c r="BE166">
        <f t="shared" si="35"/>
        <v>-1.59008615918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-9.0484599999999998E-2</v>
      </c>
      <c r="H167" s="21">
        <v>32.679900000000004</v>
      </c>
      <c r="I167" s="21">
        <v>-3.6135899999999999E-2</v>
      </c>
      <c r="J167" s="21">
        <v>157</v>
      </c>
      <c r="K167" s="21">
        <v>-9.1430700000000004E-2</v>
      </c>
      <c r="L167">
        <f t="shared" si="24"/>
        <v>36.135899999999999</v>
      </c>
      <c r="M167">
        <f t="shared" si="25"/>
        <v>-3.26974245714</v>
      </c>
      <c r="N167" s="9"/>
      <c r="O167" s="21">
        <v>0.69061300000000003</v>
      </c>
      <c r="P167" s="21">
        <v>37.104500000000002</v>
      </c>
      <c r="Q167" s="21">
        <v>3.3383200000000001E-3</v>
      </c>
      <c r="R167" s="21">
        <v>157</v>
      </c>
      <c r="S167" s="21">
        <v>0.69018599999999997</v>
      </c>
      <c r="T167">
        <f t="shared" si="26"/>
        <v>-3.33832</v>
      </c>
      <c r="U167">
        <f t="shared" si="27"/>
        <v>-2.30548719016</v>
      </c>
      <c r="X167" s="9"/>
      <c r="Y167" s="21">
        <v>-9.0484599999999998E-2</v>
      </c>
      <c r="Z167" s="21">
        <v>39.845100000000002</v>
      </c>
      <c r="AA167" s="21">
        <v>-3.6114500000000001E-2</v>
      </c>
      <c r="AB167" s="21">
        <v>157</v>
      </c>
      <c r="AC167" s="21">
        <v>-9.1369599999999995E-2</v>
      </c>
      <c r="AD167">
        <f t="shared" si="28"/>
        <v>36.1145</v>
      </c>
      <c r="AE167">
        <f t="shared" si="29"/>
        <v>-3.2678060866999998</v>
      </c>
      <c r="AF167" s="9"/>
      <c r="AG167" s="21">
        <v>0.69061300000000003</v>
      </c>
      <c r="AH167" s="21">
        <v>43.122700000000002</v>
      </c>
      <c r="AI167" s="21">
        <v>3.87054E-3</v>
      </c>
      <c r="AJ167" s="21">
        <v>157</v>
      </c>
      <c r="AK167" s="21">
        <v>0.69012499999999999</v>
      </c>
      <c r="AL167">
        <f t="shared" si="30"/>
        <v>-3.8705400000000001</v>
      </c>
      <c r="AM167">
        <f t="shared" si="31"/>
        <v>-2.6730452410200001</v>
      </c>
      <c r="AP167" s="9"/>
      <c r="AQ167" s="21">
        <v>-9.0484599999999998E-2</v>
      </c>
      <c r="AR167" s="21">
        <v>51.028399999999998</v>
      </c>
      <c r="AS167" s="21">
        <v>-3.6175499999999999E-2</v>
      </c>
      <c r="AT167" s="21">
        <v>157</v>
      </c>
      <c r="AU167" s="21">
        <v>-9.1430700000000004E-2</v>
      </c>
      <c r="AV167">
        <f t="shared" si="32"/>
        <v>36.1755</v>
      </c>
      <c r="AW167">
        <f t="shared" si="33"/>
        <v>-3.2733256473000001</v>
      </c>
      <c r="AX167" s="9"/>
      <c r="AY167" s="21">
        <v>0.69061300000000003</v>
      </c>
      <c r="AZ167" s="21">
        <v>63.799100000000003</v>
      </c>
      <c r="BA167" s="21">
        <v>5.8410600000000003E-3</v>
      </c>
      <c r="BB167" s="21">
        <v>157</v>
      </c>
      <c r="BC167" s="21">
        <v>0.69021600000000005</v>
      </c>
      <c r="BD167">
        <f t="shared" si="34"/>
        <v>-5.8410600000000006</v>
      </c>
      <c r="BE167">
        <f t="shared" si="35"/>
        <v>-4.033911969780001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-9.5519999999999994E-2</v>
      </c>
      <c r="H168" s="21">
        <v>32.69</v>
      </c>
      <c r="I168" s="21">
        <v>-3.61328E-2</v>
      </c>
      <c r="J168" s="21">
        <v>158</v>
      </c>
      <c r="K168" s="21">
        <v>-9.6527100000000005E-2</v>
      </c>
      <c r="L168">
        <f t="shared" si="24"/>
        <v>36.132800000000003</v>
      </c>
      <c r="M168">
        <f t="shared" si="25"/>
        <v>-3.451405056</v>
      </c>
      <c r="N168" s="9"/>
      <c r="O168" s="21">
        <v>0.69564800000000004</v>
      </c>
      <c r="P168" s="21">
        <v>37.114600000000003</v>
      </c>
      <c r="Q168" s="21">
        <v>6.9702100000000001E-3</v>
      </c>
      <c r="R168" s="21">
        <v>158</v>
      </c>
      <c r="S168" s="21">
        <v>0.69528199999999996</v>
      </c>
      <c r="T168">
        <f t="shared" si="26"/>
        <v>-6.9702099999999998</v>
      </c>
      <c r="U168">
        <f t="shared" si="27"/>
        <v>-4.8488126460799998</v>
      </c>
      <c r="X168" s="9"/>
      <c r="Y168" s="21">
        <v>-9.5519999999999994E-2</v>
      </c>
      <c r="Z168" s="21">
        <v>39.855200000000004</v>
      </c>
      <c r="AA168" s="21">
        <v>-3.6123700000000002E-2</v>
      </c>
      <c r="AB168" s="21">
        <v>158</v>
      </c>
      <c r="AC168" s="21">
        <v>-9.6527100000000005E-2</v>
      </c>
      <c r="AD168">
        <f t="shared" si="28"/>
        <v>36.123699999999999</v>
      </c>
      <c r="AE168">
        <f t="shared" si="29"/>
        <v>-3.4505358239999997</v>
      </c>
      <c r="AF168" s="9"/>
      <c r="AG168" s="21">
        <v>0.69564800000000004</v>
      </c>
      <c r="AH168" s="21">
        <v>43.132800000000003</v>
      </c>
      <c r="AI168" s="21">
        <v>7.5683599999999997E-3</v>
      </c>
      <c r="AJ168" s="21">
        <v>158</v>
      </c>
      <c r="AK168" s="21">
        <v>0.69525099999999995</v>
      </c>
      <c r="AL168">
        <f t="shared" si="30"/>
        <v>-7.5683599999999993</v>
      </c>
      <c r="AM168">
        <f t="shared" si="31"/>
        <v>-5.2649144972799995</v>
      </c>
      <c r="AP168" s="9"/>
      <c r="AQ168" s="21">
        <v>-9.5519999999999994E-2</v>
      </c>
      <c r="AR168" s="21">
        <v>51.038400000000003</v>
      </c>
      <c r="AS168" s="21">
        <v>-3.61847E-2</v>
      </c>
      <c r="AT168" s="21">
        <v>158</v>
      </c>
      <c r="AU168" s="21">
        <v>-9.6588099999999996E-2</v>
      </c>
      <c r="AV168">
        <f t="shared" si="32"/>
        <v>36.184699999999999</v>
      </c>
      <c r="AW168">
        <f t="shared" si="33"/>
        <v>-3.4563625439999996</v>
      </c>
      <c r="AX168" s="9"/>
      <c r="AY168" s="21">
        <v>0.69564800000000004</v>
      </c>
      <c r="AZ168" s="21">
        <v>63.809199999999997</v>
      </c>
      <c r="BA168" s="21">
        <v>9.6923800000000004E-3</v>
      </c>
      <c r="BB168" s="21">
        <v>158</v>
      </c>
      <c r="BC168" s="21">
        <v>0.69531299999999996</v>
      </c>
      <c r="BD168">
        <f t="shared" si="34"/>
        <v>-9.69238</v>
      </c>
      <c r="BE168">
        <f t="shared" si="35"/>
        <v>-6.7424847622400002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-0.10055500000000001</v>
      </c>
      <c r="H169" s="21">
        <v>32.700099999999999</v>
      </c>
      <c r="I169" s="21">
        <v>-3.6142000000000001E-2</v>
      </c>
      <c r="J169" s="21">
        <v>159</v>
      </c>
      <c r="K169" s="21">
        <v>-0.101532</v>
      </c>
      <c r="L169">
        <f t="shared" si="24"/>
        <v>36.142000000000003</v>
      </c>
      <c r="M169">
        <f t="shared" si="25"/>
        <v>-3.6342588100000004</v>
      </c>
      <c r="N169" s="9"/>
      <c r="O169" s="21">
        <v>0.70068399999999997</v>
      </c>
      <c r="P169" s="21">
        <v>37.124699999999997</v>
      </c>
      <c r="Q169" s="21">
        <v>1.08795E-2</v>
      </c>
      <c r="R169" s="21">
        <v>159</v>
      </c>
      <c r="S169" s="21">
        <v>0.70031699999999997</v>
      </c>
      <c r="T169">
        <f t="shared" si="26"/>
        <v>-10.8795</v>
      </c>
      <c r="U169">
        <f t="shared" si="27"/>
        <v>-7.6230915779999995</v>
      </c>
      <c r="X169" s="9"/>
      <c r="Y169" s="21">
        <v>-0.10055500000000001</v>
      </c>
      <c r="Z169" s="21">
        <v>39.865299999999998</v>
      </c>
      <c r="AA169" s="21">
        <v>-3.6123700000000002E-2</v>
      </c>
      <c r="AB169" s="21">
        <v>159</v>
      </c>
      <c r="AC169" s="21">
        <v>-0.101532</v>
      </c>
      <c r="AD169">
        <f t="shared" si="28"/>
        <v>36.123699999999999</v>
      </c>
      <c r="AE169">
        <f t="shared" si="29"/>
        <v>-3.6324186535000003</v>
      </c>
      <c r="AF169" s="9"/>
      <c r="AG169" s="21">
        <v>0.70068399999999997</v>
      </c>
      <c r="AH169" s="21">
        <v>43.142800000000001</v>
      </c>
      <c r="AI169" s="21">
        <v>1.14929E-2</v>
      </c>
      <c r="AJ169" s="21">
        <v>159</v>
      </c>
      <c r="AK169" s="21">
        <v>0.70034799999999997</v>
      </c>
      <c r="AL169">
        <f t="shared" si="30"/>
        <v>-11.492900000000001</v>
      </c>
      <c r="AM169">
        <f t="shared" si="31"/>
        <v>-8.0528911436000001</v>
      </c>
      <c r="AP169" s="9"/>
      <c r="AQ169" s="21">
        <v>-0.10055500000000001</v>
      </c>
      <c r="AR169" s="21">
        <v>51.048499999999997</v>
      </c>
      <c r="AS169" s="21">
        <v>-3.6175499999999999E-2</v>
      </c>
      <c r="AT169" s="21">
        <v>159</v>
      </c>
      <c r="AU169" s="21">
        <v>-0.10162400000000001</v>
      </c>
      <c r="AV169">
        <f t="shared" si="32"/>
        <v>36.1755</v>
      </c>
      <c r="AW169">
        <f t="shared" si="33"/>
        <v>-3.6376274025000002</v>
      </c>
      <c r="AX169" s="9"/>
      <c r="AY169" s="21">
        <v>0.70068399999999997</v>
      </c>
      <c r="AZ169" s="21">
        <v>63.819299999999998</v>
      </c>
      <c r="BA169" s="21">
        <v>1.36963E-2</v>
      </c>
      <c r="BB169" s="21">
        <v>159</v>
      </c>
      <c r="BC169" s="21">
        <v>0.70040899999999995</v>
      </c>
      <c r="BD169">
        <f t="shared" si="34"/>
        <v>-13.696299999999999</v>
      </c>
      <c r="BE169">
        <f t="shared" si="35"/>
        <v>-9.5967782691999997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/>
      <c r="H257" s="21"/>
      <c r="I257" s="21"/>
      <c r="J257" s="21"/>
      <c r="K257" s="21"/>
      <c r="N257" s="9"/>
      <c r="O257" s="21"/>
      <c r="P257" s="21"/>
      <c r="Q257" s="21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1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/>
      <c r="H259" s="21"/>
      <c r="I259" s="21"/>
      <c r="J259" s="21"/>
      <c r="K259" s="21"/>
      <c r="N259" s="9"/>
      <c r="O259" s="21"/>
      <c r="P259" s="21"/>
      <c r="Q259" s="21"/>
      <c r="R259" s="21"/>
      <c r="S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1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/>
      <c r="H260" s="21"/>
      <c r="I260" s="21"/>
      <c r="J260" s="21"/>
      <c r="K260" s="21"/>
      <c r="N260" s="9"/>
      <c r="O260" s="21"/>
      <c r="P260" s="21"/>
      <c r="Q260" s="21"/>
      <c r="R260" s="21"/>
      <c r="S260" s="21"/>
      <c r="X260" s="9"/>
      <c r="Y260" s="21"/>
      <c r="Z260" s="21"/>
      <c r="AA260" s="21"/>
      <c r="AB260" s="21"/>
      <c r="AC260" s="21"/>
      <c r="AF260" s="9"/>
      <c r="AG260" s="21"/>
      <c r="AH260" s="21"/>
      <c r="AI260" s="21"/>
      <c r="AJ260" s="21"/>
      <c r="AK260" s="21"/>
      <c r="AP260" s="9"/>
      <c r="AQ260" s="21"/>
      <c r="AR260" s="21"/>
      <c r="AS260" s="21"/>
      <c r="AT260" s="21"/>
      <c r="AU260" s="21"/>
      <c r="AX260" s="9"/>
      <c r="AY260" s="21"/>
      <c r="AZ260" s="21"/>
      <c r="BA260" s="21"/>
      <c r="BB260" s="21"/>
      <c r="BC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/>
      <c r="H261" s="21"/>
      <c r="I261" s="21"/>
      <c r="J261" s="21"/>
      <c r="K261" s="21"/>
      <c r="N261" s="9"/>
      <c r="O261" s="21"/>
      <c r="P261" s="21"/>
      <c r="Q261" s="21"/>
      <c r="R261" s="21"/>
      <c r="S261" s="21"/>
      <c r="X261" s="9"/>
      <c r="Y261" s="21"/>
      <c r="Z261" s="21"/>
      <c r="AA261" s="21"/>
      <c r="AB261" s="21"/>
      <c r="AC261" s="21"/>
      <c r="AF261" s="9"/>
      <c r="AG261" s="21"/>
      <c r="AH261" s="21"/>
      <c r="AI261" s="21"/>
      <c r="AJ261" s="21"/>
      <c r="AK261" s="21"/>
      <c r="AP261" s="9"/>
      <c r="AQ261" s="21"/>
      <c r="AR261" s="21"/>
      <c r="AS261" s="21"/>
      <c r="AT261" s="21"/>
      <c r="AU261" s="21"/>
      <c r="AX261" s="9"/>
      <c r="AY261" s="21"/>
      <c r="AZ261" s="21"/>
      <c r="BA261" s="21"/>
      <c r="BB261" s="21"/>
      <c r="BC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/>
      <c r="H262" s="21"/>
      <c r="I262" s="21"/>
      <c r="J262" s="21"/>
      <c r="K262" s="21"/>
      <c r="N262" s="9"/>
      <c r="O262" s="21"/>
      <c r="P262" s="21"/>
      <c r="Q262" s="21"/>
      <c r="R262" s="21"/>
      <c r="S262" s="21"/>
      <c r="X262" s="9"/>
      <c r="Y262" s="21"/>
      <c r="Z262" s="21"/>
      <c r="AA262" s="21"/>
      <c r="AB262" s="21"/>
      <c r="AC262" s="21"/>
      <c r="AF262" s="9"/>
      <c r="AG262" s="21"/>
      <c r="AH262" s="21"/>
      <c r="AI262" s="21"/>
      <c r="AJ262" s="21"/>
      <c r="AK262" s="21"/>
      <c r="AP262" s="9"/>
      <c r="AQ262" s="21"/>
      <c r="AR262" s="21"/>
      <c r="AS262" s="21"/>
      <c r="AT262" s="21"/>
      <c r="AU262" s="21"/>
      <c r="AX262" s="9"/>
      <c r="AY262" s="21"/>
      <c r="AZ262" s="21"/>
      <c r="BA262" s="21"/>
      <c r="BB262" s="21"/>
      <c r="BC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/>
      <c r="H263" s="21"/>
      <c r="I263" s="21"/>
      <c r="J263" s="21"/>
      <c r="K263" s="21"/>
      <c r="N263" s="9"/>
      <c r="O263" s="21"/>
      <c r="P263" s="21"/>
      <c r="Q263" s="21"/>
      <c r="R263" s="21"/>
      <c r="S263" s="21"/>
      <c r="X263" s="9"/>
      <c r="Y263" s="21"/>
      <c r="Z263" s="21"/>
      <c r="AA263" s="21"/>
      <c r="AB263" s="21"/>
      <c r="AC263" s="21"/>
      <c r="AF263" s="9"/>
      <c r="AG263" s="21"/>
      <c r="AH263" s="21"/>
      <c r="AI263" s="21"/>
      <c r="AJ263" s="21"/>
      <c r="AK263" s="21"/>
      <c r="AP263" s="9"/>
      <c r="AQ263" s="21"/>
      <c r="AR263" s="21"/>
      <c r="AS263" s="21"/>
      <c r="AT263" s="21"/>
      <c r="AU263" s="21"/>
      <c r="AX263" s="9"/>
      <c r="AY263" s="21"/>
      <c r="AZ263" s="21"/>
      <c r="BA263" s="21"/>
      <c r="BB263" s="21"/>
      <c r="BC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/>
      <c r="H264" s="21"/>
      <c r="I264" s="21"/>
      <c r="J264" s="21"/>
      <c r="K264" s="21"/>
      <c r="N264" s="9"/>
      <c r="O264" s="21"/>
      <c r="P264" s="21"/>
      <c r="Q264" s="21"/>
      <c r="R264" s="21"/>
      <c r="S264" s="21"/>
      <c r="X264" s="9"/>
      <c r="Y264" s="21"/>
      <c r="Z264" s="21"/>
      <c r="AA264" s="21"/>
      <c r="AB264" s="21"/>
      <c r="AC264" s="21"/>
      <c r="AF264" s="9"/>
      <c r="AG264" s="21"/>
      <c r="AH264" s="21"/>
      <c r="AI264" s="21"/>
      <c r="AJ264" s="21"/>
      <c r="AK264" s="21"/>
      <c r="AP264" s="9"/>
      <c r="AQ264" s="21"/>
      <c r="AR264" s="21"/>
      <c r="AS264" s="21"/>
      <c r="AT264" s="21"/>
      <c r="AU264" s="21"/>
      <c r="AX264" s="9"/>
      <c r="AY264" s="21"/>
      <c r="AZ264" s="21"/>
      <c r="BA264" s="21"/>
      <c r="BB264" s="21"/>
      <c r="BC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/>
      <c r="H265" s="21"/>
      <c r="I265" s="21"/>
      <c r="J265" s="21"/>
      <c r="K265" s="21"/>
      <c r="N265" s="9"/>
      <c r="O265" s="21"/>
      <c r="P265" s="21"/>
      <c r="Q265" s="21"/>
      <c r="R265" s="21"/>
      <c r="S265" s="21"/>
      <c r="X265" s="9"/>
      <c r="Y265" s="21"/>
      <c r="Z265" s="21"/>
      <c r="AA265" s="21"/>
      <c r="AB265" s="21"/>
      <c r="AC265" s="21"/>
      <c r="AF265" s="9"/>
      <c r="AG265" s="21"/>
      <c r="AH265" s="21"/>
      <c r="AI265" s="21"/>
      <c r="AJ265" s="21"/>
      <c r="AK265" s="21"/>
      <c r="AP265" s="9"/>
      <c r="AQ265" s="21"/>
      <c r="AR265" s="21"/>
      <c r="AS265" s="21"/>
      <c r="AT265" s="21"/>
      <c r="AU265" s="21"/>
      <c r="AX265" s="9"/>
      <c r="AY265" s="21"/>
      <c r="AZ265" s="21"/>
      <c r="BA265" s="21"/>
      <c r="BB265" s="21"/>
      <c r="BC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/>
      <c r="H266" s="21"/>
      <c r="I266" s="21"/>
      <c r="J266" s="21"/>
      <c r="K266" s="21"/>
      <c r="N266" s="9"/>
      <c r="O266" s="21"/>
      <c r="P266" s="21"/>
      <c r="Q266" s="21"/>
      <c r="R266" s="21"/>
      <c r="S266" s="21"/>
      <c r="X266" s="9"/>
      <c r="Y266" s="21"/>
      <c r="Z266" s="21"/>
      <c r="AA266" s="21"/>
      <c r="AB266" s="21"/>
      <c r="AC266" s="21"/>
      <c r="AF266" s="9"/>
      <c r="AG266" s="21"/>
      <c r="AH266" s="21"/>
      <c r="AI266" s="21"/>
      <c r="AJ266" s="21"/>
      <c r="AK266" s="21"/>
      <c r="AP266" s="9"/>
      <c r="AQ266" s="21"/>
      <c r="AR266" s="21"/>
      <c r="AS266" s="21"/>
      <c r="AT266" s="21"/>
      <c r="AU266" s="21"/>
      <c r="AX266" s="9"/>
      <c r="AY266" s="21"/>
      <c r="AZ266" s="21"/>
      <c r="BA266" s="21"/>
      <c r="BB266" s="21"/>
      <c r="BC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/>
      <c r="H267" s="21"/>
      <c r="I267" s="21"/>
      <c r="J267" s="21"/>
      <c r="K267" s="21"/>
      <c r="N267" s="9"/>
      <c r="O267" s="21"/>
      <c r="P267" s="21"/>
      <c r="Q267" s="21"/>
      <c r="R267" s="21"/>
      <c r="S267" s="21"/>
      <c r="X267" s="9"/>
      <c r="Y267" s="21"/>
      <c r="Z267" s="21"/>
      <c r="AA267" s="21"/>
      <c r="AB267" s="21"/>
      <c r="AC267" s="21"/>
      <c r="AF267" s="9"/>
      <c r="AG267" s="21"/>
      <c r="AH267" s="21"/>
      <c r="AI267" s="21"/>
      <c r="AJ267" s="21"/>
      <c r="AK267" s="21"/>
      <c r="AP267" s="9"/>
      <c r="AQ267" s="21"/>
      <c r="AR267" s="21"/>
      <c r="AS267" s="21"/>
      <c r="AT267" s="21"/>
      <c r="AU267" s="21"/>
      <c r="AX267" s="9"/>
      <c r="AY267" s="21"/>
      <c r="AZ267" s="21"/>
      <c r="BA267" s="21"/>
      <c r="BB267" s="21"/>
      <c r="BC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/>
      <c r="H268" s="21"/>
      <c r="I268" s="21"/>
      <c r="J268" s="21"/>
      <c r="K268" s="21"/>
      <c r="N268" s="9"/>
      <c r="O268" s="21"/>
      <c r="P268" s="21"/>
      <c r="Q268" s="21"/>
      <c r="R268" s="21"/>
      <c r="S268" s="21"/>
      <c r="X268" s="9"/>
      <c r="Y268" s="21"/>
      <c r="Z268" s="21"/>
      <c r="AA268" s="21"/>
      <c r="AB268" s="21"/>
      <c r="AC268" s="21"/>
      <c r="AF268" s="9"/>
      <c r="AG268" s="21"/>
      <c r="AH268" s="21"/>
      <c r="AI268" s="21"/>
      <c r="AJ268" s="21"/>
      <c r="AK268" s="21"/>
      <c r="AP268" s="9"/>
      <c r="AQ268" s="21"/>
      <c r="AR268" s="21"/>
      <c r="AS268" s="21"/>
      <c r="AT268" s="21"/>
      <c r="AU268" s="21"/>
      <c r="AX268" s="9"/>
      <c r="AY268" s="21"/>
      <c r="AZ268" s="21"/>
      <c r="BA268" s="21"/>
      <c r="BB268" s="21"/>
      <c r="BC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/>
      <c r="H269" s="21"/>
      <c r="I269" s="21"/>
      <c r="J269" s="21"/>
      <c r="K269" s="21"/>
      <c r="N269" s="9"/>
      <c r="O269" s="21"/>
      <c r="P269" s="21"/>
      <c r="Q269" s="21"/>
      <c r="R269" s="21"/>
      <c r="S269" s="21"/>
      <c r="X269" s="9"/>
      <c r="Y269" s="21"/>
      <c r="Z269" s="21"/>
      <c r="AA269" s="21"/>
      <c r="AB269" s="21"/>
      <c r="AC269" s="21"/>
      <c r="AF269" s="9"/>
      <c r="AG269" s="21"/>
      <c r="AH269" s="21"/>
      <c r="AI269" s="21"/>
      <c r="AJ269" s="21"/>
      <c r="AK269" s="21"/>
      <c r="AP269" s="9"/>
      <c r="AQ269" s="21"/>
      <c r="AR269" s="21"/>
      <c r="AS269" s="21"/>
      <c r="AT269" s="21"/>
      <c r="AU269" s="21"/>
      <c r="AX269" s="9"/>
      <c r="AY269" s="21"/>
      <c r="AZ269" s="21"/>
      <c r="BA269" s="21"/>
      <c r="BB269" s="21"/>
      <c r="BC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/>
      <c r="H270" s="21"/>
      <c r="I270" s="21"/>
      <c r="J270" s="21"/>
      <c r="K270" s="21"/>
      <c r="N270" s="9"/>
      <c r="O270" s="21"/>
      <c r="P270" s="21"/>
      <c r="Q270" s="21"/>
      <c r="R270" s="21"/>
      <c r="S270" s="21"/>
      <c r="X270" s="9"/>
      <c r="Y270" s="21"/>
      <c r="Z270" s="21"/>
      <c r="AA270" s="21"/>
      <c r="AB270" s="21"/>
      <c r="AC270" s="21"/>
      <c r="AF270" s="9"/>
      <c r="AG270" s="21"/>
      <c r="AH270" s="21"/>
      <c r="AI270" s="21"/>
      <c r="AJ270" s="21"/>
      <c r="AK270" s="21"/>
      <c r="AP270" s="9"/>
      <c r="AQ270" s="21"/>
      <c r="AR270" s="21"/>
      <c r="AS270" s="21"/>
      <c r="AT270" s="21"/>
      <c r="AU270" s="21"/>
      <c r="AX270" s="9"/>
      <c r="AY270" s="21"/>
      <c r="AZ270" s="21"/>
      <c r="BA270" s="21"/>
      <c r="BB270" s="21"/>
      <c r="BC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/>
      <c r="H271" s="21"/>
      <c r="I271" s="21"/>
      <c r="J271" s="21"/>
      <c r="K271" s="21"/>
      <c r="N271" s="9"/>
      <c r="O271" s="21"/>
      <c r="P271" s="21"/>
      <c r="Q271" s="21"/>
      <c r="R271" s="21"/>
      <c r="S271" s="21"/>
      <c r="X271" s="9"/>
      <c r="Y271" s="21"/>
      <c r="Z271" s="21"/>
      <c r="AA271" s="21"/>
      <c r="AB271" s="21"/>
      <c r="AC271" s="21"/>
      <c r="AF271" s="9"/>
      <c r="AG271" s="21"/>
      <c r="AH271" s="21"/>
      <c r="AI271" s="21"/>
      <c r="AJ271" s="21"/>
      <c r="AK271" s="21"/>
      <c r="AP271" s="9"/>
      <c r="AQ271" s="21"/>
      <c r="AR271" s="21"/>
      <c r="AS271" s="21"/>
      <c r="AT271" s="21"/>
      <c r="AU271" s="21"/>
      <c r="AX271" s="9"/>
      <c r="AY271" s="21"/>
      <c r="AZ271" s="21"/>
      <c r="BA271" s="21"/>
      <c r="BB271" s="21"/>
      <c r="BC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/>
      <c r="H272" s="21"/>
      <c r="I272" s="21"/>
      <c r="J272" s="21"/>
      <c r="K272" s="21"/>
      <c r="N272" s="9"/>
      <c r="O272" s="21"/>
      <c r="P272" s="21"/>
      <c r="Q272" s="21"/>
      <c r="R272" s="21"/>
      <c r="S272" s="21"/>
      <c r="X272" s="9"/>
      <c r="Y272" s="21"/>
      <c r="Z272" s="21"/>
      <c r="AA272" s="21"/>
      <c r="AB272" s="21"/>
      <c r="AC272" s="21"/>
      <c r="AF272" s="9"/>
      <c r="AG272" s="21"/>
      <c r="AH272" s="21"/>
      <c r="AI272" s="21"/>
      <c r="AJ272" s="21"/>
      <c r="AK272" s="21"/>
      <c r="AP272" s="9"/>
      <c r="AQ272" s="21"/>
      <c r="AR272" s="21"/>
      <c r="AS272" s="21"/>
      <c r="AT272" s="21"/>
      <c r="AU272" s="21"/>
      <c r="AX272" s="9"/>
      <c r="AY272" s="21"/>
      <c r="AZ272" s="21"/>
      <c r="BA272" s="21"/>
      <c r="BB272" s="21"/>
      <c r="BC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/>
      <c r="H273" s="21"/>
      <c r="I273" s="21"/>
      <c r="J273" s="21"/>
      <c r="K273" s="21"/>
      <c r="N273" s="9"/>
      <c r="O273" s="21"/>
      <c r="P273" s="21"/>
      <c r="Q273" s="21"/>
      <c r="R273" s="21"/>
      <c r="S273" s="21"/>
      <c r="X273" s="9"/>
      <c r="Y273" s="21"/>
      <c r="Z273" s="21"/>
      <c r="AA273" s="21"/>
      <c r="AB273" s="21"/>
      <c r="AC273" s="21"/>
      <c r="AF273" s="9"/>
      <c r="AG273" s="21"/>
      <c r="AH273" s="21"/>
      <c r="AI273" s="21"/>
      <c r="AJ273" s="21"/>
      <c r="AK273" s="21"/>
      <c r="AP273" s="9"/>
      <c r="AQ273" s="21"/>
      <c r="AR273" s="21"/>
      <c r="AS273" s="21"/>
      <c r="AT273" s="21"/>
      <c r="AU273" s="21"/>
      <c r="AX273" s="9"/>
      <c r="AY273" s="21"/>
      <c r="AZ273" s="21"/>
      <c r="BA273" s="21"/>
      <c r="BB273" s="21"/>
      <c r="BC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/>
      <c r="H274" s="21"/>
      <c r="I274" s="21"/>
      <c r="J274" s="21"/>
      <c r="K274" s="21"/>
      <c r="N274" s="9"/>
      <c r="O274" s="21"/>
      <c r="P274" s="21"/>
      <c r="Q274" s="21"/>
      <c r="R274" s="21"/>
      <c r="S274" s="21"/>
      <c r="X274" s="9"/>
      <c r="Y274" s="21"/>
      <c r="Z274" s="21"/>
      <c r="AA274" s="21"/>
      <c r="AB274" s="21"/>
      <c r="AC274" s="21"/>
      <c r="AF274" s="9"/>
      <c r="AG274" s="21"/>
      <c r="AH274" s="21"/>
      <c r="AI274" s="21"/>
      <c r="AJ274" s="21"/>
      <c r="AK274" s="21"/>
      <c r="AP274" s="9"/>
      <c r="AQ274" s="21"/>
      <c r="AR274" s="21"/>
      <c r="AS274" s="21"/>
      <c r="AT274" s="21"/>
      <c r="AU274" s="21"/>
      <c r="AX274" s="9"/>
      <c r="AY274" s="21"/>
      <c r="AZ274" s="21"/>
      <c r="BA274" s="21"/>
      <c r="BB274" s="21"/>
      <c r="BC274" s="21"/>
    </row>
    <row r="275" spans="6:101">
      <c r="F275" s="9"/>
      <c r="G275" s="21"/>
      <c r="H275" s="21"/>
      <c r="I275" s="21"/>
      <c r="J275" s="21"/>
      <c r="K275" s="21"/>
      <c r="N275" s="9"/>
      <c r="O275" s="21"/>
      <c r="P275" s="21"/>
      <c r="Q275" s="21"/>
      <c r="R275" s="21"/>
      <c r="S275" s="21"/>
      <c r="X275" s="9"/>
      <c r="Y275" s="21"/>
      <c r="Z275" s="21"/>
      <c r="AA275" s="21"/>
      <c r="AB275" s="21"/>
      <c r="AC275" s="21"/>
      <c r="AF275" s="9"/>
      <c r="AG275" s="21"/>
      <c r="AH275" s="21"/>
      <c r="AI275" s="21"/>
      <c r="AJ275" s="21"/>
      <c r="AK275" s="21"/>
      <c r="AP275" s="9"/>
      <c r="AQ275" s="21"/>
      <c r="AR275" s="21"/>
      <c r="AS275" s="21"/>
      <c r="AT275" s="21"/>
      <c r="AU275" s="21"/>
      <c r="AX275" s="9"/>
      <c r="AY275" s="21"/>
      <c r="AZ275" s="21"/>
      <c r="BA275" s="21"/>
      <c r="BB275" s="21"/>
      <c r="BC275" s="21"/>
    </row>
    <row r="276" spans="6:101">
      <c r="F276" s="9"/>
      <c r="G276" s="21"/>
      <c r="H276" s="21"/>
      <c r="I276" s="21"/>
      <c r="J276" s="21"/>
      <c r="K276" s="21"/>
      <c r="N276" s="9"/>
      <c r="O276" s="21"/>
      <c r="P276" s="21"/>
      <c r="Q276" s="21"/>
      <c r="R276" s="21"/>
      <c r="S276" s="21"/>
      <c r="X276" s="9"/>
      <c r="Y276" s="21"/>
      <c r="Z276" s="21"/>
      <c r="AA276" s="21"/>
      <c r="AB276" s="21"/>
      <c r="AC276" s="21"/>
      <c r="AF276" s="9"/>
      <c r="AG276" s="21"/>
      <c r="AH276" s="21"/>
      <c r="AI276" s="21"/>
      <c r="AJ276" s="21"/>
      <c r="AK276" s="21"/>
      <c r="AP276" s="9"/>
      <c r="AQ276" s="21"/>
      <c r="AR276" s="21"/>
      <c r="AS276" s="21"/>
      <c r="AT276" s="21"/>
      <c r="AU276" s="21"/>
      <c r="AX276" s="9"/>
      <c r="AY276" s="21"/>
      <c r="AZ276" s="21"/>
      <c r="BA276" s="21"/>
      <c r="BB276" s="21"/>
      <c r="BC276" s="21"/>
    </row>
    <row r="277" spans="6:101">
      <c r="F277" s="9"/>
      <c r="G277" s="21"/>
      <c r="H277" s="21"/>
      <c r="I277" s="21"/>
      <c r="J277" s="21"/>
      <c r="K277" s="21"/>
      <c r="N277" s="9"/>
      <c r="O277" s="21"/>
      <c r="P277" s="21"/>
      <c r="Q277" s="21"/>
      <c r="R277" s="21"/>
      <c r="S277" s="21"/>
      <c r="X277" s="9"/>
      <c r="Y277" s="21"/>
      <c r="Z277" s="21"/>
      <c r="AA277" s="21"/>
      <c r="AB277" s="21"/>
      <c r="AC277" s="21"/>
      <c r="AF277" s="9"/>
      <c r="AG277" s="21"/>
      <c r="AH277" s="21"/>
      <c r="AI277" s="21"/>
      <c r="AJ277" s="21"/>
      <c r="AK277" s="21"/>
      <c r="AP277" s="9"/>
      <c r="AQ277" s="21"/>
      <c r="AR277" s="21"/>
      <c r="AS277" s="21"/>
      <c r="AT277" s="21"/>
      <c r="AU277" s="21"/>
      <c r="AX277" s="9"/>
      <c r="AY277" s="21"/>
      <c r="AZ277" s="21"/>
      <c r="BA277" s="21"/>
      <c r="BB277" s="21"/>
      <c r="BC277" s="21"/>
    </row>
    <row r="278" spans="6:101">
      <c r="F278" s="9"/>
      <c r="G278" s="21"/>
      <c r="H278" s="21"/>
      <c r="I278" s="21"/>
      <c r="J278" s="21"/>
      <c r="K278" s="21"/>
      <c r="N278" s="9"/>
      <c r="O278" s="21"/>
      <c r="P278" s="21"/>
      <c r="Q278" s="21"/>
      <c r="R278" s="21"/>
      <c r="S278" s="21"/>
      <c r="X278" s="9"/>
      <c r="Y278" s="21"/>
      <c r="Z278" s="21"/>
      <c r="AA278" s="21"/>
      <c r="AB278" s="21"/>
      <c r="AC278" s="21"/>
      <c r="AF278" s="9"/>
      <c r="AG278" s="21"/>
      <c r="AH278" s="21"/>
      <c r="AI278" s="21"/>
      <c r="AJ278" s="21"/>
      <c r="AK278" s="21"/>
      <c r="AP278" s="9"/>
      <c r="AQ278" s="21"/>
      <c r="AR278" s="21"/>
      <c r="AS278" s="21"/>
      <c r="AT278" s="21"/>
      <c r="AU278" s="21"/>
      <c r="AX278" s="9"/>
      <c r="AY278" s="21"/>
      <c r="AZ278" s="21"/>
      <c r="BA278" s="21"/>
      <c r="BB278" s="21"/>
      <c r="BC278" s="21"/>
    </row>
    <row r="279" spans="6:101">
      <c r="F279" s="9"/>
      <c r="G279" s="21"/>
      <c r="H279" s="21"/>
      <c r="I279" s="21"/>
      <c r="J279" s="21"/>
      <c r="K279" s="21"/>
      <c r="N279" s="9"/>
      <c r="O279" s="21"/>
      <c r="P279" s="21"/>
      <c r="Q279" s="21"/>
      <c r="R279" s="21"/>
      <c r="S279" s="21"/>
      <c r="X279" s="9"/>
      <c r="Y279" s="21"/>
      <c r="Z279" s="21"/>
      <c r="AA279" s="21"/>
      <c r="AB279" s="21"/>
      <c r="AC279" s="21"/>
      <c r="AF279" s="9"/>
      <c r="AG279" s="21"/>
      <c r="AH279" s="21"/>
      <c r="AI279" s="21"/>
      <c r="AJ279" s="21"/>
      <c r="AK279" s="21"/>
      <c r="AP279" s="9"/>
      <c r="AQ279" s="21"/>
      <c r="AR279" s="21"/>
      <c r="AS279" s="21"/>
      <c r="AT279" s="21"/>
      <c r="AU279" s="21"/>
      <c r="AX279" s="9"/>
      <c r="AY279" s="21"/>
      <c r="AZ279" s="21"/>
      <c r="BA279" s="21"/>
      <c r="BB279" s="21"/>
      <c r="BC279" s="21"/>
    </row>
    <row r="280" spans="6:101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273"/>
  <sheetViews>
    <sheetView topLeftCell="AP1" workbookViewId="0">
      <selection activeCell="BD11" sqref="BD11:BE169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275.32497267764933</v>
      </c>
      <c r="H2" s="2"/>
      <c r="I2" s="6" t="s">
        <v>12</v>
      </c>
      <c r="J2" s="2"/>
      <c r="K2" s="7" t="s">
        <v>13</v>
      </c>
      <c r="L2" s="3">
        <f>L4*I6*L9/100*100</f>
        <v>17.8318223789</v>
      </c>
      <c r="M2" s="8" t="s">
        <v>14</v>
      </c>
      <c r="N2" s="9"/>
      <c r="O2" s="2">
        <f>ABS(S7-S6)/ABS(T7-T6)*1000</f>
        <v>21322.921935509126</v>
      </c>
      <c r="P2" s="2"/>
      <c r="Q2" s="6" t="s">
        <v>15</v>
      </c>
      <c r="R2" s="2"/>
      <c r="S2" s="7" t="s">
        <v>13</v>
      </c>
      <c r="T2" s="3">
        <f>T4*Q6*T9/100*100</f>
        <v>17.943999782800002</v>
      </c>
      <c r="U2" s="8" t="s">
        <v>14</v>
      </c>
      <c r="X2" s="9"/>
      <c r="Y2" s="2">
        <f>ABS(AC7-AC6)/ABS(AD7-AD6)*1000</f>
        <v>833.48032786933857</v>
      </c>
      <c r="Z2" s="2"/>
      <c r="AA2" s="6" t="s">
        <v>12</v>
      </c>
      <c r="AB2" s="2"/>
      <c r="AC2" s="7" t="s">
        <v>13</v>
      </c>
      <c r="AD2" s="3">
        <f>AD4*AA6*AD9/100*100</f>
        <v>17.8988017209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2471.4262295067592</v>
      </c>
      <c r="AR2" s="2"/>
      <c r="AS2" s="6" t="s">
        <v>12</v>
      </c>
      <c r="AT2" s="2"/>
      <c r="AU2" s="7" t="s">
        <v>13</v>
      </c>
      <c r="AV2" s="3">
        <f>AV4*AS6*AV9/100*100</f>
        <v>17.913899523399998</v>
      </c>
      <c r="AW2" s="8" t="s">
        <v>14</v>
      </c>
      <c r="AX2" s="9"/>
      <c r="AY2" s="2">
        <f>ABS(BC7-BC6)/ABS(BD7-BD6)*1000</f>
        <v>417.24065573746225</v>
      </c>
      <c r="AZ2" s="2"/>
      <c r="BA2" s="6" t="s">
        <v>15</v>
      </c>
      <c r="BB2" s="2"/>
      <c r="BC2" s="7" t="s">
        <v>13</v>
      </c>
      <c r="BD2" s="3">
        <f>BD4*BA6*BD9/100*100</f>
        <v>17.935722075600001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0.68423500000000004</v>
      </c>
      <c r="J3" s="2"/>
      <c r="K3" s="10">
        <f>INDEX(L11:L1056,MATCH(I3,K11:K1056,0))</f>
        <v>-1.9860799999999998</v>
      </c>
      <c r="L3" s="26" t="s">
        <v>16</v>
      </c>
      <c r="M3" s="11">
        <f>M9</f>
        <v>17.8318223789</v>
      </c>
      <c r="N3" s="9"/>
      <c r="O3" s="2" t="s">
        <v>44</v>
      </c>
      <c r="P3" s="2"/>
      <c r="Q3" s="2">
        <f>INDEX(S11:S1056,MATCH(0,T11:T1056,-1))</f>
        <v>0.67984</v>
      </c>
      <c r="R3" s="2"/>
      <c r="S3" s="10">
        <f>INDEX(T11:T1056,MATCH(Q3,S11:S1056,0))</f>
        <v>4.0252700000000002E-2</v>
      </c>
      <c r="T3" s="26" t="s">
        <v>16</v>
      </c>
      <c r="U3" s="11">
        <f>U9</f>
        <v>17.943999782800002</v>
      </c>
      <c r="X3" s="9"/>
      <c r="Y3" s="2" t="s">
        <v>44</v>
      </c>
      <c r="Z3" s="2"/>
      <c r="AA3" s="2">
        <f>INDEX(AC11:AC856,MATCH(0,AD11:AD856,1))</f>
        <v>0.68432599999999999</v>
      </c>
      <c r="AB3" s="2"/>
      <c r="AC3" s="10">
        <f>INDEX(AD11:AD1056,MATCH(AA3,AC11:AC1056,0))</f>
        <v>-2.3120100000000003</v>
      </c>
      <c r="AD3" s="26" t="s">
        <v>16</v>
      </c>
      <c r="AE3" s="11">
        <f>AE9</f>
        <v>17.8988017209</v>
      </c>
      <c r="AF3" s="9"/>
      <c r="AG3" s="2" t="s">
        <v>44</v>
      </c>
      <c r="AH3" s="2"/>
      <c r="AI3" s="2">
        <f>INDEX(AK11:AK1056,MATCH(0,AL11:AL1056,-1))</f>
        <v>0.67981000000000003</v>
      </c>
      <c r="AJ3" s="2"/>
      <c r="AK3" s="10">
        <f>INDEX(AL11:AL1056,MATCH(AI3,AK11:AK1056,0))</f>
        <v>2.6336700000000001E-2</v>
      </c>
      <c r="AL3" s="26" t="s">
        <v>16</v>
      </c>
      <c r="AM3" s="11">
        <f>AM9</f>
        <v>17.919112202600001</v>
      </c>
      <c r="AP3" s="9"/>
      <c r="AQ3" s="2" t="s">
        <v>44</v>
      </c>
      <c r="AR3" s="2"/>
      <c r="AS3" s="2">
        <f>INDEX(AU11:AU856,MATCH(0,AV11:AV856,1))</f>
        <v>0.68432599999999999</v>
      </c>
      <c r="AT3" s="2"/>
      <c r="AU3" s="10">
        <f>INDEX(AV11:AV1056,MATCH(AS3,AU11:AU1056,0))</f>
        <v>-2.3495500000000002</v>
      </c>
      <c r="AV3" s="26" t="s">
        <v>16</v>
      </c>
      <c r="AW3" s="11">
        <f>AW9</f>
        <v>17.913899523400001</v>
      </c>
      <c r="AX3" s="9"/>
      <c r="AY3" s="2" t="s">
        <v>44</v>
      </c>
      <c r="AZ3" s="2"/>
      <c r="BA3" s="2">
        <f>INDEX(BC11:BC1056,MATCH(0,BD11:BD1056,-1))</f>
        <v>0.67474400000000001</v>
      </c>
      <c r="BB3" s="2"/>
      <c r="BC3" s="10">
        <f>INDEX(BD11:BD1056,MATCH(BA3,BC11:BC1056,0))</f>
        <v>2.5326499999999998</v>
      </c>
      <c r="BD3" s="26" t="s">
        <v>16</v>
      </c>
      <c r="BE3" s="11">
        <f>BE9</f>
        <v>17.935722075600001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1.9874729218654152</v>
      </c>
      <c r="H4" s="2"/>
      <c r="I4" s="2">
        <f>INDEX(K11:K1000,1+MATCH(0,L11:L856,1))</f>
        <v>0.679199</v>
      </c>
      <c r="J4" s="2"/>
      <c r="K4" s="10">
        <f>INDEX(L11:L1056,MATCH(I4,K11:K1056,0))</f>
        <v>0.54779099999999992</v>
      </c>
      <c r="L4" s="25">
        <f>M3/(I6*L9)</f>
        <v>0.73932936323351506</v>
      </c>
      <c r="M4" s="8" t="s">
        <v>17</v>
      </c>
      <c r="N4" s="9"/>
      <c r="O4" s="2">
        <f>ABS(Q3-Q4)/ABS(S3-S4)*1000</f>
        <v>1.9310967845476863</v>
      </c>
      <c r="P4" s="2"/>
      <c r="Q4" s="2">
        <f>INDEX(S11:S856,1+MATCH(0,T11:T856,-1))</f>
        <v>0.68493700000000002</v>
      </c>
      <c r="R4" s="2"/>
      <c r="S4" s="10">
        <f>INDEX(T11:T856,MATCH(Q4,S11:S856,0))</f>
        <v>-2.59918</v>
      </c>
      <c r="T4" s="25">
        <f>U3/(Q6*T9)</f>
        <v>0.7415491443850154</v>
      </c>
      <c r="U4" s="8" t="s">
        <v>17</v>
      </c>
      <c r="X4" s="9"/>
      <c r="Y4" s="2">
        <f>ABS(AA3-AA4)/ABS(AC3-AC4)*1000</f>
        <v>1.949994279353513</v>
      </c>
      <c r="Z4" s="2"/>
      <c r="AA4" s="2">
        <f>INDEX(AC11:AC1000,1+MATCH(0,AD11:AD856,1))</f>
        <v>0.67923</v>
      </c>
      <c r="AB4" s="2"/>
      <c r="AC4" s="10">
        <f>INDEX(AD11:AD1056,MATCH(AA4,AC11:AC1056,0))</f>
        <v>0.30133100000000002</v>
      </c>
      <c r="AD4" s="25">
        <f>AE3/(AA6*AD9)</f>
        <v>0.73999269892965325</v>
      </c>
      <c r="AE4" s="8" t="s">
        <v>17</v>
      </c>
      <c r="AF4" s="9"/>
      <c r="AG4" s="2">
        <f>ABS(AI3-AI4)/ABS(AK3-AK4)*1000</f>
        <v>1.9466490583583491</v>
      </c>
      <c r="AH4" s="2"/>
      <c r="AI4" s="2">
        <f>INDEX(AK11:AK856,1+MATCH(0,AL11:AL856,-1))</f>
        <v>0.68493700000000002</v>
      </c>
      <c r="AJ4" s="2"/>
      <c r="AK4" s="10">
        <f>INDEX(AL11:AL856,MATCH(AI4,AK11:AK856,0))</f>
        <v>-2.6074199999999998</v>
      </c>
      <c r="AL4" s="25" t="e">
        <f>AM3/(AI6*AL9)</f>
        <v>#DIV/0!</v>
      </c>
      <c r="AM4" s="8" t="s">
        <v>17</v>
      </c>
      <c r="AP4" s="9"/>
      <c r="AQ4" s="2">
        <f>ABS(AS3-AS4)/ABS(AU3-AU4)*1000</f>
        <v>1.9107989561138643</v>
      </c>
      <c r="AR4" s="2"/>
      <c r="AS4" s="2">
        <f>INDEX(AU11:AU1000,1+MATCH(0,AV11:AV856,1))</f>
        <v>0.67925999999999997</v>
      </c>
      <c r="AT4" s="2"/>
      <c r="AU4" s="10">
        <f>INDEX(AV11:AV1056,MATCH(AS4,AU11:AU1056,0))</f>
        <v>0.30169700000000005</v>
      </c>
      <c r="AV4" s="25">
        <f>AW3/(AS6*AV9)</f>
        <v>0.74161000830559998</v>
      </c>
      <c r="AW4" s="8" t="s">
        <v>17</v>
      </c>
      <c r="AX4" s="9"/>
      <c r="AY4" s="2">
        <f>ABS(BA3-BA4)/ABS(BC3-BC4)*1000</f>
        <v>1.9991923594356604</v>
      </c>
      <c r="AZ4" s="2"/>
      <c r="BA4" s="2">
        <f>INDEX(BC11:BC856,1+MATCH(0,BD11:BD856,-1))</f>
        <v>0.67981000000000003</v>
      </c>
      <c r="BB4" s="2"/>
      <c r="BC4" s="10">
        <f>INDEX(BD11:BD856,MATCH(BA4,BC11:BC856,0))</f>
        <v>-1.3732899999999999E-3</v>
      </c>
      <c r="BD4" s="25">
        <f>BE3/(BA6*BD9)</f>
        <v>0.74341713428045564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32.479900000000001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32.949800000000003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32.601900000000001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32.9041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32.629400000000004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32.934600000000003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0.68028771977934155</v>
      </c>
      <c r="J6" s="25"/>
      <c r="K6" s="2">
        <f>INDEX(K11:K1056,MATCH(L6,L11:L1056,0))</f>
        <v>4.6783399999999996E-3</v>
      </c>
      <c r="L6" s="10">
        <f>INDEX(L11:L1056,MATCH(0,K11:K1056,-1))</f>
        <v>35.437000000000005</v>
      </c>
      <c r="M6" s="8" t="s">
        <v>22</v>
      </c>
      <c r="N6" s="9"/>
      <c r="O6" s="2"/>
      <c r="P6" s="2"/>
      <c r="Q6" s="27">
        <f>(Q3-Q4)/(S3-S4)*(-S4)+Q4</f>
        <v>0.67991773185953941</v>
      </c>
      <c r="R6" s="27"/>
      <c r="S6" s="2">
        <f>INDEX(S11:S1056,MATCH(T6,T11:T1056,0))</f>
        <v>-6.5826399999999993E-2</v>
      </c>
      <c r="T6" s="10">
        <f>INDEX(T11:T1056,MATCH(0,S11:S1056,1))</f>
        <v>35.586500000000001</v>
      </c>
      <c r="U6" s="8" t="s">
        <v>22</v>
      </c>
      <c r="X6" s="9"/>
      <c r="Y6" s="2"/>
      <c r="Z6" s="2"/>
      <c r="AA6" s="25">
        <f>(AA3-AA4)/(AC3-AC4)*(-AC4)+AA4</f>
        <v>0.67981759372619188</v>
      </c>
      <c r="AB6" s="25"/>
      <c r="AC6" s="2">
        <f>INDEX(AC11:AC1056,MATCH(AD6,AD11:AD1056,0))</f>
        <v>4.6264599999999998E-3</v>
      </c>
      <c r="AD6" s="10">
        <f>INDEX(AD11:AD1056,MATCH(0,AC11:AC1056,-1))</f>
        <v>35.574300000000001</v>
      </c>
      <c r="AE6" s="8" t="s">
        <v>22</v>
      </c>
      <c r="AF6" s="9"/>
      <c r="AG6" s="2"/>
      <c r="AH6" s="2"/>
      <c r="AI6" s="27">
        <f>(AI3-AI4)/(AK3-AK4)*(-AK4)+AI4</f>
        <v>0.67986126831225524</v>
      </c>
      <c r="AJ6" s="27"/>
      <c r="AK6" s="2">
        <f>INDEX(AK11:AK1056,MATCH(AL6,AL11:AL1056,0))</f>
        <v>-4.8278799999999997E-3</v>
      </c>
      <c r="AL6" s="10">
        <f>INDEX(AL11:AL1056,MATCH(0,AK11:AK1056,1))</f>
        <v>35.479700000000001</v>
      </c>
      <c r="AM6" s="8" t="s">
        <v>22</v>
      </c>
      <c r="AP6" s="9"/>
      <c r="AQ6" s="2"/>
      <c r="AR6" s="2"/>
      <c r="AS6" s="25">
        <f>(AS3-AS4)/(AU3-AU4)*(-AU4)+AS4</f>
        <v>0.67983648231266269</v>
      </c>
      <c r="AT6" s="25"/>
      <c r="AU6" s="2">
        <f>INDEX(AU11:AU1056,MATCH(AV6,AV11:AV1056,0))</f>
        <v>7.4432399999999996E-2</v>
      </c>
      <c r="AV6" s="10">
        <f>INDEX(AV11:AV1056,MATCH(0,AU11:AU1056,-1))</f>
        <v>35.501100000000001</v>
      </c>
      <c r="AW6" s="8" t="s">
        <v>22</v>
      </c>
      <c r="AX6" s="9"/>
      <c r="AY6" s="2"/>
      <c r="AZ6" s="2"/>
      <c r="BA6" s="27">
        <f>(BA3-BA4)/(BC3-BC4)*(-BC4)+BA4</f>
        <v>0.67980725452912472</v>
      </c>
      <c r="BB6" s="27"/>
      <c r="BC6" s="2">
        <f>INDEX(BC11:BC1056,MATCH(BD6,BD11:BD1056,0))</f>
        <v>-4.8187300000000002E-3</v>
      </c>
      <c r="BD6" s="10">
        <f>INDEX(BD11:BD1056,MATCH(0,BC11:BC1056,1))</f>
        <v>35.501100000000001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-3.6010700000000003E-4</v>
      </c>
      <c r="L7" s="10">
        <f>INDEX(L11:L856,1+MATCH(0,K11:K856,-1))</f>
        <v>35.455300000000001</v>
      </c>
      <c r="M7" s="12">
        <f>INDEX(K11:K1056,MATCH(M9,M11:M1056,0))</f>
        <v>0.54772900000000002</v>
      </c>
      <c r="N7" s="9"/>
      <c r="O7" s="2"/>
      <c r="P7" s="2"/>
      <c r="Q7" s="2"/>
      <c r="R7" s="2"/>
      <c r="S7" s="2">
        <f>INDEX(S11:S1056,MATCH(T7,T11:T1056,0))</f>
        <v>2.74658E-4</v>
      </c>
      <c r="T7" s="10">
        <f>INDEX(T11:T1056,1+MATCH(0,S11:S1056,1))</f>
        <v>35.589599999999997</v>
      </c>
      <c r="U7" s="12">
        <f>INDEX(S11:S1056,MATCH(U9,U11:U1056,0))</f>
        <v>0.54324300000000003</v>
      </c>
      <c r="X7" s="9"/>
      <c r="Y7" s="2"/>
      <c r="Z7" s="2"/>
      <c r="AA7" s="2"/>
      <c r="AB7" s="2"/>
      <c r="AC7" s="2">
        <f>INDEX(AC11:AC856,MATCH(AD7,AD11:AD856,1))</f>
        <v>9.7106899999999993E-3</v>
      </c>
      <c r="AD7" s="10">
        <f>INDEX(AD11:AD856,1+MATCH(0,AC11:AC856,-1))</f>
        <v>35.568200000000004</v>
      </c>
      <c r="AE7" s="12">
        <f>INDEX(AC11:AC1056,MATCH(AE9,AE11:AE1056,0))</f>
        <v>0.54779100000000003</v>
      </c>
      <c r="AF7" s="9"/>
      <c r="AG7" s="2"/>
      <c r="AH7" s="2"/>
      <c r="AI7" s="2"/>
      <c r="AJ7" s="2"/>
      <c r="AK7" s="2">
        <f>INDEX(AK11:AK1056,MATCH(AL7,AL11:AL1056,0))</f>
        <v>-4.8278799999999997E-3</v>
      </c>
      <c r="AL7" s="10">
        <f>INDEX(AL11:AL1056,1+MATCH(0,AK11:AK1056,1))</f>
        <v>35.479700000000001</v>
      </c>
      <c r="AM7" s="12">
        <f>INDEX(AK11:AK1056,MATCH(AM9,AM11:AM1056,0))</f>
        <v>0.54330400000000001</v>
      </c>
      <c r="AP7" s="9"/>
      <c r="AQ7" s="2"/>
      <c r="AR7" s="2"/>
      <c r="AS7" s="2"/>
      <c r="AT7" s="2"/>
      <c r="AU7" s="2">
        <f>INDEX(AU11:AU856,MATCH(AV7,AV11:AV856,1))</f>
        <v>5.9356699999999998E-2</v>
      </c>
      <c r="AV7" s="10">
        <f>INDEX(AV11:AV856,1+MATCH(0,AU11:AU856,-1))</f>
        <v>35.507200000000005</v>
      </c>
      <c r="AW7" s="12">
        <f>INDEX(AU11:AU1056,MATCH(AW9,AW11:AW1056,0))</f>
        <v>0.547821</v>
      </c>
      <c r="AX7" s="9"/>
      <c r="AY7" s="2"/>
      <c r="AZ7" s="2"/>
      <c r="BA7" s="2"/>
      <c r="BB7" s="2"/>
      <c r="BC7" s="2">
        <f>INDEX(BC11:BC1056,MATCH(BD7,BD11:BD1056,0))</f>
        <v>2.7160599999999997E-4</v>
      </c>
      <c r="BD7" s="10">
        <f>INDEX(BD11:BD1056,1+MATCH(0,BC11:BC1056,1))</f>
        <v>35.488899999999994</v>
      </c>
      <c r="BE7" s="12">
        <f>INDEX(BC11:BC1056,MATCH(BE9,BE11:BE1056,0))</f>
        <v>0.54330400000000001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0.62515272658177667</v>
      </c>
      <c r="J9" s="2"/>
      <c r="K9" s="2"/>
      <c r="L9" s="3">
        <f>(L6-L7)/(K6-K7)*(-K7)+L7</f>
        <v>35.453992065610691</v>
      </c>
      <c r="M9" s="15">
        <f>MAX(M11:M1056)</f>
        <v>17.8318223789</v>
      </c>
      <c r="N9" s="9"/>
      <c r="O9" s="2"/>
      <c r="P9" s="2"/>
      <c r="Q9" s="2"/>
      <c r="R9" s="2"/>
      <c r="S9" s="2"/>
      <c r="T9" s="3">
        <f>(T6-T7)/(S6-S7)*(-S7)+T7</f>
        <v>35.589587119119933</v>
      </c>
      <c r="U9" s="15">
        <f>MAX(U11:U1056)</f>
        <v>17.943999782800002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35.579850772880057</v>
      </c>
      <c r="AE9" s="15">
        <f>MAX(AE11:AE1056)</f>
        <v>17.8988017209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17.919112202600001</v>
      </c>
      <c r="AP9" s="9"/>
      <c r="AQ9" s="2"/>
      <c r="AR9" s="2"/>
      <c r="AS9" s="14">
        <f>(MAX(AV2,BD2)-MIN(AV2,BD2))/MAX(AV2,BD2)%</f>
        <v>0.12167088733879848</v>
      </c>
      <c r="AT9" s="2"/>
      <c r="AU9" s="2"/>
      <c r="AV9" s="3">
        <f>(AV6-AV7)/(AU6-AU7)*(-AU7)+AV7</f>
        <v>35.531217184608359</v>
      </c>
      <c r="AW9" s="15">
        <f>MAX(AW11:AW1056)</f>
        <v>17.913899523400001</v>
      </c>
      <c r="AX9" s="9"/>
      <c r="AY9" s="2"/>
      <c r="AZ9" s="2"/>
      <c r="BA9" s="2"/>
      <c r="BB9" s="2"/>
      <c r="BC9" s="2"/>
      <c r="BD9" s="3">
        <f>(BD6-BD7)/(BC6-BC7)*(-BC7)+BD7</f>
        <v>35.489550957657798</v>
      </c>
      <c r="BE9" s="15">
        <f>MAX(BE11:BE1056)</f>
        <v>17.935722075600001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0.68028771977934155</v>
      </c>
      <c r="B11" s="18">
        <f>IFERROR(L9,0)</f>
        <v>35.453992065610691</v>
      </c>
      <c r="C11" s="19">
        <f>IFERROR(L4,0)</f>
        <v>0.73932936323351506</v>
      </c>
      <c r="D11" s="20">
        <f>IFERROR(L2,0)</f>
        <v>17.8318223789</v>
      </c>
      <c r="E11" s="20">
        <f>IFERROR(I9,0)</f>
        <v>0.62515272658177667</v>
      </c>
      <c r="F11" s="9"/>
      <c r="G11" s="21">
        <v>0.69503800000000004</v>
      </c>
      <c r="H11" s="21">
        <v>45.415100000000002</v>
      </c>
      <c r="I11" s="21">
        <v>7.34558E-3</v>
      </c>
      <c r="J11" s="21">
        <v>1</v>
      </c>
      <c r="K11" s="21">
        <v>0.69442700000000002</v>
      </c>
      <c r="L11">
        <f>-I11/$F$2*1000</f>
        <v>-7.34558</v>
      </c>
      <c r="M11">
        <f>L11*G11</f>
        <v>-5.10545723204</v>
      </c>
      <c r="N11" s="9"/>
      <c r="O11" s="21">
        <v>-9.49097E-2</v>
      </c>
      <c r="P11" s="21">
        <v>78.593299999999999</v>
      </c>
      <c r="Q11" s="21">
        <v>-3.55713E-2</v>
      </c>
      <c r="R11" s="21">
        <v>1</v>
      </c>
      <c r="S11" s="21">
        <v>-9.6130400000000005E-2</v>
      </c>
      <c r="T11">
        <f>-Q11/$F$2*1000</f>
        <v>35.571300000000001</v>
      </c>
      <c r="U11">
        <f>T11*O11</f>
        <v>-3.3760614116100003</v>
      </c>
      <c r="V11" s="22"/>
      <c r="W11" s="23"/>
      <c r="X11" s="9"/>
      <c r="Y11" s="21">
        <v>0.69503800000000004</v>
      </c>
      <c r="Z11" s="21">
        <v>81.841800000000006</v>
      </c>
      <c r="AA11" s="21">
        <v>7.8948999999999998E-3</v>
      </c>
      <c r="AB11" s="21">
        <v>1</v>
      </c>
      <c r="AC11" s="21">
        <v>0.69445800000000002</v>
      </c>
      <c r="AD11">
        <f>-AA11/$F$2*1000</f>
        <v>-7.8948999999999998</v>
      </c>
      <c r="AE11">
        <f>AD11*Y11</f>
        <v>-5.4872555062000004</v>
      </c>
      <c r="AF11" s="9"/>
      <c r="AG11" s="21">
        <v>-9.49097E-2</v>
      </c>
      <c r="AH11" s="21">
        <v>84.820400000000006</v>
      </c>
      <c r="AI11" s="21">
        <v>-3.55865E-2</v>
      </c>
      <c r="AJ11" s="21">
        <v>1</v>
      </c>
      <c r="AK11" s="21">
        <v>-9.6069299999999996E-2</v>
      </c>
      <c r="AL11">
        <f>-AI11/$F$2*1000</f>
        <v>35.586500000000001</v>
      </c>
      <c r="AM11">
        <f>AL11*AG11</f>
        <v>-3.3775040390500002</v>
      </c>
      <c r="AP11" s="9"/>
      <c r="AQ11" s="21">
        <v>0.69503800000000004</v>
      </c>
      <c r="AR11" s="21">
        <v>87.555999999999997</v>
      </c>
      <c r="AS11" s="21">
        <v>7.9528800000000007E-3</v>
      </c>
      <c r="AT11" s="21">
        <v>1</v>
      </c>
      <c r="AU11" s="21">
        <v>0.69445800000000002</v>
      </c>
      <c r="AV11">
        <f>-AS11/$F$2*1000</f>
        <v>-7.9528800000000004</v>
      </c>
      <c r="AW11">
        <f>AV11*AQ11</f>
        <v>-5.5275538094400005</v>
      </c>
      <c r="AX11" s="9"/>
      <c r="AY11" s="21">
        <v>-9.49097E-2</v>
      </c>
      <c r="AZ11" s="21">
        <v>90.326599999999999</v>
      </c>
      <c r="BA11" s="21">
        <v>-3.5614E-2</v>
      </c>
      <c r="BB11" s="21">
        <v>1</v>
      </c>
      <c r="BC11" s="21">
        <v>-9.5977800000000002E-2</v>
      </c>
      <c r="BD11">
        <f>-BA11/$F$2*1000</f>
        <v>35.613999999999997</v>
      </c>
      <c r="BE11">
        <f>BD11*AY11</f>
        <v>-3.3801140557999996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0.67991773185953941</v>
      </c>
      <c r="B12" s="18">
        <f>IFERROR(T9,0)</f>
        <v>35.589587119119933</v>
      </c>
      <c r="C12" s="19">
        <f>IFERROR(T4,0)</f>
        <v>0.7415491443850154</v>
      </c>
      <c r="D12" s="20">
        <f>IFERROR(T2,0)</f>
        <v>17.943999782800002</v>
      </c>
      <c r="E12" s="20"/>
      <c r="F12" s="9"/>
      <c r="G12" s="21">
        <v>0.690002</v>
      </c>
      <c r="H12" s="21">
        <v>45.425199999999997</v>
      </c>
      <c r="I12" s="21">
        <v>4.6136500000000004E-3</v>
      </c>
      <c r="J12" s="21">
        <v>2</v>
      </c>
      <c r="K12" s="21">
        <v>0.68933100000000003</v>
      </c>
      <c r="L12">
        <f t="shared" ref="L12:L75" si="0">-I12/$F$2*1000</f>
        <v>-4.6136500000000007</v>
      </c>
      <c r="M12">
        <f t="shared" ref="M12:M75" si="1">L12*G12</f>
        <v>-3.1834277273000007</v>
      </c>
      <c r="N12" s="9"/>
      <c r="O12" s="21">
        <v>-8.9874300000000004E-2</v>
      </c>
      <c r="P12" s="21">
        <v>78.603300000000004</v>
      </c>
      <c r="Q12" s="21">
        <v>-3.5577400000000002E-2</v>
      </c>
      <c r="R12" s="21">
        <v>2</v>
      </c>
      <c r="S12" s="21">
        <v>-9.1033900000000001E-2</v>
      </c>
      <c r="T12">
        <f t="shared" ref="T12:T75" si="2">-Q12/$F$2*1000</f>
        <v>35.577400000000004</v>
      </c>
      <c r="U12">
        <f t="shared" ref="U12:U75" si="3">T12*O12</f>
        <v>-3.1974939208200004</v>
      </c>
      <c r="V12" s="22"/>
      <c r="W12" s="23"/>
      <c r="X12" s="9"/>
      <c r="Y12" s="21">
        <v>0.690002</v>
      </c>
      <c r="Z12" s="21">
        <v>81.851900000000001</v>
      </c>
      <c r="AA12" s="21">
        <v>5.0506600000000002E-3</v>
      </c>
      <c r="AB12" s="21">
        <v>2</v>
      </c>
      <c r="AC12" s="21">
        <v>0.68942300000000001</v>
      </c>
      <c r="AD12">
        <f t="shared" ref="AD12:AD75" si="4">-AA12/$F$2*1000</f>
        <v>-5.0506600000000006</v>
      </c>
      <c r="AE12">
        <f t="shared" ref="AE12:AE75" si="5">AD12*Y12</f>
        <v>-3.4849655013200005</v>
      </c>
      <c r="AF12" s="9"/>
      <c r="AG12" s="21">
        <v>-8.9874300000000004E-2</v>
      </c>
      <c r="AH12" s="21">
        <v>84.830500000000001</v>
      </c>
      <c r="AI12" s="21">
        <v>-3.5589599999999999E-2</v>
      </c>
      <c r="AJ12" s="21">
        <v>2</v>
      </c>
      <c r="AK12" s="21">
        <v>-9.1003399999999998E-2</v>
      </c>
      <c r="AL12">
        <f t="shared" ref="AL12:AL75" si="6">-AI12/$F$2*1000</f>
        <v>35.589599999999997</v>
      </c>
      <c r="AM12">
        <f t="shared" ref="AM12:AM75" si="7">AL12*AG12</f>
        <v>-3.1985903872799999</v>
      </c>
      <c r="AP12" s="9"/>
      <c r="AQ12" s="21">
        <v>0.690002</v>
      </c>
      <c r="AR12" s="21">
        <v>87.566100000000006</v>
      </c>
      <c r="AS12" s="21">
        <v>5.07202E-3</v>
      </c>
      <c r="AT12" s="21">
        <v>2</v>
      </c>
      <c r="AU12" s="21">
        <v>0.68936200000000003</v>
      </c>
      <c r="AV12">
        <f t="shared" ref="AV12:AV75" si="8">-AS12/$F$2*1000</f>
        <v>-5.0720200000000002</v>
      </c>
      <c r="AW12">
        <f t="shared" ref="AW12:AW75" si="9">AV12*AQ12</f>
        <v>-3.4997039440400002</v>
      </c>
      <c r="AX12" s="9"/>
      <c r="AY12" s="21">
        <v>-8.9874300000000004E-2</v>
      </c>
      <c r="AZ12" s="21">
        <v>90.336600000000004</v>
      </c>
      <c r="BA12" s="21">
        <v>-3.55865E-2</v>
      </c>
      <c r="BB12" s="21">
        <v>2</v>
      </c>
      <c r="BC12" s="21">
        <v>-9.1064500000000007E-2</v>
      </c>
      <c r="BD12">
        <f t="shared" ref="BD12:BD75" si="10">-BA12/$F$2*1000</f>
        <v>35.586500000000001</v>
      </c>
      <c r="BE12">
        <f t="shared" ref="BE12:BE75" si="11">BD12*AY12</f>
        <v>-3.1983117769500002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0.67981759372619188</v>
      </c>
      <c r="B13" s="18">
        <f>IFERROR(AD9,0)</f>
        <v>35.579850772880057</v>
      </c>
      <c r="C13" s="19">
        <f>IFERROR(AD4,0)</f>
        <v>0.73999269892965325</v>
      </c>
      <c r="D13" s="20">
        <f>IFERROR(AD2,0)</f>
        <v>17.8988017209</v>
      </c>
      <c r="E13" s="20">
        <f>IFERROR(AA9,0)</f>
        <v>0</v>
      </c>
      <c r="F13" s="9"/>
      <c r="G13" s="21">
        <v>0.68496699999999999</v>
      </c>
      <c r="H13" s="21">
        <v>45.435299999999998</v>
      </c>
      <c r="I13" s="21">
        <v>1.9860799999999999E-3</v>
      </c>
      <c r="J13" s="21">
        <v>3</v>
      </c>
      <c r="K13" s="21">
        <v>0.68423500000000004</v>
      </c>
      <c r="L13">
        <f t="shared" si="0"/>
        <v>-1.9860799999999998</v>
      </c>
      <c r="M13">
        <f t="shared" si="1"/>
        <v>-1.3603992593599998</v>
      </c>
      <c r="N13" s="9"/>
      <c r="O13" s="21">
        <v>-8.4838899999999995E-2</v>
      </c>
      <c r="P13" s="21">
        <v>78.613399999999999</v>
      </c>
      <c r="Q13" s="21">
        <v>-3.5577400000000002E-2</v>
      </c>
      <c r="R13" s="21">
        <v>3</v>
      </c>
      <c r="S13" s="21">
        <v>-8.5968000000000003E-2</v>
      </c>
      <c r="T13">
        <f t="shared" si="2"/>
        <v>35.577400000000004</v>
      </c>
      <c r="U13">
        <f t="shared" si="3"/>
        <v>-3.0183474808600002</v>
      </c>
      <c r="V13" s="22"/>
      <c r="W13" s="23"/>
      <c r="X13" s="9"/>
      <c r="Y13" s="21">
        <v>0.68496699999999999</v>
      </c>
      <c r="Z13" s="21">
        <v>81.861999999999995</v>
      </c>
      <c r="AA13" s="21">
        <v>2.3120100000000002E-3</v>
      </c>
      <c r="AB13" s="21">
        <v>3</v>
      </c>
      <c r="AC13" s="21">
        <v>0.68432599999999999</v>
      </c>
      <c r="AD13">
        <f t="shared" si="4"/>
        <v>-2.3120100000000003</v>
      </c>
      <c r="AE13">
        <f t="shared" si="5"/>
        <v>-1.5836505536700003</v>
      </c>
      <c r="AF13" s="9"/>
      <c r="AG13" s="21">
        <v>-8.4838899999999995E-2</v>
      </c>
      <c r="AH13" s="21">
        <v>84.840599999999995</v>
      </c>
      <c r="AI13" s="21">
        <v>-3.5583499999999997E-2</v>
      </c>
      <c r="AJ13" s="21">
        <v>3</v>
      </c>
      <c r="AK13" s="21">
        <v>-8.5968000000000003E-2</v>
      </c>
      <c r="AL13">
        <f t="shared" si="6"/>
        <v>35.583499999999994</v>
      </c>
      <c r="AM13">
        <f t="shared" si="7"/>
        <v>-3.0188649981499993</v>
      </c>
      <c r="AP13" s="9"/>
      <c r="AQ13" s="21">
        <v>0.68496699999999999</v>
      </c>
      <c r="AR13" s="21">
        <v>87.576099999999997</v>
      </c>
      <c r="AS13" s="21">
        <v>2.3495500000000002E-3</v>
      </c>
      <c r="AT13" s="21">
        <v>3</v>
      </c>
      <c r="AU13" s="21">
        <v>0.68432599999999999</v>
      </c>
      <c r="AV13">
        <f t="shared" si="8"/>
        <v>-2.3495500000000002</v>
      </c>
      <c r="AW13">
        <f t="shared" si="9"/>
        <v>-1.6093642148500003</v>
      </c>
      <c r="AX13" s="9"/>
      <c r="AY13" s="21">
        <v>-8.4838899999999995E-2</v>
      </c>
      <c r="AZ13" s="21">
        <v>90.346699999999998</v>
      </c>
      <c r="BA13" s="21">
        <v>-3.5559100000000003E-2</v>
      </c>
      <c r="BB13" s="21">
        <v>3</v>
      </c>
      <c r="BC13" s="21">
        <v>-8.5906999999999997E-2</v>
      </c>
      <c r="BD13">
        <f t="shared" si="10"/>
        <v>35.559100000000001</v>
      </c>
      <c r="BE13">
        <f t="shared" si="11"/>
        <v>-3.01679492899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0.67986126831225524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0.67993199999999998</v>
      </c>
      <c r="H14" s="21">
        <v>45.445399999999999</v>
      </c>
      <c r="I14" s="21">
        <v>-5.4779099999999995E-4</v>
      </c>
      <c r="J14" s="21">
        <v>4</v>
      </c>
      <c r="K14" s="21">
        <v>0.679199</v>
      </c>
      <c r="L14">
        <f t="shared" si="0"/>
        <v>0.54779099999999992</v>
      </c>
      <c r="M14">
        <f t="shared" si="1"/>
        <v>0.37246063021199993</v>
      </c>
      <c r="N14" s="9"/>
      <c r="O14" s="21">
        <v>-7.9803499999999999E-2</v>
      </c>
      <c r="P14" s="21">
        <v>78.623500000000007</v>
      </c>
      <c r="Q14" s="21">
        <v>-3.55988E-2</v>
      </c>
      <c r="R14" s="21">
        <v>4</v>
      </c>
      <c r="S14" s="21">
        <v>-8.0902100000000005E-2</v>
      </c>
      <c r="T14">
        <f t="shared" si="2"/>
        <v>35.598799999999997</v>
      </c>
      <c r="U14">
        <f t="shared" si="3"/>
        <v>-2.8409088357999996</v>
      </c>
      <c r="V14" s="22"/>
      <c r="W14" s="23"/>
      <c r="X14" s="9"/>
      <c r="Y14" s="21">
        <v>0.67993199999999998</v>
      </c>
      <c r="Z14" s="21">
        <v>81.872100000000003</v>
      </c>
      <c r="AA14" s="21">
        <v>-3.0133100000000001E-4</v>
      </c>
      <c r="AB14" s="21">
        <v>4</v>
      </c>
      <c r="AC14" s="21">
        <v>0.67923</v>
      </c>
      <c r="AD14">
        <f t="shared" si="4"/>
        <v>0.30133100000000002</v>
      </c>
      <c r="AE14">
        <f t="shared" si="5"/>
        <v>0.204884589492</v>
      </c>
      <c r="AF14" s="9"/>
      <c r="AG14" s="21">
        <v>-7.9803499999999999E-2</v>
      </c>
      <c r="AH14" s="21">
        <v>84.8506</v>
      </c>
      <c r="AI14" s="21">
        <v>-3.5565199999999998E-2</v>
      </c>
      <c r="AJ14" s="21">
        <v>4</v>
      </c>
      <c r="AK14" s="21">
        <v>-8.0963099999999996E-2</v>
      </c>
      <c r="AL14">
        <f t="shared" si="6"/>
        <v>35.565199999999997</v>
      </c>
      <c r="AM14">
        <f t="shared" si="7"/>
        <v>-2.8382274381999997</v>
      </c>
      <c r="AP14" s="9"/>
      <c r="AQ14" s="21">
        <v>0.67993199999999998</v>
      </c>
      <c r="AR14" s="21">
        <v>87.586200000000005</v>
      </c>
      <c r="AS14" s="21">
        <v>-3.0169700000000002E-4</v>
      </c>
      <c r="AT14" s="21">
        <v>4</v>
      </c>
      <c r="AU14" s="21">
        <v>0.67925999999999997</v>
      </c>
      <c r="AV14">
        <f t="shared" si="8"/>
        <v>0.30169700000000005</v>
      </c>
      <c r="AW14">
        <f t="shared" si="9"/>
        <v>0.20513344460400001</v>
      </c>
      <c r="AX14" s="9"/>
      <c r="AY14" s="21">
        <v>-7.9803499999999999E-2</v>
      </c>
      <c r="AZ14" s="21">
        <v>90.356800000000007</v>
      </c>
      <c r="BA14" s="21">
        <v>-3.5555999999999997E-2</v>
      </c>
      <c r="BB14" s="21">
        <v>4</v>
      </c>
      <c r="BC14" s="21">
        <v>-8.0963099999999996E-2</v>
      </c>
      <c r="BD14">
        <f t="shared" si="10"/>
        <v>35.555999999999997</v>
      </c>
      <c r="BE14">
        <f t="shared" si="11"/>
        <v>-2.8374932459999997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0.67983648231266269</v>
      </c>
      <c r="B15" s="18">
        <f>IFERROR(AV9,0)</f>
        <v>35.531217184608359</v>
      </c>
      <c r="C15" s="19">
        <f>IFERROR(AV4,0)</f>
        <v>0.74161000830559998</v>
      </c>
      <c r="D15" s="20">
        <f>IFERROR(AV2,0)</f>
        <v>17.913899523399998</v>
      </c>
      <c r="E15" s="20">
        <f>IFERROR(AS9,0)</f>
        <v>0.12167088733879848</v>
      </c>
      <c r="F15" s="9"/>
      <c r="G15" s="21">
        <v>0.67489600000000005</v>
      </c>
      <c r="H15" s="21">
        <v>45.455399999999997</v>
      </c>
      <c r="I15" s="21">
        <v>-3.03345E-3</v>
      </c>
      <c r="J15" s="21">
        <v>5</v>
      </c>
      <c r="K15" s="21">
        <v>0.67416399999999999</v>
      </c>
      <c r="L15">
        <f t="shared" si="0"/>
        <v>3.0334500000000002</v>
      </c>
      <c r="M15">
        <f t="shared" si="1"/>
        <v>2.0472632712000003</v>
      </c>
      <c r="N15" s="9"/>
      <c r="O15" s="21">
        <v>-7.4768100000000004E-2</v>
      </c>
      <c r="P15" s="21">
        <v>78.633499999999998</v>
      </c>
      <c r="Q15" s="21">
        <v>-3.5623200000000001E-2</v>
      </c>
      <c r="R15" s="21">
        <v>5</v>
      </c>
      <c r="S15" s="21">
        <v>-7.5897199999999998E-2</v>
      </c>
      <c r="T15">
        <f t="shared" si="2"/>
        <v>35.623200000000004</v>
      </c>
      <c r="U15">
        <f t="shared" si="3"/>
        <v>-2.6634789799200003</v>
      </c>
      <c r="V15" s="22"/>
      <c r="W15" s="23"/>
      <c r="X15" s="9"/>
      <c r="Y15" s="21">
        <v>0.67489600000000005</v>
      </c>
      <c r="Z15" s="21">
        <v>81.882099999999994</v>
      </c>
      <c r="AA15" s="21">
        <v>-2.7975500000000002E-3</v>
      </c>
      <c r="AB15" s="21">
        <v>5</v>
      </c>
      <c r="AC15" s="21">
        <v>0.67413299999999998</v>
      </c>
      <c r="AD15">
        <f t="shared" si="4"/>
        <v>2.7975500000000002</v>
      </c>
      <c r="AE15">
        <f t="shared" si="5"/>
        <v>1.8880553048000004</v>
      </c>
      <c r="AF15" s="9"/>
      <c r="AG15" s="21">
        <v>-7.4768100000000004E-2</v>
      </c>
      <c r="AH15" s="21">
        <v>84.860699999999994</v>
      </c>
      <c r="AI15" s="21">
        <v>-3.5549900000000002E-2</v>
      </c>
      <c r="AJ15" s="21">
        <v>5</v>
      </c>
      <c r="AK15" s="21">
        <v>-7.5897199999999998E-2</v>
      </c>
      <c r="AL15">
        <f t="shared" si="6"/>
        <v>35.549900000000001</v>
      </c>
      <c r="AM15">
        <f t="shared" si="7"/>
        <v>-2.6579984781900001</v>
      </c>
      <c r="AP15" s="9"/>
      <c r="AQ15" s="21">
        <v>0.67489600000000005</v>
      </c>
      <c r="AR15" s="21">
        <v>87.596299999999999</v>
      </c>
      <c r="AS15" s="21">
        <v>-2.8024299999999999E-3</v>
      </c>
      <c r="AT15" s="21">
        <v>5</v>
      </c>
      <c r="AU15" s="21">
        <v>0.67413299999999998</v>
      </c>
      <c r="AV15">
        <f t="shared" si="8"/>
        <v>2.8024299999999998</v>
      </c>
      <c r="AW15">
        <f t="shared" si="9"/>
        <v>1.89134879728</v>
      </c>
      <c r="AX15" s="9"/>
      <c r="AY15" s="21">
        <v>-7.4768100000000004E-2</v>
      </c>
      <c r="AZ15" s="21">
        <v>90.366799999999998</v>
      </c>
      <c r="BA15" s="21">
        <v>-3.5553000000000001E-2</v>
      </c>
      <c r="BB15" s="21">
        <v>5</v>
      </c>
      <c r="BC15" s="21">
        <v>-7.5836200000000006E-2</v>
      </c>
      <c r="BD15">
        <f t="shared" si="10"/>
        <v>35.553000000000004</v>
      </c>
      <c r="BE15">
        <f t="shared" si="11"/>
        <v>-2.6582302593000007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0.67980725452912472</v>
      </c>
      <c r="B16" s="18">
        <f>IFERROR(BD9,0)</f>
        <v>35.489550957657798</v>
      </c>
      <c r="C16" s="19">
        <f>IFERROR(BD4,0)</f>
        <v>0.74341713428045564</v>
      </c>
      <c r="D16" s="20">
        <f>IFERROR(BD2,0)</f>
        <v>17.935722075600001</v>
      </c>
      <c r="E16" s="20"/>
      <c r="F16" s="9"/>
      <c r="G16" s="21">
        <v>0.66986100000000004</v>
      </c>
      <c r="H16" s="21">
        <v>45.465499999999999</v>
      </c>
      <c r="I16" s="21">
        <v>-5.3527799999999997E-3</v>
      </c>
      <c r="J16" s="21">
        <v>6</v>
      </c>
      <c r="K16" s="21">
        <v>0.66906699999999997</v>
      </c>
      <c r="L16">
        <f t="shared" si="0"/>
        <v>5.3527800000000001</v>
      </c>
      <c r="M16">
        <f t="shared" si="1"/>
        <v>3.5856185635800002</v>
      </c>
      <c r="N16" s="9"/>
      <c r="O16" s="21">
        <v>-6.9732699999999995E-2</v>
      </c>
      <c r="P16" s="21">
        <v>78.643600000000006</v>
      </c>
      <c r="Q16" s="21">
        <v>-3.5601800000000003E-2</v>
      </c>
      <c r="R16" s="21">
        <v>6</v>
      </c>
      <c r="S16" s="21">
        <v>-7.08313E-2</v>
      </c>
      <c r="T16">
        <f t="shared" si="2"/>
        <v>35.601800000000004</v>
      </c>
      <c r="U16">
        <f t="shared" si="3"/>
        <v>-2.4826096388600001</v>
      </c>
      <c r="V16" s="22"/>
      <c r="W16" s="23"/>
      <c r="X16" s="9"/>
      <c r="Y16" s="21">
        <v>0.66986100000000004</v>
      </c>
      <c r="Z16" s="21">
        <v>81.892200000000003</v>
      </c>
      <c r="AA16" s="21">
        <v>-5.1635700000000001E-3</v>
      </c>
      <c r="AB16" s="21">
        <v>6</v>
      </c>
      <c r="AC16" s="21">
        <v>0.66909799999999997</v>
      </c>
      <c r="AD16">
        <f t="shared" si="4"/>
        <v>5.16357</v>
      </c>
      <c r="AE16">
        <f t="shared" si="5"/>
        <v>3.45887416377</v>
      </c>
      <c r="AF16" s="9"/>
      <c r="AG16" s="21">
        <v>-6.9732699999999995E-2</v>
      </c>
      <c r="AH16" s="21">
        <v>84.870800000000003</v>
      </c>
      <c r="AI16" s="21">
        <v>-3.5537699999999998E-2</v>
      </c>
      <c r="AJ16" s="21">
        <v>6</v>
      </c>
      <c r="AK16" s="21">
        <v>-7.08313E-2</v>
      </c>
      <c r="AL16">
        <f t="shared" si="6"/>
        <v>35.537700000000001</v>
      </c>
      <c r="AM16">
        <f t="shared" si="7"/>
        <v>-2.4781397727900001</v>
      </c>
      <c r="AP16" s="9"/>
      <c r="AQ16" s="21">
        <v>0.66986100000000004</v>
      </c>
      <c r="AR16" s="21">
        <v>87.606399999999994</v>
      </c>
      <c r="AS16" s="21">
        <v>-5.2093499999999997E-3</v>
      </c>
      <c r="AT16" s="21">
        <v>6</v>
      </c>
      <c r="AU16" s="21">
        <v>0.66903699999999999</v>
      </c>
      <c r="AV16">
        <f t="shared" si="8"/>
        <v>5.2093499999999997</v>
      </c>
      <c r="AW16">
        <f t="shared" si="9"/>
        <v>3.4895404003500001</v>
      </c>
      <c r="AX16" s="9"/>
      <c r="AY16" s="21">
        <v>-6.9732699999999995E-2</v>
      </c>
      <c r="AZ16" s="21">
        <v>90.376900000000006</v>
      </c>
      <c r="BA16" s="21">
        <v>-3.5549900000000002E-2</v>
      </c>
      <c r="BB16" s="21">
        <v>6</v>
      </c>
      <c r="BC16" s="21">
        <v>-7.0800799999999997E-2</v>
      </c>
      <c r="BD16">
        <f t="shared" si="10"/>
        <v>35.549900000000001</v>
      </c>
      <c r="BE16">
        <f t="shared" si="11"/>
        <v>-2.4789905117299997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0.664825</v>
      </c>
      <c r="H17" s="21">
        <v>45.4756</v>
      </c>
      <c r="I17" s="21">
        <v>-7.5286900000000002E-3</v>
      </c>
      <c r="J17" s="21">
        <v>7</v>
      </c>
      <c r="K17" s="21">
        <v>0.66400099999999995</v>
      </c>
      <c r="L17">
        <f t="shared" si="0"/>
        <v>7.5286900000000001</v>
      </c>
      <c r="M17">
        <f t="shared" si="1"/>
        <v>5.0052613292499997</v>
      </c>
      <c r="N17" s="9"/>
      <c r="O17" s="21">
        <v>-6.4697299999999999E-2</v>
      </c>
      <c r="P17" s="21">
        <v>78.653700000000001</v>
      </c>
      <c r="Q17" s="21">
        <v>-3.55865E-2</v>
      </c>
      <c r="R17" s="21">
        <v>7</v>
      </c>
      <c r="S17" s="21">
        <v>-6.5826399999999993E-2</v>
      </c>
      <c r="T17">
        <f t="shared" si="2"/>
        <v>35.586500000000001</v>
      </c>
      <c r="U17">
        <f t="shared" si="3"/>
        <v>-2.3023504664500001</v>
      </c>
      <c r="V17" s="22"/>
      <c r="W17" s="23"/>
      <c r="X17" s="9"/>
      <c r="Y17" s="21">
        <v>0.664825</v>
      </c>
      <c r="Z17" s="21">
        <v>81.902299999999997</v>
      </c>
      <c r="AA17" s="21">
        <v>-7.4279799999999998E-3</v>
      </c>
      <c r="AB17" s="21">
        <v>7</v>
      </c>
      <c r="AC17" s="21">
        <v>0.66400099999999995</v>
      </c>
      <c r="AD17">
        <f t="shared" si="4"/>
        <v>7.4279799999999998</v>
      </c>
      <c r="AE17">
        <f t="shared" si="5"/>
        <v>4.9383068034999997</v>
      </c>
      <c r="AF17" s="9"/>
      <c r="AG17" s="21">
        <v>-6.4697299999999999E-2</v>
      </c>
      <c r="AH17" s="21">
        <v>84.880799999999994</v>
      </c>
      <c r="AI17" s="21">
        <v>-3.5534700000000002E-2</v>
      </c>
      <c r="AJ17" s="21">
        <v>7</v>
      </c>
      <c r="AK17" s="21">
        <v>-6.5887500000000002E-2</v>
      </c>
      <c r="AL17">
        <f t="shared" si="6"/>
        <v>35.534700000000001</v>
      </c>
      <c r="AM17">
        <f t="shared" si="7"/>
        <v>-2.2989991463099999</v>
      </c>
      <c r="AP17" s="9"/>
      <c r="AQ17" s="21">
        <v>0.664825</v>
      </c>
      <c r="AR17" s="21">
        <v>87.616399999999999</v>
      </c>
      <c r="AS17" s="21">
        <v>-7.4249299999999997E-3</v>
      </c>
      <c r="AT17" s="21">
        <v>7</v>
      </c>
      <c r="AU17" s="21">
        <v>0.66403199999999996</v>
      </c>
      <c r="AV17">
        <f t="shared" si="8"/>
        <v>7.4249299999999998</v>
      </c>
      <c r="AW17">
        <f t="shared" si="9"/>
        <v>4.93627908725</v>
      </c>
      <c r="AX17" s="9"/>
      <c r="AY17" s="21">
        <v>-6.4697299999999999E-2</v>
      </c>
      <c r="AZ17" s="21">
        <v>90.387</v>
      </c>
      <c r="BA17" s="21">
        <v>-3.5540799999999997E-2</v>
      </c>
      <c r="BB17" s="21">
        <v>7</v>
      </c>
      <c r="BC17" s="21">
        <v>-6.5826399999999993E-2</v>
      </c>
      <c r="BD17">
        <f t="shared" si="10"/>
        <v>35.540799999999997</v>
      </c>
      <c r="BE17">
        <f t="shared" si="11"/>
        <v>-2.2993937998399998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0.65978999999999999</v>
      </c>
      <c r="H18" s="21">
        <v>45.485599999999998</v>
      </c>
      <c r="I18" s="21">
        <v>-9.6282999999999994E-3</v>
      </c>
      <c r="J18" s="21">
        <v>8</v>
      </c>
      <c r="K18" s="21">
        <v>0.65896600000000005</v>
      </c>
      <c r="L18">
        <f t="shared" si="0"/>
        <v>9.6282999999999994</v>
      </c>
      <c r="M18">
        <f t="shared" si="1"/>
        <v>6.3526560569999999</v>
      </c>
      <c r="N18" s="9"/>
      <c r="O18" s="21">
        <v>-5.9661899999999997E-2</v>
      </c>
      <c r="P18" s="21">
        <v>78.663799999999995</v>
      </c>
      <c r="Q18" s="21">
        <v>-3.5555999999999997E-2</v>
      </c>
      <c r="R18" s="21">
        <v>8</v>
      </c>
      <c r="S18" s="21">
        <v>-6.0852099999999999E-2</v>
      </c>
      <c r="T18">
        <f t="shared" si="2"/>
        <v>35.555999999999997</v>
      </c>
      <c r="U18">
        <f t="shared" si="3"/>
        <v>-2.1213385163999998</v>
      </c>
      <c r="V18" s="22"/>
      <c r="W18" s="23"/>
      <c r="X18" s="9"/>
      <c r="Y18" s="21">
        <v>0.65978999999999999</v>
      </c>
      <c r="Z18" s="21">
        <v>81.912300000000002</v>
      </c>
      <c r="AA18" s="21">
        <v>-9.5764200000000004E-3</v>
      </c>
      <c r="AB18" s="21">
        <v>8</v>
      </c>
      <c r="AC18" s="21">
        <v>0.65890499999999996</v>
      </c>
      <c r="AD18">
        <f t="shared" si="4"/>
        <v>9.5764200000000006</v>
      </c>
      <c r="AE18">
        <f t="shared" si="5"/>
        <v>6.3184261518000007</v>
      </c>
      <c r="AF18" s="9"/>
      <c r="AG18" s="21">
        <v>-5.9661899999999997E-2</v>
      </c>
      <c r="AH18" s="21">
        <v>84.890900000000002</v>
      </c>
      <c r="AI18" s="21">
        <v>-3.5534700000000002E-2</v>
      </c>
      <c r="AJ18" s="21">
        <v>8</v>
      </c>
      <c r="AK18" s="21">
        <v>-6.0790999999999998E-2</v>
      </c>
      <c r="AL18">
        <f t="shared" si="6"/>
        <v>35.534700000000001</v>
      </c>
      <c r="AM18">
        <f t="shared" si="7"/>
        <v>-2.12006771793</v>
      </c>
      <c r="AP18" s="9"/>
      <c r="AQ18" s="21">
        <v>0.65978999999999999</v>
      </c>
      <c r="AR18" s="21">
        <v>87.626499999999993</v>
      </c>
      <c r="AS18" s="21">
        <v>-9.5733599999999995E-3</v>
      </c>
      <c r="AT18" s="21">
        <v>8</v>
      </c>
      <c r="AU18" s="21">
        <v>0.65890499999999996</v>
      </c>
      <c r="AV18">
        <f t="shared" si="8"/>
        <v>9.5733599999999992</v>
      </c>
      <c r="AW18">
        <f t="shared" si="9"/>
        <v>6.3164071943999991</v>
      </c>
      <c r="AX18" s="9"/>
      <c r="AY18" s="21">
        <v>-5.9661899999999997E-2</v>
      </c>
      <c r="AZ18" s="21">
        <v>90.397099999999995</v>
      </c>
      <c r="BA18" s="21">
        <v>-3.5549900000000002E-2</v>
      </c>
      <c r="BB18" s="21">
        <v>8</v>
      </c>
      <c r="BC18" s="21">
        <v>-6.0729999999999999E-2</v>
      </c>
      <c r="BD18">
        <f t="shared" si="10"/>
        <v>35.549900000000001</v>
      </c>
      <c r="BE18">
        <f t="shared" si="11"/>
        <v>-2.1209745788099998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0.65475499999999998</v>
      </c>
      <c r="H19" s="21">
        <v>45.495699999999999</v>
      </c>
      <c r="I19" s="21">
        <v>-1.15753E-2</v>
      </c>
      <c r="J19" s="21">
        <v>9</v>
      </c>
      <c r="K19" s="21">
        <v>0.65383899999999995</v>
      </c>
      <c r="L19">
        <f t="shared" si="0"/>
        <v>11.5753</v>
      </c>
      <c r="M19">
        <f t="shared" si="1"/>
        <v>7.5789855514999998</v>
      </c>
      <c r="N19" s="9"/>
      <c r="O19" s="21">
        <v>-5.4626500000000001E-2</v>
      </c>
      <c r="P19" s="21">
        <v>78.6738</v>
      </c>
      <c r="Q19" s="21">
        <v>-3.5546899999999999E-2</v>
      </c>
      <c r="R19" s="21">
        <v>9</v>
      </c>
      <c r="S19" s="21">
        <v>-5.5786099999999998E-2</v>
      </c>
      <c r="T19">
        <f t="shared" si="2"/>
        <v>35.546900000000001</v>
      </c>
      <c r="U19">
        <f t="shared" si="3"/>
        <v>-1.94180273285</v>
      </c>
      <c r="V19" s="22"/>
      <c r="W19" s="23"/>
      <c r="X19" s="9"/>
      <c r="Y19" s="21">
        <v>0.65475499999999998</v>
      </c>
      <c r="Z19" s="21">
        <v>81.922399999999996</v>
      </c>
      <c r="AA19" s="21">
        <v>-1.1621100000000001E-2</v>
      </c>
      <c r="AB19" s="21">
        <v>9</v>
      </c>
      <c r="AC19" s="21">
        <v>0.65393100000000004</v>
      </c>
      <c r="AD19">
        <f t="shared" si="4"/>
        <v>11.6211</v>
      </c>
      <c r="AE19">
        <f t="shared" si="5"/>
        <v>7.6089733304999996</v>
      </c>
      <c r="AF19" s="9"/>
      <c r="AG19" s="21">
        <v>-5.4626500000000001E-2</v>
      </c>
      <c r="AH19" s="21">
        <v>84.900999999999996</v>
      </c>
      <c r="AI19" s="21">
        <v>-3.55194E-2</v>
      </c>
      <c r="AJ19" s="21">
        <v>9</v>
      </c>
      <c r="AK19" s="21">
        <v>-5.57251E-2</v>
      </c>
      <c r="AL19">
        <f t="shared" si="6"/>
        <v>35.519399999999997</v>
      </c>
      <c r="AM19">
        <f t="shared" si="7"/>
        <v>-1.9403005040999999</v>
      </c>
      <c r="AP19" s="9"/>
      <c r="AQ19" s="21">
        <v>0.65475499999999998</v>
      </c>
      <c r="AR19" s="21">
        <v>87.636600000000001</v>
      </c>
      <c r="AS19" s="21">
        <v>-1.1605799999999999E-2</v>
      </c>
      <c r="AT19" s="21">
        <v>9</v>
      </c>
      <c r="AU19" s="21">
        <v>0.65386999999999995</v>
      </c>
      <c r="AV19">
        <f t="shared" si="8"/>
        <v>11.605799999999999</v>
      </c>
      <c r="AW19">
        <f t="shared" si="9"/>
        <v>7.5989555789999992</v>
      </c>
      <c r="AX19" s="9"/>
      <c r="AY19" s="21">
        <v>-5.4626500000000001E-2</v>
      </c>
      <c r="AZ19" s="21">
        <v>90.4071</v>
      </c>
      <c r="BA19" s="21">
        <v>-3.5540799999999997E-2</v>
      </c>
      <c r="BB19" s="21">
        <v>9</v>
      </c>
      <c r="BC19" s="21">
        <v>-5.5786099999999998E-2</v>
      </c>
      <c r="BD19">
        <f t="shared" si="10"/>
        <v>35.540799999999997</v>
      </c>
      <c r="BE19">
        <f t="shared" si="11"/>
        <v>-1.9414695112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0.64971900000000005</v>
      </c>
      <c r="H20" s="21">
        <v>45.505800000000001</v>
      </c>
      <c r="I20" s="21">
        <v>-1.34521E-2</v>
      </c>
      <c r="J20" s="21">
        <v>10</v>
      </c>
      <c r="K20" s="21">
        <v>0.64880400000000005</v>
      </c>
      <c r="L20">
        <f t="shared" si="0"/>
        <v>13.4521</v>
      </c>
      <c r="M20">
        <f t="shared" si="1"/>
        <v>8.7400849599000008</v>
      </c>
      <c r="N20" s="9"/>
      <c r="O20" s="21">
        <v>-4.9591099999999999E-2</v>
      </c>
      <c r="P20" s="21">
        <v>78.683899999999994</v>
      </c>
      <c r="Q20" s="21">
        <v>-3.5540799999999997E-2</v>
      </c>
      <c r="R20" s="21">
        <v>10</v>
      </c>
      <c r="S20" s="21">
        <v>-5.07202E-2</v>
      </c>
      <c r="T20">
        <f t="shared" si="2"/>
        <v>35.540799999999997</v>
      </c>
      <c r="U20">
        <f t="shared" si="3"/>
        <v>-1.7625073668799998</v>
      </c>
      <c r="V20" s="22"/>
      <c r="W20" s="23"/>
      <c r="X20" s="9"/>
      <c r="Y20" s="21">
        <v>0.64971900000000005</v>
      </c>
      <c r="Z20" s="21">
        <v>81.932500000000005</v>
      </c>
      <c r="AA20" s="21">
        <v>-1.3543700000000001E-2</v>
      </c>
      <c r="AB20" s="21">
        <v>10</v>
      </c>
      <c r="AC20" s="21">
        <v>0.64880400000000005</v>
      </c>
      <c r="AD20">
        <f t="shared" si="4"/>
        <v>13.543700000000001</v>
      </c>
      <c r="AE20">
        <f t="shared" si="5"/>
        <v>8.7995992203000011</v>
      </c>
      <c r="AF20" s="9"/>
      <c r="AG20" s="21">
        <v>-4.9591099999999999E-2</v>
      </c>
      <c r="AH20" s="21">
        <v>84.911100000000005</v>
      </c>
      <c r="AI20" s="21">
        <v>-3.5510300000000002E-2</v>
      </c>
      <c r="AJ20" s="21">
        <v>10</v>
      </c>
      <c r="AK20" s="21">
        <v>-5.08423E-2</v>
      </c>
      <c r="AL20">
        <f t="shared" si="6"/>
        <v>35.510300000000001</v>
      </c>
      <c r="AM20">
        <f t="shared" si="7"/>
        <v>-1.76099483833</v>
      </c>
      <c r="AP20" s="9"/>
      <c r="AQ20" s="21">
        <v>0.64971900000000005</v>
      </c>
      <c r="AR20" s="21">
        <v>87.646600000000007</v>
      </c>
      <c r="AS20" s="21">
        <v>-1.35345E-2</v>
      </c>
      <c r="AT20" s="21">
        <v>10</v>
      </c>
      <c r="AU20" s="21">
        <v>0.64880400000000005</v>
      </c>
      <c r="AV20">
        <f t="shared" si="8"/>
        <v>13.5345</v>
      </c>
      <c r="AW20">
        <f t="shared" si="9"/>
        <v>8.7936218055000008</v>
      </c>
      <c r="AX20" s="9"/>
      <c r="AY20" s="21">
        <v>-4.9591099999999999E-2</v>
      </c>
      <c r="AZ20" s="21">
        <v>90.417199999999994</v>
      </c>
      <c r="BA20" s="21">
        <v>-3.5531600000000003E-2</v>
      </c>
      <c r="BB20" s="21">
        <v>10</v>
      </c>
      <c r="BC20" s="21">
        <v>-5.0811799999999997E-2</v>
      </c>
      <c r="BD20">
        <f t="shared" si="10"/>
        <v>35.531600000000005</v>
      </c>
      <c r="BE20">
        <f t="shared" si="11"/>
        <v>-1.7620511287600003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0.64468400000000003</v>
      </c>
      <c r="H21" s="21">
        <v>45.515900000000002</v>
      </c>
      <c r="I21" s="21">
        <v>-1.5203899999999999E-2</v>
      </c>
      <c r="J21" s="21">
        <v>11</v>
      </c>
      <c r="K21" s="21">
        <v>0.64370700000000003</v>
      </c>
      <c r="L21">
        <f t="shared" si="0"/>
        <v>15.203899999999999</v>
      </c>
      <c r="M21">
        <f t="shared" si="1"/>
        <v>9.8017110675999994</v>
      </c>
      <c r="N21" s="9"/>
      <c r="O21" s="21">
        <v>-4.4555699999999997E-2</v>
      </c>
      <c r="P21" s="21">
        <v>78.694000000000003</v>
      </c>
      <c r="Q21" s="21">
        <v>-3.5546899999999999E-2</v>
      </c>
      <c r="R21" s="21">
        <v>11</v>
      </c>
      <c r="S21" s="21">
        <v>-4.51996E-2</v>
      </c>
      <c r="T21">
        <f t="shared" si="2"/>
        <v>35.546900000000001</v>
      </c>
      <c r="U21">
        <f t="shared" si="3"/>
        <v>-1.5838170123299999</v>
      </c>
      <c r="V21" s="22"/>
      <c r="W21" s="23"/>
      <c r="X21" s="9"/>
      <c r="Y21" s="21">
        <v>0.64468400000000003</v>
      </c>
      <c r="Z21" s="21">
        <v>81.942599999999999</v>
      </c>
      <c r="AA21" s="21">
        <v>-1.53534E-2</v>
      </c>
      <c r="AB21" s="21">
        <v>11</v>
      </c>
      <c r="AC21" s="21">
        <v>0.64370700000000003</v>
      </c>
      <c r="AD21">
        <f t="shared" si="4"/>
        <v>15.353399999999999</v>
      </c>
      <c r="AE21">
        <f t="shared" si="5"/>
        <v>9.8980913255999994</v>
      </c>
      <c r="AF21" s="9"/>
      <c r="AG21" s="21">
        <v>-4.4555699999999997E-2</v>
      </c>
      <c r="AH21" s="21">
        <v>84.921099999999996</v>
      </c>
      <c r="AI21" s="21">
        <v>-3.5501100000000001E-2</v>
      </c>
      <c r="AJ21" s="21">
        <v>11</v>
      </c>
      <c r="AK21" s="21">
        <v>-4.5187400000000003E-2</v>
      </c>
      <c r="AL21">
        <f t="shared" si="6"/>
        <v>35.501100000000001</v>
      </c>
      <c r="AM21">
        <f t="shared" si="7"/>
        <v>-1.58177636127</v>
      </c>
      <c r="AP21" s="9"/>
      <c r="AQ21" s="21">
        <v>0.64468400000000003</v>
      </c>
      <c r="AR21" s="21">
        <v>87.656700000000001</v>
      </c>
      <c r="AS21" s="21">
        <v>-1.5344200000000001E-2</v>
      </c>
      <c r="AT21" s="21">
        <v>11</v>
      </c>
      <c r="AU21" s="21">
        <v>0.64373800000000003</v>
      </c>
      <c r="AV21">
        <f t="shared" si="8"/>
        <v>15.344200000000001</v>
      </c>
      <c r="AW21">
        <f t="shared" si="9"/>
        <v>9.8921602328000002</v>
      </c>
      <c r="AX21" s="9"/>
      <c r="AY21" s="21">
        <v>-4.4555699999999997E-2</v>
      </c>
      <c r="AZ21" s="21">
        <v>90.427300000000002</v>
      </c>
      <c r="BA21" s="21">
        <v>-3.5534700000000002E-2</v>
      </c>
      <c r="BB21" s="21">
        <v>11</v>
      </c>
      <c r="BC21" s="21">
        <v>-4.51721E-2</v>
      </c>
      <c r="BD21">
        <f t="shared" si="10"/>
        <v>35.534700000000001</v>
      </c>
      <c r="BE21">
        <f t="shared" si="11"/>
        <v>-1.58327343279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0.63964799999999999</v>
      </c>
      <c r="H22" s="21">
        <v>45.5259</v>
      </c>
      <c r="I22" s="21">
        <v>-1.6888400000000001E-2</v>
      </c>
      <c r="J22" s="21">
        <v>12</v>
      </c>
      <c r="K22" s="21">
        <v>0.63864100000000001</v>
      </c>
      <c r="L22">
        <f t="shared" si="0"/>
        <v>16.888400000000001</v>
      </c>
      <c r="M22">
        <f t="shared" si="1"/>
        <v>10.8026312832</v>
      </c>
      <c r="N22" s="9"/>
      <c r="O22" s="21">
        <v>-3.9520300000000001E-2</v>
      </c>
      <c r="P22" s="21">
        <v>78.703999999999994</v>
      </c>
      <c r="Q22" s="21">
        <v>-3.5553000000000001E-2</v>
      </c>
      <c r="R22" s="21">
        <v>12</v>
      </c>
      <c r="S22" s="21">
        <v>-4.0200800000000002E-2</v>
      </c>
      <c r="T22">
        <f t="shared" si="2"/>
        <v>35.553000000000004</v>
      </c>
      <c r="U22">
        <f t="shared" si="3"/>
        <v>-1.4050652259000003</v>
      </c>
      <c r="V22" s="22"/>
      <c r="W22" s="23"/>
      <c r="X22" s="9"/>
      <c r="Y22" s="21">
        <v>0.63964799999999999</v>
      </c>
      <c r="Z22" s="21">
        <v>81.952600000000004</v>
      </c>
      <c r="AA22" s="21">
        <v>-1.70288E-2</v>
      </c>
      <c r="AB22" s="21">
        <v>12</v>
      </c>
      <c r="AC22" s="21">
        <v>0.63861100000000004</v>
      </c>
      <c r="AD22">
        <f t="shared" si="4"/>
        <v>17.0288</v>
      </c>
      <c r="AE22">
        <f t="shared" si="5"/>
        <v>10.8924378624</v>
      </c>
      <c r="AF22" s="9"/>
      <c r="AG22" s="21">
        <v>-3.9520300000000001E-2</v>
      </c>
      <c r="AH22" s="21">
        <v>84.931200000000004</v>
      </c>
      <c r="AI22" s="21">
        <v>-3.5482800000000002E-2</v>
      </c>
      <c r="AJ22" s="21">
        <v>12</v>
      </c>
      <c r="AK22" s="21">
        <v>-4.0164199999999997E-2</v>
      </c>
      <c r="AL22">
        <f t="shared" si="6"/>
        <v>35.482800000000005</v>
      </c>
      <c r="AM22">
        <f t="shared" si="7"/>
        <v>-1.4022909008400002</v>
      </c>
      <c r="AP22" s="9"/>
      <c r="AQ22" s="21">
        <v>0.63964799999999999</v>
      </c>
      <c r="AR22" s="21">
        <v>87.666799999999995</v>
      </c>
      <c r="AS22" s="21">
        <v>-1.70441E-2</v>
      </c>
      <c r="AT22" s="21">
        <v>12</v>
      </c>
      <c r="AU22" s="21">
        <v>0.63870199999999999</v>
      </c>
      <c r="AV22">
        <f t="shared" si="8"/>
        <v>17.0441</v>
      </c>
      <c r="AW22">
        <f t="shared" si="9"/>
        <v>10.902224476800001</v>
      </c>
      <c r="AX22" s="9"/>
      <c r="AY22" s="21">
        <v>-3.9520300000000001E-2</v>
      </c>
      <c r="AZ22" s="21">
        <v>90.437299999999993</v>
      </c>
      <c r="BA22" s="21">
        <v>-3.5549900000000002E-2</v>
      </c>
      <c r="BB22" s="21">
        <v>12</v>
      </c>
      <c r="BC22" s="21">
        <v>-4.0127599999999999E-2</v>
      </c>
      <c r="BD22">
        <f t="shared" si="10"/>
        <v>35.549900000000001</v>
      </c>
      <c r="BE22">
        <f t="shared" si="11"/>
        <v>-1.4049427129700001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0.63461299999999998</v>
      </c>
      <c r="H23" s="21">
        <v>45.536000000000001</v>
      </c>
      <c r="I23" s="21">
        <v>-1.84326E-2</v>
      </c>
      <c r="J23" s="21">
        <v>13</v>
      </c>
      <c r="K23" s="21">
        <v>0.63351400000000002</v>
      </c>
      <c r="L23">
        <f t="shared" si="0"/>
        <v>18.432600000000001</v>
      </c>
      <c r="M23">
        <f t="shared" si="1"/>
        <v>11.6975675838</v>
      </c>
      <c r="N23" s="9"/>
      <c r="O23" s="21">
        <v>-3.4484899999999999E-2</v>
      </c>
      <c r="P23" s="21">
        <v>78.714100000000002</v>
      </c>
      <c r="Q23" s="21">
        <v>-3.5546899999999999E-2</v>
      </c>
      <c r="R23" s="21">
        <v>13</v>
      </c>
      <c r="S23" s="21">
        <v>-3.5083000000000003E-2</v>
      </c>
      <c r="T23">
        <f t="shared" si="2"/>
        <v>35.546900000000001</v>
      </c>
      <c r="U23">
        <f t="shared" si="3"/>
        <v>-1.2258312918100001</v>
      </c>
      <c r="V23" s="22"/>
      <c r="W23" s="23"/>
      <c r="X23" s="9"/>
      <c r="Y23" s="21">
        <v>0.63461299999999998</v>
      </c>
      <c r="Z23" s="21">
        <v>81.962699999999998</v>
      </c>
      <c r="AA23" s="21">
        <v>-1.8600499999999999E-2</v>
      </c>
      <c r="AB23" s="21">
        <v>13</v>
      </c>
      <c r="AC23" s="21">
        <v>0.63354500000000002</v>
      </c>
      <c r="AD23">
        <f t="shared" si="4"/>
        <v>18.6005</v>
      </c>
      <c r="AE23">
        <f t="shared" si="5"/>
        <v>11.8041191065</v>
      </c>
      <c r="AF23" s="9"/>
      <c r="AG23" s="21">
        <v>-3.4484899999999999E-2</v>
      </c>
      <c r="AH23" s="21">
        <v>84.941299999999998</v>
      </c>
      <c r="AI23" s="21">
        <v>-3.5470599999999998E-2</v>
      </c>
      <c r="AJ23" s="21">
        <v>13</v>
      </c>
      <c r="AK23" s="21">
        <v>-3.5046399999999998E-2</v>
      </c>
      <c r="AL23">
        <f t="shared" si="6"/>
        <v>35.470599999999997</v>
      </c>
      <c r="AM23">
        <f t="shared" si="7"/>
        <v>-1.2232000939399998</v>
      </c>
      <c r="AP23" s="9"/>
      <c r="AQ23" s="21">
        <v>0.63461299999999998</v>
      </c>
      <c r="AR23" s="21">
        <v>87.6768</v>
      </c>
      <c r="AS23" s="21">
        <v>-1.8621800000000001E-2</v>
      </c>
      <c r="AT23" s="21">
        <v>13</v>
      </c>
      <c r="AU23" s="21">
        <v>0.63354500000000002</v>
      </c>
      <c r="AV23">
        <f t="shared" si="8"/>
        <v>18.6218</v>
      </c>
      <c r="AW23">
        <f t="shared" si="9"/>
        <v>11.8176363634</v>
      </c>
      <c r="AX23" s="9"/>
      <c r="AY23" s="21">
        <v>-3.4484899999999999E-2</v>
      </c>
      <c r="AZ23" s="21">
        <v>90.447400000000002</v>
      </c>
      <c r="BA23" s="21">
        <v>-3.55713E-2</v>
      </c>
      <c r="BB23" s="21">
        <v>13</v>
      </c>
      <c r="BC23" s="21">
        <v>-3.5040300000000003E-2</v>
      </c>
      <c r="BD23">
        <f t="shared" si="10"/>
        <v>35.571300000000001</v>
      </c>
      <c r="BE23">
        <f t="shared" si="11"/>
        <v>-1.2266727233699999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0.62957799999999997</v>
      </c>
      <c r="H24" s="21">
        <v>45.546100000000003</v>
      </c>
      <c r="I24" s="21">
        <v>-1.9897499999999999E-2</v>
      </c>
      <c r="J24" s="21">
        <v>14</v>
      </c>
      <c r="K24" s="21">
        <v>0.62860099999999997</v>
      </c>
      <c r="L24">
        <f t="shared" si="0"/>
        <v>19.897499999999997</v>
      </c>
      <c r="M24">
        <f t="shared" si="1"/>
        <v>12.527028254999998</v>
      </c>
      <c r="N24" s="9"/>
      <c r="O24" s="21">
        <v>-2.94495E-2</v>
      </c>
      <c r="P24" s="21">
        <v>78.724199999999996</v>
      </c>
      <c r="Q24" s="21">
        <v>-3.5540799999999997E-2</v>
      </c>
      <c r="R24" s="21">
        <v>14</v>
      </c>
      <c r="S24" s="21">
        <v>-3.00232E-2</v>
      </c>
      <c r="T24">
        <f t="shared" si="2"/>
        <v>35.540799999999997</v>
      </c>
      <c r="U24">
        <f t="shared" si="3"/>
        <v>-1.0466587895999999</v>
      </c>
      <c r="V24" s="22"/>
      <c r="W24" s="23"/>
      <c r="X24" s="9"/>
      <c r="Y24" s="21">
        <v>0.62957799999999997</v>
      </c>
      <c r="Z24" s="21">
        <v>81.972800000000007</v>
      </c>
      <c r="AA24" s="21">
        <v>-2.00439E-2</v>
      </c>
      <c r="AB24" s="21">
        <v>14</v>
      </c>
      <c r="AC24" s="21">
        <v>0.62866200000000005</v>
      </c>
      <c r="AD24">
        <f t="shared" si="4"/>
        <v>20.043900000000001</v>
      </c>
      <c r="AE24">
        <f t="shared" si="5"/>
        <v>12.619198474199999</v>
      </c>
      <c r="AF24" s="9"/>
      <c r="AG24" s="21">
        <v>-2.94495E-2</v>
      </c>
      <c r="AH24" s="21">
        <v>84.951300000000003</v>
      </c>
      <c r="AI24" s="21">
        <v>-3.5464500000000003E-2</v>
      </c>
      <c r="AJ24" s="21">
        <v>14</v>
      </c>
      <c r="AK24" s="21">
        <v>-3.0010999999999999E-2</v>
      </c>
      <c r="AL24">
        <f t="shared" si="6"/>
        <v>35.464500000000001</v>
      </c>
      <c r="AM24">
        <f t="shared" si="7"/>
        <v>-1.0444117927500001</v>
      </c>
      <c r="AP24" s="9"/>
      <c r="AQ24" s="21">
        <v>0.62957799999999997</v>
      </c>
      <c r="AR24" s="21">
        <v>87.686899999999994</v>
      </c>
      <c r="AS24" s="21">
        <v>-2.0105000000000001E-2</v>
      </c>
      <c r="AT24" s="21">
        <v>14</v>
      </c>
      <c r="AU24" s="21">
        <v>0.62860099999999997</v>
      </c>
      <c r="AV24">
        <f t="shared" si="8"/>
        <v>20.105</v>
      </c>
      <c r="AW24">
        <f t="shared" si="9"/>
        <v>12.65766569</v>
      </c>
      <c r="AX24" s="9"/>
      <c r="AY24" s="21">
        <v>-2.94495E-2</v>
      </c>
      <c r="AZ24" s="21">
        <v>90.457499999999996</v>
      </c>
      <c r="BA24" s="21">
        <v>-3.55713E-2</v>
      </c>
      <c r="BB24" s="21">
        <v>14</v>
      </c>
      <c r="BC24" s="21">
        <v>-3.0072000000000002E-2</v>
      </c>
      <c r="BD24">
        <f t="shared" si="10"/>
        <v>35.571300000000001</v>
      </c>
      <c r="BE24">
        <f t="shared" si="11"/>
        <v>-1.04755699935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0.62454200000000004</v>
      </c>
      <c r="H25" s="21">
        <v>45.556100000000001</v>
      </c>
      <c r="I25" s="21">
        <v>-2.12585E-2</v>
      </c>
      <c r="J25" s="21">
        <v>15</v>
      </c>
      <c r="K25" s="21">
        <v>0.62347399999999997</v>
      </c>
      <c r="L25">
        <f t="shared" si="0"/>
        <v>21.258499999999998</v>
      </c>
      <c r="M25">
        <f t="shared" si="1"/>
        <v>13.276826107</v>
      </c>
      <c r="N25" s="9"/>
      <c r="O25" s="21">
        <v>-2.4414100000000001E-2</v>
      </c>
      <c r="P25" s="21">
        <v>78.734300000000005</v>
      </c>
      <c r="Q25" s="21">
        <v>-3.5540799999999997E-2</v>
      </c>
      <c r="R25" s="21">
        <v>15</v>
      </c>
      <c r="S25" s="21">
        <v>-2.4996899999999999E-2</v>
      </c>
      <c r="T25">
        <f t="shared" si="2"/>
        <v>35.540799999999997</v>
      </c>
      <c r="U25">
        <f t="shared" si="3"/>
        <v>-0.86769664528000001</v>
      </c>
      <c r="V25" s="22"/>
      <c r="W25" s="23"/>
      <c r="X25" s="9"/>
      <c r="Y25" s="21">
        <v>0.62454200000000004</v>
      </c>
      <c r="Z25" s="21">
        <v>81.982799999999997</v>
      </c>
      <c r="AA25" s="21">
        <v>-2.1423299999999999E-2</v>
      </c>
      <c r="AB25" s="21">
        <v>15</v>
      </c>
      <c r="AC25" s="21">
        <v>0.623444</v>
      </c>
      <c r="AD25">
        <f t="shared" si="4"/>
        <v>21.423299999999998</v>
      </c>
      <c r="AE25">
        <f t="shared" si="5"/>
        <v>13.3797506286</v>
      </c>
      <c r="AF25" s="9"/>
      <c r="AG25" s="21">
        <v>-2.4414100000000001E-2</v>
      </c>
      <c r="AH25" s="21">
        <v>84.961399999999998</v>
      </c>
      <c r="AI25" s="21">
        <v>-3.5485799999999998E-2</v>
      </c>
      <c r="AJ25" s="21">
        <v>15</v>
      </c>
      <c r="AK25" s="21">
        <v>-2.4993899999999999E-2</v>
      </c>
      <c r="AL25">
        <f t="shared" si="6"/>
        <v>35.485799999999998</v>
      </c>
      <c r="AM25">
        <f t="shared" si="7"/>
        <v>-0.86635386977999995</v>
      </c>
      <c r="AP25" s="9"/>
      <c r="AQ25" s="21">
        <v>0.62454200000000004</v>
      </c>
      <c r="AR25" s="21">
        <v>87.697000000000003</v>
      </c>
      <c r="AS25" s="21">
        <v>-2.1493499999999999E-2</v>
      </c>
      <c r="AT25" s="21">
        <v>15</v>
      </c>
      <c r="AU25" s="21">
        <v>0.62347399999999997</v>
      </c>
      <c r="AV25">
        <f t="shared" si="8"/>
        <v>21.493499999999997</v>
      </c>
      <c r="AW25">
        <f t="shared" si="9"/>
        <v>13.423593476999999</v>
      </c>
      <c r="AX25" s="9"/>
      <c r="AY25" s="21">
        <v>-2.4414100000000001E-2</v>
      </c>
      <c r="AZ25" s="21">
        <v>90.467600000000004</v>
      </c>
      <c r="BA25" s="21">
        <v>-3.55713E-2</v>
      </c>
      <c r="BB25" s="21">
        <v>15</v>
      </c>
      <c r="BC25" s="21">
        <v>-2.4972500000000002E-2</v>
      </c>
      <c r="BD25">
        <f t="shared" si="10"/>
        <v>35.571300000000001</v>
      </c>
      <c r="BE25">
        <f t="shared" si="11"/>
        <v>-0.86844127533000004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0.61950700000000003</v>
      </c>
      <c r="H26" s="21">
        <v>45.566200000000002</v>
      </c>
      <c r="I26" s="21">
        <v>-2.2555499999999999E-2</v>
      </c>
      <c r="J26" s="21">
        <v>16</v>
      </c>
      <c r="K26" s="21">
        <v>0.61840799999999996</v>
      </c>
      <c r="L26">
        <f t="shared" si="0"/>
        <v>22.555499999999999</v>
      </c>
      <c r="M26">
        <f t="shared" si="1"/>
        <v>13.973290138499999</v>
      </c>
      <c r="N26" s="9"/>
      <c r="O26" s="21">
        <v>-1.9378699999999999E-2</v>
      </c>
      <c r="P26" s="21">
        <v>78.744299999999996</v>
      </c>
      <c r="Q26" s="21">
        <v>-3.5549900000000002E-2</v>
      </c>
      <c r="R26" s="21">
        <v>16</v>
      </c>
      <c r="S26" s="21">
        <v>-1.9982900000000001E-2</v>
      </c>
      <c r="T26">
        <f t="shared" si="2"/>
        <v>35.549900000000001</v>
      </c>
      <c r="U26">
        <f t="shared" si="3"/>
        <v>-0.68891084712999995</v>
      </c>
      <c r="V26" s="22"/>
      <c r="W26" s="23"/>
      <c r="X26" s="9"/>
      <c r="Y26" s="21">
        <v>0.61950700000000003</v>
      </c>
      <c r="Z26" s="21">
        <v>81.992900000000006</v>
      </c>
      <c r="AA26" s="21">
        <v>-2.2692899999999998E-2</v>
      </c>
      <c r="AB26" s="21">
        <v>16</v>
      </c>
      <c r="AC26" s="21">
        <v>0.61840799999999996</v>
      </c>
      <c r="AD26">
        <f t="shared" si="4"/>
        <v>22.692899999999998</v>
      </c>
      <c r="AE26">
        <f t="shared" si="5"/>
        <v>14.0584104003</v>
      </c>
      <c r="AF26" s="9"/>
      <c r="AG26" s="21">
        <v>-1.9378699999999999E-2</v>
      </c>
      <c r="AH26" s="21">
        <v>84.971500000000006</v>
      </c>
      <c r="AI26" s="21">
        <v>-3.5510300000000002E-2</v>
      </c>
      <c r="AJ26" s="21">
        <v>16</v>
      </c>
      <c r="AK26" s="21">
        <v>-1.9940200000000002E-2</v>
      </c>
      <c r="AL26">
        <f t="shared" si="6"/>
        <v>35.510300000000001</v>
      </c>
      <c r="AM26">
        <f t="shared" si="7"/>
        <v>-0.68814345060999993</v>
      </c>
      <c r="AP26" s="9"/>
      <c r="AQ26" s="21">
        <v>0.61950700000000003</v>
      </c>
      <c r="AR26" s="21">
        <v>87.707099999999997</v>
      </c>
      <c r="AS26" s="21">
        <v>-2.2763100000000001E-2</v>
      </c>
      <c r="AT26" s="21">
        <v>16</v>
      </c>
      <c r="AU26" s="21">
        <v>0.61843899999999996</v>
      </c>
      <c r="AV26">
        <f t="shared" si="8"/>
        <v>22.763100000000001</v>
      </c>
      <c r="AW26">
        <f t="shared" si="9"/>
        <v>14.101899791700001</v>
      </c>
      <c r="AX26" s="9"/>
      <c r="AY26" s="21">
        <v>-1.9378699999999999E-2</v>
      </c>
      <c r="AZ26" s="21">
        <v>90.477599999999995</v>
      </c>
      <c r="BA26" s="21">
        <v>-3.5559100000000003E-2</v>
      </c>
      <c r="BB26" s="21">
        <v>16</v>
      </c>
      <c r="BC26" s="21">
        <v>-1.9857799999999998E-2</v>
      </c>
      <c r="BD26">
        <f t="shared" si="10"/>
        <v>35.559100000000001</v>
      </c>
      <c r="BE26">
        <f t="shared" si="11"/>
        <v>-0.68908913116999992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0.61447099999999999</v>
      </c>
      <c r="H27" s="21">
        <v>45.576300000000003</v>
      </c>
      <c r="I27" s="21">
        <v>-2.3721300000000001E-2</v>
      </c>
      <c r="J27" s="21">
        <v>17</v>
      </c>
      <c r="K27" s="21">
        <v>0.61334200000000005</v>
      </c>
      <c r="L27">
        <f t="shared" si="0"/>
        <v>23.721299999999999</v>
      </c>
      <c r="M27">
        <f t="shared" si="1"/>
        <v>14.576050932299999</v>
      </c>
      <c r="N27" s="9"/>
      <c r="O27" s="21">
        <v>-1.43433E-2</v>
      </c>
      <c r="P27" s="21">
        <v>78.754400000000004</v>
      </c>
      <c r="Q27" s="21">
        <v>-3.55713E-2</v>
      </c>
      <c r="R27" s="21">
        <v>17</v>
      </c>
      <c r="S27" s="21">
        <v>-1.4892600000000001E-2</v>
      </c>
      <c r="T27">
        <f t="shared" si="2"/>
        <v>35.571300000000001</v>
      </c>
      <c r="U27">
        <f t="shared" si="3"/>
        <v>-0.51020982728999997</v>
      </c>
      <c r="X27" s="9"/>
      <c r="Y27" s="21">
        <v>0.61447099999999999</v>
      </c>
      <c r="Z27" s="21">
        <v>82.003</v>
      </c>
      <c r="AA27" s="21">
        <v>-2.3883100000000001E-2</v>
      </c>
      <c r="AB27" s="21">
        <v>17</v>
      </c>
      <c r="AC27" s="21">
        <v>0.61340300000000003</v>
      </c>
      <c r="AD27">
        <f t="shared" si="4"/>
        <v>23.883100000000002</v>
      </c>
      <c r="AE27">
        <f t="shared" si="5"/>
        <v>14.675472340100001</v>
      </c>
      <c r="AF27" s="9"/>
      <c r="AG27" s="21">
        <v>-1.43433E-2</v>
      </c>
      <c r="AH27" s="21">
        <v>84.9816</v>
      </c>
      <c r="AI27" s="21">
        <v>-3.5522499999999999E-2</v>
      </c>
      <c r="AJ27" s="21">
        <v>17</v>
      </c>
      <c r="AK27" s="21">
        <v>-1.48895E-2</v>
      </c>
      <c r="AL27">
        <f t="shared" si="6"/>
        <v>35.522500000000001</v>
      </c>
      <c r="AM27">
        <f t="shared" si="7"/>
        <v>-0.50950987425000005</v>
      </c>
      <c r="AP27" s="9"/>
      <c r="AQ27" s="21">
        <v>0.61447099999999999</v>
      </c>
      <c r="AR27" s="21">
        <v>87.717100000000002</v>
      </c>
      <c r="AS27" s="21">
        <v>-2.3953200000000001E-2</v>
      </c>
      <c r="AT27" s="21">
        <v>17</v>
      </c>
      <c r="AU27" s="21">
        <v>0.61331199999999997</v>
      </c>
      <c r="AV27">
        <f t="shared" si="8"/>
        <v>23.953200000000002</v>
      </c>
      <c r="AW27">
        <f t="shared" si="9"/>
        <v>14.718546757200002</v>
      </c>
      <c r="AX27" s="9"/>
      <c r="AY27" s="21">
        <v>-1.43433E-2</v>
      </c>
      <c r="AZ27" s="21">
        <v>90.487700000000004</v>
      </c>
      <c r="BA27" s="21">
        <v>-3.5546899999999999E-2</v>
      </c>
      <c r="BB27" s="21">
        <v>17</v>
      </c>
      <c r="BC27" s="21">
        <v>-1.48865E-2</v>
      </c>
      <c r="BD27">
        <f t="shared" si="10"/>
        <v>35.546900000000001</v>
      </c>
      <c r="BE27">
        <f t="shared" si="11"/>
        <v>-0.50985985076999996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0.60943599999999998</v>
      </c>
      <c r="H28" s="21">
        <v>45.586300000000001</v>
      </c>
      <c r="I28" s="21">
        <v>-2.48291E-2</v>
      </c>
      <c r="J28" s="21">
        <v>18</v>
      </c>
      <c r="K28" s="21">
        <v>0.60827600000000004</v>
      </c>
      <c r="L28">
        <f t="shared" si="0"/>
        <v>24.8291</v>
      </c>
      <c r="M28">
        <f t="shared" si="1"/>
        <v>15.131747387599999</v>
      </c>
      <c r="N28" s="9"/>
      <c r="O28" s="21">
        <v>-9.3078599999999994E-3</v>
      </c>
      <c r="P28" s="21">
        <v>78.764499999999998</v>
      </c>
      <c r="Q28" s="21">
        <v>-3.5580399999999998E-2</v>
      </c>
      <c r="R28" s="21">
        <v>18</v>
      </c>
      <c r="S28" s="21">
        <v>-9.8113999999999996E-3</v>
      </c>
      <c r="T28">
        <f t="shared" si="2"/>
        <v>35.580399999999997</v>
      </c>
      <c r="U28">
        <f t="shared" si="3"/>
        <v>-0.33117738194399993</v>
      </c>
      <c r="X28" s="9"/>
      <c r="Y28" s="21">
        <v>0.60943599999999998</v>
      </c>
      <c r="Z28" s="21">
        <v>82.013099999999994</v>
      </c>
      <c r="AA28" s="21">
        <v>-2.4987800000000001E-2</v>
      </c>
      <c r="AB28" s="21">
        <v>18</v>
      </c>
      <c r="AC28" s="21">
        <v>0.60830700000000004</v>
      </c>
      <c r="AD28">
        <f t="shared" si="4"/>
        <v>24.9878</v>
      </c>
      <c r="AE28">
        <f t="shared" si="5"/>
        <v>15.228464880799999</v>
      </c>
      <c r="AF28" s="9"/>
      <c r="AG28" s="21">
        <v>-9.3078599999999994E-3</v>
      </c>
      <c r="AH28" s="21">
        <v>84.991600000000005</v>
      </c>
      <c r="AI28" s="21">
        <v>-3.5501100000000001E-2</v>
      </c>
      <c r="AJ28" s="21">
        <v>18</v>
      </c>
      <c r="AK28" s="21">
        <v>-9.8632800000000003E-3</v>
      </c>
      <c r="AL28">
        <f t="shared" si="6"/>
        <v>35.501100000000001</v>
      </c>
      <c r="AM28">
        <f t="shared" si="7"/>
        <v>-0.33043926864599998</v>
      </c>
      <c r="AP28" s="9"/>
      <c r="AQ28" s="21">
        <v>0.60943599999999998</v>
      </c>
      <c r="AR28" s="21">
        <v>87.727199999999996</v>
      </c>
      <c r="AS28" s="21">
        <v>-2.5054900000000001E-2</v>
      </c>
      <c r="AT28" s="21">
        <v>18</v>
      </c>
      <c r="AU28" s="21">
        <v>0.60827600000000004</v>
      </c>
      <c r="AV28">
        <f t="shared" si="8"/>
        <v>25.0549</v>
      </c>
      <c r="AW28">
        <f t="shared" si="9"/>
        <v>15.2693580364</v>
      </c>
      <c r="AX28" s="9"/>
      <c r="AY28" s="21">
        <v>-9.3078599999999994E-3</v>
      </c>
      <c r="AZ28" s="21">
        <v>90.497799999999998</v>
      </c>
      <c r="BA28" s="21">
        <v>-3.5516399999999997E-2</v>
      </c>
      <c r="BB28" s="21">
        <v>18</v>
      </c>
      <c r="BC28" s="21">
        <v>-9.8998999999999997E-3</v>
      </c>
      <c r="BD28">
        <f t="shared" si="10"/>
        <v>35.516399999999997</v>
      </c>
      <c r="BE28">
        <f t="shared" si="11"/>
        <v>-0.33058167890399998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0.60440099999999997</v>
      </c>
      <c r="H29" s="21">
        <v>45.596400000000003</v>
      </c>
      <c r="I29" s="21">
        <v>-2.5814799999999999E-2</v>
      </c>
      <c r="J29" s="21">
        <v>19</v>
      </c>
      <c r="K29" s="21">
        <v>0.60324100000000003</v>
      </c>
      <c r="L29">
        <f t="shared" si="0"/>
        <v>25.814799999999998</v>
      </c>
      <c r="M29">
        <f t="shared" si="1"/>
        <v>15.602490934799999</v>
      </c>
      <c r="N29" s="9"/>
      <c r="O29" s="21">
        <v>-4.2724599999999996E-3</v>
      </c>
      <c r="P29" s="21">
        <v>78.774500000000003</v>
      </c>
      <c r="Q29" s="21">
        <v>-3.55865E-2</v>
      </c>
      <c r="R29" s="21">
        <v>19</v>
      </c>
      <c r="S29" s="21">
        <v>-4.8248299999999996E-3</v>
      </c>
      <c r="T29">
        <f t="shared" si="2"/>
        <v>35.586500000000001</v>
      </c>
      <c r="U29">
        <f t="shared" si="3"/>
        <v>-0.15204189778999999</v>
      </c>
      <c r="X29" s="9"/>
      <c r="Y29" s="21">
        <v>0.60440099999999997</v>
      </c>
      <c r="Z29" s="21">
        <v>82.023099999999999</v>
      </c>
      <c r="AA29" s="21">
        <v>-2.6007099999999998E-2</v>
      </c>
      <c r="AB29" s="21">
        <v>19</v>
      </c>
      <c r="AC29" s="21">
        <v>0.60321000000000002</v>
      </c>
      <c r="AD29">
        <f t="shared" si="4"/>
        <v>26.007099999999998</v>
      </c>
      <c r="AE29">
        <f t="shared" si="5"/>
        <v>15.718717247099997</v>
      </c>
      <c r="AF29" s="9"/>
      <c r="AG29" s="21">
        <v>-4.2724599999999996E-3</v>
      </c>
      <c r="AH29" s="21">
        <v>85.0017</v>
      </c>
      <c r="AI29" s="21">
        <v>-3.5479700000000003E-2</v>
      </c>
      <c r="AJ29" s="21">
        <v>19</v>
      </c>
      <c r="AK29" s="21">
        <v>-4.8278799999999997E-3</v>
      </c>
      <c r="AL29">
        <f t="shared" si="6"/>
        <v>35.479700000000001</v>
      </c>
      <c r="AM29">
        <f t="shared" si="7"/>
        <v>-0.151585599062</v>
      </c>
      <c r="AP29" s="9"/>
      <c r="AQ29" s="21">
        <v>0.60440099999999997</v>
      </c>
      <c r="AR29" s="21">
        <v>87.737300000000005</v>
      </c>
      <c r="AS29" s="21">
        <v>-2.6065100000000001E-2</v>
      </c>
      <c r="AT29" s="21">
        <v>19</v>
      </c>
      <c r="AU29" s="21">
        <v>0.60321000000000002</v>
      </c>
      <c r="AV29">
        <f t="shared" si="8"/>
        <v>26.065100000000001</v>
      </c>
      <c r="AW29">
        <f t="shared" si="9"/>
        <v>15.753772505100001</v>
      </c>
      <c r="AX29" s="9"/>
      <c r="AY29" s="21">
        <v>-4.2724599999999996E-3</v>
      </c>
      <c r="AZ29" s="21">
        <v>90.507800000000003</v>
      </c>
      <c r="BA29" s="21">
        <v>-3.5501100000000001E-2</v>
      </c>
      <c r="BB29" s="21">
        <v>19</v>
      </c>
      <c r="BC29" s="21">
        <v>-4.8187300000000002E-3</v>
      </c>
      <c r="BD29">
        <f t="shared" si="10"/>
        <v>35.501100000000001</v>
      </c>
      <c r="BE29">
        <f t="shared" si="11"/>
        <v>-0.151677029706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0.59936500000000004</v>
      </c>
      <c r="H30" s="21">
        <v>45.606499999999997</v>
      </c>
      <c r="I30" s="21">
        <v>-2.67487E-2</v>
      </c>
      <c r="J30" s="21">
        <v>20</v>
      </c>
      <c r="K30" s="21">
        <v>0.59820600000000002</v>
      </c>
      <c r="L30">
        <f t="shared" si="0"/>
        <v>26.748699999999999</v>
      </c>
      <c r="M30">
        <f t="shared" si="1"/>
        <v>16.032234575500002</v>
      </c>
      <c r="N30" s="9"/>
      <c r="O30" s="21">
        <v>7.6293900000000002E-4</v>
      </c>
      <c r="P30" s="21">
        <v>78.784599999999998</v>
      </c>
      <c r="Q30" s="21">
        <v>-3.5589599999999999E-2</v>
      </c>
      <c r="R30" s="21">
        <v>20</v>
      </c>
      <c r="S30" s="21">
        <v>2.74658E-4</v>
      </c>
      <c r="T30">
        <f t="shared" si="2"/>
        <v>35.589599999999997</v>
      </c>
      <c r="U30">
        <f t="shared" si="3"/>
        <v>2.7152693834399999E-2</v>
      </c>
      <c r="X30" s="9"/>
      <c r="Y30" s="21">
        <v>0.59936500000000004</v>
      </c>
      <c r="Z30" s="21">
        <v>82.033199999999994</v>
      </c>
      <c r="AA30" s="21">
        <v>-2.6919599999999998E-2</v>
      </c>
      <c r="AB30" s="21">
        <v>20</v>
      </c>
      <c r="AC30" s="21">
        <v>0.59817500000000001</v>
      </c>
      <c r="AD30">
        <f t="shared" si="4"/>
        <v>26.919599999999999</v>
      </c>
      <c r="AE30">
        <f t="shared" si="5"/>
        <v>16.134666054</v>
      </c>
      <c r="AF30" s="9"/>
      <c r="AG30" s="21">
        <v>7.6293900000000002E-4</v>
      </c>
      <c r="AH30" s="21">
        <v>85.011799999999994</v>
      </c>
      <c r="AI30" s="21">
        <v>-3.5479700000000003E-2</v>
      </c>
      <c r="AJ30" s="21">
        <v>20</v>
      </c>
      <c r="AK30" s="21">
        <v>2.89917E-4</v>
      </c>
      <c r="AL30">
        <f t="shared" si="6"/>
        <v>35.479700000000001</v>
      </c>
      <c r="AM30">
        <f t="shared" si="7"/>
        <v>2.7068846838300003E-2</v>
      </c>
      <c r="AP30" s="9"/>
      <c r="AQ30" s="21">
        <v>0.59936500000000004</v>
      </c>
      <c r="AR30" s="21">
        <v>87.747299999999996</v>
      </c>
      <c r="AS30" s="21">
        <v>-2.69714E-2</v>
      </c>
      <c r="AT30" s="21">
        <v>20</v>
      </c>
      <c r="AU30" s="21">
        <v>0.59820600000000002</v>
      </c>
      <c r="AV30">
        <f t="shared" si="8"/>
        <v>26.971399999999999</v>
      </c>
      <c r="AW30">
        <f t="shared" si="9"/>
        <v>16.165713160999999</v>
      </c>
      <c r="AX30" s="9"/>
      <c r="AY30" s="21">
        <v>7.6293900000000002E-4</v>
      </c>
      <c r="AZ30" s="21">
        <v>90.517899999999997</v>
      </c>
      <c r="BA30" s="21">
        <v>-3.5488899999999997E-2</v>
      </c>
      <c r="BB30" s="21">
        <v>20</v>
      </c>
      <c r="BC30" s="21">
        <v>2.7160599999999997E-4</v>
      </c>
      <c r="BD30">
        <f t="shared" si="10"/>
        <v>35.488899999999994</v>
      </c>
      <c r="BE30">
        <f t="shared" si="11"/>
        <v>2.7075865877099998E-2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0.59433000000000002</v>
      </c>
      <c r="H31" s="21">
        <v>45.616599999999998</v>
      </c>
      <c r="I31" s="21">
        <v>-2.7590900000000002E-2</v>
      </c>
      <c r="J31" s="21">
        <v>21</v>
      </c>
      <c r="K31" s="21">
        <v>0.59316999999999998</v>
      </c>
      <c r="L31">
        <f t="shared" si="0"/>
        <v>27.590900000000001</v>
      </c>
      <c r="M31">
        <f t="shared" si="1"/>
        <v>16.398099597000002</v>
      </c>
      <c r="N31" s="9"/>
      <c r="O31" s="21">
        <v>5.7983399999999999E-3</v>
      </c>
      <c r="P31" s="21">
        <v>78.794700000000006</v>
      </c>
      <c r="Q31" s="21">
        <v>-3.55865E-2</v>
      </c>
      <c r="R31" s="21">
        <v>21</v>
      </c>
      <c r="S31" s="21">
        <v>5.3405800000000002E-3</v>
      </c>
      <c r="T31">
        <f t="shared" si="2"/>
        <v>35.586500000000001</v>
      </c>
      <c r="U31">
        <f t="shared" si="3"/>
        <v>0.20634262641000001</v>
      </c>
      <c r="X31" s="9"/>
      <c r="Y31" s="21">
        <v>0.59433000000000002</v>
      </c>
      <c r="Z31" s="21">
        <v>82.043300000000002</v>
      </c>
      <c r="AA31" s="21">
        <v>-2.7777099999999999E-2</v>
      </c>
      <c r="AB31" s="21">
        <v>21</v>
      </c>
      <c r="AC31" s="21">
        <v>0.59314</v>
      </c>
      <c r="AD31">
        <f t="shared" si="4"/>
        <v>27.777099999999997</v>
      </c>
      <c r="AE31">
        <f t="shared" si="5"/>
        <v>16.508763843000001</v>
      </c>
      <c r="AF31" s="9"/>
      <c r="AG31" s="21">
        <v>5.7983399999999999E-3</v>
      </c>
      <c r="AH31" s="21">
        <v>85.021799999999999</v>
      </c>
      <c r="AI31" s="21">
        <v>-3.5473600000000001E-2</v>
      </c>
      <c r="AJ31" s="21">
        <v>21</v>
      </c>
      <c r="AK31" s="21">
        <v>5.2856400000000003E-3</v>
      </c>
      <c r="AL31">
        <f t="shared" si="6"/>
        <v>35.473599999999998</v>
      </c>
      <c r="AM31">
        <f t="shared" si="7"/>
        <v>0.20568799382399999</v>
      </c>
      <c r="AP31" s="9"/>
      <c r="AQ31" s="21">
        <v>0.59433000000000002</v>
      </c>
      <c r="AR31" s="21">
        <v>87.757400000000004</v>
      </c>
      <c r="AS31" s="21">
        <v>-2.7829E-2</v>
      </c>
      <c r="AT31" s="21">
        <v>21</v>
      </c>
      <c r="AU31" s="21">
        <v>0.59314</v>
      </c>
      <c r="AV31">
        <f t="shared" si="8"/>
        <v>27.829000000000001</v>
      </c>
      <c r="AW31">
        <f t="shared" si="9"/>
        <v>16.53960957</v>
      </c>
      <c r="AX31" s="9"/>
      <c r="AY31" s="21">
        <v>5.7983399999999999E-3</v>
      </c>
      <c r="AZ31" s="21">
        <v>90.528000000000006</v>
      </c>
      <c r="BA31" s="21">
        <v>-3.5470599999999998E-2</v>
      </c>
      <c r="BB31" s="21">
        <v>21</v>
      </c>
      <c r="BC31" s="21">
        <v>5.3405800000000002E-3</v>
      </c>
      <c r="BD31">
        <f t="shared" si="10"/>
        <v>35.470599999999997</v>
      </c>
      <c r="BE31">
        <f t="shared" si="11"/>
        <v>0.20567059880399999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0.58929399999999998</v>
      </c>
      <c r="H32" s="21">
        <v>45.626600000000003</v>
      </c>
      <c r="I32" s="21">
        <v>-2.83722E-2</v>
      </c>
      <c r="J32" s="21">
        <v>22</v>
      </c>
      <c r="K32" s="21">
        <v>0.58810399999999996</v>
      </c>
      <c r="L32">
        <f t="shared" si="0"/>
        <v>28.372199999999999</v>
      </c>
      <c r="M32">
        <f t="shared" si="1"/>
        <v>16.719567226799999</v>
      </c>
      <c r="N32" s="9"/>
      <c r="O32" s="21">
        <v>1.08337E-2</v>
      </c>
      <c r="P32" s="21">
        <v>78.8048</v>
      </c>
      <c r="Q32" s="21">
        <v>-3.5583499999999997E-2</v>
      </c>
      <c r="R32" s="21">
        <v>22</v>
      </c>
      <c r="S32" s="21">
        <v>1.03394E-2</v>
      </c>
      <c r="T32">
        <f t="shared" si="2"/>
        <v>35.583499999999994</v>
      </c>
      <c r="U32">
        <f t="shared" si="3"/>
        <v>0.38550096394999994</v>
      </c>
      <c r="X32" s="9"/>
      <c r="Y32" s="21">
        <v>0.58929399999999998</v>
      </c>
      <c r="Z32" s="21">
        <v>82.053299999999993</v>
      </c>
      <c r="AA32" s="21">
        <v>-2.8543099999999998E-2</v>
      </c>
      <c r="AB32" s="21">
        <v>22</v>
      </c>
      <c r="AC32" s="21">
        <v>0.58813499999999996</v>
      </c>
      <c r="AD32">
        <f t="shared" si="4"/>
        <v>28.543099999999999</v>
      </c>
      <c r="AE32">
        <f t="shared" si="5"/>
        <v>16.820277571399998</v>
      </c>
      <c r="AF32" s="9"/>
      <c r="AG32" s="21">
        <v>1.08337E-2</v>
      </c>
      <c r="AH32" s="21">
        <v>85.031899999999993</v>
      </c>
      <c r="AI32" s="21">
        <v>-3.5485799999999998E-2</v>
      </c>
      <c r="AJ32" s="21">
        <v>22</v>
      </c>
      <c r="AK32" s="21">
        <v>1.03607E-2</v>
      </c>
      <c r="AL32">
        <f t="shared" si="6"/>
        <v>35.485799999999998</v>
      </c>
      <c r="AM32">
        <f t="shared" si="7"/>
        <v>0.38444251145999997</v>
      </c>
      <c r="AP32" s="9"/>
      <c r="AQ32" s="21">
        <v>0.58929399999999998</v>
      </c>
      <c r="AR32" s="21">
        <v>87.767499999999998</v>
      </c>
      <c r="AS32" s="21">
        <v>-2.8601100000000001E-2</v>
      </c>
      <c r="AT32" s="21">
        <v>22</v>
      </c>
      <c r="AU32" s="21">
        <v>0.58810399999999996</v>
      </c>
      <c r="AV32">
        <f t="shared" si="8"/>
        <v>28.601100000000002</v>
      </c>
      <c r="AW32">
        <f t="shared" si="9"/>
        <v>16.854456623400001</v>
      </c>
      <c r="AX32" s="9"/>
      <c r="AY32" s="21">
        <v>1.08337E-2</v>
      </c>
      <c r="AZ32" s="21">
        <v>90.5381</v>
      </c>
      <c r="BA32" s="21">
        <v>-3.5458400000000001E-2</v>
      </c>
      <c r="BB32" s="21">
        <v>22</v>
      </c>
      <c r="BC32" s="21">
        <v>1.0324099999999999E-2</v>
      </c>
      <c r="BD32">
        <f t="shared" si="10"/>
        <v>35.458399999999997</v>
      </c>
      <c r="BE32">
        <f t="shared" si="11"/>
        <v>0.38414566807999995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0.58425899999999997</v>
      </c>
      <c r="H33" s="21">
        <v>45.636699999999998</v>
      </c>
      <c r="I33" s="21">
        <v>-2.9077100000000002E-2</v>
      </c>
      <c r="J33" s="21">
        <v>23</v>
      </c>
      <c r="K33" s="21">
        <v>0.58306899999999995</v>
      </c>
      <c r="L33">
        <f t="shared" si="0"/>
        <v>29.077100000000002</v>
      </c>
      <c r="M33">
        <f t="shared" si="1"/>
        <v>16.9885573689</v>
      </c>
      <c r="N33" s="9"/>
      <c r="O33" s="21">
        <v>1.5869100000000001E-2</v>
      </c>
      <c r="P33" s="21">
        <v>78.814800000000005</v>
      </c>
      <c r="Q33" s="21">
        <v>-3.5574300000000003E-2</v>
      </c>
      <c r="R33" s="21">
        <v>23</v>
      </c>
      <c r="S33" s="21">
        <v>1.5396099999999999E-2</v>
      </c>
      <c r="T33">
        <f t="shared" si="2"/>
        <v>35.574300000000001</v>
      </c>
      <c r="U33">
        <f t="shared" si="3"/>
        <v>0.56453212413000009</v>
      </c>
      <c r="X33" s="9"/>
      <c r="Y33" s="21">
        <v>0.58425899999999997</v>
      </c>
      <c r="Z33" s="21">
        <v>82.063400000000001</v>
      </c>
      <c r="AA33" s="21">
        <v>-2.92725E-2</v>
      </c>
      <c r="AB33" s="21">
        <v>23</v>
      </c>
      <c r="AC33" s="21">
        <v>0.58297699999999997</v>
      </c>
      <c r="AD33">
        <f t="shared" si="4"/>
        <v>29.272500000000001</v>
      </c>
      <c r="AE33">
        <f t="shared" si="5"/>
        <v>17.102721577499999</v>
      </c>
      <c r="AF33" s="9"/>
      <c r="AG33" s="21">
        <v>1.5869100000000001E-2</v>
      </c>
      <c r="AH33" s="21">
        <v>85.042000000000002</v>
      </c>
      <c r="AI33" s="21">
        <v>-3.5485799999999998E-2</v>
      </c>
      <c r="AJ33" s="21">
        <v>23</v>
      </c>
      <c r="AK33" s="21">
        <v>1.53992E-2</v>
      </c>
      <c r="AL33">
        <f t="shared" si="6"/>
        <v>35.485799999999998</v>
      </c>
      <c r="AM33">
        <f t="shared" si="7"/>
        <v>0.56312770877999996</v>
      </c>
      <c r="AP33" s="9"/>
      <c r="AQ33" s="21">
        <v>0.58425899999999997</v>
      </c>
      <c r="AR33" s="21">
        <v>87.777600000000007</v>
      </c>
      <c r="AS33" s="21">
        <v>-2.9296900000000001E-2</v>
      </c>
      <c r="AT33" s="21">
        <v>23</v>
      </c>
      <c r="AU33" s="21">
        <v>0.58303799999999995</v>
      </c>
      <c r="AV33">
        <f t="shared" si="8"/>
        <v>29.296900000000001</v>
      </c>
      <c r="AW33">
        <f t="shared" si="9"/>
        <v>17.116977497099999</v>
      </c>
      <c r="AX33" s="9"/>
      <c r="AY33" s="21">
        <v>1.5869100000000001E-2</v>
      </c>
      <c r="AZ33" s="21">
        <v>90.548100000000005</v>
      </c>
      <c r="BA33" s="21">
        <v>-3.54492E-2</v>
      </c>
      <c r="BB33" s="21">
        <v>23</v>
      </c>
      <c r="BC33" s="21">
        <v>1.54022E-2</v>
      </c>
      <c r="BD33">
        <f t="shared" si="10"/>
        <v>35.449199999999998</v>
      </c>
      <c r="BE33">
        <f t="shared" si="11"/>
        <v>0.56254689971999994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0.57922399999999996</v>
      </c>
      <c r="H34" s="21">
        <v>45.646799999999999</v>
      </c>
      <c r="I34" s="21">
        <v>-2.9727199999999999E-2</v>
      </c>
      <c r="J34" s="21">
        <v>24</v>
      </c>
      <c r="K34" s="21">
        <v>0.57806400000000002</v>
      </c>
      <c r="L34">
        <f t="shared" si="0"/>
        <v>29.7272</v>
      </c>
      <c r="M34">
        <f t="shared" si="1"/>
        <v>17.218707692799999</v>
      </c>
      <c r="N34" s="9"/>
      <c r="O34" s="21">
        <v>2.0904499999999999E-2</v>
      </c>
      <c r="P34" s="21">
        <v>78.8249</v>
      </c>
      <c r="Q34" s="21">
        <v>-3.5549900000000002E-2</v>
      </c>
      <c r="R34" s="21">
        <v>24</v>
      </c>
      <c r="S34" s="21">
        <v>2.0462000000000001E-2</v>
      </c>
      <c r="T34">
        <f t="shared" si="2"/>
        <v>35.549900000000001</v>
      </c>
      <c r="U34">
        <f t="shared" si="3"/>
        <v>0.74315288454999995</v>
      </c>
      <c r="X34" s="9"/>
      <c r="Y34" s="21">
        <v>0.57922399999999996</v>
      </c>
      <c r="Z34" s="21">
        <v>82.073499999999996</v>
      </c>
      <c r="AA34" s="21">
        <v>-2.9916399999999999E-2</v>
      </c>
      <c r="AB34" s="21">
        <v>24</v>
      </c>
      <c r="AC34" s="21">
        <v>0.57803300000000002</v>
      </c>
      <c r="AD34">
        <f t="shared" si="4"/>
        <v>29.916399999999999</v>
      </c>
      <c r="AE34">
        <f t="shared" si="5"/>
        <v>17.328296873599999</v>
      </c>
      <c r="AF34" s="9"/>
      <c r="AG34" s="21">
        <v>2.0904499999999999E-2</v>
      </c>
      <c r="AH34" s="21">
        <v>85.052099999999996</v>
      </c>
      <c r="AI34" s="21">
        <v>-3.5494999999999999E-2</v>
      </c>
      <c r="AJ34" s="21">
        <v>24</v>
      </c>
      <c r="AK34" s="21">
        <v>2.0495599999999999E-2</v>
      </c>
      <c r="AL34">
        <f t="shared" si="6"/>
        <v>35.494999999999997</v>
      </c>
      <c r="AM34">
        <f t="shared" si="7"/>
        <v>0.74200522749999998</v>
      </c>
      <c r="AP34" s="9"/>
      <c r="AQ34" s="21">
        <v>0.57922399999999996</v>
      </c>
      <c r="AR34" s="21">
        <v>87.787599999999998</v>
      </c>
      <c r="AS34" s="21">
        <v>-2.9931599999999999E-2</v>
      </c>
      <c r="AT34" s="21">
        <v>24</v>
      </c>
      <c r="AU34" s="21">
        <v>0.57800300000000004</v>
      </c>
      <c r="AV34">
        <f t="shared" si="8"/>
        <v>29.9316</v>
      </c>
      <c r="AW34">
        <f t="shared" si="9"/>
        <v>17.3371010784</v>
      </c>
      <c r="AX34" s="9"/>
      <c r="AY34" s="21">
        <v>2.0904499999999999E-2</v>
      </c>
      <c r="AZ34" s="21">
        <v>90.558199999999999</v>
      </c>
      <c r="BA34" s="21">
        <v>-3.54492E-2</v>
      </c>
      <c r="BB34" s="21">
        <v>24</v>
      </c>
      <c r="BC34" s="21">
        <v>2.0486500000000001E-2</v>
      </c>
      <c r="BD34">
        <f t="shared" si="10"/>
        <v>35.449199999999998</v>
      </c>
      <c r="BE34">
        <f t="shared" si="11"/>
        <v>0.74104780139999993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0.57418800000000003</v>
      </c>
      <c r="H35" s="21">
        <v>45.656799999999997</v>
      </c>
      <c r="I35" s="21">
        <v>-3.03101E-2</v>
      </c>
      <c r="J35" s="21">
        <v>25</v>
      </c>
      <c r="K35" s="21">
        <v>0.57296800000000003</v>
      </c>
      <c r="L35">
        <f t="shared" si="0"/>
        <v>30.310099999999998</v>
      </c>
      <c r="M35">
        <f t="shared" si="1"/>
        <v>17.4036956988</v>
      </c>
      <c r="N35" s="9"/>
      <c r="O35" s="21">
        <v>2.5939899999999998E-2</v>
      </c>
      <c r="P35" s="21">
        <v>78.834999999999994</v>
      </c>
      <c r="Q35" s="21">
        <v>-3.5537699999999998E-2</v>
      </c>
      <c r="R35" s="21">
        <v>25</v>
      </c>
      <c r="S35" s="21">
        <v>2.54822E-2</v>
      </c>
      <c r="T35">
        <f t="shared" si="2"/>
        <v>35.537700000000001</v>
      </c>
      <c r="U35">
        <f t="shared" si="3"/>
        <v>0.92184438422999992</v>
      </c>
      <c r="X35" s="9"/>
      <c r="Y35" s="21">
        <v>0.57418800000000003</v>
      </c>
      <c r="Z35" s="21">
        <v>82.083600000000004</v>
      </c>
      <c r="AA35" s="21">
        <v>-3.0474899999999999E-2</v>
      </c>
      <c r="AB35" s="21">
        <v>25</v>
      </c>
      <c r="AC35" s="21">
        <v>0.57287600000000005</v>
      </c>
      <c r="AD35">
        <f t="shared" si="4"/>
        <v>30.474899999999998</v>
      </c>
      <c r="AE35">
        <f t="shared" si="5"/>
        <v>17.498321881199999</v>
      </c>
      <c r="AF35" s="9"/>
      <c r="AG35" s="21">
        <v>2.5939899999999998E-2</v>
      </c>
      <c r="AH35" s="21">
        <v>85.062100000000001</v>
      </c>
      <c r="AI35" s="21">
        <v>-3.5501100000000001E-2</v>
      </c>
      <c r="AJ35" s="21">
        <v>25</v>
      </c>
      <c r="AK35" s="21">
        <v>2.5460799999999999E-2</v>
      </c>
      <c r="AL35">
        <f t="shared" si="6"/>
        <v>35.501100000000001</v>
      </c>
      <c r="AM35">
        <f t="shared" si="7"/>
        <v>0.92089498389000002</v>
      </c>
      <c r="AP35" s="9"/>
      <c r="AQ35" s="21">
        <v>0.57418800000000003</v>
      </c>
      <c r="AR35" s="21">
        <v>87.797700000000006</v>
      </c>
      <c r="AS35" s="21">
        <v>-3.05115E-2</v>
      </c>
      <c r="AT35" s="21">
        <v>25</v>
      </c>
      <c r="AU35" s="21">
        <v>0.57296800000000003</v>
      </c>
      <c r="AV35">
        <f t="shared" si="8"/>
        <v>30.511500000000002</v>
      </c>
      <c r="AW35">
        <f t="shared" si="9"/>
        <v>17.519337162000003</v>
      </c>
      <c r="AX35" s="9"/>
      <c r="AY35" s="21">
        <v>2.5939899999999998E-2</v>
      </c>
      <c r="AZ35" s="21">
        <v>90.568299999999994</v>
      </c>
      <c r="BA35" s="21">
        <v>-3.5452299999999999E-2</v>
      </c>
      <c r="BB35" s="21">
        <v>25</v>
      </c>
      <c r="BC35" s="21">
        <v>2.54944E-2</v>
      </c>
      <c r="BD35">
        <f t="shared" si="10"/>
        <v>35.452300000000001</v>
      </c>
      <c r="BE35">
        <f t="shared" si="11"/>
        <v>0.91962911676999992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0.56915300000000002</v>
      </c>
      <c r="H36" s="21">
        <v>45.666899999999998</v>
      </c>
      <c r="I36" s="21">
        <v>-3.0859399999999999E-2</v>
      </c>
      <c r="J36" s="21">
        <v>26</v>
      </c>
      <c r="K36" s="21">
        <v>0.56790200000000002</v>
      </c>
      <c r="L36">
        <f t="shared" si="0"/>
        <v>30.859399999999997</v>
      </c>
      <c r="M36">
        <f t="shared" si="1"/>
        <v>17.5637200882</v>
      </c>
      <c r="N36" s="9"/>
      <c r="O36" s="21">
        <v>3.0975300000000001E-2</v>
      </c>
      <c r="P36" s="21">
        <v>78.844999999999999</v>
      </c>
      <c r="Q36" s="21">
        <v>-3.5546899999999999E-2</v>
      </c>
      <c r="R36" s="21">
        <v>26</v>
      </c>
      <c r="S36" s="21">
        <v>3.0532799999999999E-2</v>
      </c>
      <c r="T36">
        <f t="shared" si="2"/>
        <v>35.546900000000001</v>
      </c>
      <c r="U36">
        <f t="shared" si="3"/>
        <v>1.1010758915700001</v>
      </c>
      <c r="X36" s="9"/>
      <c r="Y36" s="21">
        <v>0.56915300000000002</v>
      </c>
      <c r="Z36" s="21">
        <v>82.093599999999995</v>
      </c>
      <c r="AA36" s="21">
        <v>-3.0984500000000002E-2</v>
      </c>
      <c r="AB36" s="21">
        <v>26</v>
      </c>
      <c r="AC36" s="21">
        <v>0.56793199999999999</v>
      </c>
      <c r="AD36">
        <f t="shared" si="4"/>
        <v>30.984500000000001</v>
      </c>
      <c r="AE36">
        <f t="shared" si="5"/>
        <v>17.6349211285</v>
      </c>
      <c r="AF36" s="9"/>
      <c r="AG36" s="21">
        <v>3.0975300000000001E-2</v>
      </c>
      <c r="AH36" s="21">
        <v>85.072199999999995</v>
      </c>
      <c r="AI36" s="21">
        <v>-3.5507200000000003E-2</v>
      </c>
      <c r="AJ36" s="21">
        <v>26</v>
      </c>
      <c r="AK36" s="21">
        <v>3.0535900000000001E-2</v>
      </c>
      <c r="AL36">
        <f t="shared" si="6"/>
        <v>35.507200000000005</v>
      </c>
      <c r="AM36">
        <f t="shared" si="7"/>
        <v>1.0998461721600001</v>
      </c>
      <c r="AP36" s="9"/>
      <c r="AQ36" s="21">
        <v>0.56915300000000002</v>
      </c>
      <c r="AR36" s="21">
        <v>87.8078</v>
      </c>
      <c r="AS36" s="21">
        <v>-3.10303E-2</v>
      </c>
      <c r="AT36" s="21">
        <v>26</v>
      </c>
      <c r="AU36" s="21">
        <v>0.56793199999999999</v>
      </c>
      <c r="AV36">
        <f t="shared" si="8"/>
        <v>31.0303</v>
      </c>
      <c r="AW36">
        <f t="shared" si="9"/>
        <v>17.660988335900001</v>
      </c>
      <c r="AX36" s="9"/>
      <c r="AY36" s="21">
        <v>3.0975300000000001E-2</v>
      </c>
      <c r="AZ36" s="21">
        <v>90.578299999999999</v>
      </c>
      <c r="BA36" s="21">
        <v>-3.5470599999999998E-2</v>
      </c>
      <c r="BB36" s="21">
        <v>26</v>
      </c>
      <c r="BC36" s="21">
        <v>3.04993E-2</v>
      </c>
      <c r="BD36">
        <f t="shared" si="10"/>
        <v>35.470599999999997</v>
      </c>
      <c r="BE36">
        <f t="shared" si="11"/>
        <v>1.09871247618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0.56411699999999998</v>
      </c>
      <c r="H37" s="21">
        <v>45.677</v>
      </c>
      <c r="I37" s="21">
        <v>-3.13446E-2</v>
      </c>
      <c r="J37" s="21">
        <v>27</v>
      </c>
      <c r="K37" s="21">
        <v>0.562836</v>
      </c>
      <c r="L37">
        <f t="shared" si="0"/>
        <v>31.3446</v>
      </c>
      <c r="M37">
        <f t="shared" si="1"/>
        <v>17.682021718199998</v>
      </c>
      <c r="N37" s="9"/>
      <c r="O37" s="21">
        <v>3.60107E-2</v>
      </c>
      <c r="P37" s="21">
        <v>78.855099999999993</v>
      </c>
      <c r="Q37" s="21">
        <v>-3.5546899999999999E-2</v>
      </c>
      <c r="R37" s="21">
        <v>27</v>
      </c>
      <c r="S37" s="21">
        <v>3.55713E-2</v>
      </c>
      <c r="T37">
        <f t="shared" si="2"/>
        <v>35.546900000000001</v>
      </c>
      <c r="U37">
        <f t="shared" si="3"/>
        <v>1.28006875183</v>
      </c>
      <c r="X37" s="9"/>
      <c r="Y37" s="21">
        <v>0.56411699999999998</v>
      </c>
      <c r="Z37" s="21">
        <v>82.103700000000003</v>
      </c>
      <c r="AA37" s="21">
        <v>-3.1460599999999998E-2</v>
      </c>
      <c r="AB37" s="21">
        <v>27</v>
      </c>
      <c r="AC37" s="21">
        <v>0.562805</v>
      </c>
      <c r="AD37">
        <f t="shared" si="4"/>
        <v>31.460599999999999</v>
      </c>
      <c r="AE37">
        <f t="shared" si="5"/>
        <v>17.747459290199998</v>
      </c>
      <c r="AF37" s="9"/>
      <c r="AG37" s="21">
        <v>3.60107E-2</v>
      </c>
      <c r="AH37" s="21">
        <v>85.082300000000004</v>
      </c>
      <c r="AI37" s="21">
        <v>-3.5516399999999997E-2</v>
      </c>
      <c r="AJ37" s="21">
        <v>27</v>
      </c>
      <c r="AK37" s="21">
        <v>3.5604900000000002E-2</v>
      </c>
      <c r="AL37">
        <f t="shared" si="6"/>
        <v>35.516399999999997</v>
      </c>
      <c r="AM37">
        <f t="shared" si="7"/>
        <v>1.2789704254799998</v>
      </c>
      <c r="AP37" s="9"/>
      <c r="AQ37" s="21">
        <v>0.56411699999999998</v>
      </c>
      <c r="AR37" s="21">
        <v>87.817800000000005</v>
      </c>
      <c r="AS37" s="21">
        <v>-3.1512499999999999E-2</v>
      </c>
      <c r="AT37" s="21">
        <v>27</v>
      </c>
      <c r="AU37" s="21">
        <v>0.56289699999999998</v>
      </c>
      <c r="AV37">
        <f t="shared" si="8"/>
        <v>31.512499999999999</v>
      </c>
      <c r="AW37">
        <f t="shared" si="9"/>
        <v>17.776736962499999</v>
      </c>
      <c r="AX37" s="9"/>
      <c r="AY37" s="21">
        <v>3.60107E-2</v>
      </c>
      <c r="AZ37" s="21">
        <v>90.588399999999993</v>
      </c>
      <c r="BA37" s="21">
        <v>-3.5482800000000002E-2</v>
      </c>
      <c r="BB37" s="21">
        <v>27</v>
      </c>
      <c r="BC37" s="21">
        <v>3.5574300000000003E-2</v>
      </c>
      <c r="BD37">
        <f t="shared" si="10"/>
        <v>35.482800000000005</v>
      </c>
      <c r="BE37">
        <f t="shared" si="11"/>
        <v>1.2777604659600001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0.55908199999999997</v>
      </c>
      <c r="H38" s="21">
        <v>45.687100000000001</v>
      </c>
      <c r="I38" s="21">
        <v>-3.1780999999999997E-2</v>
      </c>
      <c r="J38" s="21">
        <v>28</v>
      </c>
      <c r="K38" s="21">
        <v>0.55783099999999997</v>
      </c>
      <c r="L38">
        <f t="shared" si="0"/>
        <v>31.780999999999995</v>
      </c>
      <c r="M38">
        <f t="shared" si="1"/>
        <v>17.768185041999995</v>
      </c>
      <c r="N38" s="9"/>
      <c r="O38" s="21">
        <v>4.1046100000000002E-2</v>
      </c>
      <c r="P38" s="21">
        <v>78.865200000000002</v>
      </c>
      <c r="Q38" s="21">
        <v>-3.5549900000000002E-2</v>
      </c>
      <c r="R38" s="21">
        <v>28</v>
      </c>
      <c r="S38" s="21">
        <v>4.0634200000000002E-2</v>
      </c>
      <c r="T38">
        <f t="shared" si="2"/>
        <v>35.549900000000001</v>
      </c>
      <c r="U38">
        <f t="shared" si="3"/>
        <v>1.4591847503900002</v>
      </c>
      <c r="X38" s="9"/>
      <c r="Y38" s="21">
        <v>0.55908199999999997</v>
      </c>
      <c r="Z38" s="21">
        <v>82.113799999999998</v>
      </c>
      <c r="AA38" s="21">
        <v>-3.1884799999999998E-2</v>
      </c>
      <c r="AB38" s="21">
        <v>28</v>
      </c>
      <c r="AC38" s="21">
        <v>0.55792200000000003</v>
      </c>
      <c r="AD38">
        <f t="shared" si="4"/>
        <v>31.884799999999998</v>
      </c>
      <c r="AE38">
        <f t="shared" si="5"/>
        <v>17.826217753599998</v>
      </c>
      <c r="AF38" s="9"/>
      <c r="AG38" s="21">
        <v>4.1046100000000002E-2</v>
      </c>
      <c r="AH38" s="21">
        <v>85.092299999999994</v>
      </c>
      <c r="AI38" s="21">
        <v>-3.5525500000000002E-2</v>
      </c>
      <c r="AJ38" s="21">
        <v>28</v>
      </c>
      <c r="AK38" s="21">
        <v>4.0682999999999997E-2</v>
      </c>
      <c r="AL38">
        <f t="shared" si="6"/>
        <v>35.525500000000001</v>
      </c>
      <c r="AM38">
        <f t="shared" si="7"/>
        <v>1.45818322555</v>
      </c>
      <c r="AP38" s="9"/>
      <c r="AQ38" s="21">
        <v>0.55908199999999997</v>
      </c>
      <c r="AR38" s="21">
        <v>87.8279</v>
      </c>
      <c r="AS38" s="21">
        <v>-3.1921400000000003E-2</v>
      </c>
      <c r="AT38" s="21">
        <v>28</v>
      </c>
      <c r="AU38" s="21">
        <v>0.55779999999999996</v>
      </c>
      <c r="AV38">
        <f t="shared" si="8"/>
        <v>31.921400000000002</v>
      </c>
      <c r="AW38">
        <f t="shared" si="9"/>
        <v>17.846680154800001</v>
      </c>
      <c r="AX38" s="9"/>
      <c r="AY38" s="21">
        <v>4.1046100000000002E-2</v>
      </c>
      <c r="AZ38" s="21">
        <v>90.598500000000001</v>
      </c>
      <c r="BA38" s="21">
        <v>-3.5494999999999999E-2</v>
      </c>
      <c r="BB38" s="21">
        <v>28</v>
      </c>
      <c r="BC38" s="21">
        <v>4.0634200000000002E-2</v>
      </c>
      <c r="BD38">
        <f t="shared" si="10"/>
        <v>35.494999999999997</v>
      </c>
      <c r="BE38">
        <f t="shared" si="11"/>
        <v>1.4569313195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0.55404699999999996</v>
      </c>
      <c r="H39" s="21">
        <v>45.697099999999999</v>
      </c>
      <c r="I39" s="21">
        <v>-3.21503E-2</v>
      </c>
      <c r="J39" s="21">
        <v>29</v>
      </c>
      <c r="K39" s="21">
        <v>0.55279500000000004</v>
      </c>
      <c r="L39">
        <f t="shared" si="0"/>
        <v>32.150300000000001</v>
      </c>
      <c r="M39">
        <f t="shared" si="1"/>
        <v>17.812777264099999</v>
      </c>
      <c r="N39" s="9"/>
      <c r="O39" s="21">
        <v>4.6081499999999997E-2</v>
      </c>
      <c r="P39" s="21">
        <v>78.875299999999996</v>
      </c>
      <c r="Q39" s="21">
        <v>-3.5546899999999999E-2</v>
      </c>
      <c r="R39" s="21">
        <v>29</v>
      </c>
      <c r="S39" s="21">
        <v>4.5654300000000002E-2</v>
      </c>
      <c r="T39">
        <f t="shared" si="2"/>
        <v>35.546900000000001</v>
      </c>
      <c r="U39">
        <f t="shared" si="3"/>
        <v>1.6380544723499999</v>
      </c>
      <c r="X39" s="9"/>
      <c r="Y39" s="21">
        <v>0.55404699999999996</v>
      </c>
      <c r="Z39" s="21">
        <v>82.123800000000003</v>
      </c>
      <c r="AA39" s="21">
        <v>-3.2266200000000002E-2</v>
      </c>
      <c r="AB39" s="21">
        <v>29</v>
      </c>
      <c r="AC39" s="21">
        <v>0.55276499999999995</v>
      </c>
      <c r="AD39">
        <f t="shared" si="4"/>
        <v>32.266200000000005</v>
      </c>
      <c r="AE39">
        <f t="shared" si="5"/>
        <v>17.876991311400001</v>
      </c>
      <c r="AF39" s="9"/>
      <c r="AG39" s="21">
        <v>4.6081499999999997E-2</v>
      </c>
      <c r="AH39" s="21">
        <v>85.102400000000003</v>
      </c>
      <c r="AI39" s="21">
        <v>-3.5522499999999999E-2</v>
      </c>
      <c r="AJ39" s="21">
        <v>29</v>
      </c>
      <c r="AK39" s="21">
        <v>4.5614599999999998E-2</v>
      </c>
      <c r="AL39">
        <f t="shared" si="6"/>
        <v>35.522500000000001</v>
      </c>
      <c r="AM39">
        <f t="shared" si="7"/>
        <v>1.63693008375</v>
      </c>
      <c r="AP39" s="9"/>
      <c r="AQ39" s="21">
        <v>0.55404699999999996</v>
      </c>
      <c r="AR39" s="21">
        <v>87.837999999999994</v>
      </c>
      <c r="AS39" s="21">
        <v>-3.2312E-2</v>
      </c>
      <c r="AT39" s="21">
        <v>29</v>
      </c>
      <c r="AU39" s="21">
        <v>0.55279500000000004</v>
      </c>
      <c r="AV39">
        <f t="shared" si="8"/>
        <v>32.311999999999998</v>
      </c>
      <c r="AW39">
        <f t="shared" si="9"/>
        <v>17.902366663999999</v>
      </c>
      <c r="AX39" s="9"/>
      <c r="AY39" s="21">
        <v>4.6081499999999997E-2</v>
      </c>
      <c r="AZ39" s="21">
        <v>90.608599999999996</v>
      </c>
      <c r="BA39" s="21">
        <v>-3.5507200000000003E-2</v>
      </c>
      <c r="BB39" s="21">
        <v>29</v>
      </c>
      <c r="BC39" s="21">
        <v>4.5687899999999997E-2</v>
      </c>
      <c r="BD39">
        <f t="shared" si="10"/>
        <v>35.507200000000005</v>
      </c>
      <c r="BE39">
        <f t="shared" si="11"/>
        <v>1.6362250368000002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0.54901100000000003</v>
      </c>
      <c r="H40" s="21">
        <v>45.7072</v>
      </c>
      <c r="I40" s="21">
        <v>-3.2479899999999999E-2</v>
      </c>
      <c r="J40" s="21">
        <v>30</v>
      </c>
      <c r="K40" s="21">
        <v>0.54772900000000002</v>
      </c>
      <c r="L40">
        <f t="shared" si="0"/>
        <v>32.479900000000001</v>
      </c>
      <c r="M40">
        <f t="shared" si="1"/>
        <v>17.8318223789</v>
      </c>
      <c r="N40" s="9"/>
      <c r="O40" s="21">
        <v>5.11169E-2</v>
      </c>
      <c r="P40" s="21">
        <v>78.885300000000001</v>
      </c>
      <c r="Q40" s="21">
        <v>-3.5537699999999998E-2</v>
      </c>
      <c r="R40" s="21">
        <v>30</v>
      </c>
      <c r="S40" s="21">
        <v>5.0711100000000002E-2</v>
      </c>
      <c r="T40">
        <f t="shared" si="2"/>
        <v>35.537700000000001</v>
      </c>
      <c r="U40">
        <f t="shared" si="3"/>
        <v>1.81657705713</v>
      </c>
      <c r="X40" s="9"/>
      <c r="Y40" s="21">
        <v>0.54901100000000003</v>
      </c>
      <c r="Z40" s="21">
        <v>82.133899999999997</v>
      </c>
      <c r="AA40" s="21">
        <v>-3.2601900000000003E-2</v>
      </c>
      <c r="AB40" s="21">
        <v>30</v>
      </c>
      <c r="AC40" s="21">
        <v>0.54779100000000003</v>
      </c>
      <c r="AD40">
        <f t="shared" si="4"/>
        <v>32.601900000000001</v>
      </c>
      <c r="AE40">
        <f t="shared" si="5"/>
        <v>17.8988017209</v>
      </c>
      <c r="AF40" s="9"/>
      <c r="AG40" s="21">
        <v>5.11169E-2</v>
      </c>
      <c r="AH40" s="21">
        <v>85.112499999999997</v>
      </c>
      <c r="AI40" s="21">
        <v>-3.5522499999999999E-2</v>
      </c>
      <c r="AJ40" s="21">
        <v>30</v>
      </c>
      <c r="AK40" s="21">
        <v>5.0729400000000001E-2</v>
      </c>
      <c r="AL40">
        <f t="shared" si="6"/>
        <v>35.522500000000001</v>
      </c>
      <c r="AM40">
        <f t="shared" si="7"/>
        <v>1.8158000802500001</v>
      </c>
      <c r="AP40" s="9"/>
      <c r="AQ40" s="21">
        <v>0.54901100000000003</v>
      </c>
      <c r="AR40" s="21">
        <v>87.848100000000002</v>
      </c>
      <c r="AS40" s="21">
        <v>-3.2629400000000003E-2</v>
      </c>
      <c r="AT40" s="21">
        <v>30</v>
      </c>
      <c r="AU40" s="21">
        <v>0.547821</v>
      </c>
      <c r="AV40">
        <f t="shared" si="8"/>
        <v>32.629400000000004</v>
      </c>
      <c r="AW40">
        <f t="shared" si="9"/>
        <v>17.913899523400001</v>
      </c>
      <c r="AX40" s="9"/>
      <c r="AY40" s="21">
        <v>5.11169E-2</v>
      </c>
      <c r="AZ40" s="21">
        <v>90.618600000000001</v>
      </c>
      <c r="BA40" s="21">
        <v>-3.55194E-2</v>
      </c>
      <c r="BB40" s="21">
        <v>30</v>
      </c>
      <c r="BC40" s="21">
        <v>5.06927E-2</v>
      </c>
      <c r="BD40">
        <f t="shared" si="10"/>
        <v>35.519399999999997</v>
      </c>
      <c r="BE40">
        <f t="shared" si="11"/>
        <v>1.8156416178599999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0.54397600000000002</v>
      </c>
      <c r="H41" s="21">
        <v>45.717300000000002</v>
      </c>
      <c r="I41" s="21">
        <v>-3.2766700000000003E-2</v>
      </c>
      <c r="J41" s="21">
        <v>31</v>
      </c>
      <c r="K41" s="21">
        <v>0.54266400000000004</v>
      </c>
      <c r="L41">
        <f t="shared" si="0"/>
        <v>32.7667</v>
      </c>
      <c r="M41">
        <f t="shared" si="1"/>
        <v>17.8242983992</v>
      </c>
      <c r="N41" s="9"/>
      <c r="O41" s="21">
        <v>5.6152300000000002E-2</v>
      </c>
      <c r="P41" s="21">
        <v>78.895399999999995</v>
      </c>
      <c r="Q41" s="21">
        <v>-3.5534700000000002E-2</v>
      </c>
      <c r="R41" s="21">
        <v>31</v>
      </c>
      <c r="S41" s="21">
        <v>5.4962200000000003E-2</v>
      </c>
      <c r="T41">
        <f t="shared" si="2"/>
        <v>35.534700000000001</v>
      </c>
      <c r="U41">
        <f t="shared" si="3"/>
        <v>1.99535513481</v>
      </c>
      <c r="X41" s="9"/>
      <c r="Y41" s="21">
        <v>0.54397600000000002</v>
      </c>
      <c r="Z41" s="21">
        <v>82.144000000000005</v>
      </c>
      <c r="AA41" s="21">
        <v>-3.2897900000000001E-2</v>
      </c>
      <c r="AB41" s="21">
        <v>31</v>
      </c>
      <c r="AC41" s="21">
        <v>0.54266400000000004</v>
      </c>
      <c r="AD41">
        <f t="shared" si="4"/>
        <v>32.8979</v>
      </c>
      <c r="AE41">
        <f t="shared" si="5"/>
        <v>17.895668050400001</v>
      </c>
      <c r="AF41" s="9"/>
      <c r="AG41" s="21">
        <v>5.6152300000000002E-2</v>
      </c>
      <c r="AH41" s="21">
        <v>85.122600000000006</v>
      </c>
      <c r="AI41" s="21">
        <v>-3.55194E-2</v>
      </c>
      <c r="AJ41" s="21">
        <v>31</v>
      </c>
      <c r="AK41" s="21">
        <v>5.4992699999999999E-2</v>
      </c>
      <c r="AL41">
        <f t="shared" si="6"/>
        <v>35.519399999999997</v>
      </c>
      <c r="AM41">
        <f t="shared" si="7"/>
        <v>1.99449600462</v>
      </c>
      <c r="AP41" s="9"/>
      <c r="AQ41" s="21">
        <v>0.54397600000000002</v>
      </c>
      <c r="AR41" s="21">
        <v>87.858099999999993</v>
      </c>
      <c r="AS41" s="21">
        <v>-3.2928499999999999E-2</v>
      </c>
      <c r="AT41" s="21">
        <v>31</v>
      </c>
      <c r="AU41" s="21">
        <v>0.54263300000000003</v>
      </c>
      <c r="AV41">
        <f t="shared" si="8"/>
        <v>32.9285</v>
      </c>
      <c r="AW41">
        <f t="shared" si="9"/>
        <v>17.912313716</v>
      </c>
      <c r="AX41" s="9"/>
      <c r="AY41" s="21">
        <v>5.6152300000000002E-2</v>
      </c>
      <c r="AZ41" s="21">
        <v>90.628699999999995</v>
      </c>
      <c r="BA41" s="21">
        <v>-3.5510300000000002E-2</v>
      </c>
      <c r="BB41" s="21">
        <v>31</v>
      </c>
      <c r="BC41" s="21">
        <v>5.4992699999999999E-2</v>
      </c>
      <c r="BD41">
        <f t="shared" si="10"/>
        <v>35.510300000000001</v>
      </c>
      <c r="BE41">
        <f t="shared" si="11"/>
        <v>1.9939850186900001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0.53893999999999997</v>
      </c>
      <c r="H42" s="21">
        <v>45.7273</v>
      </c>
      <c r="I42" s="21">
        <v>-3.3035299999999997E-2</v>
      </c>
      <c r="J42" s="21">
        <v>32</v>
      </c>
      <c r="K42" s="21">
        <v>0.537659</v>
      </c>
      <c r="L42">
        <f t="shared" si="0"/>
        <v>33.035299999999999</v>
      </c>
      <c r="M42">
        <f t="shared" si="1"/>
        <v>17.804044582</v>
      </c>
      <c r="N42" s="9"/>
      <c r="O42" s="21">
        <v>6.1187699999999998E-2</v>
      </c>
      <c r="P42" s="21">
        <v>78.905500000000004</v>
      </c>
      <c r="Q42" s="21">
        <v>-3.55194E-2</v>
      </c>
      <c r="R42" s="21">
        <v>32</v>
      </c>
      <c r="S42" s="21">
        <v>5.9966999999999999E-2</v>
      </c>
      <c r="T42">
        <f t="shared" si="2"/>
        <v>35.519399999999997</v>
      </c>
      <c r="U42">
        <f t="shared" si="3"/>
        <v>2.1733503913799996</v>
      </c>
      <c r="X42" s="9"/>
      <c r="Y42" s="21">
        <v>0.53893999999999997</v>
      </c>
      <c r="Z42" s="21">
        <v>82.153999999999996</v>
      </c>
      <c r="AA42" s="21">
        <v>-3.31604E-2</v>
      </c>
      <c r="AB42" s="21">
        <v>32</v>
      </c>
      <c r="AC42" s="21">
        <v>0.53762799999999999</v>
      </c>
      <c r="AD42">
        <f t="shared" si="4"/>
        <v>33.160400000000003</v>
      </c>
      <c r="AE42">
        <f t="shared" si="5"/>
        <v>17.871465976</v>
      </c>
      <c r="AF42" s="9"/>
      <c r="AG42" s="21">
        <v>6.1187699999999998E-2</v>
      </c>
      <c r="AH42" s="21">
        <v>85.132599999999996</v>
      </c>
      <c r="AI42" s="21">
        <v>-3.5516399999999997E-2</v>
      </c>
      <c r="AJ42" s="21">
        <v>32</v>
      </c>
      <c r="AK42" s="21">
        <v>5.9966999999999999E-2</v>
      </c>
      <c r="AL42">
        <f t="shared" si="6"/>
        <v>35.516399999999997</v>
      </c>
      <c r="AM42">
        <f t="shared" si="7"/>
        <v>2.1731668282799999</v>
      </c>
      <c r="AP42" s="9"/>
      <c r="AQ42" s="21">
        <v>0.53893999999999997</v>
      </c>
      <c r="AR42" s="21">
        <v>87.868200000000002</v>
      </c>
      <c r="AS42" s="21">
        <v>-3.3200100000000003E-2</v>
      </c>
      <c r="AT42" s="21">
        <v>32</v>
      </c>
      <c r="AU42" s="21">
        <v>0.537659</v>
      </c>
      <c r="AV42">
        <f t="shared" si="8"/>
        <v>33.200100000000006</v>
      </c>
      <c r="AW42">
        <f t="shared" si="9"/>
        <v>17.892861894000003</v>
      </c>
      <c r="AX42" s="9"/>
      <c r="AY42" s="21">
        <v>6.1187699999999998E-2</v>
      </c>
      <c r="AZ42" s="21">
        <v>90.638800000000003</v>
      </c>
      <c r="BA42" s="21">
        <v>-3.5494999999999999E-2</v>
      </c>
      <c r="BB42" s="21">
        <v>32</v>
      </c>
      <c r="BC42" s="21">
        <v>5.9997599999999998E-2</v>
      </c>
      <c r="BD42">
        <f t="shared" si="10"/>
        <v>35.494999999999997</v>
      </c>
      <c r="BE42">
        <f t="shared" si="11"/>
        <v>2.1718574114999996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0.53390499999999996</v>
      </c>
      <c r="H43" s="21">
        <v>45.737400000000001</v>
      </c>
      <c r="I43" s="21">
        <v>-3.3288600000000002E-2</v>
      </c>
      <c r="J43" s="21">
        <v>33</v>
      </c>
      <c r="K43" s="21">
        <v>0.53268400000000005</v>
      </c>
      <c r="L43">
        <f t="shared" si="0"/>
        <v>33.288600000000002</v>
      </c>
      <c r="M43">
        <f t="shared" si="1"/>
        <v>17.772949983</v>
      </c>
      <c r="N43" s="9"/>
      <c r="O43" s="21">
        <v>6.6223099999999993E-2</v>
      </c>
      <c r="P43" s="21">
        <v>78.915499999999994</v>
      </c>
      <c r="Q43" s="21">
        <v>-3.5507200000000003E-2</v>
      </c>
      <c r="R43" s="21">
        <v>33</v>
      </c>
      <c r="S43" s="21">
        <v>6.5002400000000002E-2</v>
      </c>
      <c r="T43">
        <f t="shared" si="2"/>
        <v>35.507200000000005</v>
      </c>
      <c r="U43">
        <f t="shared" si="3"/>
        <v>2.3513968563200001</v>
      </c>
      <c r="X43" s="9"/>
      <c r="Y43" s="21">
        <v>0.53390499999999996</v>
      </c>
      <c r="Z43" s="21">
        <v>82.164100000000005</v>
      </c>
      <c r="AA43" s="21">
        <v>-3.3395399999999999E-2</v>
      </c>
      <c r="AB43" s="21">
        <v>33</v>
      </c>
      <c r="AC43" s="21">
        <v>0.53265399999999996</v>
      </c>
      <c r="AD43">
        <f t="shared" si="4"/>
        <v>33.395400000000002</v>
      </c>
      <c r="AE43">
        <f t="shared" si="5"/>
        <v>17.829971037</v>
      </c>
      <c r="AF43" s="9"/>
      <c r="AG43" s="21">
        <v>6.6223099999999993E-2</v>
      </c>
      <c r="AH43" s="21">
        <v>85.142700000000005</v>
      </c>
      <c r="AI43" s="21">
        <v>-3.5485799999999998E-2</v>
      </c>
      <c r="AJ43" s="21">
        <v>33</v>
      </c>
      <c r="AK43" s="21">
        <v>6.5093999999999999E-2</v>
      </c>
      <c r="AL43">
        <f t="shared" si="6"/>
        <v>35.485799999999998</v>
      </c>
      <c r="AM43">
        <f t="shared" si="7"/>
        <v>2.3499796819799994</v>
      </c>
      <c r="AP43" s="9"/>
      <c r="AQ43" s="21">
        <v>0.53390499999999996</v>
      </c>
      <c r="AR43" s="21">
        <v>87.878299999999996</v>
      </c>
      <c r="AS43" s="21">
        <v>-3.3438099999999998E-2</v>
      </c>
      <c r="AT43" s="21">
        <v>33</v>
      </c>
      <c r="AU43" s="21">
        <v>0.53259299999999998</v>
      </c>
      <c r="AV43">
        <f t="shared" si="8"/>
        <v>33.438099999999999</v>
      </c>
      <c r="AW43">
        <f t="shared" si="9"/>
        <v>17.852768780499996</v>
      </c>
      <c r="AX43" s="9"/>
      <c r="AY43" s="21">
        <v>6.6223099999999993E-2</v>
      </c>
      <c r="AZ43" s="21">
        <v>90.648799999999994</v>
      </c>
      <c r="BA43" s="21">
        <v>-3.5482800000000002E-2</v>
      </c>
      <c r="BB43" s="21">
        <v>33</v>
      </c>
      <c r="BC43" s="21">
        <v>6.5002400000000002E-2</v>
      </c>
      <c r="BD43">
        <f t="shared" si="10"/>
        <v>35.482800000000005</v>
      </c>
      <c r="BE43">
        <f t="shared" si="11"/>
        <v>2.3497810126799998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0.52886999999999995</v>
      </c>
      <c r="H44" s="21">
        <v>45.747500000000002</v>
      </c>
      <c r="I44" s="21">
        <v>-3.3511399999999997E-2</v>
      </c>
      <c r="J44" s="21">
        <v>34</v>
      </c>
      <c r="K44" s="21">
        <v>0.52761800000000003</v>
      </c>
      <c r="L44">
        <f t="shared" si="0"/>
        <v>33.511399999999995</v>
      </c>
      <c r="M44">
        <f t="shared" si="1"/>
        <v>17.723174117999996</v>
      </c>
      <c r="N44" s="9"/>
      <c r="O44" s="21">
        <v>7.1258500000000002E-2</v>
      </c>
      <c r="P44" s="21">
        <v>78.925600000000003</v>
      </c>
      <c r="Q44" s="21">
        <v>-3.5516399999999997E-2</v>
      </c>
      <c r="R44" s="21">
        <v>34</v>
      </c>
      <c r="S44" s="21">
        <v>7.0068400000000003E-2</v>
      </c>
      <c r="T44">
        <f t="shared" si="2"/>
        <v>35.516399999999997</v>
      </c>
      <c r="U44">
        <f t="shared" si="3"/>
        <v>2.5308453894</v>
      </c>
      <c r="X44" s="9"/>
      <c r="Y44" s="21">
        <v>0.52886999999999995</v>
      </c>
      <c r="Z44" s="21">
        <v>82.174199999999999</v>
      </c>
      <c r="AA44" s="21">
        <v>-3.3618200000000001E-2</v>
      </c>
      <c r="AB44" s="21">
        <v>34</v>
      </c>
      <c r="AC44" s="21">
        <v>0.52761800000000003</v>
      </c>
      <c r="AD44">
        <f t="shared" si="4"/>
        <v>33.618200000000002</v>
      </c>
      <c r="AE44">
        <f t="shared" si="5"/>
        <v>17.779657434000001</v>
      </c>
      <c r="AF44" s="9"/>
      <c r="AG44" s="21">
        <v>7.1258500000000002E-2</v>
      </c>
      <c r="AH44" s="21">
        <v>85.152799999999999</v>
      </c>
      <c r="AI44" s="21">
        <v>-3.5479700000000003E-2</v>
      </c>
      <c r="AJ44" s="21">
        <v>34</v>
      </c>
      <c r="AK44" s="21">
        <v>7.01904E-2</v>
      </c>
      <c r="AL44">
        <f t="shared" si="6"/>
        <v>35.479700000000001</v>
      </c>
      <c r="AM44">
        <f t="shared" si="7"/>
        <v>2.5282302024500001</v>
      </c>
      <c r="AP44" s="9"/>
      <c r="AQ44" s="21">
        <v>0.52886999999999995</v>
      </c>
      <c r="AR44" s="21">
        <v>87.888300000000001</v>
      </c>
      <c r="AS44" s="21">
        <v>-3.3654799999999999E-2</v>
      </c>
      <c r="AT44" s="21">
        <v>34</v>
      </c>
      <c r="AU44" s="21">
        <v>0.52758799999999995</v>
      </c>
      <c r="AV44">
        <f t="shared" si="8"/>
        <v>33.654800000000002</v>
      </c>
      <c r="AW44">
        <f t="shared" si="9"/>
        <v>17.799014075999999</v>
      </c>
      <c r="AX44" s="9"/>
      <c r="AY44" s="21">
        <v>7.1258500000000002E-2</v>
      </c>
      <c r="AZ44" s="21">
        <v>90.658900000000003</v>
      </c>
      <c r="BA44" s="21">
        <v>-3.5461399999999997E-2</v>
      </c>
      <c r="BB44" s="21">
        <v>34</v>
      </c>
      <c r="BC44" s="21">
        <v>7.0068400000000003E-2</v>
      </c>
      <c r="BD44">
        <f t="shared" si="10"/>
        <v>35.461399999999998</v>
      </c>
      <c r="BE44">
        <f t="shared" si="11"/>
        <v>2.5269261719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0.52383400000000002</v>
      </c>
      <c r="H45" s="21">
        <v>45.757599999999996</v>
      </c>
      <c r="I45" s="21">
        <v>-3.3721899999999999E-2</v>
      </c>
      <c r="J45" s="21">
        <v>35</v>
      </c>
      <c r="K45" s="21">
        <v>0.52255200000000002</v>
      </c>
      <c r="L45">
        <f t="shared" si="0"/>
        <v>33.721899999999998</v>
      </c>
      <c r="M45">
        <f t="shared" si="1"/>
        <v>17.6646777646</v>
      </c>
      <c r="N45" s="9"/>
      <c r="O45" s="21">
        <v>7.6293899999999998E-2</v>
      </c>
      <c r="P45" s="21">
        <v>78.935699999999997</v>
      </c>
      <c r="Q45" s="21">
        <v>-3.55042E-2</v>
      </c>
      <c r="R45" s="21">
        <v>35</v>
      </c>
      <c r="S45" s="21">
        <v>7.5103799999999998E-2</v>
      </c>
      <c r="T45">
        <f t="shared" si="2"/>
        <v>35.504199999999997</v>
      </c>
      <c r="U45">
        <f t="shared" si="3"/>
        <v>2.7087538843799996</v>
      </c>
      <c r="X45" s="9"/>
      <c r="Y45" s="21">
        <v>0.52383400000000002</v>
      </c>
      <c r="Z45" s="21">
        <v>82.184299999999993</v>
      </c>
      <c r="AA45" s="21">
        <v>-3.3831800000000002E-2</v>
      </c>
      <c r="AB45" s="21">
        <v>35</v>
      </c>
      <c r="AC45" s="21">
        <v>0.52249100000000004</v>
      </c>
      <c r="AD45">
        <f t="shared" si="4"/>
        <v>33.831800000000001</v>
      </c>
      <c r="AE45">
        <f t="shared" si="5"/>
        <v>17.722247121200002</v>
      </c>
      <c r="AF45" s="9"/>
      <c r="AG45" s="21">
        <v>7.6293899999999998E-2</v>
      </c>
      <c r="AH45" s="21">
        <v>85.162800000000004</v>
      </c>
      <c r="AI45" s="21">
        <v>-3.5473600000000001E-2</v>
      </c>
      <c r="AJ45" s="21">
        <v>35</v>
      </c>
      <c r="AK45" s="21">
        <v>7.5073200000000007E-2</v>
      </c>
      <c r="AL45">
        <f t="shared" si="6"/>
        <v>35.473599999999998</v>
      </c>
      <c r="AM45">
        <f t="shared" si="7"/>
        <v>2.7064192910399996</v>
      </c>
      <c r="AP45" s="9"/>
      <c r="AQ45" s="21">
        <v>0.52383400000000002</v>
      </c>
      <c r="AR45" s="21">
        <v>87.898399999999995</v>
      </c>
      <c r="AS45" s="21">
        <v>-3.3853099999999997E-2</v>
      </c>
      <c r="AT45" s="21">
        <v>35</v>
      </c>
      <c r="AU45" s="21">
        <v>0.52249100000000004</v>
      </c>
      <c r="AV45">
        <f t="shared" si="8"/>
        <v>33.853099999999998</v>
      </c>
      <c r="AW45">
        <f t="shared" si="9"/>
        <v>17.733404785400001</v>
      </c>
      <c r="AX45" s="9"/>
      <c r="AY45" s="21">
        <v>7.6293899999999998E-2</v>
      </c>
      <c r="AZ45" s="21">
        <v>90.668999999999997</v>
      </c>
      <c r="BA45" s="21">
        <v>-3.5461399999999997E-2</v>
      </c>
      <c r="BB45" s="21">
        <v>35</v>
      </c>
      <c r="BC45" s="21">
        <v>7.5073200000000007E-2</v>
      </c>
      <c r="BD45">
        <f t="shared" si="10"/>
        <v>35.461399999999998</v>
      </c>
      <c r="BE45">
        <f t="shared" si="11"/>
        <v>2.7054885054599995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0.51879900000000001</v>
      </c>
      <c r="H46" s="21">
        <v>45.767600000000002</v>
      </c>
      <c r="I46" s="21">
        <v>-3.38959E-2</v>
      </c>
      <c r="J46" s="21">
        <v>36</v>
      </c>
      <c r="K46" s="21">
        <v>0.51748700000000003</v>
      </c>
      <c r="L46">
        <f t="shared" si="0"/>
        <v>33.895899999999997</v>
      </c>
      <c r="M46">
        <f t="shared" si="1"/>
        <v>17.585159024099998</v>
      </c>
      <c r="N46" s="9"/>
      <c r="O46" s="21">
        <v>8.1329299999999993E-2</v>
      </c>
      <c r="P46" s="21">
        <v>78.945700000000002</v>
      </c>
      <c r="Q46" s="21">
        <v>-3.5507200000000003E-2</v>
      </c>
      <c r="R46" s="21">
        <v>36</v>
      </c>
      <c r="S46" s="21">
        <v>8.0139199999999994E-2</v>
      </c>
      <c r="T46">
        <f t="shared" si="2"/>
        <v>35.507200000000005</v>
      </c>
      <c r="U46">
        <f t="shared" si="3"/>
        <v>2.8877757209600001</v>
      </c>
      <c r="X46" s="9"/>
      <c r="Y46" s="21">
        <v>0.51879900000000001</v>
      </c>
      <c r="Z46" s="21">
        <v>82.194299999999998</v>
      </c>
      <c r="AA46" s="21">
        <v>-3.4014900000000001E-2</v>
      </c>
      <c r="AB46" s="21">
        <v>36</v>
      </c>
      <c r="AC46" s="21">
        <v>0.517517</v>
      </c>
      <c r="AD46">
        <f t="shared" si="4"/>
        <v>34.014899999999997</v>
      </c>
      <c r="AE46">
        <f t="shared" si="5"/>
        <v>17.646896105099998</v>
      </c>
      <c r="AF46" s="9"/>
      <c r="AG46" s="21">
        <v>8.1329299999999993E-2</v>
      </c>
      <c r="AH46" s="21">
        <v>85.172899999999998</v>
      </c>
      <c r="AI46" s="21">
        <v>-3.5461399999999997E-2</v>
      </c>
      <c r="AJ46" s="21">
        <v>36</v>
      </c>
      <c r="AK46" s="21">
        <v>8.0230700000000002E-2</v>
      </c>
      <c r="AL46">
        <f t="shared" si="6"/>
        <v>35.461399999999998</v>
      </c>
      <c r="AM46">
        <f t="shared" si="7"/>
        <v>2.8840508390199995</v>
      </c>
      <c r="AP46" s="9"/>
      <c r="AQ46" s="21">
        <v>0.51879900000000001</v>
      </c>
      <c r="AR46" s="21">
        <v>87.908500000000004</v>
      </c>
      <c r="AS46" s="21">
        <v>-3.40332E-2</v>
      </c>
      <c r="AT46" s="21">
        <v>36</v>
      </c>
      <c r="AU46" s="21">
        <v>0.51745600000000003</v>
      </c>
      <c r="AV46">
        <f t="shared" si="8"/>
        <v>34.033200000000001</v>
      </c>
      <c r="AW46">
        <f t="shared" si="9"/>
        <v>17.656390126800002</v>
      </c>
      <c r="AX46" s="9"/>
      <c r="AY46" s="21">
        <v>8.1329299999999993E-2</v>
      </c>
      <c r="AZ46" s="21">
        <v>90.679100000000005</v>
      </c>
      <c r="BA46" s="21">
        <v>-3.5479700000000003E-2</v>
      </c>
      <c r="BB46" s="21">
        <v>36</v>
      </c>
      <c r="BC46" s="21">
        <v>8.0200199999999999E-2</v>
      </c>
      <c r="BD46">
        <f t="shared" si="10"/>
        <v>35.479700000000001</v>
      </c>
      <c r="BE46">
        <f t="shared" si="11"/>
        <v>2.88553916521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0.51376299999999997</v>
      </c>
      <c r="H47" s="21">
        <v>45.777700000000003</v>
      </c>
      <c r="I47" s="21">
        <v>-3.4048500000000002E-2</v>
      </c>
      <c r="J47" s="21">
        <v>37</v>
      </c>
      <c r="K47" s="21">
        <v>0.51245099999999999</v>
      </c>
      <c r="L47">
        <f t="shared" si="0"/>
        <v>34.048500000000004</v>
      </c>
      <c r="M47">
        <f t="shared" si="1"/>
        <v>17.4928595055</v>
      </c>
      <c r="N47" s="9"/>
      <c r="O47" s="21">
        <v>8.6364700000000003E-2</v>
      </c>
      <c r="P47" s="21">
        <v>78.955799999999996</v>
      </c>
      <c r="Q47" s="21">
        <v>-3.5510300000000002E-2</v>
      </c>
      <c r="R47" s="21">
        <v>37</v>
      </c>
      <c r="S47" s="21">
        <v>8.5205100000000006E-2</v>
      </c>
      <c r="T47">
        <f t="shared" si="2"/>
        <v>35.510300000000001</v>
      </c>
      <c r="U47">
        <f t="shared" si="3"/>
        <v>3.0668364064100002</v>
      </c>
      <c r="X47" s="9"/>
      <c r="Y47" s="21">
        <v>0.51376299999999997</v>
      </c>
      <c r="Z47" s="21">
        <v>82.204400000000007</v>
      </c>
      <c r="AA47" s="21">
        <v>-3.4173599999999998E-2</v>
      </c>
      <c r="AB47" s="21">
        <v>37</v>
      </c>
      <c r="AC47" s="21">
        <v>0.51248199999999999</v>
      </c>
      <c r="AD47">
        <f t="shared" si="4"/>
        <v>34.1736</v>
      </c>
      <c r="AE47">
        <f t="shared" si="5"/>
        <v>17.557131256799998</v>
      </c>
      <c r="AF47" s="9"/>
      <c r="AG47" s="21">
        <v>8.6364700000000003E-2</v>
      </c>
      <c r="AH47" s="21">
        <v>85.183000000000007</v>
      </c>
      <c r="AI47" s="21">
        <v>-3.5452299999999999E-2</v>
      </c>
      <c r="AJ47" s="21">
        <v>37</v>
      </c>
      <c r="AK47" s="21">
        <v>8.5113499999999995E-2</v>
      </c>
      <c r="AL47">
        <f t="shared" si="6"/>
        <v>35.452300000000001</v>
      </c>
      <c r="AM47">
        <f t="shared" si="7"/>
        <v>3.0618272538100002</v>
      </c>
      <c r="AP47" s="9"/>
      <c r="AQ47" s="21">
        <v>0.51376299999999997</v>
      </c>
      <c r="AR47" s="21">
        <v>87.918599999999998</v>
      </c>
      <c r="AS47" s="21">
        <v>-3.4161400000000001E-2</v>
      </c>
      <c r="AT47" s="21">
        <v>37</v>
      </c>
      <c r="AU47" s="21">
        <v>0.51239000000000001</v>
      </c>
      <c r="AV47">
        <f t="shared" si="8"/>
        <v>34.1614</v>
      </c>
      <c r="AW47">
        <f t="shared" si="9"/>
        <v>17.5508633482</v>
      </c>
      <c r="AX47" s="9"/>
      <c r="AY47" s="21">
        <v>8.6364700000000003E-2</v>
      </c>
      <c r="AZ47" s="21">
        <v>90.689099999999996</v>
      </c>
      <c r="BA47" s="21">
        <v>-3.5488899999999997E-2</v>
      </c>
      <c r="BB47" s="21">
        <v>37</v>
      </c>
      <c r="BC47" s="21">
        <v>8.5113499999999995E-2</v>
      </c>
      <c r="BD47">
        <f t="shared" si="10"/>
        <v>35.488899999999994</v>
      </c>
      <c r="BE47">
        <f t="shared" si="11"/>
        <v>3.0649882018299994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0.50872799999999996</v>
      </c>
      <c r="H48" s="21">
        <v>45.787799999999997</v>
      </c>
      <c r="I48" s="21">
        <v>-3.4191899999999997E-2</v>
      </c>
      <c r="J48" s="21">
        <v>38</v>
      </c>
      <c r="K48" s="21">
        <v>0.50741599999999998</v>
      </c>
      <c r="L48">
        <f t="shared" si="0"/>
        <v>34.191899999999997</v>
      </c>
      <c r="M48">
        <f t="shared" si="1"/>
        <v>17.394376903199998</v>
      </c>
      <c r="N48" s="9"/>
      <c r="O48" s="21">
        <v>9.1400099999999998E-2</v>
      </c>
      <c r="P48" s="21">
        <v>78.965900000000005</v>
      </c>
      <c r="Q48" s="21">
        <v>-3.5501100000000001E-2</v>
      </c>
      <c r="R48" s="21">
        <v>38</v>
      </c>
      <c r="S48" s="21">
        <v>9.0240500000000001E-2</v>
      </c>
      <c r="T48">
        <f t="shared" si="2"/>
        <v>35.501100000000001</v>
      </c>
      <c r="U48">
        <f t="shared" si="3"/>
        <v>3.2448040901100001</v>
      </c>
      <c r="X48" s="9"/>
      <c r="Y48" s="21">
        <v>0.50872799999999996</v>
      </c>
      <c r="Z48" s="21">
        <v>82.214500000000001</v>
      </c>
      <c r="AA48" s="21">
        <v>-3.43018E-2</v>
      </c>
      <c r="AB48" s="21">
        <v>38</v>
      </c>
      <c r="AC48" s="21">
        <v>0.50744599999999995</v>
      </c>
      <c r="AD48">
        <f t="shared" si="4"/>
        <v>34.3018</v>
      </c>
      <c r="AE48">
        <f t="shared" si="5"/>
        <v>17.450286110399997</v>
      </c>
      <c r="AF48" s="9"/>
      <c r="AG48" s="21">
        <v>9.1400099999999998E-2</v>
      </c>
      <c r="AH48" s="21">
        <v>85.192999999999998</v>
      </c>
      <c r="AI48" s="21">
        <v>-3.5443099999999998E-2</v>
      </c>
      <c r="AJ48" s="21">
        <v>38</v>
      </c>
      <c r="AK48" s="21">
        <v>9.0271000000000004E-2</v>
      </c>
      <c r="AL48">
        <f t="shared" si="6"/>
        <v>35.443100000000001</v>
      </c>
      <c r="AM48">
        <f t="shared" si="7"/>
        <v>3.2395028843100002</v>
      </c>
      <c r="AP48" s="9"/>
      <c r="AQ48" s="21">
        <v>0.50872799999999996</v>
      </c>
      <c r="AR48" s="21">
        <v>87.928600000000003</v>
      </c>
      <c r="AS48" s="21">
        <v>-3.42651E-2</v>
      </c>
      <c r="AT48" s="21">
        <v>38</v>
      </c>
      <c r="AU48" s="21">
        <v>0.50741599999999998</v>
      </c>
      <c r="AV48">
        <f t="shared" si="8"/>
        <v>34.265099999999997</v>
      </c>
      <c r="AW48">
        <f t="shared" si="9"/>
        <v>17.431615792799995</v>
      </c>
      <c r="AX48" s="9"/>
      <c r="AY48" s="21">
        <v>9.1400099999999998E-2</v>
      </c>
      <c r="AZ48" s="21">
        <v>90.699200000000005</v>
      </c>
      <c r="BA48" s="21">
        <v>-3.5482800000000002E-2</v>
      </c>
      <c r="BB48" s="21">
        <v>38</v>
      </c>
      <c r="BC48" s="21">
        <v>9.0118400000000001E-2</v>
      </c>
      <c r="BD48">
        <f t="shared" si="10"/>
        <v>35.482800000000005</v>
      </c>
      <c r="BE48">
        <f t="shared" si="11"/>
        <v>3.2431314682800005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0.50369299999999995</v>
      </c>
      <c r="H49" s="21">
        <v>45.797800000000002</v>
      </c>
      <c r="I49" s="21">
        <v>-3.4313999999999997E-2</v>
      </c>
      <c r="J49" s="21">
        <v>39</v>
      </c>
      <c r="K49" s="21">
        <v>0.50238000000000005</v>
      </c>
      <c r="L49">
        <f t="shared" si="0"/>
        <v>34.314</v>
      </c>
      <c r="M49">
        <f t="shared" si="1"/>
        <v>17.283721602</v>
      </c>
      <c r="N49" s="9"/>
      <c r="O49" s="21">
        <v>9.6435499999999993E-2</v>
      </c>
      <c r="P49" s="21">
        <v>78.975999999999999</v>
      </c>
      <c r="Q49" s="21">
        <v>-3.5485799999999998E-2</v>
      </c>
      <c r="R49" s="21">
        <v>39</v>
      </c>
      <c r="S49" s="21">
        <v>9.5184299999999999E-2</v>
      </c>
      <c r="T49">
        <f t="shared" si="2"/>
        <v>35.485799999999998</v>
      </c>
      <c r="U49">
        <f t="shared" si="3"/>
        <v>3.4220908658999996</v>
      </c>
      <c r="X49" s="9"/>
      <c r="Y49" s="21">
        <v>0.50369299999999995</v>
      </c>
      <c r="Z49" s="21">
        <v>82.224500000000006</v>
      </c>
      <c r="AA49" s="21">
        <v>-3.4411600000000001E-2</v>
      </c>
      <c r="AB49" s="21">
        <v>39</v>
      </c>
      <c r="AC49" s="21">
        <v>0.50241100000000005</v>
      </c>
      <c r="AD49">
        <f t="shared" si="4"/>
        <v>34.4116</v>
      </c>
      <c r="AE49">
        <f t="shared" si="5"/>
        <v>17.332882038799998</v>
      </c>
      <c r="AF49" s="9"/>
      <c r="AG49" s="21">
        <v>9.6435499999999993E-2</v>
      </c>
      <c r="AH49" s="21">
        <v>85.203100000000006</v>
      </c>
      <c r="AI49" s="21">
        <v>-3.5440100000000002E-2</v>
      </c>
      <c r="AJ49" s="21">
        <v>39</v>
      </c>
      <c r="AK49" s="21">
        <v>9.5275899999999997E-2</v>
      </c>
      <c r="AL49">
        <f t="shared" si="6"/>
        <v>35.440100000000001</v>
      </c>
      <c r="AM49">
        <f t="shared" si="7"/>
        <v>3.4176837635499999</v>
      </c>
      <c r="AP49" s="9"/>
      <c r="AQ49" s="21">
        <v>0.50369299999999995</v>
      </c>
      <c r="AR49" s="21">
        <v>87.938699999999997</v>
      </c>
      <c r="AS49" s="21">
        <v>-3.4362799999999999E-2</v>
      </c>
      <c r="AT49" s="21">
        <v>39</v>
      </c>
      <c r="AU49" s="21">
        <v>0.50238000000000005</v>
      </c>
      <c r="AV49">
        <f t="shared" si="8"/>
        <v>34.3628</v>
      </c>
      <c r="AW49">
        <f t="shared" si="9"/>
        <v>17.308301820399997</v>
      </c>
      <c r="AX49" s="9"/>
      <c r="AY49" s="21">
        <v>9.6435499999999993E-2</v>
      </c>
      <c r="AZ49" s="21">
        <v>90.709299999999999</v>
      </c>
      <c r="BA49" s="21">
        <v>-3.5485799999999998E-2</v>
      </c>
      <c r="BB49" s="21">
        <v>39</v>
      </c>
      <c r="BC49" s="21">
        <v>9.5245399999999994E-2</v>
      </c>
      <c r="BD49">
        <f t="shared" si="10"/>
        <v>35.485799999999998</v>
      </c>
      <c r="BE49">
        <f t="shared" si="11"/>
        <v>3.4220908658999996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0.49865700000000002</v>
      </c>
      <c r="H50" s="21">
        <v>45.807899999999997</v>
      </c>
      <c r="I50" s="21">
        <v>-3.4417700000000002E-2</v>
      </c>
      <c r="J50" s="21">
        <v>40</v>
      </c>
      <c r="K50" s="21">
        <v>0.49737500000000001</v>
      </c>
      <c r="L50">
        <f t="shared" si="0"/>
        <v>34.417700000000004</v>
      </c>
      <c r="M50">
        <f t="shared" si="1"/>
        <v>17.162627028900001</v>
      </c>
      <c r="N50" s="9"/>
      <c r="O50" s="21">
        <v>0.10147100000000001</v>
      </c>
      <c r="P50" s="21">
        <v>78.986000000000004</v>
      </c>
      <c r="Q50" s="21">
        <v>-3.5479700000000003E-2</v>
      </c>
      <c r="R50" s="21">
        <v>40</v>
      </c>
      <c r="S50" s="21">
        <v>0.100342</v>
      </c>
      <c r="T50">
        <f t="shared" si="2"/>
        <v>35.479700000000001</v>
      </c>
      <c r="U50">
        <f t="shared" si="3"/>
        <v>3.6001606387000002</v>
      </c>
      <c r="X50" s="9"/>
      <c r="Y50" s="21">
        <v>0.49865700000000002</v>
      </c>
      <c r="Z50" s="21">
        <v>82.2346</v>
      </c>
      <c r="AA50" s="21">
        <v>-3.4503199999999998E-2</v>
      </c>
      <c r="AB50" s="21">
        <v>40</v>
      </c>
      <c r="AC50" s="21">
        <v>0.49740600000000001</v>
      </c>
      <c r="AD50">
        <f t="shared" si="4"/>
        <v>34.5032</v>
      </c>
      <c r="AE50">
        <f t="shared" si="5"/>
        <v>17.2052622024</v>
      </c>
      <c r="AF50" s="9"/>
      <c r="AG50" s="21">
        <v>0.10147100000000001</v>
      </c>
      <c r="AH50" s="21">
        <v>85.213200000000001</v>
      </c>
      <c r="AI50" s="21">
        <v>-3.5434E-2</v>
      </c>
      <c r="AJ50" s="21">
        <v>40</v>
      </c>
      <c r="AK50" s="21">
        <v>0.100342</v>
      </c>
      <c r="AL50">
        <f t="shared" si="6"/>
        <v>35.433999999999997</v>
      </c>
      <c r="AM50">
        <f t="shared" si="7"/>
        <v>3.5955234140000001</v>
      </c>
      <c r="AP50" s="9"/>
      <c r="AQ50" s="21">
        <v>0.49865700000000002</v>
      </c>
      <c r="AR50" s="21">
        <v>87.948800000000006</v>
      </c>
      <c r="AS50" s="21">
        <v>-3.44543E-2</v>
      </c>
      <c r="AT50" s="21">
        <v>40</v>
      </c>
      <c r="AU50" s="21">
        <v>0.49737500000000001</v>
      </c>
      <c r="AV50">
        <f t="shared" si="8"/>
        <v>34.454300000000003</v>
      </c>
      <c r="AW50">
        <f t="shared" si="9"/>
        <v>17.180877875100002</v>
      </c>
      <c r="AX50" s="9"/>
      <c r="AY50" s="21">
        <v>0.10147100000000001</v>
      </c>
      <c r="AZ50" s="21">
        <v>90.719300000000004</v>
      </c>
      <c r="BA50" s="21">
        <v>-3.54767E-2</v>
      </c>
      <c r="BB50" s="21">
        <v>40</v>
      </c>
      <c r="BC50" s="21">
        <v>0.100281</v>
      </c>
      <c r="BD50">
        <f t="shared" si="10"/>
        <v>35.476700000000001</v>
      </c>
      <c r="BE50">
        <f t="shared" si="11"/>
        <v>3.5998562257000004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0.49362200000000001</v>
      </c>
      <c r="H51" s="21">
        <v>45.817999999999998</v>
      </c>
      <c r="I51" s="21">
        <v>-3.4506200000000001E-2</v>
      </c>
      <c r="J51" s="21">
        <v>41</v>
      </c>
      <c r="K51" s="21">
        <v>0.492371</v>
      </c>
      <c r="L51">
        <f t="shared" si="0"/>
        <v>34.5062</v>
      </c>
      <c r="M51">
        <f t="shared" si="1"/>
        <v>17.033019456400002</v>
      </c>
      <c r="N51" s="9"/>
      <c r="O51" s="21">
        <v>0.106506</v>
      </c>
      <c r="P51" s="21">
        <v>78.996099999999998</v>
      </c>
      <c r="Q51" s="21">
        <v>-3.5473600000000001E-2</v>
      </c>
      <c r="R51" s="21">
        <v>41</v>
      </c>
      <c r="S51" s="21">
        <v>0.10531600000000001</v>
      </c>
      <c r="T51">
        <f t="shared" si="2"/>
        <v>35.473599999999998</v>
      </c>
      <c r="U51">
        <f t="shared" si="3"/>
        <v>3.7781512415999998</v>
      </c>
      <c r="X51" s="9"/>
      <c r="Y51" s="21">
        <v>0.49362200000000001</v>
      </c>
      <c r="Z51" s="21">
        <v>82.244699999999995</v>
      </c>
      <c r="AA51" s="21">
        <v>-3.4573399999999997E-2</v>
      </c>
      <c r="AB51" s="21">
        <v>41</v>
      </c>
      <c r="AC51" s="21">
        <v>0.492371</v>
      </c>
      <c r="AD51">
        <f t="shared" si="4"/>
        <v>34.573399999999999</v>
      </c>
      <c r="AE51">
        <f t="shared" si="5"/>
        <v>17.066190854799999</v>
      </c>
      <c r="AF51" s="9"/>
      <c r="AG51" s="21">
        <v>0.106506</v>
      </c>
      <c r="AH51" s="21">
        <v>85.223299999999995</v>
      </c>
      <c r="AI51" s="21">
        <v>-3.5443099999999998E-2</v>
      </c>
      <c r="AJ51" s="21">
        <v>41</v>
      </c>
      <c r="AK51" s="21">
        <v>0.105286</v>
      </c>
      <c r="AL51">
        <f t="shared" si="6"/>
        <v>35.443100000000001</v>
      </c>
      <c r="AM51">
        <f t="shared" si="7"/>
        <v>3.7749028086000003</v>
      </c>
      <c r="AP51" s="9"/>
      <c r="AQ51" s="21">
        <v>0.49362200000000001</v>
      </c>
      <c r="AR51" s="21">
        <v>87.958799999999997</v>
      </c>
      <c r="AS51" s="21">
        <v>-3.4542799999999999E-2</v>
      </c>
      <c r="AT51" s="21">
        <v>41</v>
      </c>
      <c r="AU51" s="21">
        <v>0.49231000000000003</v>
      </c>
      <c r="AV51">
        <f t="shared" si="8"/>
        <v>34.5428</v>
      </c>
      <c r="AW51">
        <f t="shared" si="9"/>
        <v>17.0510860216</v>
      </c>
      <c r="AX51" s="9"/>
      <c r="AY51" s="21">
        <v>0.106506</v>
      </c>
      <c r="AZ51" s="21">
        <v>90.729399999999998</v>
      </c>
      <c r="BA51" s="21">
        <v>-3.5488899999999997E-2</v>
      </c>
      <c r="BB51" s="21">
        <v>41</v>
      </c>
      <c r="BC51" s="21">
        <v>0.105194</v>
      </c>
      <c r="BD51">
        <f t="shared" si="10"/>
        <v>35.488899999999994</v>
      </c>
      <c r="BE51">
        <f t="shared" si="11"/>
        <v>3.7797807833999997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0.48858600000000002</v>
      </c>
      <c r="H52" s="21">
        <v>45.828099999999999</v>
      </c>
      <c r="I52" s="21">
        <v>-3.4570299999999998E-2</v>
      </c>
      <c r="J52" s="21">
        <v>42</v>
      </c>
      <c r="K52" s="21">
        <v>0.48736600000000002</v>
      </c>
      <c r="L52">
        <f t="shared" si="0"/>
        <v>34.570299999999996</v>
      </c>
      <c r="M52">
        <f t="shared" si="1"/>
        <v>16.890564595799997</v>
      </c>
      <c r="N52" s="9"/>
      <c r="O52" s="21">
        <v>0.111542</v>
      </c>
      <c r="P52" s="21">
        <v>79.006200000000007</v>
      </c>
      <c r="Q52" s="21">
        <v>-3.54767E-2</v>
      </c>
      <c r="R52" s="21">
        <v>42</v>
      </c>
      <c r="S52" s="21">
        <v>0.110291</v>
      </c>
      <c r="T52">
        <f t="shared" si="2"/>
        <v>35.476700000000001</v>
      </c>
      <c r="U52">
        <f t="shared" si="3"/>
        <v>3.9571420714000003</v>
      </c>
      <c r="X52" s="9"/>
      <c r="Y52" s="21">
        <v>0.48858600000000002</v>
      </c>
      <c r="Z52" s="21">
        <v>82.254800000000003</v>
      </c>
      <c r="AA52" s="21">
        <v>-3.46466E-2</v>
      </c>
      <c r="AB52" s="21">
        <v>42</v>
      </c>
      <c r="AC52" s="21">
        <v>0.48730499999999999</v>
      </c>
      <c r="AD52">
        <f t="shared" si="4"/>
        <v>34.646599999999999</v>
      </c>
      <c r="AE52">
        <f t="shared" si="5"/>
        <v>16.927843707600001</v>
      </c>
      <c r="AF52" s="9"/>
      <c r="AG52" s="21">
        <v>0.111542</v>
      </c>
      <c r="AH52" s="21">
        <v>85.2333</v>
      </c>
      <c r="AI52" s="21">
        <v>-3.5452299999999999E-2</v>
      </c>
      <c r="AJ52" s="21">
        <v>42</v>
      </c>
      <c r="AK52" s="21">
        <v>0.11038199999999999</v>
      </c>
      <c r="AL52">
        <f t="shared" si="6"/>
        <v>35.452300000000001</v>
      </c>
      <c r="AM52">
        <f t="shared" si="7"/>
        <v>3.9544204466000004</v>
      </c>
      <c r="AP52" s="9"/>
      <c r="AQ52" s="21">
        <v>0.48858600000000002</v>
      </c>
      <c r="AR52" s="21">
        <v>87.968900000000005</v>
      </c>
      <c r="AS52" s="21">
        <v>-3.4612999999999998E-2</v>
      </c>
      <c r="AT52" s="21">
        <v>42</v>
      </c>
      <c r="AU52" s="21">
        <v>0.48724400000000001</v>
      </c>
      <c r="AV52">
        <f t="shared" si="8"/>
        <v>34.613</v>
      </c>
      <c r="AW52">
        <f t="shared" si="9"/>
        <v>16.911427218</v>
      </c>
      <c r="AX52" s="9"/>
      <c r="AY52" s="21">
        <v>0.111542</v>
      </c>
      <c r="AZ52" s="21">
        <v>90.739500000000007</v>
      </c>
      <c r="BA52" s="21">
        <v>-3.5494999999999999E-2</v>
      </c>
      <c r="BB52" s="21">
        <v>42</v>
      </c>
      <c r="BC52" s="21">
        <v>0.110413</v>
      </c>
      <c r="BD52">
        <f t="shared" si="10"/>
        <v>35.494999999999997</v>
      </c>
      <c r="BE52">
        <f t="shared" si="11"/>
        <v>3.9591832899999999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0.48355100000000001</v>
      </c>
      <c r="H53" s="21">
        <v>45.838099999999997</v>
      </c>
      <c r="I53" s="21">
        <v>-3.4625200000000002E-2</v>
      </c>
      <c r="J53" s="21">
        <v>43</v>
      </c>
      <c r="K53" s="21">
        <v>0.48223899999999997</v>
      </c>
      <c r="L53">
        <f t="shared" si="0"/>
        <v>34.6252</v>
      </c>
      <c r="M53">
        <f t="shared" si="1"/>
        <v>16.7430500852</v>
      </c>
      <c r="N53" s="9"/>
      <c r="O53" s="21">
        <v>0.116577</v>
      </c>
      <c r="P53" s="21">
        <v>79.016199999999998</v>
      </c>
      <c r="Q53" s="21">
        <v>-3.54767E-2</v>
      </c>
      <c r="R53" s="21">
        <v>43</v>
      </c>
      <c r="S53" s="21">
        <v>0.115326</v>
      </c>
      <c r="T53">
        <f t="shared" si="2"/>
        <v>35.476700000000001</v>
      </c>
      <c r="U53">
        <f t="shared" si="3"/>
        <v>4.1357672559000003</v>
      </c>
      <c r="X53" s="9"/>
      <c r="Y53" s="21">
        <v>0.48355100000000001</v>
      </c>
      <c r="Z53" s="21">
        <v>82.264799999999994</v>
      </c>
      <c r="AA53" s="21">
        <v>-3.4692399999999998E-2</v>
      </c>
      <c r="AB53" s="21">
        <v>43</v>
      </c>
      <c r="AC53" s="21">
        <v>0.48223899999999997</v>
      </c>
      <c r="AD53">
        <f t="shared" si="4"/>
        <v>34.692399999999999</v>
      </c>
      <c r="AE53">
        <f t="shared" si="5"/>
        <v>16.775544712399999</v>
      </c>
      <c r="AF53" s="9"/>
      <c r="AG53" s="21">
        <v>0.116577</v>
      </c>
      <c r="AH53" s="21">
        <v>85.243399999999994</v>
      </c>
      <c r="AI53" s="21">
        <v>-3.5455300000000002E-2</v>
      </c>
      <c r="AJ53" s="21">
        <v>43</v>
      </c>
      <c r="AK53" s="21">
        <v>0.115326</v>
      </c>
      <c r="AL53">
        <f t="shared" si="6"/>
        <v>35.455300000000001</v>
      </c>
      <c r="AM53">
        <f t="shared" si="7"/>
        <v>4.1332725081000001</v>
      </c>
      <c r="AP53" s="9"/>
      <c r="AQ53" s="21">
        <v>0.48355100000000001</v>
      </c>
      <c r="AR53" s="21">
        <v>87.978999999999999</v>
      </c>
      <c r="AS53" s="21">
        <v>-3.4667999999999997E-2</v>
      </c>
      <c r="AT53" s="21">
        <v>43</v>
      </c>
      <c r="AU53" s="21">
        <v>0.482269</v>
      </c>
      <c r="AV53">
        <f t="shared" si="8"/>
        <v>34.667999999999999</v>
      </c>
      <c r="AW53">
        <f t="shared" si="9"/>
        <v>16.763746068</v>
      </c>
      <c r="AX53" s="9"/>
      <c r="AY53" s="21">
        <v>0.116577</v>
      </c>
      <c r="AZ53" s="21">
        <v>90.749499999999998</v>
      </c>
      <c r="BA53" s="21">
        <v>-3.5488899999999997E-2</v>
      </c>
      <c r="BB53" s="21">
        <v>43</v>
      </c>
      <c r="BC53" s="21">
        <v>0.115387</v>
      </c>
      <c r="BD53">
        <f t="shared" si="10"/>
        <v>35.488899999999994</v>
      </c>
      <c r="BE53">
        <f t="shared" si="11"/>
        <v>4.1371894952999995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0.478516</v>
      </c>
      <c r="H54" s="21">
        <v>45.848199999999999</v>
      </c>
      <c r="I54" s="21">
        <v>-3.4674099999999999E-2</v>
      </c>
      <c r="J54" s="21">
        <v>44</v>
      </c>
      <c r="K54" s="21">
        <v>0.47720299999999999</v>
      </c>
      <c r="L54">
        <f t="shared" si="0"/>
        <v>34.674100000000003</v>
      </c>
      <c r="M54">
        <f t="shared" si="1"/>
        <v>16.592111635600002</v>
      </c>
      <c r="N54" s="9"/>
      <c r="O54" s="21">
        <v>0.121613</v>
      </c>
      <c r="P54" s="21">
        <v>79.026300000000006</v>
      </c>
      <c r="Q54" s="21">
        <v>-3.5455300000000002E-2</v>
      </c>
      <c r="R54" s="21">
        <v>44</v>
      </c>
      <c r="S54" s="21">
        <v>0.120361</v>
      </c>
      <c r="T54">
        <f t="shared" si="2"/>
        <v>35.455300000000001</v>
      </c>
      <c r="U54">
        <f t="shared" si="3"/>
        <v>4.3118253988999999</v>
      </c>
      <c r="X54" s="9"/>
      <c r="Y54" s="21">
        <v>0.478516</v>
      </c>
      <c r="Z54" s="21">
        <v>82.274900000000002</v>
      </c>
      <c r="AA54" s="21">
        <v>-3.4747300000000002E-2</v>
      </c>
      <c r="AB54" s="21">
        <v>44</v>
      </c>
      <c r="AC54" s="21">
        <v>0.47717300000000001</v>
      </c>
      <c r="AD54">
        <f t="shared" si="4"/>
        <v>34.747300000000003</v>
      </c>
      <c r="AE54">
        <f t="shared" si="5"/>
        <v>16.6271390068</v>
      </c>
      <c r="AF54" s="9"/>
      <c r="AG54" s="21">
        <v>0.121613</v>
      </c>
      <c r="AH54" s="21">
        <v>85.253500000000003</v>
      </c>
      <c r="AI54" s="21">
        <v>-3.5467499999999999E-2</v>
      </c>
      <c r="AJ54" s="21">
        <v>44</v>
      </c>
      <c r="AK54" s="21">
        <v>0.120361</v>
      </c>
      <c r="AL54">
        <f t="shared" si="6"/>
        <v>35.467500000000001</v>
      </c>
      <c r="AM54">
        <f t="shared" si="7"/>
        <v>4.3133090775000005</v>
      </c>
      <c r="AP54" s="9"/>
      <c r="AQ54" s="21">
        <v>0.478516</v>
      </c>
      <c r="AR54" s="21">
        <v>87.989000000000004</v>
      </c>
      <c r="AS54" s="21">
        <v>-3.4722900000000001E-2</v>
      </c>
      <c r="AT54" s="21">
        <v>44</v>
      </c>
      <c r="AU54" s="21">
        <v>0.47726400000000002</v>
      </c>
      <c r="AV54">
        <f t="shared" si="8"/>
        <v>34.722900000000003</v>
      </c>
      <c r="AW54">
        <f t="shared" si="9"/>
        <v>16.615463216400002</v>
      </c>
      <c r="AX54" s="9"/>
      <c r="AY54" s="21">
        <v>0.121613</v>
      </c>
      <c r="AZ54" s="21">
        <v>90.759600000000006</v>
      </c>
      <c r="BA54" s="21">
        <v>-3.5485799999999998E-2</v>
      </c>
      <c r="BB54" s="21">
        <v>44</v>
      </c>
      <c r="BC54" s="21">
        <v>0.120392</v>
      </c>
      <c r="BD54">
        <f t="shared" si="10"/>
        <v>35.485799999999998</v>
      </c>
      <c r="BE54">
        <f t="shared" si="11"/>
        <v>4.3155345954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0.47348000000000001</v>
      </c>
      <c r="H55" s="21">
        <v>45.8583</v>
      </c>
      <c r="I55" s="21">
        <v>-3.4719800000000002E-2</v>
      </c>
      <c r="J55" s="21">
        <v>45</v>
      </c>
      <c r="K55" s="21">
        <v>0.47219800000000001</v>
      </c>
      <c r="L55">
        <f t="shared" si="0"/>
        <v>34.719799999999999</v>
      </c>
      <c r="M55">
        <f t="shared" si="1"/>
        <v>16.439130903999999</v>
      </c>
      <c r="N55" s="9"/>
      <c r="O55" s="21">
        <v>0.12664800000000001</v>
      </c>
      <c r="P55" s="21">
        <v>79.0364</v>
      </c>
      <c r="Q55" s="21">
        <v>-3.5455300000000002E-2</v>
      </c>
      <c r="R55" s="21">
        <v>45</v>
      </c>
      <c r="S55" s="21">
        <v>0.12542700000000001</v>
      </c>
      <c r="T55">
        <f t="shared" si="2"/>
        <v>35.455300000000001</v>
      </c>
      <c r="U55">
        <f t="shared" si="3"/>
        <v>4.4903428344000007</v>
      </c>
      <c r="X55" s="9"/>
      <c r="Y55" s="21">
        <v>0.47348000000000001</v>
      </c>
      <c r="Z55" s="21">
        <v>82.284999999999997</v>
      </c>
      <c r="AA55" s="21">
        <v>-3.4796100000000003E-2</v>
      </c>
      <c r="AB55" s="21">
        <v>45</v>
      </c>
      <c r="AC55" s="21">
        <v>0.47222900000000001</v>
      </c>
      <c r="AD55">
        <f t="shared" si="4"/>
        <v>34.796100000000003</v>
      </c>
      <c r="AE55">
        <f t="shared" si="5"/>
        <v>16.475257428000003</v>
      </c>
      <c r="AF55" s="9"/>
      <c r="AG55" s="21">
        <v>0.12664800000000001</v>
      </c>
      <c r="AH55" s="21">
        <v>85.263499999999993</v>
      </c>
      <c r="AI55" s="21">
        <v>-3.5470599999999998E-2</v>
      </c>
      <c r="AJ55" s="21">
        <v>45</v>
      </c>
      <c r="AK55" s="21">
        <v>0.12539700000000001</v>
      </c>
      <c r="AL55">
        <f t="shared" si="6"/>
        <v>35.470599999999997</v>
      </c>
      <c r="AM55">
        <f t="shared" si="7"/>
        <v>4.4922805488000002</v>
      </c>
      <c r="AP55" s="9"/>
      <c r="AQ55" s="21">
        <v>0.47348000000000001</v>
      </c>
      <c r="AR55" s="21">
        <v>87.999099999999999</v>
      </c>
      <c r="AS55" s="21">
        <v>-3.47687E-2</v>
      </c>
      <c r="AT55" s="21">
        <v>45</v>
      </c>
      <c r="AU55" s="21">
        <v>0.47226000000000001</v>
      </c>
      <c r="AV55">
        <f t="shared" si="8"/>
        <v>34.768700000000003</v>
      </c>
      <c r="AW55">
        <f t="shared" si="9"/>
        <v>16.462284076000003</v>
      </c>
      <c r="AX55" s="9"/>
      <c r="AY55" s="21">
        <v>0.12664800000000001</v>
      </c>
      <c r="AZ55" s="21">
        <v>90.7697</v>
      </c>
      <c r="BA55" s="21">
        <v>-3.5488899999999997E-2</v>
      </c>
      <c r="BB55" s="21">
        <v>45</v>
      </c>
      <c r="BC55" s="21">
        <v>0.12551899999999999</v>
      </c>
      <c r="BD55">
        <f t="shared" si="10"/>
        <v>35.488899999999994</v>
      </c>
      <c r="BE55">
        <f t="shared" si="11"/>
        <v>4.4945982071999993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0.468445</v>
      </c>
      <c r="H56" s="21">
        <v>45.868299999999998</v>
      </c>
      <c r="I56" s="21">
        <v>-3.4756500000000003E-2</v>
      </c>
      <c r="J56" s="21">
        <v>46</v>
      </c>
      <c r="K56" s="21">
        <v>0.46713300000000002</v>
      </c>
      <c r="L56">
        <f t="shared" si="0"/>
        <v>34.756500000000003</v>
      </c>
      <c r="M56">
        <f t="shared" si="1"/>
        <v>16.2815086425</v>
      </c>
      <c r="N56" s="9"/>
      <c r="O56" s="21">
        <v>0.13168299999999999</v>
      </c>
      <c r="P56" s="21">
        <v>79.046499999999995</v>
      </c>
      <c r="Q56" s="21">
        <v>-3.5452299999999999E-2</v>
      </c>
      <c r="R56" s="21">
        <v>46</v>
      </c>
      <c r="S56" s="21">
        <v>0.130493</v>
      </c>
      <c r="T56">
        <f t="shared" si="2"/>
        <v>35.452300000000001</v>
      </c>
      <c r="U56">
        <f t="shared" si="3"/>
        <v>4.6684652208999999</v>
      </c>
      <c r="X56" s="9"/>
      <c r="Y56" s="21">
        <v>0.468445</v>
      </c>
      <c r="Z56" s="21">
        <v>82.295000000000002</v>
      </c>
      <c r="AA56" s="21">
        <v>-3.4841900000000002E-2</v>
      </c>
      <c r="AB56" s="21">
        <v>46</v>
      </c>
      <c r="AC56" s="21">
        <v>0.467194</v>
      </c>
      <c r="AD56">
        <f t="shared" si="4"/>
        <v>34.841900000000003</v>
      </c>
      <c r="AE56">
        <f t="shared" si="5"/>
        <v>16.3215138455</v>
      </c>
      <c r="AF56" s="9"/>
      <c r="AG56" s="21">
        <v>0.13168299999999999</v>
      </c>
      <c r="AH56" s="21">
        <v>85.273600000000002</v>
      </c>
      <c r="AI56" s="21">
        <v>-3.5473600000000001E-2</v>
      </c>
      <c r="AJ56" s="21">
        <v>46</v>
      </c>
      <c r="AK56" s="21">
        <v>0.130554</v>
      </c>
      <c r="AL56">
        <f t="shared" si="6"/>
        <v>35.473599999999998</v>
      </c>
      <c r="AM56">
        <f t="shared" si="7"/>
        <v>4.6712700687999993</v>
      </c>
      <c r="AP56" s="9"/>
      <c r="AQ56" s="21">
        <v>0.468445</v>
      </c>
      <c r="AR56" s="21">
        <v>88.009200000000007</v>
      </c>
      <c r="AS56" s="21">
        <v>-3.48206E-2</v>
      </c>
      <c r="AT56" s="21">
        <v>46</v>
      </c>
      <c r="AU56" s="21">
        <v>0.467194</v>
      </c>
      <c r="AV56">
        <f t="shared" si="8"/>
        <v>34.820599999999999</v>
      </c>
      <c r="AW56">
        <f t="shared" si="9"/>
        <v>16.311535967000001</v>
      </c>
      <c r="AX56" s="9"/>
      <c r="AY56" s="21">
        <v>0.13168299999999999</v>
      </c>
      <c r="AZ56" s="21">
        <v>90.779799999999994</v>
      </c>
      <c r="BA56" s="21">
        <v>-3.5470599999999998E-2</v>
      </c>
      <c r="BB56" s="21">
        <v>46</v>
      </c>
      <c r="BC56" s="21">
        <v>0.130554</v>
      </c>
      <c r="BD56">
        <f t="shared" si="10"/>
        <v>35.470599999999997</v>
      </c>
      <c r="BE56">
        <f t="shared" si="11"/>
        <v>4.6708750197999995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0.46340900000000002</v>
      </c>
      <c r="H57" s="21">
        <v>45.878399999999999</v>
      </c>
      <c r="I57" s="21">
        <v>-3.4802199999999998E-2</v>
      </c>
      <c r="J57" s="21">
        <v>47</v>
      </c>
      <c r="K57" s="21">
        <v>0.46212799999999998</v>
      </c>
      <c r="L57">
        <f t="shared" si="0"/>
        <v>34.802199999999999</v>
      </c>
      <c r="M57">
        <f t="shared" si="1"/>
        <v>16.127652699799999</v>
      </c>
      <c r="N57" s="9"/>
      <c r="O57" s="21">
        <v>0.13671900000000001</v>
      </c>
      <c r="P57" s="21">
        <v>79.0565</v>
      </c>
      <c r="Q57" s="21">
        <v>-3.5440100000000002E-2</v>
      </c>
      <c r="R57" s="21">
        <v>47</v>
      </c>
      <c r="S57" s="21">
        <v>0.13549800000000001</v>
      </c>
      <c r="T57">
        <f t="shared" si="2"/>
        <v>35.440100000000001</v>
      </c>
      <c r="U57">
        <f t="shared" si="3"/>
        <v>4.8453350319000004</v>
      </c>
      <c r="X57" s="9"/>
      <c r="Y57" s="21">
        <v>0.46340900000000002</v>
      </c>
      <c r="Z57" s="21">
        <v>82.305099999999996</v>
      </c>
      <c r="AA57" s="21">
        <v>-3.48785E-2</v>
      </c>
      <c r="AB57" s="21">
        <v>47</v>
      </c>
      <c r="AC57" s="21">
        <v>0.46209699999999998</v>
      </c>
      <c r="AD57">
        <f t="shared" si="4"/>
        <v>34.878500000000003</v>
      </c>
      <c r="AE57">
        <f t="shared" si="5"/>
        <v>16.163010806500001</v>
      </c>
      <c r="AF57" s="9"/>
      <c r="AG57" s="21">
        <v>0.13671900000000001</v>
      </c>
      <c r="AH57" s="21">
        <v>85.283699999999996</v>
      </c>
      <c r="AI57" s="21">
        <v>-3.5473600000000001E-2</v>
      </c>
      <c r="AJ57" s="21">
        <v>47</v>
      </c>
      <c r="AK57" s="21">
        <v>0.13552900000000001</v>
      </c>
      <c r="AL57">
        <f t="shared" si="6"/>
        <v>35.473599999999998</v>
      </c>
      <c r="AM57">
        <f t="shared" si="7"/>
        <v>4.8499151184000002</v>
      </c>
      <c r="AP57" s="9"/>
      <c r="AQ57" s="21">
        <v>0.46340900000000002</v>
      </c>
      <c r="AR57" s="21">
        <v>88.019300000000001</v>
      </c>
      <c r="AS57" s="21">
        <v>-3.4857199999999998E-2</v>
      </c>
      <c r="AT57" s="21">
        <v>47</v>
      </c>
      <c r="AU57" s="21">
        <v>0.46215800000000001</v>
      </c>
      <c r="AV57">
        <f t="shared" si="8"/>
        <v>34.857199999999999</v>
      </c>
      <c r="AW57">
        <f t="shared" si="9"/>
        <v>16.153140194799999</v>
      </c>
      <c r="AX57" s="9"/>
      <c r="AY57" s="21">
        <v>0.13671900000000001</v>
      </c>
      <c r="AZ57" s="21">
        <v>90.7898</v>
      </c>
      <c r="BA57" s="21">
        <v>-3.5464500000000003E-2</v>
      </c>
      <c r="BB57" s="21">
        <v>47</v>
      </c>
      <c r="BC57" s="21">
        <v>0.13549800000000001</v>
      </c>
      <c r="BD57">
        <f t="shared" si="10"/>
        <v>35.464500000000001</v>
      </c>
      <c r="BE57">
        <f t="shared" si="11"/>
        <v>4.8486709755000001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0.458374</v>
      </c>
      <c r="H58" s="21">
        <v>45.888500000000001</v>
      </c>
      <c r="I58" s="21">
        <v>-3.4851100000000003E-2</v>
      </c>
      <c r="J58" s="21">
        <v>48</v>
      </c>
      <c r="K58" s="21">
        <v>0.457092</v>
      </c>
      <c r="L58">
        <f t="shared" si="0"/>
        <v>34.851100000000002</v>
      </c>
      <c r="M58">
        <f t="shared" si="1"/>
        <v>15.9748381114</v>
      </c>
      <c r="N58" s="9"/>
      <c r="O58" s="21">
        <v>0.14175399999999999</v>
      </c>
      <c r="P58" s="21">
        <v>79.066599999999994</v>
      </c>
      <c r="Q58" s="21">
        <v>-3.5434E-2</v>
      </c>
      <c r="R58" s="21">
        <v>48</v>
      </c>
      <c r="S58" s="21">
        <v>0.14050299999999999</v>
      </c>
      <c r="T58">
        <f t="shared" si="2"/>
        <v>35.433999999999997</v>
      </c>
      <c r="U58">
        <f t="shared" si="3"/>
        <v>5.0229112359999997</v>
      </c>
      <c r="X58" s="9"/>
      <c r="Y58" s="21">
        <v>0.458374</v>
      </c>
      <c r="Z58" s="21">
        <v>82.315200000000004</v>
      </c>
      <c r="AA58" s="21">
        <v>-3.4909099999999998E-2</v>
      </c>
      <c r="AB58" s="21">
        <v>48</v>
      </c>
      <c r="AC58" s="21">
        <v>0.457123</v>
      </c>
      <c r="AD58">
        <f t="shared" si="4"/>
        <v>34.909099999999995</v>
      </c>
      <c r="AE58">
        <f t="shared" si="5"/>
        <v>16.001423803399998</v>
      </c>
      <c r="AF58" s="9"/>
      <c r="AG58" s="21">
        <v>0.14175399999999999</v>
      </c>
      <c r="AH58" s="21">
        <v>85.293800000000005</v>
      </c>
      <c r="AI58" s="21">
        <v>-3.5467499999999999E-2</v>
      </c>
      <c r="AJ58" s="21">
        <v>48</v>
      </c>
      <c r="AK58" s="21">
        <v>0.14056399999999999</v>
      </c>
      <c r="AL58">
        <f t="shared" si="6"/>
        <v>35.467500000000001</v>
      </c>
      <c r="AM58">
        <f t="shared" si="7"/>
        <v>5.0276599949999996</v>
      </c>
      <c r="AP58" s="9"/>
      <c r="AQ58" s="21">
        <v>0.458374</v>
      </c>
      <c r="AR58" s="21">
        <v>88.029300000000006</v>
      </c>
      <c r="AS58" s="21">
        <v>-3.4896900000000002E-2</v>
      </c>
      <c r="AT58" s="21">
        <v>48</v>
      </c>
      <c r="AU58" s="21">
        <v>0.45718399999999998</v>
      </c>
      <c r="AV58">
        <f t="shared" si="8"/>
        <v>34.896900000000002</v>
      </c>
      <c r="AW58">
        <f t="shared" si="9"/>
        <v>15.995831640600001</v>
      </c>
      <c r="AX58" s="9"/>
      <c r="AY58" s="21">
        <v>0.14175399999999999</v>
      </c>
      <c r="AZ58" s="21">
        <v>90.799899999999994</v>
      </c>
      <c r="BA58" s="21">
        <v>-3.5446199999999997E-2</v>
      </c>
      <c r="BB58" s="21">
        <v>48</v>
      </c>
      <c r="BC58" s="21">
        <v>0.14056399999999999</v>
      </c>
      <c r="BD58">
        <f t="shared" si="10"/>
        <v>35.446199999999997</v>
      </c>
      <c r="BE58">
        <f t="shared" si="11"/>
        <v>5.024640634799999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0.45333899999999999</v>
      </c>
      <c r="H59" s="21">
        <v>45.898499999999999</v>
      </c>
      <c r="I59" s="21">
        <v>-3.4906E-2</v>
      </c>
      <c r="J59" s="21">
        <v>49</v>
      </c>
      <c r="K59" s="21">
        <v>0.45208700000000002</v>
      </c>
      <c r="L59">
        <f t="shared" si="0"/>
        <v>34.905999999999999</v>
      </c>
      <c r="M59">
        <f t="shared" si="1"/>
        <v>15.824251133999999</v>
      </c>
      <c r="N59" s="9"/>
      <c r="O59" s="21">
        <v>0.14679</v>
      </c>
      <c r="P59" s="21">
        <v>79.076700000000002</v>
      </c>
      <c r="Q59" s="21">
        <v>-3.5430900000000001E-2</v>
      </c>
      <c r="R59" s="21">
        <v>49</v>
      </c>
      <c r="S59" s="21">
        <v>0.145569</v>
      </c>
      <c r="T59">
        <f t="shared" si="2"/>
        <v>35.430900000000001</v>
      </c>
      <c r="U59">
        <f t="shared" si="3"/>
        <v>5.2009018110000005</v>
      </c>
      <c r="X59" s="9"/>
      <c r="Y59" s="21">
        <v>0.45333899999999999</v>
      </c>
      <c r="Z59" s="21">
        <v>82.325299999999999</v>
      </c>
      <c r="AA59" s="21">
        <v>-3.4921300000000002E-2</v>
      </c>
      <c r="AB59" s="21">
        <v>49</v>
      </c>
      <c r="AC59" s="21">
        <v>0.45202599999999998</v>
      </c>
      <c r="AD59">
        <f t="shared" si="4"/>
        <v>34.921300000000002</v>
      </c>
      <c r="AE59">
        <f t="shared" si="5"/>
        <v>15.8311872207</v>
      </c>
      <c r="AF59" s="9"/>
      <c r="AG59" s="21">
        <v>0.14679</v>
      </c>
      <c r="AH59" s="21">
        <v>85.303799999999995</v>
      </c>
      <c r="AI59" s="21">
        <v>-3.5473600000000001E-2</v>
      </c>
      <c r="AJ59" s="21">
        <v>49</v>
      </c>
      <c r="AK59" s="21">
        <v>0.145538</v>
      </c>
      <c r="AL59">
        <f t="shared" si="6"/>
        <v>35.473599999999998</v>
      </c>
      <c r="AM59">
        <f t="shared" si="7"/>
        <v>5.2071697439999998</v>
      </c>
      <c r="AP59" s="9"/>
      <c r="AQ59" s="21">
        <v>0.45333899999999999</v>
      </c>
      <c r="AR59" s="21">
        <v>88.039400000000001</v>
      </c>
      <c r="AS59" s="21">
        <v>-3.49304E-2</v>
      </c>
      <c r="AT59" s="21">
        <v>49</v>
      </c>
      <c r="AU59" s="21">
        <v>0.45205699999999999</v>
      </c>
      <c r="AV59">
        <f t="shared" si="8"/>
        <v>34.930399999999999</v>
      </c>
      <c r="AW59">
        <f t="shared" si="9"/>
        <v>15.835312605599999</v>
      </c>
      <c r="AX59" s="9"/>
      <c r="AY59" s="21">
        <v>0.14679</v>
      </c>
      <c r="AZ59" s="21">
        <v>90.81</v>
      </c>
      <c r="BA59" s="21">
        <v>-3.5427899999999998E-2</v>
      </c>
      <c r="BB59" s="21">
        <v>49</v>
      </c>
      <c r="BC59" s="21">
        <v>0.145538</v>
      </c>
      <c r="BD59">
        <f t="shared" si="10"/>
        <v>35.427900000000001</v>
      </c>
      <c r="BE59">
        <f t="shared" si="11"/>
        <v>5.2004614409999999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0.44830300000000001</v>
      </c>
      <c r="H60" s="21">
        <v>45.9086</v>
      </c>
      <c r="I60" s="21">
        <v>-3.4960900000000003E-2</v>
      </c>
      <c r="J60" s="21">
        <v>50</v>
      </c>
      <c r="K60" s="21">
        <v>0.447052</v>
      </c>
      <c r="L60">
        <f t="shared" si="0"/>
        <v>34.960900000000002</v>
      </c>
      <c r="M60">
        <f t="shared" si="1"/>
        <v>15.673076352700001</v>
      </c>
      <c r="N60" s="9"/>
      <c r="O60" s="21">
        <v>0.15182499999999999</v>
      </c>
      <c r="P60" s="21">
        <v>79.086699999999993</v>
      </c>
      <c r="Q60" s="21">
        <v>-3.5437000000000003E-2</v>
      </c>
      <c r="R60" s="21">
        <v>50</v>
      </c>
      <c r="S60" s="21">
        <v>0.15060399999999999</v>
      </c>
      <c r="T60">
        <f t="shared" si="2"/>
        <v>35.437000000000005</v>
      </c>
      <c r="U60">
        <f t="shared" si="3"/>
        <v>5.3802225250000006</v>
      </c>
      <c r="X60" s="9"/>
      <c r="Y60" s="21">
        <v>0.44830300000000001</v>
      </c>
      <c r="Z60" s="21">
        <v>82.335300000000004</v>
      </c>
      <c r="AA60" s="21">
        <v>-3.4918200000000003E-2</v>
      </c>
      <c r="AB60" s="21">
        <v>50</v>
      </c>
      <c r="AC60" s="21">
        <v>0.447021</v>
      </c>
      <c r="AD60">
        <f t="shared" si="4"/>
        <v>34.918200000000006</v>
      </c>
      <c r="AE60">
        <f t="shared" si="5"/>
        <v>15.653933814600004</v>
      </c>
      <c r="AF60" s="9"/>
      <c r="AG60" s="21">
        <v>0.15182499999999999</v>
      </c>
      <c r="AH60" s="21">
        <v>85.313900000000004</v>
      </c>
      <c r="AI60" s="21">
        <v>-3.5470599999999998E-2</v>
      </c>
      <c r="AJ60" s="21">
        <v>50</v>
      </c>
      <c r="AK60" s="21">
        <v>0.15057400000000001</v>
      </c>
      <c r="AL60">
        <f t="shared" si="6"/>
        <v>35.470599999999997</v>
      </c>
      <c r="AM60">
        <f t="shared" si="7"/>
        <v>5.3853238449999994</v>
      </c>
      <c r="AP60" s="9"/>
      <c r="AQ60" s="21">
        <v>0.44830300000000001</v>
      </c>
      <c r="AR60" s="21">
        <v>88.049499999999995</v>
      </c>
      <c r="AS60" s="21">
        <v>-3.4970099999999997E-2</v>
      </c>
      <c r="AT60" s="21">
        <v>50</v>
      </c>
      <c r="AU60" s="21">
        <v>0.44692999999999999</v>
      </c>
      <c r="AV60">
        <f t="shared" si="8"/>
        <v>34.970099999999995</v>
      </c>
      <c r="AW60">
        <f t="shared" si="9"/>
        <v>15.677200740299998</v>
      </c>
      <c r="AX60" s="9"/>
      <c r="AY60" s="21">
        <v>0.15182499999999999</v>
      </c>
      <c r="AZ60" s="21">
        <v>90.82</v>
      </c>
      <c r="BA60" s="21">
        <v>-3.5400399999999999E-2</v>
      </c>
      <c r="BB60" s="21">
        <v>50</v>
      </c>
      <c r="BC60" s="21">
        <v>0.15066499999999999</v>
      </c>
      <c r="BD60">
        <f t="shared" si="10"/>
        <v>35.400399999999998</v>
      </c>
      <c r="BE60">
        <f t="shared" si="11"/>
        <v>5.3746657299999994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0.443268</v>
      </c>
      <c r="H61" s="21">
        <v>45.918700000000001</v>
      </c>
      <c r="I61" s="21">
        <v>-3.5009800000000001E-2</v>
      </c>
      <c r="J61" s="21">
        <v>51</v>
      </c>
      <c r="K61" s="21">
        <v>0.44198599999999999</v>
      </c>
      <c r="L61">
        <f t="shared" si="0"/>
        <v>35.009799999999998</v>
      </c>
      <c r="M61">
        <f t="shared" si="1"/>
        <v>15.518724026399999</v>
      </c>
      <c r="N61" s="9"/>
      <c r="O61" s="21">
        <v>0.15686</v>
      </c>
      <c r="P61" s="21">
        <v>79.096800000000002</v>
      </c>
      <c r="Q61" s="21">
        <v>-3.5446199999999997E-2</v>
      </c>
      <c r="R61" s="21">
        <v>51</v>
      </c>
      <c r="S61" s="21">
        <v>0.15567</v>
      </c>
      <c r="T61">
        <f t="shared" si="2"/>
        <v>35.446199999999997</v>
      </c>
      <c r="U61">
        <f t="shared" si="3"/>
        <v>5.5600909319999996</v>
      </c>
      <c r="X61" s="9"/>
      <c r="Y61" s="21">
        <v>0.443268</v>
      </c>
      <c r="Z61" s="21">
        <v>82.345399999999998</v>
      </c>
      <c r="AA61" s="21">
        <v>-3.4939600000000001E-2</v>
      </c>
      <c r="AB61" s="21">
        <v>51</v>
      </c>
      <c r="AC61" s="21">
        <v>0.44204700000000002</v>
      </c>
      <c r="AD61">
        <f t="shared" si="4"/>
        <v>34.939599999999999</v>
      </c>
      <c r="AE61">
        <f t="shared" si="5"/>
        <v>15.487606612799999</v>
      </c>
      <c r="AF61" s="9"/>
      <c r="AG61" s="21">
        <v>0.15686</v>
      </c>
      <c r="AH61" s="21">
        <v>85.323999999999998</v>
      </c>
      <c r="AI61" s="21">
        <v>-3.5467499999999999E-2</v>
      </c>
      <c r="AJ61" s="21">
        <v>51</v>
      </c>
      <c r="AK61" s="21">
        <v>0.15570100000000001</v>
      </c>
      <c r="AL61">
        <f t="shared" si="6"/>
        <v>35.467500000000001</v>
      </c>
      <c r="AM61">
        <f t="shared" si="7"/>
        <v>5.5634320500000003</v>
      </c>
      <c r="AP61" s="9"/>
      <c r="AQ61" s="21">
        <v>0.443268</v>
      </c>
      <c r="AR61" s="21">
        <v>88.0595</v>
      </c>
      <c r="AS61" s="21">
        <v>-3.5009800000000001E-2</v>
      </c>
      <c r="AT61" s="21">
        <v>51</v>
      </c>
      <c r="AU61" s="21">
        <v>0.44198599999999999</v>
      </c>
      <c r="AV61">
        <f t="shared" si="8"/>
        <v>35.009799999999998</v>
      </c>
      <c r="AW61">
        <f t="shared" si="9"/>
        <v>15.518724026399999</v>
      </c>
      <c r="AX61" s="9"/>
      <c r="AY61" s="21">
        <v>0.15686</v>
      </c>
      <c r="AZ61" s="21">
        <v>90.830100000000002</v>
      </c>
      <c r="BA61" s="21">
        <v>-3.53821E-2</v>
      </c>
      <c r="BB61" s="21">
        <v>51</v>
      </c>
      <c r="BC61" s="21">
        <v>0.15564</v>
      </c>
      <c r="BD61">
        <f t="shared" si="10"/>
        <v>35.382100000000001</v>
      </c>
      <c r="BE61">
        <f t="shared" si="11"/>
        <v>5.5500362060000006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0.43823200000000001</v>
      </c>
      <c r="H62" s="21">
        <v>45.928800000000003</v>
      </c>
      <c r="I62" s="21">
        <v>-3.5049400000000001E-2</v>
      </c>
      <c r="J62" s="21">
        <v>52</v>
      </c>
      <c r="K62" s="21">
        <v>0.43689</v>
      </c>
      <c r="L62">
        <f t="shared" si="0"/>
        <v>35.049399999999999</v>
      </c>
      <c r="M62">
        <f t="shared" si="1"/>
        <v>15.3597686608</v>
      </c>
      <c r="N62" s="9"/>
      <c r="O62" s="21">
        <v>0.16189600000000001</v>
      </c>
      <c r="P62" s="21">
        <v>79.106899999999996</v>
      </c>
      <c r="Q62" s="21">
        <v>-3.54492E-2</v>
      </c>
      <c r="R62" s="21">
        <v>52</v>
      </c>
      <c r="S62" s="21">
        <v>0.16070599999999999</v>
      </c>
      <c r="T62">
        <f t="shared" si="2"/>
        <v>35.449199999999998</v>
      </c>
      <c r="U62">
        <f t="shared" si="3"/>
        <v>5.7390836831999996</v>
      </c>
      <c r="X62" s="9"/>
      <c r="Y62" s="21">
        <v>0.43823200000000001</v>
      </c>
      <c r="Z62" s="21">
        <v>82.355500000000006</v>
      </c>
      <c r="AA62" s="21">
        <v>-3.4970099999999997E-2</v>
      </c>
      <c r="AB62" s="21">
        <v>52</v>
      </c>
      <c r="AC62" s="21">
        <v>0.43695099999999998</v>
      </c>
      <c r="AD62">
        <f t="shared" si="4"/>
        <v>34.970099999999995</v>
      </c>
      <c r="AE62">
        <f t="shared" si="5"/>
        <v>15.325016863199998</v>
      </c>
      <c r="AF62" s="9"/>
      <c r="AG62" s="21">
        <v>0.16189600000000001</v>
      </c>
      <c r="AH62" s="21">
        <v>85.334000000000003</v>
      </c>
      <c r="AI62" s="21">
        <v>-3.5461399999999997E-2</v>
      </c>
      <c r="AJ62" s="21">
        <v>52</v>
      </c>
      <c r="AK62" s="21">
        <v>0.16067500000000001</v>
      </c>
      <c r="AL62">
        <f t="shared" si="6"/>
        <v>35.461399999999998</v>
      </c>
      <c r="AM62">
        <f t="shared" si="7"/>
        <v>5.7410588143999997</v>
      </c>
      <c r="AP62" s="9"/>
      <c r="AQ62" s="21">
        <v>0.43823200000000001</v>
      </c>
      <c r="AR62" s="21">
        <v>88.069599999999994</v>
      </c>
      <c r="AS62" s="21">
        <v>-3.5049400000000001E-2</v>
      </c>
      <c r="AT62" s="21">
        <v>52</v>
      </c>
      <c r="AU62" s="21">
        <v>0.43698100000000001</v>
      </c>
      <c r="AV62">
        <f t="shared" si="8"/>
        <v>35.049399999999999</v>
      </c>
      <c r="AW62">
        <f t="shared" si="9"/>
        <v>15.3597686608</v>
      </c>
      <c r="AX62" s="9"/>
      <c r="AY62" s="21">
        <v>0.16189600000000001</v>
      </c>
      <c r="AZ62" s="21">
        <v>90.840199999999996</v>
      </c>
      <c r="BA62" s="21">
        <v>-3.5385100000000003E-2</v>
      </c>
      <c r="BB62" s="21">
        <v>52</v>
      </c>
      <c r="BC62" s="21">
        <v>0.16067500000000001</v>
      </c>
      <c r="BD62">
        <f t="shared" si="10"/>
        <v>35.385100000000001</v>
      </c>
      <c r="BE62">
        <f t="shared" si="11"/>
        <v>5.7287061496000007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0.433197</v>
      </c>
      <c r="H63" s="21">
        <v>45.938800000000001</v>
      </c>
      <c r="I63" s="21">
        <v>-3.5055500000000003E-2</v>
      </c>
      <c r="J63" s="21">
        <v>53</v>
      </c>
      <c r="K63" s="21">
        <v>0.43197600000000003</v>
      </c>
      <c r="L63">
        <f t="shared" si="0"/>
        <v>35.055500000000002</v>
      </c>
      <c r="M63">
        <f t="shared" si="1"/>
        <v>15.185937433500001</v>
      </c>
      <c r="N63" s="9"/>
      <c r="O63" s="21">
        <v>0.166931</v>
      </c>
      <c r="P63" s="21">
        <v>79.117000000000004</v>
      </c>
      <c r="Q63" s="21">
        <v>-3.54492E-2</v>
      </c>
      <c r="R63" s="21">
        <v>53</v>
      </c>
      <c r="S63" s="21">
        <v>0.165741</v>
      </c>
      <c r="T63">
        <f t="shared" si="2"/>
        <v>35.449199999999998</v>
      </c>
      <c r="U63">
        <f t="shared" si="3"/>
        <v>5.9175704051999993</v>
      </c>
      <c r="X63" s="9"/>
      <c r="Y63" s="21">
        <v>0.433197</v>
      </c>
      <c r="Z63" s="21">
        <v>82.365499999999997</v>
      </c>
      <c r="AA63" s="21">
        <v>-3.4997599999999997E-2</v>
      </c>
      <c r="AB63" s="21">
        <v>53</v>
      </c>
      <c r="AC63" s="21">
        <v>0.431946</v>
      </c>
      <c r="AD63">
        <f t="shared" si="4"/>
        <v>34.997599999999998</v>
      </c>
      <c r="AE63">
        <f t="shared" si="5"/>
        <v>15.1608553272</v>
      </c>
      <c r="AF63" s="9"/>
      <c r="AG63" s="21">
        <v>0.166931</v>
      </c>
      <c r="AH63" s="21">
        <v>85.344099999999997</v>
      </c>
      <c r="AI63" s="21">
        <v>-3.5443099999999998E-2</v>
      </c>
      <c r="AJ63" s="21">
        <v>53</v>
      </c>
      <c r="AK63" s="21">
        <v>0.16567999999999999</v>
      </c>
      <c r="AL63">
        <f t="shared" si="6"/>
        <v>35.443100000000001</v>
      </c>
      <c r="AM63">
        <f t="shared" si="7"/>
        <v>5.9165521261</v>
      </c>
      <c r="AP63" s="9"/>
      <c r="AQ63" s="21">
        <v>0.433197</v>
      </c>
      <c r="AR63" s="21">
        <v>88.079700000000003</v>
      </c>
      <c r="AS63" s="21">
        <v>-3.5064699999999997E-2</v>
      </c>
      <c r="AT63" s="21">
        <v>53</v>
      </c>
      <c r="AU63" s="21">
        <v>0.43191499999999999</v>
      </c>
      <c r="AV63">
        <f t="shared" si="8"/>
        <v>35.064699999999995</v>
      </c>
      <c r="AW63">
        <f t="shared" si="9"/>
        <v>15.189922845899998</v>
      </c>
      <c r="AX63" s="9"/>
      <c r="AY63" s="21">
        <v>0.166931</v>
      </c>
      <c r="AZ63" s="21">
        <v>90.850300000000004</v>
      </c>
      <c r="BA63" s="21">
        <v>-3.53973E-2</v>
      </c>
      <c r="BB63" s="21">
        <v>53</v>
      </c>
      <c r="BC63" s="21">
        <v>0.16571</v>
      </c>
      <c r="BD63">
        <f t="shared" si="10"/>
        <v>35.397300000000001</v>
      </c>
      <c r="BE63">
        <f t="shared" si="11"/>
        <v>5.9089066862999999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0.42816199999999999</v>
      </c>
      <c r="H64" s="21">
        <v>45.948900000000002</v>
      </c>
      <c r="I64" s="21">
        <v>-3.50677E-2</v>
      </c>
      <c r="J64" s="21">
        <v>54</v>
      </c>
      <c r="K64" s="21">
        <v>0.42691000000000001</v>
      </c>
      <c r="L64">
        <f t="shared" si="0"/>
        <v>35.067700000000002</v>
      </c>
      <c r="M64">
        <f t="shared" si="1"/>
        <v>15.014656567400001</v>
      </c>
      <c r="N64" s="9"/>
      <c r="O64" s="21">
        <v>0.17196700000000001</v>
      </c>
      <c r="P64" s="21">
        <v>79.126999999999995</v>
      </c>
      <c r="Q64" s="21">
        <v>-3.5464500000000003E-2</v>
      </c>
      <c r="R64" s="21">
        <v>54</v>
      </c>
      <c r="S64" s="21">
        <v>0.17083699999999999</v>
      </c>
      <c r="T64">
        <f t="shared" si="2"/>
        <v>35.464500000000001</v>
      </c>
      <c r="U64">
        <f t="shared" si="3"/>
        <v>6.0987236715000002</v>
      </c>
      <c r="X64" s="9"/>
      <c r="Y64" s="21">
        <v>0.42816199999999999</v>
      </c>
      <c r="Z64" s="21">
        <v>82.375600000000006</v>
      </c>
      <c r="AA64" s="21">
        <v>-3.5040300000000003E-2</v>
      </c>
      <c r="AB64" s="21">
        <v>54</v>
      </c>
      <c r="AC64" s="21">
        <v>0.42691000000000001</v>
      </c>
      <c r="AD64">
        <f t="shared" si="4"/>
        <v>35.040300000000002</v>
      </c>
      <c r="AE64">
        <f t="shared" si="5"/>
        <v>15.002924928600001</v>
      </c>
      <c r="AF64" s="9"/>
      <c r="AG64" s="21">
        <v>0.17196700000000001</v>
      </c>
      <c r="AH64" s="21">
        <v>85.354200000000006</v>
      </c>
      <c r="AI64" s="21">
        <v>-3.5421800000000003E-2</v>
      </c>
      <c r="AJ64" s="21">
        <v>54</v>
      </c>
      <c r="AK64" s="21">
        <v>0.17074600000000001</v>
      </c>
      <c r="AL64">
        <f t="shared" si="6"/>
        <v>35.421800000000005</v>
      </c>
      <c r="AM64">
        <f t="shared" si="7"/>
        <v>6.0913806806000013</v>
      </c>
      <c r="AP64" s="9"/>
      <c r="AQ64" s="21">
        <v>0.42816199999999999</v>
      </c>
      <c r="AR64" s="21">
        <v>88.089799999999997</v>
      </c>
      <c r="AS64" s="21">
        <v>-3.5089099999999998E-2</v>
      </c>
      <c r="AT64" s="21">
        <v>54</v>
      </c>
      <c r="AU64" s="21">
        <v>0.42687999999999998</v>
      </c>
      <c r="AV64">
        <f t="shared" si="8"/>
        <v>35.089099999999995</v>
      </c>
      <c r="AW64">
        <f t="shared" si="9"/>
        <v>15.023819234199998</v>
      </c>
      <c r="AX64" s="9"/>
      <c r="AY64" s="21">
        <v>0.17196700000000001</v>
      </c>
      <c r="AZ64" s="21">
        <v>90.860299999999995</v>
      </c>
      <c r="BA64" s="21">
        <v>-3.5403400000000002E-2</v>
      </c>
      <c r="BB64" s="21">
        <v>54</v>
      </c>
      <c r="BC64" s="21">
        <v>0.17071500000000001</v>
      </c>
      <c r="BD64">
        <f t="shared" si="10"/>
        <v>35.403400000000005</v>
      </c>
      <c r="BE64">
        <f t="shared" si="11"/>
        <v>6.0882164878000014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0.423126</v>
      </c>
      <c r="H65" s="21">
        <v>45.959000000000003</v>
      </c>
      <c r="I65" s="21">
        <v>-3.5086100000000002E-2</v>
      </c>
      <c r="J65" s="21">
        <v>55</v>
      </c>
      <c r="K65" s="21">
        <v>0.421844</v>
      </c>
      <c r="L65">
        <f t="shared" si="0"/>
        <v>35.086100000000002</v>
      </c>
      <c r="M65">
        <f t="shared" si="1"/>
        <v>14.845841148600002</v>
      </c>
      <c r="N65" s="9"/>
      <c r="O65" s="21">
        <v>0.17700199999999999</v>
      </c>
      <c r="P65" s="21">
        <v>79.137100000000004</v>
      </c>
      <c r="Q65" s="21">
        <v>-3.5470599999999998E-2</v>
      </c>
      <c r="R65" s="21">
        <v>55</v>
      </c>
      <c r="S65" s="21">
        <v>0.17575099999999999</v>
      </c>
      <c r="T65">
        <f t="shared" si="2"/>
        <v>35.470599999999997</v>
      </c>
      <c r="U65">
        <f t="shared" si="3"/>
        <v>6.2783671411999995</v>
      </c>
      <c r="X65" s="9"/>
      <c r="Y65" s="21">
        <v>0.423126</v>
      </c>
      <c r="Z65" s="21">
        <v>82.3857</v>
      </c>
      <c r="AA65" s="21">
        <v>-3.5055500000000003E-2</v>
      </c>
      <c r="AB65" s="21">
        <v>55</v>
      </c>
      <c r="AC65" s="21">
        <v>0.421844</v>
      </c>
      <c r="AD65">
        <f t="shared" si="4"/>
        <v>35.055500000000002</v>
      </c>
      <c r="AE65">
        <f t="shared" si="5"/>
        <v>14.832893493</v>
      </c>
      <c r="AF65" s="9"/>
      <c r="AG65" s="21">
        <v>0.17700199999999999</v>
      </c>
      <c r="AH65" s="21">
        <v>85.3643</v>
      </c>
      <c r="AI65" s="21">
        <v>-3.5409499999999997E-2</v>
      </c>
      <c r="AJ65" s="21">
        <v>55</v>
      </c>
      <c r="AK65" s="21">
        <v>0.175812</v>
      </c>
      <c r="AL65">
        <f t="shared" si="6"/>
        <v>35.409499999999994</v>
      </c>
      <c r="AM65">
        <f t="shared" si="7"/>
        <v>6.2675523189999991</v>
      </c>
      <c r="AP65" s="9"/>
      <c r="AQ65" s="21">
        <v>0.423126</v>
      </c>
      <c r="AR65" s="21">
        <v>88.099800000000002</v>
      </c>
      <c r="AS65" s="21">
        <v>-3.5113499999999999E-2</v>
      </c>
      <c r="AT65" s="21">
        <v>55</v>
      </c>
      <c r="AU65" s="21">
        <v>0.42181400000000002</v>
      </c>
      <c r="AV65">
        <f t="shared" si="8"/>
        <v>35.113500000000002</v>
      </c>
      <c r="AW65">
        <f t="shared" si="9"/>
        <v>14.857434801</v>
      </c>
      <c r="AX65" s="9"/>
      <c r="AY65" s="21">
        <v>0.17700199999999999</v>
      </c>
      <c r="AZ65" s="21">
        <v>90.870400000000004</v>
      </c>
      <c r="BA65" s="21">
        <v>-3.5415599999999998E-2</v>
      </c>
      <c r="BB65" s="21">
        <v>55</v>
      </c>
      <c r="BC65" s="21">
        <v>0.175812</v>
      </c>
      <c r="BD65">
        <f t="shared" si="10"/>
        <v>35.415599999999998</v>
      </c>
      <c r="BE65">
        <f t="shared" si="11"/>
        <v>6.2686320311999992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0.41809099999999999</v>
      </c>
      <c r="H66" s="21">
        <v>45.969000000000001</v>
      </c>
      <c r="I66" s="21">
        <v>-3.5073899999999998E-2</v>
      </c>
      <c r="J66" s="21">
        <v>56</v>
      </c>
      <c r="K66" s="21">
        <v>0.41680899999999999</v>
      </c>
      <c r="L66">
        <f t="shared" si="0"/>
        <v>35.073899999999995</v>
      </c>
      <c r="M66">
        <f t="shared" si="1"/>
        <v>14.664081924899998</v>
      </c>
      <c r="N66" s="9"/>
      <c r="O66" s="21">
        <v>0.182037</v>
      </c>
      <c r="P66" s="21">
        <v>79.147199999999998</v>
      </c>
      <c r="Q66" s="21">
        <v>-3.5455300000000002E-2</v>
      </c>
      <c r="R66" s="21">
        <v>56</v>
      </c>
      <c r="S66" s="21">
        <v>0.180756</v>
      </c>
      <c r="T66">
        <f t="shared" si="2"/>
        <v>35.455300000000001</v>
      </c>
      <c r="U66">
        <f t="shared" si="3"/>
        <v>6.4541764461</v>
      </c>
      <c r="X66" s="9"/>
      <c r="Y66" s="21">
        <v>0.41809099999999999</v>
      </c>
      <c r="Z66" s="21">
        <v>82.395799999999994</v>
      </c>
      <c r="AA66" s="21">
        <v>-3.5076900000000001E-2</v>
      </c>
      <c r="AB66" s="21">
        <v>56</v>
      </c>
      <c r="AC66" s="21">
        <v>0.41677900000000001</v>
      </c>
      <c r="AD66">
        <f t="shared" si="4"/>
        <v>35.076900000000002</v>
      </c>
      <c r="AE66">
        <f t="shared" si="5"/>
        <v>14.6653361979</v>
      </c>
      <c r="AF66" s="9"/>
      <c r="AG66" s="21">
        <v>0.182037</v>
      </c>
      <c r="AH66" s="21">
        <v>85.374300000000005</v>
      </c>
      <c r="AI66" s="21">
        <v>-3.5400399999999999E-2</v>
      </c>
      <c r="AJ66" s="21">
        <v>56</v>
      </c>
      <c r="AK66" s="21">
        <v>0.180756</v>
      </c>
      <c r="AL66">
        <f t="shared" si="6"/>
        <v>35.400399999999998</v>
      </c>
      <c r="AM66">
        <f t="shared" si="7"/>
        <v>6.4441826147999999</v>
      </c>
      <c r="AP66" s="9"/>
      <c r="AQ66" s="21">
        <v>0.41809099999999999</v>
      </c>
      <c r="AR66" s="21">
        <v>88.109899999999996</v>
      </c>
      <c r="AS66" s="21">
        <v>-3.51227E-2</v>
      </c>
      <c r="AT66" s="21">
        <v>56</v>
      </c>
      <c r="AU66" s="21">
        <v>0.41674800000000001</v>
      </c>
      <c r="AV66">
        <f t="shared" si="8"/>
        <v>35.122700000000002</v>
      </c>
      <c r="AW66">
        <f t="shared" si="9"/>
        <v>14.684484765700001</v>
      </c>
      <c r="AX66" s="9"/>
      <c r="AY66" s="21">
        <v>0.182037</v>
      </c>
      <c r="AZ66" s="21">
        <v>90.880499999999998</v>
      </c>
      <c r="BA66" s="21">
        <v>-3.5409499999999997E-2</v>
      </c>
      <c r="BB66" s="21">
        <v>56</v>
      </c>
      <c r="BC66" s="21">
        <v>0.18084700000000001</v>
      </c>
      <c r="BD66">
        <f t="shared" si="10"/>
        <v>35.409499999999994</v>
      </c>
      <c r="BE66">
        <f t="shared" si="11"/>
        <v>6.4458391514999995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0.41305500000000001</v>
      </c>
      <c r="H67" s="21">
        <v>45.979100000000003</v>
      </c>
      <c r="I67" s="21">
        <v>-3.50677E-2</v>
      </c>
      <c r="J67" s="21">
        <v>57</v>
      </c>
      <c r="K67" s="21">
        <v>0.411804</v>
      </c>
      <c r="L67">
        <f t="shared" si="0"/>
        <v>35.067700000000002</v>
      </c>
      <c r="M67">
        <f t="shared" si="1"/>
        <v>14.4848888235</v>
      </c>
      <c r="N67" s="9"/>
      <c r="O67" s="21">
        <v>0.18707299999999999</v>
      </c>
      <c r="P67" s="21">
        <v>79.157200000000003</v>
      </c>
      <c r="Q67" s="21">
        <v>-3.5461399999999997E-2</v>
      </c>
      <c r="R67" s="21">
        <v>57</v>
      </c>
      <c r="S67" s="21">
        <v>0.18582199999999999</v>
      </c>
      <c r="T67">
        <f t="shared" si="2"/>
        <v>35.461399999999998</v>
      </c>
      <c r="U67">
        <f t="shared" si="3"/>
        <v>6.633870482199999</v>
      </c>
      <c r="X67" s="9"/>
      <c r="Y67" s="21">
        <v>0.41305500000000001</v>
      </c>
      <c r="Z67" s="21">
        <v>82.405799999999999</v>
      </c>
      <c r="AA67" s="21">
        <v>-3.5110500000000003E-2</v>
      </c>
      <c r="AB67" s="21">
        <v>57</v>
      </c>
      <c r="AC67" s="21">
        <v>0.41174300000000003</v>
      </c>
      <c r="AD67">
        <f t="shared" si="4"/>
        <v>35.110500000000002</v>
      </c>
      <c r="AE67">
        <f t="shared" si="5"/>
        <v>14.502567577500001</v>
      </c>
      <c r="AF67" s="9"/>
      <c r="AG67" s="21">
        <v>0.18707299999999999</v>
      </c>
      <c r="AH67" s="21">
        <v>85.384399999999999</v>
      </c>
      <c r="AI67" s="21">
        <v>-3.54065E-2</v>
      </c>
      <c r="AJ67" s="21">
        <v>57</v>
      </c>
      <c r="AK67" s="21">
        <v>0.18588299999999999</v>
      </c>
      <c r="AL67">
        <f t="shared" si="6"/>
        <v>35.406500000000001</v>
      </c>
      <c r="AM67">
        <f t="shared" si="7"/>
        <v>6.6236001744999999</v>
      </c>
      <c r="AP67" s="9"/>
      <c r="AQ67" s="21">
        <v>0.41305500000000001</v>
      </c>
      <c r="AR67" s="21">
        <v>88.12</v>
      </c>
      <c r="AS67" s="21">
        <v>-3.5144000000000002E-2</v>
      </c>
      <c r="AT67" s="21">
        <v>57</v>
      </c>
      <c r="AU67" s="21">
        <v>0.41183500000000001</v>
      </c>
      <c r="AV67">
        <f t="shared" si="8"/>
        <v>35.143999999999998</v>
      </c>
      <c r="AW67">
        <f t="shared" si="9"/>
        <v>14.516404919999999</v>
      </c>
      <c r="AX67" s="9"/>
      <c r="AY67" s="21">
        <v>0.18707299999999999</v>
      </c>
      <c r="AZ67" s="21">
        <v>90.890500000000003</v>
      </c>
      <c r="BA67" s="21">
        <v>-3.5409499999999997E-2</v>
      </c>
      <c r="BB67" s="21">
        <v>57</v>
      </c>
      <c r="BC67" s="21">
        <v>0.18582199999999999</v>
      </c>
      <c r="BD67">
        <f t="shared" si="10"/>
        <v>35.409499999999994</v>
      </c>
      <c r="BE67">
        <f t="shared" si="11"/>
        <v>6.6241613934999988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0.40801999999999999</v>
      </c>
      <c r="H68" s="21">
        <v>45.989199999999997</v>
      </c>
      <c r="I68" s="21">
        <v>-3.508E-2</v>
      </c>
      <c r="J68" s="21">
        <v>58</v>
      </c>
      <c r="K68" s="21">
        <v>0.40676899999999999</v>
      </c>
      <c r="L68">
        <f t="shared" si="0"/>
        <v>35.08</v>
      </c>
      <c r="M68">
        <f t="shared" si="1"/>
        <v>14.313341599999999</v>
      </c>
      <c r="N68" s="9"/>
      <c r="O68" s="21">
        <v>0.192108</v>
      </c>
      <c r="P68" s="21">
        <v>79.167299999999997</v>
      </c>
      <c r="Q68" s="21">
        <v>-3.54767E-2</v>
      </c>
      <c r="R68" s="21">
        <v>58</v>
      </c>
      <c r="S68" s="21">
        <v>0.190826</v>
      </c>
      <c r="T68">
        <f t="shared" si="2"/>
        <v>35.476700000000001</v>
      </c>
      <c r="U68">
        <f t="shared" si="3"/>
        <v>6.8153578835999999</v>
      </c>
      <c r="X68" s="9"/>
      <c r="Y68" s="21">
        <v>0.40801999999999999</v>
      </c>
      <c r="Z68" s="21">
        <v>82.415899999999993</v>
      </c>
      <c r="AA68" s="21">
        <v>-3.5128800000000002E-2</v>
      </c>
      <c r="AB68" s="21">
        <v>58</v>
      </c>
      <c r="AC68" s="21">
        <v>0.40670800000000001</v>
      </c>
      <c r="AD68">
        <f t="shared" si="4"/>
        <v>35.128799999999998</v>
      </c>
      <c r="AE68">
        <f t="shared" si="5"/>
        <v>14.333252975999999</v>
      </c>
      <c r="AF68" s="9"/>
      <c r="AG68" s="21">
        <v>0.192108</v>
      </c>
      <c r="AH68" s="21">
        <v>85.394499999999994</v>
      </c>
      <c r="AI68" s="21">
        <v>-3.5424799999999999E-2</v>
      </c>
      <c r="AJ68" s="21">
        <v>58</v>
      </c>
      <c r="AK68" s="21">
        <v>0.190887</v>
      </c>
      <c r="AL68">
        <f t="shared" si="6"/>
        <v>35.424799999999998</v>
      </c>
      <c r="AM68">
        <f t="shared" si="7"/>
        <v>6.8053874783999992</v>
      </c>
      <c r="AP68" s="9"/>
      <c r="AQ68" s="21">
        <v>0.40801999999999999</v>
      </c>
      <c r="AR68" s="21">
        <v>88.13</v>
      </c>
      <c r="AS68" s="21">
        <v>-3.5159299999999997E-2</v>
      </c>
      <c r="AT68" s="21">
        <v>58</v>
      </c>
      <c r="AU68" s="21">
        <v>0.40673799999999999</v>
      </c>
      <c r="AV68">
        <f t="shared" si="8"/>
        <v>35.159299999999995</v>
      </c>
      <c r="AW68">
        <f t="shared" si="9"/>
        <v>14.345697585999998</v>
      </c>
      <c r="AX68" s="9"/>
      <c r="AY68" s="21">
        <v>0.192108</v>
      </c>
      <c r="AZ68" s="21">
        <v>90.900599999999997</v>
      </c>
      <c r="BA68" s="21">
        <v>-3.5394299999999997E-2</v>
      </c>
      <c r="BB68" s="21">
        <v>58</v>
      </c>
      <c r="BC68" s="21">
        <v>0.19094800000000001</v>
      </c>
      <c r="BD68">
        <f t="shared" si="10"/>
        <v>35.394299999999994</v>
      </c>
      <c r="BE68">
        <f t="shared" si="11"/>
        <v>6.7995281843999988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0.40298499999999998</v>
      </c>
      <c r="H69" s="21">
        <v>45.999299999999998</v>
      </c>
      <c r="I69" s="21">
        <v>-3.5098299999999999E-2</v>
      </c>
      <c r="J69" s="21">
        <v>59</v>
      </c>
      <c r="K69" s="21">
        <v>0.40173300000000001</v>
      </c>
      <c r="L69">
        <f t="shared" si="0"/>
        <v>35.098300000000002</v>
      </c>
      <c r="M69">
        <f t="shared" si="1"/>
        <v>14.1440884255</v>
      </c>
      <c r="N69" s="9"/>
      <c r="O69" s="21">
        <v>0.19714400000000001</v>
      </c>
      <c r="P69" s="21">
        <v>79.177400000000006</v>
      </c>
      <c r="Q69" s="21">
        <v>-3.5464500000000003E-2</v>
      </c>
      <c r="R69" s="21">
        <v>59</v>
      </c>
      <c r="S69" s="21">
        <v>0.19586200000000001</v>
      </c>
      <c r="T69">
        <f t="shared" si="2"/>
        <v>35.464500000000001</v>
      </c>
      <c r="U69">
        <f t="shared" si="3"/>
        <v>6.9916133880000011</v>
      </c>
      <c r="X69" s="9"/>
      <c r="Y69" s="21">
        <v>0.40298499999999998</v>
      </c>
      <c r="Z69" s="21">
        <v>82.426000000000002</v>
      </c>
      <c r="AA69" s="21">
        <v>-3.5150099999999997E-2</v>
      </c>
      <c r="AB69" s="21">
        <v>59</v>
      </c>
      <c r="AC69" s="21">
        <v>0.40173300000000001</v>
      </c>
      <c r="AD69">
        <f t="shared" si="4"/>
        <v>35.150099999999995</v>
      </c>
      <c r="AE69">
        <f t="shared" si="5"/>
        <v>14.164963048499997</v>
      </c>
      <c r="AF69" s="9"/>
      <c r="AG69" s="21">
        <v>0.19714400000000001</v>
      </c>
      <c r="AH69" s="21">
        <v>85.404499999999999</v>
      </c>
      <c r="AI69" s="21">
        <v>-3.5415599999999998E-2</v>
      </c>
      <c r="AJ69" s="21">
        <v>59</v>
      </c>
      <c r="AK69" s="21">
        <v>0.19592300000000001</v>
      </c>
      <c r="AL69">
        <f t="shared" si="6"/>
        <v>35.415599999999998</v>
      </c>
      <c r="AM69">
        <f t="shared" si="7"/>
        <v>6.9819730464000003</v>
      </c>
      <c r="AP69" s="9"/>
      <c r="AQ69" s="21">
        <v>0.40298499999999998</v>
      </c>
      <c r="AR69" s="21">
        <v>88.140100000000004</v>
      </c>
      <c r="AS69" s="21">
        <v>-3.5165399999999999E-2</v>
      </c>
      <c r="AT69" s="21">
        <v>59</v>
      </c>
      <c r="AU69" s="21">
        <v>0.40170299999999998</v>
      </c>
      <c r="AV69">
        <f t="shared" si="8"/>
        <v>35.165399999999998</v>
      </c>
      <c r="AW69">
        <f t="shared" si="9"/>
        <v>14.171128718999999</v>
      </c>
      <c r="AX69" s="9"/>
      <c r="AY69" s="21">
        <v>0.19714400000000001</v>
      </c>
      <c r="AZ69" s="21">
        <v>90.910700000000006</v>
      </c>
      <c r="BA69" s="21">
        <v>-3.5385100000000003E-2</v>
      </c>
      <c r="BB69" s="21">
        <v>59</v>
      </c>
      <c r="BC69" s="21">
        <v>0.19598399999999999</v>
      </c>
      <c r="BD69">
        <f t="shared" si="10"/>
        <v>35.385100000000001</v>
      </c>
      <c r="BE69">
        <f t="shared" si="11"/>
        <v>6.9759601544000009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0.397949</v>
      </c>
      <c r="H70" s="21">
        <v>46.009300000000003</v>
      </c>
      <c r="I70" s="21">
        <v>-3.5125700000000003E-2</v>
      </c>
      <c r="J70" s="21">
        <v>60</v>
      </c>
      <c r="K70" s="21">
        <v>0.39666699999999999</v>
      </c>
      <c r="L70">
        <f t="shared" si="0"/>
        <v>35.125700000000002</v>
      </c>
      <c r="M70">
        <f t="shared" si="1"/>
        <v>13.978237189300001</v>
      </c>
      <c r="N70" s="9"/>
      <c r="O70" s="21">
        <v>0.202179</v>
      </c>
      <c r="P70" s="21">
        <v>79.1875</v>
      </c>
      <c r="Q70" s="21">
        <v>-3.5461399999999997E-2</v>
      </c>
      <c r="R70" s="21">
        <v>60</v>
      </c>
      <c r="S70" s="21">
        <v>0.20089699999999999</v>
      </c>
      <c r="T70">
        <f t="shared" si="2"/>
        <v>35.461399999999998</v>
      </c>
      <c r="U70">
        <f t="shared" si="3"/>
        <v>7.1695503905999995</v>
      </c>
      <c r="X70" s="9"/>
      <c r="Y70" s="21">
        <v>0.397949</v>
      </c>
      <c r="Z70" s="21">
        <v>82.436000000000007</v>
      </c>
      <c r="AA70" s="21">
        <v>-3.5147100000000001E-2</v>
      </c>
      <c r="AB70" s="21">
        <v>60</v>
      </c>
      <c r="AC70" s="21">
        <v>0.39666699999999999</v>
      </c>
      <c r="AD70">
        <f t="shared" si="4"/>
        <v>35.147100000000002</v>
      </c>
      <c r="AE70">
        <f t="shared" si="5"/>
        <v>13.9867532979</v>
      </c>
      <c r="AF70" s="9"/>
      <c r="AG70" s="21">
        <v>0.202179</v>
      </c>
      <c r="AH70" s="21">
        <v>85.414599999999993</v>
      </c>
      <c r="AI70" s="21">
        <v>-3.54065E-2</v>
      </c>
      <c r="AJ70" s="21">
        <v>60</v>
      </c>
      <c r="AK70" s="21">
        <v>0.200989</v>
      </c>
      <c r="AL70">
        <f t="shared" si="6"/>
        <v>35.406500000000001</v>
      </c>
      <c r="AM70">
        <f t="shared" si="7"/>
        <v>7.1584507635000003</v>
      </c>
      <c r="AP70" s="9"/>
      <c r="AQ70" s="21">
        <v>0.397949</v>
      </c>
      <c r="AR70" s="21">
        <v>88.150199999999998</v>
      </c>
      <c r="AS70" s="21">
        <v>-3.5183699999999998E-2</v>
      </c>
      <c r="AT70" s="21">
        <v>60</v>
      </c>
      <c r="AU70" s="21">
        <v>0.39666699999999999</v>
      </c>
      <c r="AV70">
        <f t="shared" si="8"/>
        <v>35.183700000000002</v>
      </c>
      <c r="AW70">
        <f t="shared" si="9"/>
        <v>14.001318231300001</v>
      </c>
      <c r="AX70" s="9"/>
      <c r="AY70" s="21">
        <v>0.202179</v>
      </c>
      <c r="AZ70" s="21">
        <v>90.9208</v>
      </c>
      <c r="BA70" s="21">
        <v>-3.5357699999999999E-2</v>
      </c>
      <c r="BB70" s="21">
        <v>60</v>
      </c>
      <c r="BC70" s="21">
        <v>0.200928</v>
      </c>
      <c r="BD70">
        <f t="shared" si="10"/>
        <v>35.357700000000001</v>
      </c>
      <c r="BE70">
        <f t="shared" si="11"/>
        <v>7.1485844283000004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0.39291399999999999</v>
      </c>
      <c r="H71" s="21">
        <v>46.019399999999997</v>
      </c>
      <c r="I71" s="21">
        <v>-3.5140999999999999E-2</v>
      </c>
      <c r="J71" s="21">
        <v>61</v>
      </c>
      <c r="K71" s="21">
        <v>0.39166299999999998</v>
      </c>
      <c r="L71">
        <f t="shared" si="0"/>
        <v>35.140999999999998</v>
      </c>
      <c r="M71">
        <f t="shared" si="1"/>
        <v>13.807390873999999</v>
      </c>
      <c r="N71" s="9"/>
      <c r="O71" s="21">
        <v>0.20721400000000001</v>
      </c>
      <c r="P71" s="21">
        <v>79.197500000000005</v>
      </c>
      <c r="Q71" s="21">
        <v>-3.5443099999999998E-2</v>
      </c>
      <c r="R71" s="21">
        <v>61</v>
      </c>
      <c r="S71" s="21">
        <v>0.20602400000000001</v>
      </c>
      <c r="T71">
        <f t="shared" si="2"/>
        <v>35.443100000000001</v>
      </c>
      <c r="U71">
        <f t="shared" si="3"/>
        <v>7.3443065234000002</v>
      </c>
      <c r="X71" s="9"/>
      <c r="Y71" s="21">
        <v>0.39291399999999999</v>
      </c>
      <c r="Z71" s="21">
        <v>82.446100000000001</v>
      </c>
      <c r="AA71" s="21">
        <v>-3.5144000000000002E-2</v>
      </c>
      <c r="AB71" s="21">
        <v>61</v>
      </c>
      <c r="AC71" s="21">
        <v>0.39175399999999999</v>
      </c>
      <c r="AD71">
        <f t="shared" si="4"/>
        <v>35.143999999999998</v>
      </c>
      <c r="AE71">
        <f t="shared" si="5"/>
        <v>13.808569615999998</v>
      </c>
      <c r="AF71" s="9"/>
      <c r="AG71" s="21">
        <v>0.20721400000000001</v>
      </c>
      <c r="AH71" s="21">
        <v>85.424700000000001</v>
      </c>
      <c r="AI71" s="21">
        <v>-3.5409499999999997E-2</v>
      </c>
      <c r="AJ71" s="21">
        <v>61</v>
      </c>
      <c r="AK71" s="21">
        <v>0.20602400000000001</v>
      </c>
      <c r="AL71">
        <f t="shared" si="6"/>
        <v>35.409499999999994</v>
      </c>
      <c r="AM71">
        <f t="shared" si="7"/>
        <v>7.3373441329999993</v>
      </c>
      <c r="AP71" s="9"/>
      <c r="AQ71" s="21">
        <v>0.39291399999999999</v>
      </c>
      <c r="AR71" s="21">
        <v>88.160300000000007</v>
      </c>
      <c r="AS71" s="21">
        <v>-3.5208099999999999E-2</v>
      </c>
      <c r="AT71" s="21">
        <v>61</v>
      </c>
      <c r="AU71" s="21">
        <v>0.39172400000000002</v>
      </c>
      <c r="AV71">
        <f t="shared" si="8"/>
        <v>35.208100000000002</v>
      </c>
      <c r="AW71">
        <f t="shared" si="9"/>
        <v>13.8337554034</v>
      </c>
      <c r="AX71" s="9"/>
      <c r="AY71" s="21">
        <v>0.20721400000000001</v>
      </c>
      <c r="AZ71" s="21">
        <v>90.930800000000005</v>
      </c>
      <c r="BA71" s="21">
        <v>-3.5330199999999999E-2</v>
      </c>
      <c r="BB71" s="21">
        <v>61</v>
      </c>
      <c r="BC71" s="21">
        <v>0.20605499999999999</v>
      </c>
      <c r="BD71">
        <f t="shared" si="10"/>
        <v>35.330199999999998</v>
      </c>
      <c r="BE71">
        <f t="shared" si="11"/>
        <v>7.3209120627999997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0.387878</v>
      </c>
      <c r="H72" s="21">
        <v>46.029499999999999</v>
      </c>
      <c r="I72" s="21">
        <v>-3.5159299999999997E-2</v>
      </c>
      <c r="J72" s="21">
        <v>62</v>
      </c>
      <c r="K72" s="21">
        <v>0.38656600000000002</v>
      </c>
      <c r="L72">
        <f t="shared" si="0"/>
        <v>35.159299999999995</v>
      </c>
      <c r="M72">
        <f t="shared" si="1"/>
        <v>13.637518965399998</v>
      </c>
      <c r="N72" s="9"/>
      <c r="O72" s="21">
        <v>0.21224999999999999</v>
      </c>
      <c r="P72" s="21">
        <v>79.207599999999999</v>
      </c>
      <c r="Q72" s="21">
        <v>-3.5427899999999998E-2</v>
      </c>
      <c r="R72" s="21">
        <v>62</v>
      </c>
      <c r="S72" s="21">
        <v>0.21099899999999999</v>
      </c>
      <c r="T72">
        <f t="shared" si="2"/>
        <v>35.427900000000001</v>
      </c>
      <c r="U72">
        <f t="shared" si="3"/>
        <v>7.5195717750000002</v>
      </c>
      <c r="X72" s="9"/>
      <c r="Y72" s="21">
        <v>0.387878</v>
      </c>
      <c r="Z72" s="21">
        <v>82.456199999999995</v>
      </c>
      <c r="AA72" s="21">
        <v>-3.5134899999999997E-2</v>
      </c>
      <c r="AB72" s="21">
        <v>62</v>
      </c>
      <c r="AC72" s="21">
        <v>0.386658</v>
      </c>
      <c r="AD72">
        <f t="shared" si="4"/>
        <v>35.134899999999995</v>
      </c>
      <c r="AE72">
        <f t="shared" si="5"/>
        <v>13.628054742199998</v>
      </c>
      <c r="AF72" s="9"/>
      <c r="AG72" s="21">
        <v>0.21224999999999999</v>
      </c>
      <c r="AH72" s="21">
        <v>85.434799999999996</v>
      </c>
      <c r="AI72" s="21">
        <v>-3.5418699999999997E-2</v>
      </c>
      <c r="AJ72" s="21">
        <v>62</v>
      </c>
      <c r="AK72" s="21">
        <v>0.21102899999999999</v>
      </c>
      <c r="AL72">
        <f t="shared" si="6"/>
        <v>35.418699999999994</v>
      </c>
      <c r="AM72">
        <f t="shared" si="7"/>
        <v>7.5176190749999989</v>
      </c>
      <c r="AP72" s="9"/>
      <c r="AQ72" s="21">
        <v>0.387878</v>
      </c>
      <c r="AR72" s="21">
        <v>88.170299999999997</v>
      </c>
      <c r="AS72" s="21">
        <v>-3.52325E-2</v>
      </c>
      <c r="AT72" s="21">
        <v>62</v>
      </c>
      <c r="AU72" s="21">
        <v>0.38659700000000002</v>
      </c>
      <c r="AV72">
        <f t="shared" si="8"/>
        <v>35.232500000000002</v>
      </c>
      <c r="AW72">
        <f t="shared" si="9"/>
        <v>13.665911635000001</v>
      </c>
      <c r="AX72" s="9"/>
      <c r="AY72" s="21">
        <v>0.21224999999999999</v>
      </c>
      <c r="AZ72" s="21">
        <v>90.940899999999999</v>
      </c>
      <c r="BA72" s="21">
        <v>-3.5305799999999998E-2</v>
      </c>
      <c r="BB72" s="21">
        <v>62</v>
      </c>
      <c r="BC72" s="21">
        <v>0.211121</v>
      </c>
      <c r="BD72">
        <f t="shared" si="10"/>
        <v>35.305799999999998</v>
      </c>
      <c r="BE72">
        <f t="shared" si="11"/>
        <v>7.4936560499999993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0.38284299999999999</v>
      </c>
      <c r="H73" s="21">
        <v>46.039499999999997</v>
      </c>
      <c r="I73" s="21">
        <v>-3.5171500000000001E-2</v>
      </c>
      <c r="J73" s="21">
        <v>63</v>
      </c>
      <c r="K73" s="21">
        <v>0.38162200000000002</v>
      </c>
      <c r="L73">
        <f t="shared" si="0"/>
        <v>35.171500000000002</v>
      </c>
      <c r="M73">
        <f t="shared" si="1"/>
        <v>13.465162574500001</v>
      </c>
      <c r="N73" s="9"/>
      <c r="O73" s="21">
        <v>0.21728500000000001</v>
      </c>
      <c r="P73" s="21">
        <v>79.217699999999994</v>
      </c>
      <c r="Q73" s="21">
        <v>-3.5409499999999997E-2</v>
      </c>
      <c r="R73" s="21">
        <v>63</v>
      </c>
      <c r="S73" s="21">
        <v>0.21609500000000001</v>
      </c>
      <c r="T73">
        <f t="shared" si="2"/>
        <v>35.409499999999994</v>
      </c>
      <c r="U73">
        <f t="shared" si="3"/>
        <v>7.693953207499999</v>
      </c>
      <c r="X73" s="9"/>
      <c r="Y73" s="21">
        <v>0.38284299999999999</v>
      </c>
      <c r="Z73" s="21">
        <v>82.466200000000001</v>
      </c>
      <c r="AA73" s="21">
        <v>-3.5140999999999999E-2</v>
      </c>
      <c r="AB73" s="21">
        <v>63</v>
      </c>
      <c r="AC73" s="21">
        <v>0.38153100000000001</v>
      </c>
      <c r="AD73">
        <f t="shared" si="4"/>
        <v>35.140999999999998</v>
      </c>
      <c r="AE73">
        <f t="shared" si="5"/>
        <v>13.453485862999999</v>
      </c>
      <c r="AF73" s="9"/>
      <c r="AG73" s="21">
        <v>0.21728500000000001</v>
      </c>
      <c r="AH73" s="21">
        <v>85.444800000000001</v>
      </c>
      <c r="AI73" s="21">
        <v>-3.5430900000000001E-2</v>
      </c>
      <c r="AJ73" s="21">
        <v>63</v>
      </c>
      <c r="AK73" s="21">
        <v>0.216034</v>
      </c>
      <c r="AL73">
        <f t="shared" si="6"/>
        <v>35.430900000000001</v>
      </c>
      <c r="AM73">
        <f t="shared" si="7"/>
        <v>7.6986031065000002</v>
      </c>
      <c r="AP73" s="9"/>
      <c r="AQ73" s="21">
        <v>0.38284299999999999</v>
      </c>
      <c r="AR73" s="21">
        <v>88.180400000000006</v>
      </c>
      <c r="AS73" s="21">
        <v>-3.5256999999999997E-2</v>
      </c>
      <c r="AT73" s="21">
        <v>63</v>
      </c>
      <c r="AU73" s="21">
        <v>0.38156099999999998</v>
      </c>
      <c r="AV73">
        <f t="shared" si="8"/>
        <v>35.256999999999998</v>
      </c>
      <c r="AW73">
        <f t="shared" si="9"/>
        <v>13.497895650999999</v>
      </c>
      <c r="AX73" s="9"/>
      <c r="AY73" s="21">
        <v>0.21728500000000001</v>
      </c>
      <c r="AZ73" s="21">
        <v>90.950999999999993</v>
      </c>
      <c r="BA73" s="21">
        <v>-3.5299700000000003E-2</v>
      </c>
      <c r="BB73" s="21">
        <v>63</v>
      </c>
      <c r="BC73" s="21">
        <v>0.21606400000000001</v>
      </c>
      <c r="BD73">
        <f t="shared" si="10"/>
        <v>35.299700000000001</v>
      </c>
      <c r="BE73">
        <f t="shared" si="11"/>
        <v>7.6700953145000001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0.37780799999999998</v>
      </c>
      <c r="H74" s="21">
        <v>46.049599999999998</v>
      </c>
      <c r="I74" s="21">
        <v>-3.5186799999999997E-2</v>
      </c>
      <c r="J74" s="21">
        <v>64</v>
      </c>
      <c r="K74" s="21">
        <v>0.376556</v>
      </c>
      <c r="L74">
        <f t="shared" si="0"/>
        <v>35.186799999999998</v>
      </c>
      <c r="M74">
        <f t="shared" si="1"/>
        <v>13.293854534399998</v>
      </c>
      <c r="N74" s="9"/>
      <c r="O74" s="21">
        <v>0.22232099999999999</v>
      </c>
      <c r="P74" s="21">
        <v>79.227699999999999</v>
      </c>
      <c r="Q74" s="21">
        <v>-3.5418699999999997E-2</v>
      </c>
      <c r="R74" s="21">
        <v>64</v>
      </c>
      <c r="S74" s="21">
        <v>0.22109999999999999</v>
      </c>
      <c r="T74">
        <f t="shared" si="2"/>
        <v>35.418699999999994</v>
      </c>
      <c r="U74">
        <f t="shared" si="3"/>
        <v>7.874320802699998</v>
      </c>
      <c r="X74" s="9"/>
      <c r="Y74" s="21">
        <v>0.37780799999999998</v>
      </c>
      <c r="Z74" s="21">
        <v>82.476299999999995</v>
      </c>
      <c r="AA74" s="21">
        <v>-3.5156300000000001E-2</v>
      </c>
      <c r="AB74" s="21">
        <v>64</v>
      </c>
      <c r="AC74" s="21">
        <v>0.37652600000000003</v>
      </c>
      <c r="AD74">
        <f t="shared" si="4"/>
        <v>35.156300000000002</v>
      </c>
      <c r="AE74">
        <f t="shared" si="5"/>
        <v>13.2823313904</v>
      </c>
      <c r="AF74" s="9"/>
      <c r="AG74" s="21">
        <v>0.22232099999999999</v>
      </c>
      <c r="AH74" s="21">
        <v>85.454899999999995</v>
      </c>
      <c r="AI74" s="21">
        <v>-3.5409499999999997E-2</v>
      </c>
      <c r="AJ74" s="21">
        <v>64</v>
      </c>
      <c r="AK74" s="21">
        <v>0.221161</v>
      </c>
      <c r="AL74">
        <f t="shared" si="6"/>
        <v>35.409499999999994</v>
      </c>
      <c r="AM74">
        <f t="shared" si="7"/>
        <v>7.8722754494999982</v>
      </c>
      <c r="AP74" s="9"/>
      <c r="AQ74" s="21">
        <v>0.37780799999999998</v>
      </c>
      <c r="AR74" s="21">
        <v>88.1905</v>
      </c>
      <c r="AS74" s="21">
        <v>-3.5250900000000002E-2</v>
      </c>
      <c r="AT74" s="21">
        <v>64</v>
      </c>
      <c r="AU74" s="21">
        <v>0.37652600000000003</v>
      </c>
      <c r="AV74">
        <f t="shared" si="8"/>
        <v>35.250900000000001</v>
      </c>
      <c r="AW74">
        <f t="shared" si="9"/>
        <v>13.318072027199999</v>
      </c>
      <c r="AX74" s="9"/>
      <c r="AY74" s="21">
        <v>0.22232099999999999</v>
      </c>
      <c r="AZ74" s="21">
        <v>90.960999999999999</v>
      </c>
      <c r="BA74" s="21">
        <v>-3.5308800000000001E-2</v>
      </c>
      <c r="BB74" s="21">
        <v>64</v>
      </c>
      <c r="BC74" s="21">
        <v>0.22109999999999999</v>
      </c>
      <c r="BD74">
        <f t="shared" si="10"/>
        <v>35.308799999999998</v>
      </c>
      <c r="BE74">
        <f t="shared" si="11"/>
        <v>7.8498877247999994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0.37277199999999999</v>
      </c>
      <c r="H75" s="21">
        <v>46.059699999999999</v>
      </c>
      <c r="I75" s="21">
        <v>-3.5195900000000002E-2</v>
      </c>
      <c r="J75" s="21">
        <v>65</v>
      </c>
      <c r="K75" s="21">
        <v>0.37152099999999999</v>
      </c>
      <c r="L75">
        <f t="shared" si="0"/>
        <v>35.195900000000002</v>
      </c>
      <c r="M75">
        <f t="shared" si="1"/>
        <v>13.1200460348</v>
      </c>
      <c r="N75" s="9"/>
      <c r="O75" s="21">
        <v>0.227356</v>
      </c>
      <c r="P75" s="21">
        <v>79.237799999999993</v>
      </c>
      <c r="Q75" s="21">
        <v>-3.5427899999999998E-2</v>
      </c>
      <c r="R75" s="21">
        <v>65</v>
      </c>
      <c r="S75" s="21">
        <v>0.22622700000000001</v>
      </c>
      <c r="T75">
        <f t="shared" si="2"/>
        <v>35.427900000000001</v>
      </c>
      <c r="U75">
        <f t="shared" si="3"/>
        <v>8.0547456323999995</v>
      </c>
      <c r="X75" s="9"/>
      <c r="Y75" s="21">
        <v>0.37277199999999999</v>
      </c>
      <c r="Z75" s="21">
        <v>82.486400000000003</v>
      </c>
      <c r="AA75" s="21">
        <v>-3.5171500000000001E-2</v>
      </c>
      <c r="AB75" s="21">
        <v>65</v>
      </c>
      <c r="AC75" s="21">
        <v>0.37148999999999999</v>
      </c>
      <c r="AD75">
        <f t="shared" si="4"/>
        <v>35.171500000000002</v>
      </c>
      <c r="AE75">
        <f t="shared" si="5"/>
        <v>13.110950398</v>
      </c>
      <c r="AF75" s="9"/>
      <c r="AG75" s="21">
        <v>0.227356</v>
      </c>
      <c r="AH75" s="21">
        <v>85.465000000000003</v>
      </c>
      <c r="AI75" s="21">
        <v>-3.53973E-2</v>
      </c>
      <c r="AJ75" s="21">
        <v>65</v>
      </c>
      <c r="AK75" s="21">
        <v>0.226135</v>
      </c>
      <c r="AL75">
        <f t="shared" si="6"/>
        <v>35.397300000000001</v>
      </c>
      <c r="AM75">
        <f t="shared" si="7"/>
        <v>8.0477885388000008</v>
      </c>
      <c r="AP75" s="9"/>
      <c r="AQ75" s="21">
        <v>0.37277199999999999</v>
      </c>
      <c r="AR75" s="21">
        <v>88.200500000000005</v>
      </c>
      <c r="AS75" s="21">
        <v>-3.52448E-2</v>
      </c>
      <c r="AT75" s="21">
        <v>65</v>
      </c>
      <c r="AU75" s="21">
        <v>0.37148999999999999</v>
      </c>
      <c r="AV75">
        <f t="shared" si="8"/>
        <v>35.244799999999998</v>
      </c>
      <c r="AW75">
        <f t="shared" si="9"/>
        <v>13.1382745856</v>
      </c>
      <c r="AX75" s="9"/>
      <c r="AY75" s="21">
        <v>0.227356</v>
      </c>
      <c r="AZ75" s="21">
        <v>90.971100000000007</v>
      </c>
      <c r="BA75" s="21">
        <v>-3.5308800000000001E-2</v>
      </c>
      <c r="BB75" s="21">
        <v>65</v>
      </c>
      <c r="BC75" s="21">
        <v>0.226105</v>
      </c>
      <c r="BD75">
        <f t="shared" si="10"/>
        <v>35.308799999999998</v>
      </c>
      <c r="BE75">
        <f t="shared" si="11"/>
        <v>8.0276675327999989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0.36773699999999998</v>
      </c>
      <c r="H76" s="21">
        <v>46.069800000000001</v>
      </c>
      <c r="I76" s="21">
        <v>-3.5201999999999997E-2</v>
      </c>
      <c r="J76" s="21">
        <v>66</v>
      </c>
      <c r="K76" s="21">
        <v>0.366425</v>
      </c>
      <c r="L76">
        <f t="shared" ref="L76:L139" si="12">-I76/$F$2*1000</f>
        <v>35.201999999999998</v>
      </c>
      <c r="M76">
        <f t="shared" ref="M76:M139" si="13">L76*G76</f>
        <v>12.945077873999999</v>
      </c>
      <c r="N76" s="9"/>
      <c r="O76" s="21">
        <v>0.23239099999999999</v>
      </c>
      <c r="P76" s="21">
        <v>79.247900000000001</v>
      </c>
      <c r="Q76" s="21">
        <v>-3.5412600000000002E-2</v>
      </c>
      <c r="R76" s="21">
        <v>66</v>
      </c>
      <c r="S76" s="21">
        <v>0.23117099999999999</v>
      </c>
      <c r="T76">
        <f t="shared" ref="T76:T139" si="14">-Q76/$F$2*1000</f>
        <v>35.412600000000005</v>
      </c>
      <c r="U76">
        <f t="shared" ref="U76:U139" si="15">T76*O76</f>
        <v>8.2295695266000006</v>
      </c>
      <c r="X76" s="9"/>
      <c r="Y76" s="21">
        <v>0.36773699999999998</v>
      </c>
      <c r="Z76" s="21">
        <v>82.496499999999997</v>
      </c>
      <c r="AA76" s="21">
        <v>-3.5186799999999997E-2</v>
      </c>
      <c r="AB76" s="21">
        <v>66</v>
      </c>
      <c r="AC76" s="21">
        <v>0.36651600000000001</v>
      </c>
      <c r="AD76">
        <f t="shared" ref="AD76:AD139" si="16">-AA76/$F$2*1000</f>
        <v>35.186799999999998</v>
      </c>
      <c r="AE76">
        <f t="shared" ref="AE76:AE139" si="17">AD76*Y76</f>
        <v>12.939488271599998</v>
      </c>
      <c r="AF76" s="9"/>
      <c r="AG76" s="21">
        <v>0.23239099999999999</v>
      </c>
      <c r="AH76" s="21">
        <v>85.474999999999994</v>
      </c>
      <c r="AI76" s="21">
        <v>-3.5388200000000002E-2</v>
      </c>
      <c r="AJ76" s="21">
        <v>66</v>
      </c>
      <c r="AK76" s="21">
        <v>0.23114000000000001</v>
      </c>
      <c r="AL76">
        <f t="shared" ref="AL76:AL139" si="18">-AI76/$F$2*1000</f>
        <v>35.388200000000005</v>
      </c>
      <c r="AM76">
        <f t="shared" ref="AM76:AM139" si="19">AL76*AG76</f>
        <v>8.2238991862000006</v>
      </c>
      <c r="AP76" s="9"/>
      <c r="AQ76" s="21">
        <v>0.36773699999999998</v>
      </c>
      <c r="AR76" s="21">
        <v>88.210599999999999</v>
      </c>
      <c r="AS76" s="21">
        <v>-3.5263099999999999E-2</v>
      </c>
      <c r="AT76" s="21">
        <v>66</v>
      </c>
      <c r="AU76" s="21">
        <v>0.36645499999999998</v>
      </c>
      <c r="AV76">
        <f t="shared" ref="AV76:AV139" si="20">-AS76/$F$2*1000</f>
        <v>35.263100000000001</v>
      </c>
      <c r="AW76">
        <f t="shared" ref="AW76:AW139" si="21">AV76*AQ76</f>
        <v>12.967546604699999</v>
      </c>
      <c r="AX76" s="9"/>
      <c r="AY76" s="21">
        <v>0.23239099999999999</v>
      </c>
      <c r="AZ76" s="21">
        <v>90.981200000000001</v>
      </c>
      <c r="BA76" s="21">
        <v>-3.5305799999999998E-2</v>
      </c>
      <c r="BB76" s="21">
        <v>66</v>
      </c>
      <c r="BC76" s="21">
        <v>0.23117099999999999</v>
      </c>
      <c r="BD76">
        <f t="shared" ref="BD76:BD139" si="22">-BA76/$F$2*1000</f>
        <v>35.305799999999998</v>
      </c>
      <c r="BE76">
        <f t="shared" ref="BE76:BE139" si="23">BD76*AY76</f>
        <v>8.2047501677999986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0.362701</v>
      </c>
      <c r="H77" s="21">
        <v>46.079799999999999</v>
      </c>
      <c r="I77" s="21">
        <v>-3.5223400000000002E-2</v>
      </c>
      <c r="J77" s="21">
        <v>67</v>
      </c>
      <c r="K77" s="21">
        <v>0.36144999999999999</v>
      </c>
      <c r="L77">
        <f t="shared" si="12"/>
        <v>35.223400000000005</v>
      </c>
      <c r="M77">
        <f t="shared" si="13"/>
        <v>12.775562403400002</v>
      </c>
      <c r="N77" s="9"/>
      <c r="O77" s="21">
        <v>0.237427</v>
      </c>
      <c r="P77" s="21">
        <v>79.257999999999996</v>
      </c>
      <c r="Q77" s="21">
        <v>-3.5400399999999999E-2</v>
      </c>
      <c r="R77" s="21">
        <v>67</v>
      </c>
      <c r="S77" s="21">
        <v>0.236237</v>
      </c>
      <c r="T77">
        <f t="shared" si="14"/>
        <v>35.400399999999998</v>
      </c>
      <c r="U77">
        <f t="shared" si="15"/>
        <v>8.4050107707999988</v>
      </c>
      <c r="X77" s="9"/>
      <c r="Y77" s="21">
        <v>0.362701</v>
      </c>
      <c r="Z77" s="21">
        <v>82.506500000000003</v>
      </c>
      <c r="AA77" s="21">
        <v>-3.5205100000000003E-2</v>
      </c>
      <c r="AB77" s="21">
        <v>67</v>
      </c>
      <c r="AC77" s="21">
        <v>0.36135899999999999</v>
      </c>
      <c r="AD77">
        <f t="shared" si="16"/>
        <v>35.205100000000002</v>
      </c>
      <c r="AE77">
        <f t="shared" si="17"/>
        <v>12.768924975100001</v>
      </c>
      <c r="AF77" s="9"/>
      <c r="AG77" s="21">
        <v>0.237427</v>
      </c>
      <c r="AH77" s="21">
        <v>85.485100000000003</v>
      </c>
      <c r="AI77" s="21">
        <v>-3.5379000000000001E-2</v>
      </c>
      <c r="AJ77" s="21">
        <v>67</v>
      </c>
      <c r="AK77" s="21">
        <v>0.236176</v>
      </c>
      <c r="AL77">
        <f t="shared" si="18"/>
        <v>35.378999999999998</v>
      </c>
      <c r="AM77">
        <f t="shared" si="19"/>
        <v>8.3999298329999998</v>
      </c>
      <c r="AP77" s="9"/>
      <c r="AQ77" s="21">
        <v>0.362701</v>
      </c>
      <c r="AR77" s="21">
        <v>88.220699999999994</v>
      </c>
      <c r="AS77" s="21">
        <v>-3.5278299999999999E-2</v>
      </c>
      <c r="AT77" s="21">
        <v>67</v>
      </c>
      <c r="AU77" s="21">
        <v>0.36144999999999999</v>
      </c>
      <c r="AV77">
        <f t="shared" si="20"/>
        <v>35.278300000000002</v>
      </c>
      <c r="AW77">
        <f t="shared" si="21"/>
        <v>12.795474688300001</v>
      </c>
      <c r="AX77" s="9"/>
      <c r="AY77" s="21">
        <v>0.237427</v>
      </c>
      <c r="AZ77" s="21">
        <v>90.991299999999995</v>
      </c>
      <c r="BA77" s="21">
        <v>-3.5305799999999998E-2</v>
      </c>
      <c r="BB77" s="21">
        <v>67</v>
      </c>
      <c r="BC77" s="21">
        <v>0.236267</v>
      </c>
      <c r="BD77">
        <f t="shared" si="22"/>
        <v>35.305799999999998</v>
      </c>
      <c r="BE77">
        <f t="shared" si="23"/>
        <v>8.3825501765999988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0.35766599999999998</v>
      </c>
      <c r="H78" s="21">
        <v>46.0899</v>
      </c>
      <c r="I78" s="21">
        <v>-3.5226399999999998E-2</v>
      </c>
      <c r="J78" s="21">
        <v>68</v>
      </c>
      <c r="K78" s="21">
        <v>0.356354</v>
      </c>
      <c r="L78">
        <f t="shared" si="12"/>
        <v>35.226399999999998</v>
      </c>
      <c r="M78">
        <f t="shared" si="13"/>
        <v>12.599285582399999</v>
      </c>
      <c r="N78" s="9"/>
      <c r="O78" s="21">
        <v>0.24246200000000001</v>
      </c>
      <c r="P78" s="21">
        <v>79.268000000000001</v>
      </c>
      <c r="Q78" s="21">
        <v>-3.5394299999999997E-2</v>
      </c>
      <c r="R78" s="21">
        <v>68</v>
      </c>
      <c r="S78" s="21">
        <v>0.24127199999999999</v>
      </c>
      <c r="T78">
        <f t="shared" si="14"/>
        <v>35.394299999999994</v>
      </c>
      <c r="U78">
        <f t="shared" si="15"/>
        <v>8.5817727665999985</v>
      </c>
      <c r="X78" s="9"/>
      <c r="Y78" s="21">
        <v>0.35766599999999998</v>
      </c>
      <c r="Z78" s="21">
        <v>82.516599999999997</v>
      </c>
      <c r="AA78" s="21">
        <v>-3.5226399999999998E-2</v>
      </c>
      <c r="AB78" s="21">
        <v>68</v>
      </c>
      <c r="AC78" s="21">
        <v>0.35638399999999998</v>
      </c>
      <c r="AD78">
        <f t="shared" si="16"/>
        <v>35.226399999999998</v>
      </c>
      <c r="AE78">
        <f t="shared" si="17"/>
        <v>12.599285582399999</v>
      </c>
      <c r="AF78" s="9"/>
      <c r="AG78" s="21">
        <v>0.24246200000000001</v>
      </c>
      <c r="AH78" s="21">
        <v>85.495199999999997</v>
      </c>
      <c r="AI78" s="21">
        <v>-3.5394299999999997E-2</v>
      </c>
      <c r="AJ78" s="21">
        <v>68</v>
      </c>
      <c r="AK78" s="21">
        <v>0.24121100000000001</v>
      </c>
      <c r="AL78">
        <f t="shared" si="18"/>
        <v>35.394299999999994</v>
      </c>
      <c r="AM78">
        <f t="shared" si="19"/>
        <v>8.5817727665999985</v>
      </c>
      <c r="AP78" s="9"/>
      <c r="AQ78" s="21">
        <v>0.35766599999999998</v>
      </c>
      <c r="AR78" s="21">
        <v>88.230800000000002</v>
      </c>
      <c r="AS78" s="21">
        <v>-3.5281399999999997E-2</v>
      </c>
      <c r="AT78" s="21">
        <v>68</v>
      </c>
      <c r="AU78" s="21">
        <v>0.35638399999999998</v>
      </c>
      <c r="AV78">
        <f t="shared" si="20"/>
        <v>35.281399999999998</v>
      </c>
      <c r="AW78">
        <f t="shared" si="21"/>
        <v>12.618957212399998</v>
      </c>
      <c r="AX78" s="9"/>
      <c r="AY78" s="21">
        <v>0.24246200000000001</v>
      </c>
      <c r="AZ78" s="21">
        <v>91.001300000000001</v>
      </c>
      <c r="BA78" s="21">
        <v>-3.5305799999999998E-2</v>
      </c>
      <c r="BB78" s="21">
        <v>68</v>
      </c>
      <c r="BC78" s="21">
        <v>0.24115</v>
      </c>
      <c r="BD78">
        <f t="shared" si="22"/>
        <v>35.305799999999998</v>
      </c>
      <c r="BE78">
        <f t="shared" si="23"/>
        <v>8.5603148795999999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0.35263100000000003</v>
      </c>
      <c r="H79" s="21">
        <v>46.1</v>
      </c>
      <c r="I79" s="21">
        <v>-3.5229499999999997E-2</v>
      </c>
      <c r="J79" s="21">
        <v>69</v>
      </c>
      <c r="K79" s="21">
        <v>0.35134900000000002</v>
      </c>
      <c r="L79">
        <f t="shared" si="12"/>
        <v>35.229499999999994</v>
      </c>
      <c r="M79">
        <f t="shared" si="13"/>
        <v>12.423013814499999</v>
      </c>
      <c r="N79" s="9"/>
      <c r="O79" s="21">
        <v>0.247498</v>
      </c>
      <c r="P79" s="21">
        <v>79.278099999999995</v>
      </c>
      <c r="Q79" s="21">
        <v>-3.5379000000000001E-2</v>
      </c>
      <c r="R79" s="21">
        <v>69</v>
      </c>
      <c r="S79" s="21">
        <v>0.246277</v>
      </c>
      <c r="T79">
        <f t="shared" si="14"/>
        <v>35.378999999999998</v>
      </c>
      <c r="U79">
        <f t="shared" si="15"/>
        <v>8.7562317419999989</v>
      </c>
      <c r="X79" s="9"/>
      <c r="Y79" s="21">
        <v>0.35263100000000003</v>
      </c>
      <c r="Z79" s="21">
        <v>82.526700000000005</v>
      </c>
      <c r="AA79" s="21">
        <v>-3.5238600000000002E-2</v>
      </c>
      <c r="AB79" s="21">
        <v>69</v>
      </c>
      <c r="AC79" s="21">
        <v>0.351379</v>
      </c>
      <c r="AD79">
        <f t="shared" si="16"/>
        <v>35.238600000000005</v>
      </c>
      <c r="AE79">
        <f t="shared" si="17"/>
        <v>12.426222756600003</v>
      </c>
      <c r="AF79" s="9"/>
      <c r="AG79" s="21">
        <v>0.247498</v>
      </c>
      <c r="AH79" s="21">
        <v>85.505300000000005</v>
      </c>
      <c r="AI79" s="21">
        <v>-3.5403400000000002E-2</v>
      </c>
      <c r="AJ79" s="21">
        <v>69</v>
      </c>
      <c r="AK79" s="21">
        <v>0.246277</v>
      </c>
      <c r="AL79">
        <f t="shared" si="18"/>
        <v>35.403400000000005</v>
      </c>
      <c r="AM79">
        <f t="shared" si="19"/>
        <v>8.7622706932000014</v>
      </c>
      <c r="AP79" s="9"/>
      <c r="AQ79" s="21">
        <v>0.35263100000000003</v>
      </c>
      <c r="AR79" s="21">
        <v>88.240799999999993</v>
      </c>
      <c r="AS79" s="21">
        <v>-3.5293600000000001E-2</v>
      </c>
      <c r="AT79" s="21">
        <v>69</v>
      </c>
      <c r="AU79" s="21">
        <v>0.35141</v>
      </c>
      <c r="AV79">
        <f t="shared" si="20"/>
        <v>35.293599999999998</v>
      </c>
      <c r="AW79">
        <f t="shared" si="21"/>
        <v>12.445617461599999</v>
      </c>
      <c r="AX79" s="9"/>
      <c r="AY79" s="21">
        <v>0.247498</v>
      </c>
      <c r="AZ79" s="21">
        <v>91.011399999999995</v>
      </c>
      <c r="BA79" s="21">
        <v>-3.5305799999999998E-2</v>
      </c>
      <c r="BB79" s="21">
        <v>69</v>
      </c>
      <c r="BC79" s="21">
        <v>0.24624599999999999</v>
      </c>
      <c r="BD79">
        <f t="shared" si="22"/>
        <v>35.305799999999998</v>
      </c>
      <c r="BE79">
        <f t="shared" si="23"/>
        <v>8.7381148884000002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0.34759499999999999</v>
      </c>
      <c r="H80" s="21">
        <v>46.11</v>
      </c>
      <c r="I80" s="21">
        <v>-3.5229499999999997E-2</v>
      </c>
      <c r="J80" s="21">
        <v>70</v>
      </c>
      <c r="K80" s="21">
        <v>0.34640500000000002</v>
      </c>
      <c r="L80">
        <f t="shared" si="12"/>
        <v>35.229499999999994</v>
      </c>
      <c r="M80">
        <f t="shared" si="13"/>
        <v>12.245598052499998</v>
      </c>
      <c r="N80" s="9"/>
      <c r="O80" s="21">
        <v>0.25253300000000001</v>
      </c>
      <c r="P80" s="21">
        <v>79.288200000000003</v>
      </c>
      <c r="Q80" s="21">
        <v>-3.5366799999999997E-2</v>
      </c>
      <c r="R80" s="21">
        <v>70</v>
      </c>
      <c r="S80" s="21">
        <v>0.251251</v>
      </c>
      <c r="T80">
        <f t="shared" si="14"/>
        <v>35.366799999999998</v>
      </c>
      <c r="U80">
        <f t="shared" si="15"/>
        <v>8.9312841043999995</v>
      </c>
      <c r="X80" s="9"/>
      <c r="Y80" s="21">
        <v>0.34759499999999999</v>
      </c>
      <c r="Z80" s="21">
        <v>82.536699999999996</v>
      </c>
      <c r="AA80" s="21">
        <v>-3.5256999999999997E-2</v>
      </c>
      <c r="AB80" s="21">
        <v>70</v>
      </c>
      <c r="AC80" s="21">
        <v>0.34631299999999998</v>
      </c>
      <c r="AD80">
        <f t="shared" si="16"/>
        <v>35.256999999999998</v>
      </c>
      <c r="AE80">
        <f t="shared" si="17"/>
        <v>12.255156914999999</v>
      </c>
      <c r="AF80" s="9"/>
      <c r="AG80" s="21">
        <v>0.25253300000000001</v>
      </c>
      <c r="AH80" s="21">
        <v>85.515299999999996</v>
      </c>
      <c r="AI80" s="21">
        <v>-3.5400399999999999E-2</v>
      </c>
      <c r="AJ80" s="21">
        <v>70</v>
      </c>
      <c r="AK80" s="21">
        <v>0.251251</v>
      </c>
      <c r="AL80">
        <f t="shared" si="18"/>
        <v>35.400399999999998</v>
      </c>
      <c r="AM80">
        <f t="shared" si="19"/>
        <v>8.9397692132</v>
      </c>
      <c r="AP80" s="9"/>
      <c r="AQ80" s="21">
        <v>0.34759499999999999</v>
      </c>
      <c r="AR80" s="21">
        <v>88.250900000000001</v>
      </c>
      <c r="AS80" s="21">
        <v>-3.5308800000000001E-2</v>
      </c>
      <c r="AT80" s="21">
        <v>70</v>
      </c>
      <c r="AU80" s="21">
        <v>0.34622199999999997</v>
      </c>
      <c r="AV80">
        <f t="shared" si="20"/>
        <v>35.308799999999998</v>
      </c>
      <c r="AW80">
        <f t="shared" si="21"/>
        <v>12.273162335999999</v>
      </c>
      <c r="AX80" s="9"/>
      <c r="AY80" s="21">
        <v>0.25253300000000001</v>
      </c>
      <c r="AZ80" s="21">
        <v>91.021500000000003</v>
      </c>
      <c r="BA80" s="21">
        <v>-3.5287499999999999E-2</v>
      </c>
      <c r="BB80" s="21">
        <v>70</v>
      </c>
      <c r="BC80" s="21">
        <v>0.251251</v>
      </c>
      <c r="BD80">
        <f t="shared" si="22"/>
        <v>35.287500000000001</v>
      </c>
      <c r="BE80">
        <f t="shared" si="23"/>
        <v>8.9112582375000002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0.34255999999999998</v>
      </c>
      <c r="H81" s="21">
        <v>46.120100000000001</v>
      </c>
      <c r="I81" s="21">
        <v>-3.52325E-2</v>
      </c>
      <c r="J81" s="21">
        <v>71</v>
      </c>
      <c r="K81" s="21">
        <v>0.34127800000000003</v>
      </c>
      <c r="L81">
        <f t="shared" si="12"/>
        <v>35.232500000000002</v>
      </c>
      <c r="M81">
        <f t="shared" si="13"/>
        <v>12.069245199999999</v>
      </c>
      <c r="N81" s="9"/>
      <c r="O81" s="21">
        <v>0.25756800000000002</v>
      </c>
      <c r="P81" s="21">
        <v>79.298199999999994</v>
      </c>
      <c r="Q81" s="21">
        <v>-3.5351599999999997E-2</v>
      </c>
      <c r="R81" s="21">
        <v>71</v>
      </c>
      <c r="S81" s="21">
        <v>0.25625599999999998</v>
      </c>
      <c r="T81">
        <f t="shared" si="14"/>
        <v>35.351599999999998</v>
      </c>
      <c r="U81">
        <f t="shared" si="15"/>
        <v>9.1054409088000003</v>
      </c>
      <c r="X81" s="9"/>
      <c r="Y81" s="21">
        <v>0.34255999999999998</v>
      </c>
      <c r="Z81" s="21">
        <v>82.546800000000005</v>
      </c>
      <c r="AA81" s="21">
        <v>-3.5281399999999997E-2</v>
      </c>
      <c r="AB81" s="21">
        <v>71</v>
      </c>
      <c r="AC81" s="21">
        <v>0.341248</v>
      </c>
      <c r="AD81">
        <f t="shared" si="16"/>
        <v>35.281399999999998</v>
      </c>
      <c r="AE81">
        <f t="shared" si="17"/>
        <v>12.085996383999998</v>
      </c>
      <c r="AF81" s="9"/>
      <c r="AG81" s="21">
        <v>0.25756800000000002</v>
      </c>
      <c r="AH81" s="21">
        <v>85.525400000000005</v>
      </c>
      <c r="AI81" s="21">
        <v>-3.5394299999999997E-2</v>
      </c>
      <c r="AJ81" s="21">
        <v>71</v>
      </c>
      <c r="AK81" s="21">
        <v>0.25634800000000002</v>
      </c>
      <c r="AL81">
        <f t="shared" si="18"/>
        <v>35.394299999999994</v>
      </c>
      <c r="AM81">
        <f t="shared" si="19"/>
        <v>9.1164390623999996</v>
      </c>
      <c r="AP81" s="9"/>
      <c r="AQ81" s="21">
        <v>0.34255999999999998</v>
      </c>
      <c r="AR81" s="21">
        <v>88.260999999999996</v>
      </c>
      <c r="AS81" s="21">
        <v>-3.5320999999999998E-2</v>
      </c>
      <c r="AT81" s="21">
        <v>71</v>
      </c>
      <c r="AU81" s="21">
        <v>0.34130899999999997</v>
      </c>
      <c r="AV81">
        <f t="shared" si="20"/>
        <v>35.320999999999998</v>
      </c>
      <c r="AW81">
        <f t="shared" si="21"/>
        <v>12.099561759999999</v>
      </c>
      <c r="AX81" s="9"/>
      <c r="AY81" s="21">
        <v>0.25756800000000002</v>
      </c>
      <c r="AZ81" s="21">
        <v>91.031499999999994</v>
      </c>
      <c r="BA81" s="21">
        <v>-3.5287499999999999E-2</v>
      </c>
      <c r="BB81" s="21">
        <v>71</v>
      </c>
      <c r="BC81" s="21">
        <v>0.25628699999999999</v>
      </c>
      <c r="BD81">
        <f t="shared" si="22"/>
        <v>35.287500000000001</v>
      </c>
      <c r="BE81">
        <f t="shared" si="23"/>
        <v>9.0889308000000018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0.33752399999999999</v>
      </c>
      <c r="H82" s="21">
        <v>46.130200000000002</v>
      </c>
      <c r="I82" s="21">
        <v>-3.5220300000000003E-2</v>
      </c>
      <c r="J82" s="21">
        <v>72</v>
      </c>
      <c r="K82" s="21">
        <v>0.33627299999999999</v>
      </c>
      <c r="L82">
        <f t="shared" si="12"/>
        <v>35.220300000000002</v>
      </c>
      <c r="M82">
        <f t="shared" si="13"/>
        <v>11.8876965372</v>
      </c>
      <c r="N82" s="9"/>
      <c r="O82" s="21">
        <v>0.262604</v>
      </c>
      <c r="P82" s="21">
        <v>79.308300000000003</v>
      </c>
      <c r="Q82" s="21">
        <v>-3.5342400000000003E-2</v>
      </c>
      <c r="R82" s="21">
        <v>72</v>
      </c>
      <c r="S82" s="21">
        <v>0.26129200000000002</v>
      </c>
      <c r="T82">
        <f t="shared" si="14"/>
        <v>35.342400000000005</v>
      </c>
      <c r="U82">
        <f t="shared" si="15"/>
        <v>9.281055609600001</v>
      </c>
      <c r="X82" s="9"/>
      <c r="Y82" s="21">
        <v>0.33752399999999999</v>
      </c>
      <c r="Z82" s="21">
        <v>82.556899999999999</v>
      </c>
      <c r="AA82" s="21">
        <v>-3.5296599999999997E-2</v>
      </c>
      <c r="AB82" s="21">
        <v>72</v>
      </c>
      <c r="AC82" s="21">
        <v>0.33627299999999999</v>
      </c>
      <c r="AD82">
        <f t="shared" si="16"/>
        <v>35.296599999999998</v>
      </c>
      <c r="AE82">
        <f t="shared" si="17"/>
        <v>11.9134496184</v>
      </c>
      <c r="AF82" s="9"/>
      <c r="AG82" s="21">
        <v>0.262604</v>
      </c>
      <c r="AH82" s="21">
        <v>85.535499999999999</v>
      </c>
      <c r="AI82" s="21">
        <v>-3.5385100000000003E-2</v>
      </c>
      <c r="AJ82" s="21">
        <v>72</v>
      </c>
      <c r="AK82" s="21">
        <v>0.261322</v>
      </c>
      <c r="AL82">
        <f t="shared" si="18"/>
        <v>35.385100000000001</v>
      </c>
      <c r="AM82">
        <f t="shared" si="19"/>
        <v>9.2922688004000005</v>
      </c>
      <c r="AP82" s="9"/>
      <c r="AQ82" s="21">
        <v>0.33752399999999999</v>
      </c>
      <c r="AR82" s="21">
        <v>88.271000000000001</v>
      </c>
      <c r="AS82" s="21">
        <v>-3.5318000000000002E-2</v>
      </c>
      <c r="AT82" s="21">
        <v>72</v>
      </c>
      <c r="AU82" s="21">
        <v>0.33624300000000001</v>
      </c>
      <c r="AV82">
        <f t="shared" si="20"/>
        <v>35.318000000000005</v>
      </c>
      <c r="AW82">
        <f t="shared" si="21"/>
        <v>11.920672632</v>
      </c>
      <c r="AX82" s="9"/>
      <c r="AY82" s="21">
        <v>0.262604</v>
      </c>
      <c r="AZ82" s="21">
        <v>91.041600000000003</v>
      </c>
      <c r="BA82" s="21">
        <v>-3.5275300000000002E-2</v>
      </c>
      <c r="BB82" s="21">
        <v>72</v>
      </c>
      <c r="BC82" s="21">
        <v>0.261322</v>
      </c>
      <c r="BD82">
        <f t="shared" si="22"/>
        <v>35.275300000000001</v>
      </c>
      <c r="BE82">
        <f t="shared" si="23"/>
        <v>9.2634348812000002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0.33248899999999998</v>
      </c>
      <c r="H83" s="21">
        <v>46.140300000000003</v>
      </c>
      <c r="I83" s="21">
        <v>-3.52173E-2</v>
      </c>
      <c r="J83" s="21">
        <v>73</v>
      </c>
      <c r="K83" s="21">
        <v>0.33120699999999997</v>
      </c>
      <c r="L83">
        <f t="shared" si="12"/>
        <v>35.217300000000002</v>
      </c>
      <c r="M83">
        <f t="shared" si="13"/>
        <v>11.709364859699999</v>
      </c>
      <c r="N83" s="9"/>
      <c r="O83" s="21">
        <v>0.26763900000000002</v>
      </c>
      <c r="P83" s="21">
        <v>79.318399999999997</v>
      </c>
      <c r="Q83" s="21">
        <v>-3.5324099999999997E-2</v>
      </c>
      <c r="R83" s="21">
        <v>73</v>
      </c>
      <c r="S83" s="21">
        <v>0.26644899999999999</v>
      </c>
      <c r="T83">
        <f t="shared" si="14"/>
        <v>35.324099999999994</v>
      </c>
      <c r="U83">
        <f t="shared" si="15"/>
        <v>9.4541067998999999</v>
      </c>
      <c r="X83" s="9"/>
      <c r="Y83" s="21">
        <v>0.33248899999999998</v>
      </c>
      <c r="Z83" s="21">
        <v>82.566999999999993</v>
      </c>
      <c r="AA83" s="21">
        <v>-3.5299700000000003E-2</v>
      </c>
      <c r="AB83" s="21">
        <v>73</v>
      </c>
      <c r="AC83" s="21">
        <v>0.33123799999999998</v>
      </c>
      <c r="AD83">
        <f t="shared" si="16"/>
        <v>35.299700000000001</v>
      </c>
      <c r="AE83">
        <f t="shared" si="17"/>
        <v>11.7367619533</v>
      </c>
      <c r="AF83" s="9"/>
      <c r="AG83" s="21">
        <v>0.26763900000000002</v>
      </c>
      <c r="AH83" s="21">
        <v>85.545500000000004</v>
      </c>
      <c r="AI83" s="21">
        <v>-3.5379000000000001E-2</v>
      </c>
      <c r="AJ83" s="21">
        <v>73</v>
      </c>
      <c r="AK83" s="21">
        <v>0.26635700000000001</v>
      </c>
      <c r="AL83">
        <f t="shared" si="18"/>
        <v>35.378999999999998</v>
      </c>
      <c r="AM83">
        <f t="shared" si="19"/>
        <v>9.4688001810000006</v>
      </c>
      <c r="AP83" s="9"/>
      <c r="AQ83" s="21">
        <v>0.33248899999999998</v>
      </c>
      <c r="AR83" s="21">
        <v>88.281099999999995</v>
      </c>
      <c r="AS83" s="21">
        <v>-3.53271E-2</v>
      </c>
      <c r="AT83" s="21">
        <v>73</v>
      </c>
      <c r="AU83" s="21">
        <v>0.33126800000000001</v>
      </c>
      <c r="AV83">
        <f t="shared" si="20"/>
        <v>35.327100000000002</v>
      </c>
      <c r="AW83">
        <f t="shared" si="21"/>
        <v>11.7458721519</v>
      </c>
      <c r="AX83" s="9"/>
      <c r="AY83" s="21">
        <v>0.26763900000000002</v>
      </c>
      <c r="AZ83" s="21">
        <v>91.051699999999997</v>
      </c>
      <c r="BA83" s="21">
        <v>-3.5256999999999997E-2</v>
      </c>
      <c r="BB83" s="21">
        <v>73</v>
      </c>
      <c r="BC83" s="21">
        <v>0.26638800000000001</v>
      </c>
      <c r="BD83">
        <f t="shared" si="22"/>
        <v>35.256999999999998</v>
      </c>
      <c r="BE83">
        <f t="shared" si="23"/>
        <v>9.436148223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0.32745400000000002</v>
      </c>
      <c r="H84" s="21">
        <v>46.150300000000001</v>
      </c>
      <c r="I84" s="21">
        <v>-3.5223400000000002E-2</v>
      </c>
      <c r="J84" s="21">
        <v>74</v>
      </c>
      <c r="K84" s="21">
        <v>0.32617200000000002</v>
      </c>
      <c r="L84">
        <f t="shared" si="12"/>
        <v>35.223400000000005</v>
      </c>
      <c r="M84">
        <f t="shared" si="13"/>
        <v>11.534043223600003</v>
      </c>
      <c r="N84" s="9"/>
      <c r="O84" s="21">
        <v>0.272675</v>
      </c>
      <c r="P84" s="21">
        <v>79.328400000000002</v>
      </c>
      <c r="Q84" s="21">
        <v>-3.5330199999999999E-2</v>
      </c>
      <c r="R84" s="21">
        <v>74</v>
      </c>
      <c r="S84" s="21">
        <v>0.27145399999999997</v>
      </c>
      <c r="T84">
        <f t="shared" si="14"/>
        <v>35.330199999999998</v>
      </c>
      <c r="U84">
        <f t="shared" si="15"/>
        <v>9.6336622849999998</v>
      </c>
      <c r="X84" s="9"/>
      <c r="Y84" s="21">
        <v>0.32745400000000002</v>
      </c>
      <c r="Z84" s="21">
        <v>82.576999999999998</v>
      </c>
      <c r="AA84" s="21">
        <v>-3.5308800000000001E-2</v>
      </c>
      <c r="AB84" s="21">
        <v>74</v>
      </c>
      <c r="AC84" s="21">
        <v>0.32629399999999997</v>
      </c>
      <c r="AD84">
        <f t="shared" si="16"/>
        <v>35.308799999999998</v>
      </c>
      <c r="AE84">
        <f t="shared" si="17"/>
        <v>11.5620077952</v>
      </c>
      <c r="AF84" s="9"/>
      <c r="AG84" s="21">
        <v>0.272675</v>
      </c>
      <c r="AH84" s="21">
        <v>85.555599999999998</v>
      </c>
      <c r="AI84" s="21">
        <v>-3.5366799999999997E-2</v>
      </c>
      <c r="AJ84" s="21">
        <v>74</v>
      </c>
      <c r="AK84" s="21">
        <v>0.27142300000000003</v>
      </c>
      <c r="AL84">
        <f t="shared" si="18"/>
        <v>35.366799999999998</v>
      </c>
      <c r="AM84">
        <f t="shared" si="19"/>
        <v>9.6436421899999996</v>
      </c>
      <c r="AP84" s="9"/>
      <c r="AQ84" s="21">
        <v>0.32745400000000002</v>
      </c>
      <c r="AR84" s="21">
        <v>88.291200000000003</v>
      </c>
      <c r="AS84" s="21">
        <v>-3.53394E-2</v>
      </c>
      <c r="AT84" s="21">
        <v>74</v>
      </c>
      <c r="AU84" s="21">
        <v>0.32614100000000001</v>
      </c>
      <c r="AV84">
        <f t="shared" si="20"/>
        <v>35.339399999999998</v>
      </c>
      <c r="AW84">
        <f t="shared" si="21"/>
        <v>11.572027887600001</v>
      </c>
      <c r="AX84" s="9"/>
      <c r="AY84" s="21">
        <v>0.272675</v>
      </c>
      <c r="AZ84" s="21">
        <v>91.061700000000002</v>
      </c>
      <c r="BA84" s="21">
        <v>-3.5250900000000002E-2</v>
      </c>
      <c r="BB84" s="21">
        <v>74</v>
      </c>
      <c r="BC84" s="21">
        <v>0.27145399999999997</v>
      </c>
      <c r="BD84">
        <f t="shared" si="22"/>
        <v>35.250900000000001</v>
      </c>
      <c r="BE84">
        <f t="shared" si="23"/>
        <v>9.6120391574999999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0.32241799999999998</v>
      </c>
      <c r="H85" s="21">
        <v>46.160400000000003</v>
      </c>
      <c r="I85" s="21">
        <v>-3.5226399999999998E-2</v>
      </c>
      <c r="J85" s="21">
        <v>75</v>
      </c>
      <c r="K85" s="21">
        <v>0.321075</v>
      </c>
      <c r="L85">
        <f t="shared" si="12"/>
        <v>35.226399999999998</v>
      </c>
      <c r="M85">
        <f t="shared" si="13"/>
        <v>11.357625435199999</v>
      </c>
      <c r="N85" s="9"/>
      <c r="O85" s="21">
        <v>0.27771000000000001</v>
      </c>
      <c r="P85" s="21">
        <v>79.338499999999996</v>
      </c>
      <c r="Q85" s="21">
        <v>-3.5320999999999998E-2</v>
      </c>
      <c r="R85" s="21">
        <v>75</v>
      </c>
      <c r="S85" s="21">
        <v>0.27642800000000001</v>
      </c>
      <c r="T85">
        <f t="shared" si="14"/>
        <v>35.320999999999998</v>
      </c>
      <c r="U85">
        <f t="shared" si="15"/>
        <v>9.8089949099999991</v>
      </c>
      <c r="X85" s="9"/>
      <c r="Y85" s="21">
        <v>0.32241799999999998</v>
      </c>
      <c r="Z85" s="21">
        <v>82.587100000000007</v>
      </c>
      <c r="AA85" s="21">
        <v>-3.5318000000000002E-2</v>
      </c>
      <c r="AB85" s="21">
        <v>75</v>
      </c>
      <c r="AC85" s="21">
        <v>0.32119799999999998</v>
      </c>
      <c r="AD85">
        <f t="shared" si="16"/>
        <v>35.318000000000005</v>
      </c>
      <c r="AE85">
        <f t="shared" si="17"/>
        <v>11.387158924000001</v>
      </c>
      <c r="AF85" s="9"/>
      <c r="AG85" s="21">
        <v>0.27771000000000001</v>
      </c>
      <c r="AH85" s="21">
        <v>85.565700000000007</v>
      </c>
      <c r="AI85" s="21">
        <v>-3.5360700000000002E-2</v>
      </c>
      <c r="AJ85" s="21">
        <v>75</v>
      </c>
      <c r="AK85" s="21">
        <v>0.27645900000000001</v>
      </c>
      <c r="AL85">
        <f t="shared" si="18"/>
        <v>35.360700000000001</v>
      </c>
      <c r="AM85">
        <f t="shared" si="19"/>
        <v>9.8200199970000011</v>
      </c>
      <c r="AP85" s="9"/>
      <c r="AQ85" s="21">
        <v>0.32241799999999998</v>
      </c>
      <c r="AR85" s="21">
        <v>88.301199999999994</v>
      </c>
      <c r="AS85" s="21">
        <v>-3.5345500000000002E-2</v>
      </c>
      <c r="AT85" s="21">
        <v>75</v>
      </c>
      <c r="AU85" s="21">
        <v>0.32119799999999998</v>
      </c>
      <c r="AV85">
        <f t="shared" si="20"/>
        <v>35.345500000000001</v>
      </c>
      <c r="AW85">
        <f t="shared" si="21"/>
        <v>11.396025418999999</v>
      </c>
      <c r="AX85" s="9"/>
      <c r="AY85" s="21">
        <v>0.27771000000000001</v>
      </c>
      <c r="AZ85" s="21">
        <v>91.071799999999996</v>
      </c>
      <c r="BA85" s="21">
        <v>-3.5263099999999999E-2</v>
      </c>
      <c r="BB85" s="21">
        <v>75</v>
      </c>
      <c r="BC85" s="21">
        <v>0.27655000000000002</v>
      </c>
      <c r="BD85">
        <f t="shared" si="22"/>
        <v>35.263100000000001</v>
      </c>
      <c r="BE85">
        <f t="shared" si="23"/>
        <v>9.7929155010000013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0.31738300000000003</v>
      </c>
      <c r="H86" s="21">
        <v>46.170499999999997</v>
      </c>
      <c r="I86" s="21">
        <v>-3.5247800000000003E-2</v>
      </c>
      <c r="J86" s="21">
        <v>76</v>
      </c>
      <c r="K86" s="21">
        <v>0.31610100000000002</v>
      </c>
      <c r="L86">
        <f t="shared" si="12"/>
        <v>35.247800000000005</v>
      </c>
      <c r="M86">
        <f t="shared" si="13"/>
        <v>11.187052507400002</v>
      </c>
      <c r="N86" s="9"/>
      <c r="O86" s="21">
        <v>0.28274500000000002</v>
      </c>
      <c r="P86" s="21">
        <v>79.348600000000005</v>
      </c>
      <c r="Q86" s="21">
        <v>-3.5318000000000002E-2</v>
      </c>
      <c r="R86" s="21">
        <v>76</v>
      </c>
      <c r="S86" s="21">
        <v>0.28146399999999999</v>
      </c>
      <c r="T86">
        <f t="shared" si="14"/>
        <v>35.318000000000005</v>
      </c>
      <c r="U86">
        <f t="shared" si="15"/>
        <v>9.9859879100000022</v>
      </c>
      <c r="X86" s="9"/>
      <c r="Y86" s="21">
        <v>0.31738300000000003</v>
      </c>
      <c r="Z86" s="21">
        <v>82.597200000000001</v>
      </c>
      <c r="AA86" s="21">
        <v>-3.5320999999999998E-2</v>
      </c>
      <c r="AB86" s="21">
        <v>76</v>
      </c>
      <c r="AC86" s="21">
        <v>0.31610100000000002</v>
      </c>
      <c r="AD86">
        <f t="shared" si="16"/>
        <v>35.320999999999998</v>
      </c>
      <c r="AE86">
        <f t="shared" si="17"/>
        <v>11.210284943</v>
      </c>
      <c r="AF86" s="9"/>
      <c r="AG86" s="21">
        <v>0.28274500000000002</v>
      </c>
      <c r="AH86" s="21">
        <v>85.575699999999998</v>
      </c>
      <c r="AI86" s="21">
        <v>-3.5357699999999999E-2</v>
      </c>
      <c r="AJ86" s="21">
        <v>76</v>
      </c>
      <c r="AK86" s="21">
        <v>0.28149400000000002</v>
      </c>
      <c r="AL86">
        <f t="shared" si="18"/>
        <v>35.357700000000001</v>
      </c>
      <c r="AM86">
        <f t="shared" si="19"/>
        <v>9.9972128865000016</v>
      </c>
      <c r="AP86" s="9"/>
      <c r="AQ86" s="21">
        <v>0.31738300000000003</v>
      </c>
      <c r="AR86" s="21">
        <v>88.311300000000003</v>
      </c>
      <c r="AS86" s="21">
        <v>-3.53546E-2</v>
      </c>
      <c r="AT86" s="21">
        <v>76</v>
      </c>
      <c r="AU86" s="21">
        <v>0.31603999999999999</v>
      </c>
      <c r="AV86">
        <f t="shared" si="20"/>
        <v>35.354599999999998</v>
      </c>
      <c r="AW86">
        <f t="shared" si="21"/>
        <v>11.2209490118</v>
      </c>
      <c r="AX86" s="9"/>
      <c r="AY86" s="21">
        <v>0.28274500000000002</v>
      </c>
      <c r="AZ86" s="21">
        <v>91.081900000000005</v>
      </c>
      <c r="BA86" s="21">
        <v>-3.5263099999999999E-2</v>
      </c>
      <c r="BB86" s="21">
        <v>76</v>
      </c>
      <c r="BC86" s="21">
        <v>0.28146399999999999</v>
      </c>
      <c r="BD86">
        <f t="shared" si="22"/>
        <v>35.263100000000001</v>
      </c>
      <c r="BE86">
        <f t="shared" si="23"/>
        <v>9.9704652095000021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0.31234699999999999</v>
      </c>
      <c r="H87" s="21">
        <v>46.180500000000002</v>
      </c>
      <c r="I87" s="21">
        <v>-3.5256999999999997E-2</v>
      </c>
      <c r="J87" s="21">
        <v>77</v>
      </c>
      <c r="K87" s="21">
        <v>0.31106600000000001</v>
      </c>
      <c r="L87">
        <f t="shared" si="12"/>
        <v>35.256999999999998</v>
      </c>
      <c r="M87">
        <f t="shared" si="13"/>
        <v>11.012418178999999</v>
      </c>
      <c r="N87" s="9"/>
      <c r="O87" s="21">
        <v>0.28778100000000001</v>
      </c>
      <c r="P87" s="21">
        <v>79.358699999999999</v>
      </c>
      <c r="Q87" s="21">
        <v>-3.5305799999999998E-2</v>
      </c>
      <c r="R87" s="21">
        <v>77</v>
      </c>
      <c r="S87" s="21">
        <v>0.28653000000000001</v>
      </c>
      <c r="T87">
        <f t="shared" si="14"/>
        <v>35.305799999999998</v>
      </c>
      <c r="U87">
        <f t="shared" si="15"/>
        <v>10.160338429799999</v>
      </c>
      <c r="X87" s="9"/>
      <c r="Y87" s="21">
        <v>0.31234699999999999</v>
      </c>
      <c r="Z87" s="21">
        <v>82.607200000000006</v>
      </c>
      <c r="AA87" s="21">
        <v>-3.5299700000000003E-2</v>
      </c>
      <c r="AB87" s="21">
        <v>77</v>
      </c>
      <c r="AC87" s="21">
        <v>0.31109599999999998</v>
      </c>
      <c r="AD87">
        <f t="shared" si="16"/>
        <v>35.299700000000001</v>
      </c>
      <c r="AE87">
        <f t="shared" si="17"/>
        <v>11.025755395899999</v>
      </c>
      <c r="AF87" s="9"/>
      <c r="AG87" s="21">
        <v>0.28778100000000001</v>
      </c>
      <c r="AH87" s="21">
        <v>85.585800000000006</v>
      </c>
      <c r="AI87" s="21">
        <v>-3.5366799999999997E-2</v>
      </c>
      <c r="AJ87" s="21">
        <v>77</v>
      </c>
      <c r="AK87" s="21">
        <v>0.28665200000000002</v>
      </c>
      <c r="AL87">
        <f t="shared" si="18"/>
        <v>35.366799999999998</v>
      </c>
      <c r="AM87">
        <f t="shared" si="19"/>
        <v>10.1778930708</v>
      </c>
      <c r="AP87" s="9"/>
      <c r="AQ87" s="21">
        <v>0.31234699999999999</v>
      </c>
      <c r="AR87" s="21">
        <v>88.321399999999997</v>
      </c>
      <c r="AS87" s="21">
        <v>-3.5369900000000003E-2</v>
      </c>
      <c r="AT87" s="21">
        <v>77</v>
      </c>
      <c r="AU87" s="21">
        <v>0.31118800000000002</v>
      </c>
      <c r="AV87">
        <f t="shared" si="20"/>
        <v>35.369900000000001</v>
      </c>
      <c r="AW87">
        <f t="shared" si="21"/>
        <v>11.0476821553</v>
      </c>
      <c r="AX87" s="9"/>
      <c r="AY87" s="21">
        <v>0.28778100000000001</v>
      </c>
      <c r="AZ87" s="21">
        <v>91.091999999999999</v>
      </c>
      <c r="BA87" s="21">
        <v>-3.5263099999999999E-2</v>
      </c>
      <c r="BB87" s="21">
        <v>77</v>
      </c>
      <c r="BC87" s="21">
        <v>0.28646899999999997</v>
      </c>
      <c r="BD87">
        <f t="shared" si="22"/>
        <v>35.263100000000001</v>
      </c>
      <c r="BE87">
        <f t="shared" si="23"/>
        <v>10.1480501811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0.30731199999999997</v>
      </c>
      <c r="H88" s="21">
        <v>46.190600000000003</v>
      </c>
      <c r="I88" s="21">
        <v>-3.5256999999999997E-2</v>
      </c>
      <c r="J88" s="21">
        <v>78</v>
      </c>
      <c r="K88" s="21">
        <v>0.306091</v>
      </c>
      <c r="L88">
        <f t="shared" si="12"/>
        <v>35.256999999999998</v>
      </c>
      <c r="M88">
        <f t="shared" si="13"/>
        <v>10.834899183999999</v>
      </c>
      <c r="N88" s="9"/>
      <c r="O88" s="21">
        <v>0.29281600000000002</v>
      </c>
      <c r="P88" s="21">
        <v>79.368700000000004</v>
      </c>
      <c r="Q88" s="21">
        <v>-3.5293600000000001E-2</v>
      </c>
      <c r="R88" s="21">
        <v>78</v>
      </c>
      <c r="S88" s="21">
        <v>0.29153400000000002</v>
      </c>
      <c r="T88">
        <f t="shared" si="14"/>
        <v>35.293599999999998</v>
      </c>
      <c r="U88">
        <f t="shared" si="15"/>
        <v>10.334530777599999</v>
      </c>
      <c r="X88" s="9"/>
      <c r="Y88" s="21">
        <v>0.30731199999999997</v>
      </c>
      <c r="Z88" s="21">
        <v>82.6173</v>
      </c>
      <c r="AA88" s="21">
        <v>-3.5287499999999999E-2</v>
      </c>
      <c r="AB88" s="21">
        <v>78</v>
      </c>
      <c r="AC88" s="21">
        <v>0.30599999999999999</v>
      </c>
      <c r="AD88">
        <f t="shared" si="16"/>
        <v>35.287500000000001</v>
      </c>
      <c r="AE88">
        <f t="shared" si="17"/>
        <v>10.844272199999999</v>
      </c>
      <c r="AF88" s="9"/>
      <c r="AG88" s="21">
        <v>0.29281600000000002</v>
      </c>
      <c r="AH88" s="21">
        <v>85.5959</v>
      </c>
      <c r="AI88" s="21">
        <v>-3.5369900000000003E-2</v>
      </c>
      <c r="AJ88" s="21">
        <v>78</v>
      </c>
      <c r="AK88" s="21">
        <v>0.29153400000000002</v>
      </c>
      <c r="AL88">
        <f t="shared" si="18"/>
        <v>35.369900000000001</v>
      </c>
      <c r="AM88">
        <f t="shared" si="19"/>
        <v>10.3568726384</v>
      </c>
      <c r="AP88" s="9"/>
      <c r="AQ88" s="21">
        <v>0.30731199999999997</v>
      </c>
      <c r="AR88" s="21">
        <v>88.331500000000005</v>
      </c>
      <c r="AS88" s="21">
        <v>-3.5388200000000002E-2</v>
      </c>
      <c r="AT88" s="21">
        <v>78</v>
      </c>
      <c r="AU88" s="21">
        <v>0.30603000000000002</v>
      </c>
      <c r="AV88">
        <f t="shared" si="20"/>
        <v>35.388200000000005</v>
      </c>
      <c r="AW88">
        <f t="shared" si="21"/>
        <v>10.875218518400001</v>
      </c>
      <c r="AX88" s="9"/>
      <c r="AY88" s="21">
        <v>0.29281600000000002</v>
      </c>
      <c r="AZ88" s="21">
        <v>91.102000000000004</v>
      </c>
      <c r="BA88" s="21">
        <v>-3.526E-2</v>
      </c>
      <c r="BB88" s="21">
        <v>78</v>
      </c>
      <c r="BC88" s="21">
        <v>0.29159499999999999</v>
      </c>
      <c r="BD88">
        <f t="shared" si="22"/>
        <v>35.26</v>
      </c>
      <c r="BE88">
        <f t="shared" si="23"/>
        <v>10.32469216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0.30227700000000002</v>
      </c>
      <c r="H89" s="21">
        <v>46.200699999999998</v>
      </c>
      <c r="I89" s="21">
        <v>-3.5256999999999997E-2</v>
      </c>
      <c r="J89" s="21">
        <v>79</v>
      </c>
      <c r="K89" s="21">
        <v>0.30102499999999999</v>
      </c>
      <c r="L89">
        <f t="shared" si="12"/>
        <v>35.256999999999998</v>
      </c>
      <c r="M89">
        <f t="shared" si="13"/>
        <v>10.657380189</v>
      </c>
      <c r="N89" s="9"/>
      <c r="O89" s="21">
        <v>0.29785200000000001</v>
      </c>
      <c r="P89" s="21">
        <v>79.378799999999998</v>
      </c>
      <c r="Q89" s="21">
        <v>-3.5296599999999997E-2</v>
      </c>
      <c r="R89" s="21">
        <v>79</v>
      </c>
      <c r="S89" s="21">
        <v>0.29657</v>
      </c>
      <c r="T89">
        <f t="shared" si="14"/>
        <v>35.296599999999998</v>
      </c>
      <c r="U89">
        <f t="shared" si="15"/>
        <v>10.5131629032</v>
      </c>
      <c r="X89" s="9"/>
      <c r="Y89" s="21">
        <v>0.30227700000000002</v>
      </c>
      <c r="Z89" s="21">
        <v>82.627399999999994</v>
      </c>
      <c r="AA89" s="21">
        <v>-3.5278299999999999E-2</v>
      </c>
      <c r="AB89" s="21">
        <v>79</v>
      </c>
      <c r="AC89" s="21">
        <v>0.30102499999999999</v>
      </c>
      <c r="AD89">
        <f t="shared" si="16"/>
        <v>35.278300000000002</v>
      </c>
      <c r="AE89">
        <f t="shared" si="17"/>
        <v>10.663818689100001</v>
      </c>
      <c r="AF89" s="9"/>
      <c r="AG89" s="21">
        <v>0.29785200000000001</v>
      </c>
      <c r="AH89" s="21">
        <v>85.605999999999995</v>
      </c>
      <c r="AI89" s="21">
        <v>-3.5369900000000003E-2</v>
      </c>
      <c r="AJ89" s="21">
        <v>79</v>
      </c>
      <c r="AK89" s="21">
        <v>0.29657</v>
      </c>
      <c r="AL89">
        <f t="shared" si="18"/>
        <v>35.369900000000001</v>
      </c>
      <c r="AM89">
        <f t="shared" si="19"/>
        <v>10.534995454800001</v>
      </c>
      <c r="AP89" s="9"/>
      <c r="AQ89" s="21">
        <v>0.30227700000000002</v>
      </c>
      <c r="AR89" s="21">
        <v>88.341499999999996</v>
      </c>
      <c r="AS89" s="21">
        <v>-3.53821E-2</v>
      </c>
      <c r="AT89" s="21">
        <v>79</v>
      </c>
      <c r="AU89" s="21">
        <v>0.30099500000000001</v>
      </c>
      <c r="AV89">
        <f t="shared" si="20"/>
        <v>35.382100000000001</v>
      </c>
      <c r="AW89">
        <f t="shared" si="21"/>
        <v>10.695195041700002</v>
      </c>
      <c r="AX89" s="9"/>
      <c r="AY89" s="21">
        <v>0.29785200000000001</v>
      </c>
      <c r="AZ89" s="21">
        <v>91.112099999999998</v>
      </c>
      <c r="BA89" s="21">
        <v>-3.5253899999999998E-2</v>
      </c>
      <c r="BB89" s="21">
        <v>79</v>
      </c>
      <c r="BC89" s="21">
        <v>0.29657</v>
      </c>
      <c r="BD89">
        <f t="shared" si="22"/>
        <v>35.253899999999994</v>
      </c>
      <c r="BE89">
        <f t="shared" si="23"/>
        <v>10.500444622799998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0.29724099999999998</v>
      </c>
      <c r="H90" s="21">
        <v>46.210700000000003</v>
      </c>
      <c r="I90" s="21">
        <v>-3.52448E-2</v>
      </c>
      <c r="J90" s="21">
        <v>80</v>
      </c>
      <c r="K90" s="21">
        <v>0.29602099999999998</v>
      </c>
      <c r="L90">
        <f t="shared" si="12"/>
        <v>35.244799999999998</v>
      </c>
      <c r="M90">
        <f t="shared" si="13"/>
        <v>10.476199596799999</v>
      </c>
      <c r="N90" s="9"/>
      <c r="O90" s="21">
        <v>0.30288700000000002</v>
      </c>
      <c r="P90" s="21">
        <v>79.388900000000007</v>
      </c>
      <c r="Q90" s="21">
        <v>-3.5308800000000001E-2</v>
      </c>
      <c r="R90" s="21">
        <v>80</v>
      </c>
      <c r="S90" s="21">
        <v>0.30160500000000001</v>
      </c>
      <c r="T90">
        <f t="shared" si="14"/>
        <v>35.308799999999998</v>
      </c>
      <c r="U90">
        <f t="shared" si="15"/>
        <v>10.694576505600001</v>
      </c>
      <c r="X90" s="9"/>
      <c r="Y90" s="21">
        <v>0.29724099999999998</v>
      </c>
      <c r="Z90" s="21">
        <v>82.637500000000003</v>
      </c>
      <c r="AA90" s="21">
        <v>-3.52844E-2</v>
      </c>
      <c r="AB90" s="21">
        <v>80</v>
      </c>
      <c r="AC90" s="21">
        <v>0.29595900000000003</v>
      </c>
      <c r="AD90">
        <f t="shared" si="16"/>
        <v>35.284399999999998</v>
      </c>
      <c r="AE90">
        <f t="shared" si="17"/>
        <v>10.487970340399999</v>
      </c>
      <c r="AF90" s="9"/>
      <c r="AG90" s="21">
        <v>0.30288700000000002</v>
      </c>
      <c r="AH90" s="21">
        <v>85.616</v>
      </c>
      <c r="AI90" s="21">
        <v>-3.5360700000000002E-2</v>
      </c>
      <c r="AJ90" s="21">
        <v>80</v>
      </c>
      <c r="AK90" s="21">
        <v>0.30166599999999999</v>
      </c>
      <c r="AL90">
        <f t="shared" si="18"/>
        <v>35.360700000000001</v>
      </c>
      <c r="AM90">
        <f t="shared" si="19"/>
        <v>10.710296340900001</v>
      </c>
      <c r="AP90" s="9"/>
      <c r="AQ90" s="21">
        <v>0.29724099999999998</v>
      </c>
      <c r="AR90" s="21">
        <v>88.351600000000005</v>
      </c>
      <c r="AS90" s="21">
        <v>-3.5379000000000001E-2</v>
      </c>
      <c r="AT90" s="21">
        <v>80</v>
      </c>
      <c r="AU90" s="21">
        <v>0.29589799999999999</v>
      </c>
      <c r="AV90">
        <f t="shared" si="20"/>
        <v>35.378999999999998</v>
      </c>
      <c r="AW90">
        <f t="shared" si="21"/>
        <v>10.516089338999999</v>
      </c>
      <c r="AX90" s="9"/>
      <c r="AY90" s="21">
        <v>0.30288700000000002</v>
      </c>
      <c r="AZ90" s="21">
        <v>91.122200000000007</v>
      </c>
      <c r="BA90" s="21">
        <v>-3.5256999999999997E-2</v>
      </c>
      <c r="BB90" s="21">
        <v>80</v>
      </c>
      <c r="BC90" s="21">
        <v>0.30163600000000002</v>
      </c>
      <c r="BD90">
        <f t="shared" si="22"/>
        <v>35.256999999999998</v>
      </c>
      <c r="BE90">
        <f t="shared" si="23"/>
        <v>10.678886959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0.29220600000000002</v>
      </c>
      <c r="H91" s="21">
        <v>46.220799999999997</v>
      </c>
      <c r="I91" s="21">
        <v>-3.5247800000000003E-2</v>
      </c>
      <c r="J91" s="21">
        <v>81</v>
      </c>
      <c r="K91" s="21">
        <v>0.29089399999999999</v>
      </c>
      <c r="L91">
        <f t="shared" si="12"/>
        <v>35.247800000000005</v>
      </c>
      <c r="M91">
        <f t="shared" si="13"/>
        <v>10.299618646800003</v>
      </c>
      <c r="N91" s="9"/>
      <c r="O91" s="21">
        <v>0.30792199999999997</v>
      </c>
      <c r="P91" s="21">
        <v>79.398899999999998</v>
      </c>
      <c r="Q91" s="21">
        <v>-3.5320999999999998E-2</v>
      </c>
      <c r="R91" s="21">
        <v>81</v>
      </c>
      <c r="S91" s="21">
        <v>0.30660999999999999</v>
      </c>
      <c r="T91">
        <f t="shared" si="14"/>
        <v>35.320999999999998</v>
      </c>
      <c r="U91">
        <f t="shared" si="15"/>
        <v>10.876112961999999</v>
      </c>
      <c r="X91" s="9"/>
      <c r="Y91" s="21">
        <v>0.29220600000000002</v>
      </c>
      <c r="Z91" s="21">
        <v>82.647499999999994</v>
      </c>
      <c r="AA91" s="21">
        <v>-3.5290500000000002E-2</v>
      </c>
      <c r="AB91" s="21">
        <v>81</v>
      </c>
      <c r="AC91" s="21">
        <v>0.29092400000000002</v>
      </c>
      <c r="AD91">
        <f t="shared" si="16"/>
        <v>35.290500000000002</v>
      </c>
      <c r="AE91">
        <f t="shared" si="17"/>
        <v>10.312095843000002</v>
      </c>
      <c r="AF91" s="9"/>
      <c r="AG91" s="21">
        <v>0.30792199999999997</v>
      </c>
      <c r="AH91" s="21">
        <v>85.626099999999994</v>
      </c>
      <c r="AI91" s="21">
        <v>-3.5357699999999999E-2</v>
      </c>
      <c r="AJ91" s="21">
        <v>81</v>
      </c>
      <c r="AK91" s="21">
        <v>0.30670199999999997</v>
      </c>
      <c r="AL91">
        <f t="shared" si="18"/>
        <v>35.357700000000001</v>
      </c>
      <c r="AM91">
        <f t="shared" si="19"/>
        <v>10.8874136994</v>
      </c>
      <c r="AP91" s="9"/>
      <c r="AQ91" s="21">
        <v>0.29220600000000002</v>
      </c>
      <c r="AR91" s="21">
        <v>88.361699999999999</v>
      </c>
      <c r="AS91" s="21">
        <v>-3.5366799999999997E-2</v>
      </c>
      <c r="AT91" s="21">
        <v>81</v>
      </c>
      <c r="AU91" s="21">
        <v>0.29089399999999999</v>
      </c>
      <c r="AV91">
        <f t="shared" si="20"/>
        <v>35.366799999999998</v>
      </c>
      <c r="AW91">
        <f t="shared" si="21"/>
        <v>10.334391160800001</v>
      </c>
      <c r="AX91" s="9"/>
      <c r="AY91" s="21">
        <v>0.30792199999999997</v>
      </c>
      <c r="AZ91" s="21">
        <v>91.132199999999997</v>
      </c>
      <c r="BA91" s="21">
        <v>-3.5266100000000002E-2</v>
      </c>
      <c r="BB91" s="21">
        <v>81</v>
      </c>
      <c r="BC91" s="21">
        <v>0.30670199999999997</v>
      </c>
      <c r="BD91">
        <f t="shared" si="22"/>
        <v>35.266100000000002</v>
      </c>
      <c r="BE91">
        <f t="shared" si="23"/>
        <v>10.859208044199999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0.28716999999999998</v>
      </c>
      <c r="H92" s="21">
        <v>46.230899999999998</v>
      </c>
      <c r="I92" s="21">
        <v>-3.5250900000000002E-2</v>
      </c>
      <c r="J92" s="21">
        <v>82</v>
      </c>
      <c r="K92" s="21">
        <v>0.28591899999999998</v>
      </c>
      <c r="L92">
        <f t="shared" si="12"/>
        <v>35.250900000000001</v>
      </c>
      <c r="M92">
        <f t="shared" si="13"/>
        <v>10.123000953</v>
      </c>
      <c r="N92" s="9"/>
      <c r="O92" s="21">
        <v>0.31295800000000001</v>
      </c>
      <c r="P92" s="21">
        <v>79.409000000000006</v>
      </c>
      <c r="Q92" s="21">
        <v>-3.5324099999999997E-2</v>
      </c>
      <c r="R92" s="21">
        <v>82</v>
      </c>
      <c r="S92" s="21">
        <v>0.31176799999999999</v>
      </c>
      <c r="T92">
        <f t="shared" si="14"/>
        <v>35.324099999999994</v>
      </c>
      <c r="U92">
        <f t="shared" si="15"/>
        <v>11.054959687799998</v>
      </c>
      <c r="X92" s="9"/>
      <c r="Y92" s="21">
        <v>0.28716999999999998</v>
      </c>
      <c r="Z92" s="21">
        <v>82.657600000000002</v>
      </c>
      <c r="AA92" s="21">
        <v>-3.5296599999999997E-2</v>
      </c>
      <c r="AB92" s="21">
        <v>82</v>
      </c>
      <c r="AC92" s="21">
        <v>0.28591899999999998</v>
      </c>
      <c r="AD92">
        <f t="shared" si="16"/>
        <v>35.296599999999998</v>
      </c>
      <c r="AE92">
        <f t="shared" si="17"/>
        <v>10.136124621999999</v>
      </c>
      <c r="AF92" s="9"/>
      <c r="AG92" s="21">
        <v>0.31295800000000001</v>
      </c>
      <c r="AH92" s="21">
        <v>85.636200000000002</v>
      </c>
      <c r="AI92" s="21">
        <v>-3.5342400000000003E-2</v>
      </c>
      <c r="AJ92" s="21">
        <v>82</v>
      </c>
      <c r="AK92" s="21">
        <v>0.31170700000000001</v>
      </c>
      <c r="AL92">
        <f t="shared" si="18"/>
        <v>35.342400000000005</v>
      </c>
      <c r="AM92">
        <f t="shared" si="19"/>
        <v>11.060686819200003</v>
      </c>
      <c r="AP92" s="9"/>
      <c r="AQ92" s="21">
        <v>0.28716999999999998</v>
      </c>
      <c r="AR92" s="21">
        <v>88.371700000000004</v>
      </c>
      <c r="AS92" s="21">
        <v>-3.5385100000000003E-2</v>
      </c>
      <c r="AT92" s="21">
        <v>82</v>
      </c>
      <c r="AU92" s="21">
        <v>0.28594999999999998</v>
      </c>
      <c r="AV92">
        <f t="shared" si="20"/>
        <v>35.385100000000001</v>
      </c>
      <c r="AW92">
        <f t="shared" si="21"/>
        <v>10.161539166999999</v>
      </c>
      <c r="AX92" s="9"/>
      <c r="AY92" s="21">
        <v>0.31295800000000001</v>
      </c>
      <c r="AZ92" s="21">
        <v>91.142300000000006</v>
      </c>
      <c r="BA92" s="21">
        <v>-3.5287499999999999E-2</v>
      </c>
      <c r="BB92" s="21">
        <v>82</v>
      </c>
      <c r="BC92" s="21">
        <v>0.31167600000000001</v>
      </c>
      <c r="BD92">
        <f t="shared" si="22"/>
        <v>35.287500000000001</v>
      </c>
      <c r="BE92">
        <f t="shared" si="23"/>
        <v>11.043505425000001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0.28213500000000002</v>
      </c>
      <c r="H93" s="21">
        <v>46.241</v>
      </c>
      <c r="I93" s="21">
        <v>-3.526E-2</v>
      </c>
      <c r="J93" s="21">
        <v>83</v>
      </c>
      <c r="K93" s="21">
        <v>0.28085300000000002</v>
      </c>
      <c r="L93">
        <f t="shared" si="12"/>
        <v>35.26</v>
      </c>
      <c r="M93">
        <f t="shared" si="13"/>
        <v>9.9480801000000003</v>
      </c>
      <c r="N93" s="9"/>
      <c r="O93" s="21">
        <v>0.31799300000000003</v>
      </c>
      <c r="P93" s="21">
        <v>79.4191</v>
      </c>
      <c r="Q93" s="21">
        <v>-3.5320999999999998E-2</v>
      </c>
      <c r="R93" s="21">
        <v>83</v>
      </c>
      <c r="S93" s="21">
        <v>0.31671100000000002</v>
      </c>
      <c r="T93">
        <f t="shared" si="14"/>
        <v>35.320999999999998</v>
      </c>
      <c r="U93">
        <f t="shared" si="15"/>
        <v>11.231830753000001</v>
      </c>
      <c r="X93" s="9"/>
      <c r="Y93" s="21">
        <v>0.28213500000000002</v>
      </c>
      <c r="Z93" s="21">
        <v>82.667699999999996</v>
      </c>
      <c r="AA93" s="21">
        <v>-3.5296599999999997E-2</v>
      </c>
      <c r="AB93" s="21">
        <v>83</v>
      </c>
      <c r="AC93" s="21">
        <v>0.28097499999999997</v>
      </c>
      <c r="AD93">
        <f t="shared" si="16"/>
        <v>35.296599999999998</v>
      </c>
      <c r="AE93">
        <f t="shared" si="17"/>
        <v>9.9584062410000005</v>
      </c>
      <c r="AF93" s="9"/>
      <c r="AG93" s="21">
        <v>0.31799300000000003</v>
      </c>
      <c r="AH93" s="21">
        <v>85.646199999999993</v>
      </c>
      <c r="AI93" s="21">
        <v>-3.5333299999999998E-2</v>
      </c>
      <c r="AJ93" s="21">
        <v>83</v>
      </c>
      <c r="AK93" s="21">
        <v>0.31671100000000002</v>
      </c>
      <c r="AL93">
        <f t="shared" si="18"/>
        <v>35.333300000000001</v>
      </c>
      <c r="AM93">
        <f t="shared" si="19"/>
        <v>11.235742066900002</v>
      </c>
      <c r="AP93" s="9"/>
      <c r="AQ93" s="21">
        <v>0.28213500000000002</v>
      </c>
      <c r="AR93" s="21">
        <v>88.381799999999998</v>
      </c>
      <c r="AS93" s="21">
        <v>-3.5366799999999997E-2</v>
      </c>
      <c r="AT93" s="21">
        <v>83</v>
      </c>
      <c r="AU93" s="21">
        <v>0.280945</v>
      </c>
      <c r="AV93">
        <f t="shared" si="20"/>
        <v>35.366799999999998</v>
      </c>
      <c r="AW93">
        <f t="shared" si="21"/>
        <v>9.9782121180000001</v>
      </c>
      <c r="AX93" s="9"/>
      <c r="AY93" s="21">
        <v>0.31799300000000003</v>
      </c>
      <c r="AZ93" s="21">
        <v>91.1524</v>
      </c>
      <c r="BA93" s="21">
        <v>-3.5302699999999999E-2</v>
      </c>
      <c r="BB93" s="21">
        <v>83</v>
      </c>
      <c r="BC93" s="21">
        <v>0.31662000000000001</v>
      </c>
      <c r="BD93">
        <f t="shared" si="22"/>
        <v>35.302700000000002</v>
      </c>
      <c r="BE93">
        <f t="shared" si="23"/>
        <v>11.226011481100002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0.27710000000000001</v>
      </c>
      <c r="H94" s="21">
        <v>46.250999999999998</v>
      </c>
      <c r="I94" s="21">
        <v>-3.5263099999999999E-2</v>
      </c>
      <c r="J94" s="21">
        <v>84</v>
      </c>
      <c r="K94" s="21">
        <v>0.27594000000000002</v>
      </c>
      <c r="L94">
        <f t="shared" si="12"/>
        <v>35.263100000000001</v>
      </c>
      <c r="M94">
        <f t="shared" si="13"/>
        <v>9.7714050100000005</v>
      </c>
      <c r="N94" s="9"/>
      <c r="O94" s="21">
        <v>0.32302900000000001</v>
      </c>
      <c r="P94" s="21">
        <v>79.429199999999994</v>
      </c>
      <c r="Q94" s="21">
        <v>-3.5314900000000003E-2</v>
      </c>
      <c r="R94" s="21">
        <v>84</v>
      </c>
      <c r="S94" s="21">
        <v>0.32174700000000001</v>
      </c>
      <c r="T94">
        <f t="shared" si="14"/>
        <v>35.314900000000002</v>
      </c>
      <c r="U94">
        <f t="shared" si="15"/>
        <v>11.407736832100001</v>
      </c>
      <c r="X94" s="9"/>
      <c r="Y94" s="21">
        <v>0.27710000000000001</v>
      </c>
      <c r="Z94" s="21">
        <v>82.677700000000002</v>
      </c>
      <c r="AA94" s="21">
        <v>-3.5281399999999997E-2</v>
      </c>
      <c r="AB94" s="21">
        <v>84</v>
      </c>
      <c r="AC94" s="21">
        <v>0.27575699999999997</v>
      </c>
      <c r="AD94">
        <f t="shared" si="16"/>
        <v>35.281399999999998</v>
      </c>
      <c r="AE94">
        <f t="shared" si="17"/>
        <v>9.7764759399999992</v>
      </c>
      <c r="AF94" s="9"/>
      <c r="AG94" s="21">
        <v>0.32302900000000001</v>
      </c>
      <c r="AH94" s="21">
        <v>85.656300000000002</v>
      </c>
      <c r="AI94" s="21">
        <v>-3.5330199999999999E-2</v>
      </c>
      <c r="AJ94" s="21">
        <v>84</v>
      </c>
      <c r="AK94" s="21">
        <v>0.32168600000000003</v>
      </c>
      <c r="AL94">
        <f t="shared" si="18"/>
        <v>35.330199999999998</v>
      </c>
      <c r="AM94">
        <f t="shared" si="19"/>
        <v>11.412679175799999</v>
      </c>
      <c r="AP94" s="9"/>
      <c r="AQ94" s="21">
        <v>0.27710000000000001</v>
      </c>
      <c r="AR94" s="21">
        <v>88.391900000000007</v>
      </c>
      <c r="AS94" s="21">
        <v>-3.5363800000000001E-2</v>
      </c>
      <c r="AT94" s="21">
        <v>84</v>
      </c>
      <c r="AU94" s="21">
        <v>0.27587899999999999</v>
      </c>
      <c r="AV94">
        <f t="shared" si="20"/>
        <v>35.363799999999998</v>
      </c>
      <c r="AW94">
        <f t="shared" si="21"/>
        <v>9.7993089799999993</v>
      </c>
      <c r="AX94" s="9"/>
      <c r="AY94" s="21">
        <v>0.32302900000000001</v>
      </c>
      <c r="AZ94" s="21">
        <v>91.162499999999994</v>
      </c>
      <c r="BA94" s="21">
        <v>-3.5293600000000001E-2</v>
      </c>
      <c r="BB94" s="21">
        <v>84</v>
      </c>
      <c r="BC94" s="21">
        <v>0.321716</v>
      </c>
      <c r="BD94">
        <f t="shared" si="22"/>
        <v>35.293599999999998</v>
      </c>
      <c r="BE94">
        <f t="shared" si="23"/>
        <v>11.4008563144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0.27206399999999997</v>
      </c>
      <c r="H95" s="21">
        <v>46.261099999999999</v>
      </c>
      <c r="I95" s="21">
        <v>-3.5256999999999997E-2</v>
      </c>
      <c r="J95" s="21">
        <v>85</v>
      </c>
      <c r="K95" s="21">
        <v>0.27075199999999999</v>
      </c>
      <c r="L95">
        <f t="shared" si="12"/>
        <v>35.256999999999998</v>
      </c>
      <c r="M95">
        <f t="shared" si="13"/>
        <v>9.5921604479999978</v>
      </c>
      <c r="N95" s="9"/>
      <c r="O95" s="21">
        <v>0.32806400000000002</v>
      </c>
      <c r="P95" s="21">
        <v>79.4392</v>
      </c>
      <c r="Q95" s="21">
        <v>-3.5296599999999997E-2</v>
      </c>
      <c r="R95" s="21">
        <v>85</v>
      </c>
      <c r="S95" s="21">
        <v>0.32675199999999999</v>
      </c>
      <c r="T95">
        <f t="shared" si="14"/>
        <v>35.296599999999998</v>
      </c>
      <c r="U95">
        <f t="shared" si="15"/>
        <v>11.5795437824</v>
      </c>
      <c r="X95" s="9"/>
      <c r="Y95" s="21">
        <v>0.27206399999999997</v>
      </c>
      <c r="Z95" s="21">
        <v>82.687799999999996</v>
      </c>
      <c r="AA95" s="21">
        <v>-3.5293600000000001E-2</v>
      </c>
      <c r="AB95" s="21">
        <v>85</v>
      </c>
      <c r="AC95" s="21">
        <v>0.27084399999999997</v>
      </c>
      <c r="AD95">
        <f t="shared" si="16"/>
        <v>35.293599999999998</v>
      </c>
      <c r="AE95">
        <f t="shared" si="17"/>
        <v>9.6021179903999982</v>
      </c>
      <c r="AF95" s="9"/>
      <c r="AG95" s="21">
        <v>0.32806400000000002</v>
      </c>
      <c r="AH95" s="21">
        <v>85.666399999999996</v>
      </c>
      <c r="AI95" s="21">
        <v>-3.5333299999999998E-2</v>
      </c>
      <c r="AJ95" s="21">
        <v>85</v>
      </c>
      <c r="AK95" s="21">
        <v>0.32678200000000002</v>
      </c>
      <c r="AL95">
        <f t="shared" si="18"/>
        <v>35.333300000000001</v>
      </c>
      <c r="AM95">
        <f t="shared" si="19"/>
        <v>11.591583731200002</v>
      </c>
      <c r="AP95" s="9"/>
      <c r="AQ95" s="21">
        <v>0.27206399999999997</v>
      </c>
      <c r="AR95" s="21">
        <v>88.402000000000001</v>
      </c>
      <c r="AS95" s="21">
        <v>-3.5379000000000001E-2</v>
      </c>
      <c r="AT95" s="21">
        <v>85</v>
      </c>
      <c r="AU95" s="21">
        <v>0.27084399999999997</v>
      </c>
      <c r="AV95">
        <f t="shared" si="20"/>
        <v>35.378999999999998</v>
      </c>
      <c r="AW95">
        <f t="shared" si="21"/>
        <v>9.6253522559999976</v>
      </c>
      <c r="AX95" s="9"/>
      <c r="AY95" s="21">
        <v>0.32806400000000002</v>
      </c>
      <c r="AZ95" s="21">
        <v>91.172499999999999</v>
      </c>
      <c r="BA95" s="21">
        <v>-3.5278299999999999E-2</v>
      </c>
      <c r="BB95" s="21">
        <v>85</v>
      </c>
      <c r="BC95" s="21">
        <v>0.32681300000000002</v>
      </c>
      <c r="BD95">
        <f t="shared" si="22"/>
        <v>35.278300000000002</v>
      </c>
      <c r="BE95">
        <f t="shared" si="23"/>
        <v>11.573540211200001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0.26702900000000002</v>
      </c>
      <c r="H96" s="21">
        <v>46.2712</v>
      </c>
      <c r="I96" s="21">
        <v>-3.5253899999999998E-2</v>
      </c>
      <c r="J96" s="21">
        <v>86</v>
      </c>
      <c r="K96" s="21">
        <v>0.26586900000000002</v>
      </c>
      <c r="L96">
        <f t="shared" si="12"/>
        <v>35.253899999999994</v>
      </c>
      <c r="M96">
        <f t="shared" si="13"/>
        <v>9.4138136630999991</v>
      </c>
      <c r="N96" s="9"/>
      <c r="O96" s="21">
        <v>0.33309899999999998</v>
      </c>
      <c r="P96" s="21">
        <v>79.449299999999994</v>
      </c>
      <c r="Q96" s="21">
        <v>-3.5281399999999997E-2</v>
      </c>
      <c r="R96" s="21">
        <v>86</v>
      </c>
      <c r="S96" s="21">
        <v>0.33184799999999998</v>
      </c>
      <c r="T96">
        <f t="shared" si="14"/>
        <v>35.281399999999998</v>
      </c>
      <c r="U96">
        <f t="shared" si="15"/>
        <v>11.752199058599999</v>
      </c>
      <c r="X96" s="9"/>
      <c r="Y96" s="21">
        <v>0.26702900000000002</v>
      </c>
      <c r="Z96" s="21">
        <v>82.697900000000004</v>
      </c>
      <c r="AA96" s="21">
        <v>-3.5314900000000003E-2</v>
      </c>
      <c r="AB96" s="21">
        <v>86</v>
      </c>
      <c r="AC96" s="21">
        <v>0.26580799999999999</v>
      </c>
      <c r="AD96">
        <f t="shared" si="16"/>
        <v>35.314900000000002</v>
      </c>
      <c r="AE96">
        <f t="shared" si="17"/>
        <v>9.4301024321000018</v>
      </c>
      <c r="AF96" s="9"/>
      <c r="AG96" s="21">
        <v>0.33309899999999998</v>
      </c>
      <c r="AH96" s="21">
        <v>85.676500000000004</v>
      </c>
      <c r="AI96" s="21">
        <v>-3.5333299999999998E-2</v>
      </c>
      <c r="AJ96" s="21">
        <v>86</v>
      </c>
      <c r="AK96" s="21">
        <v>0.33184799999999998</v>
      </c>
      <c r="AL96">
        <f t="shared" si="18"/>
        <v>35.333300000000001</v>
      </c>
      <c r="AM96">
        <f t="shared" si="19"/>
        <v>11.7694868967</v>
      </c>
      <c r="AP96" s="9"/>
      <c r="AQ96" s="21">
        <v>0.26702900000000002</v>
      </c>
      <c r="AR96" s="21">
        <v>88.412000000000006</v>
      </c>
      <c r="AS96" s="21">
        <v>-3.5394299999999997E-2</v>
      </c>
      <c r="AT96" s="21">
        <v>86</v>
      </c>
      <c r="AU96" s="21">
        <v>0.26574700000000001</v>
      </c>
      <c r="AV96">
        <f t="shared" si="20"/>
        <v>35.394299999999994</v>
      </c>
      <c r="AW96">
        <f t="shared" si="21"/>
        <v>9.4513045346999984</v>
      </c>
      <c r="AX96" s="9"/>
      <c r="AY96" s="21">
        <v>0.33309899999999998</v>
      </c>
      <c r="AZ96" s="21">
        <v>91.182599999999994</v>
      </c>
      <c r="BA96" s="21">
        <v>-3.5275300000000002E-2</v>
      </c>
      <c r="BB96" s="21">
        <v>86</v>
      </c>
      <c r="BC96" s="21">
        <v>0.33187899999999998</v>
      </c>
      <c r="BD96">
        <f t="shared" si="22"/>
        <v>35.275300000000001</v>
      </c>
      <c r="BE96">
        <f t="shared" si="23"/>
        <v>11.7501671547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0.26199299999999998</v>
      </c>
      <c r="H97" s="21">
        <v>46.281199999999998</v>
      </c>
      <c r="I97" s="21">
        <v>-3.5250900000000002E-2</v>
      </c>
      <c r="J97" s="21">
        <v>87</v>
      </c>
      <c r="K97" s="21">
        <v>0.26080300000000001</v>
      </c>
      <c r="L97">
        <f t="shared" si="12"/>
        <v>35.250900000000001</v>
      </c>
      <c r="M97">
        <f t="shared" si="13"/>
        <v>9.2354890436999995</v>
      </c>
      <c r="N97" s="9"/>
      <c r="O97" s="21">
        <v>0.33813500000000002</v>
      </c>
      <c r="P97" s="21">
        <v>79.459400000000002</v>
      </c>
      <c r="Q97" s="21">
        <v>-3.5281399999999997E-2</v>
      </c>
      <c r="R97" s="21">
        <v>87</v>
      </c>
      <c r="S97" s="21">
        <v>0.33685300000000001</v>
      </c>
      <c r="T97">
        <f t="shared" si="14"/>
        <v>35.281399999999998</v>
      </c>
      <c r="U97">
        <f t="shared" si="15"/>
        <v>11.929876189</v>
      </c>
      <c r="X97" s="9"/>
      <c r="Y97" s="21">
        <v>0.26199299999999998</v>
      </c>
      <c r="Z97" s="21">
        <v>82.707999999999998</v>
      </c>
      <c r="AA97" s="21">
        <v>-3.5330199999999999E-2</v>
      </c>
      <c r="AB97" s="21">
        <v>87</v>
      </c>
      <c r="AC97" s="21">
        <v>0.260712</v>
      </c>
      <c r="AD97">
        <f t="shared" si="16"/>
        <v>35.330199999999998</v>
      </c>
      <c r="AE97">
        <f t="shared" si="17"/>
        <v>9.2562650885999993</v>
      </c>
      <c r="AF97" s="9"/>
      <c r="AG97" s="21">
        <v>0.33813500000000002</v>
      </c>
      <c r="AH97" s="21">
        <v>85.686499999999995</v>
      </c>
      <c r="AI97" s="21">
        <v>-3.5330199999999999E-2</v>
      </c>
      <c r="AJ97" s="21">
        <v>87</v>
      </c>
      <c r="AK97" s="21">
        <v>0.33676099999999998</v>
      </c>
      <c r="AL97">
        <f t="shared" si="18"/>
        <v>35.330199999999998</v>
      </c>
      <c r="AM97">
        <f t="shared" si="19"/>
        <v>11.946377177</v>
      </c>
      <c r="AP97" s="9"/>
      <c r="AQ97" s="21">
        <v>0.26199299999999998</v>
      </c>
      <c r="AR97" s="21">
        <v>88.4221</v>
      </c>
      <c r="AS97" s="21">
        <v>-3.5415599999999998E-2</v>
      </c>
      <c r="AT97" s="21">
        <v>87</v>
      </c>
      <c r="AU97" s="21">
        <v>0.26074199999999997</v>
      </c>
      <c r="AV97">
        <f t="shared" si="20"/>
        <v>35.415599999999998</v>
      </c>
      <c r="AW97">
        <f t="shared" si="21"/>
        <v>9.2786392907999993</v>
      </c>
      <c r="AX97" s="9"/>
      <c r="AY97" s="21">
        <v>0.33813500000000002</v>
      </c>
      <c r="AZ97" s="21">
        <v>91.192700000000002</v>
      </c>
      <c r="BA97" s="21">
        <v>-3.5263099999999999E-2</v>
      </c>
      <c r="BB97" s="21">
        <v>87</v>
      </c>
      <c r="BC97" s="21">
        <v>0.33685300000000001</v>
      </c>
      <c r="BD97">
        <f t="shared" si="22"/>
        <v>35.263100000000001</v>
      </c>
      <c r="BE97">
        <f t="shared" si="23"/>
        <v>11.923688318500002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0.25695800000000002</v>
      </c>
      <c r="H98" s="21">
        <v>46.2913</v>
      </c>
      <c r="I98" s="21">
        <v>-3.526E-2</v>
      </c>
      <c r="J98" s="21">
        <v>88</v>
      </c>
      <c r="K98" s="21">
        <v>0.25564599999999998</v>
      </c>
      <c r="L98">
        <f t="shared" si="12"/>
        <v>35.26</v>
      </c>
      <c r="M98">
        <f t="shared" si="13"/>
        <v>9.0603390800000003</v>
      </c>
      <c r="N98" s="9"/>
      <c r="O98" s="21">
        <v>0.34316999999999998</v>
      </c>
      <c r="P98" s="21">
        <v>79.469399999999993</v>
      </c>
      <c r="Q98" s="21">
        <v>-3.52844E-2</v>
      </c>
      <c r="R98" s="21">
        <v>88</v>
      </c>
      <c r="S98" s="21">
        <v>0.34191899999999997</v>
      </c>
      <c r="T98">
        <f t="shared" si="14"/>
        <v>35.284399999999998</v>
      </c>
      <c r="U98">
        <f t="shared" si="15"/>
        <v>12.108547547999999</v>
      </c>
      <c r="X98" s="9"/>
      <c r="Y98" s="21">
        <v>0.25695800000000002</v>
      </c>
      <c r="Z98" s="21">
        <v>82.718000000000004</v>
      </c>
      <c r="AA98" s="21">
        <v>-3.5345500000000002E-2</v>
      </c>
      <c r="AB98" s="21">
        <v>88</v>
      </c>
      <c r="AC98" s="21">
        <v>0.25573699999999999</v>
      </c>
      <c r="AD98">
        <f t="shared" si="16"/>
        <v>35.345500000000001</v>
      </c>
      <c r="AE98">
        <f t="shared" si="17"/>
        <v>9.0823089890000013</v>
      </c>
      <c r="AF98" s="9"/>
      <c r="AG98" s="21">
        <v>0.34316999999999998</v>
      </c>
      <c r="AH98" s="21">
        <v>85.696600000000004</v>
      </c>
      <c r="AI98" s="21">
        <v>-3.5318000000000002E-2</v>
      </c>
      <c r="AJ98" s="21">
        <v>88</v>
      </c>
      <c r="AK98" s="21">
        <v>0.34200999999999998</v>
      </c>
      <c r="AL98">
        <f t="shared" si="18"/>
        <v>35.318000000000005</v>
      </c>
      <c r="AM98">
        <f t="shared" si="19"/>
        <v>12.120078060000001</v>
      </c>
      <c r="AP98" s="9"/>
      <c r="AQ98" s="21">
        <v>0.25695800000000002</v>
      </c>
      <c r="AR98" s="21">
        <v>88.432199999999995</v>
      </c>
      <c r="AS98" s="21">
        <v>-3.5400399999999999E-2</v>
      </c>
      <c r="AT98" s="21">
        <v>88</v>
      </c>
      <c r="AU98" s="21">
        <v>0.25573699999999999</v>
      </c>
      <c r="AV98">
        <f t="shared" si="20"/>
        <v>35.400399999999998</v>
      </c>
      <c r="AW98">
        <f t="shared" si="21"/>
        <v>9.0964159832</v>
      </c>
      <c r="AX98" s="9"/>
      <c r="AY98" s="21">
        <v>0.34316999999999998</v>
      </c>
      <c r="AZ98" s="21">
        <v>91.202699999999993</v>
      </c>
      <c r="BA98" s="21">
        <v>-3.5256999999999997E-2</v>
      </c>
      <c r="BB98" s="21">
        <v>88</v>
      </c>
      <c r="BC98" s="21">
        <v>0.341858</v>
      </c>
      <c r="BD98">
        <f t="shared" si="22"/>
        <v>35.256999999999998</v>
      </c>
      <c r="BE98">
        <f t="shared" si="23"/>
        <v>12.099144689999999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0.25192300000000001</v>
      </c>
      <c r="H99" s="21">
        <v>46.301400000000001</v>
      </c>
      <c r="I99" s="21">
        <v>-3.5263099999999999E-2</v>
      </c>
      <c r="J99" s="21">
        <v>89</v>
      </c>
      <c r="K99" s="21">
        <v>0.250641</v>
      </c>
      <c r="L99">
        <f t="shared" si="12"/>
        <v>35.263100000000001</v>
      </c>
      <c r="M99">
        <f t="shared" si="13"/>
        <v>8.8835859412999998</v>
      </c>
      <c r="N99" s="9"/>
      <c r="O99" s="21">
        <v>0.34820600000000002</v>
      </c>
      <c r="P99" s="21">
        <v>79.479500000000002</v>
      </c>
      <c r="Q99" s="21">
        <v>-3.5290500000000002E-2</v>
      </c>
      <c r="R99" s="21">
        <v>89</v>
      </c>
      <c r="S99" s="21">
        <v>0.34689300000000001</v>
      </c>
      <c r="T99">
        <f t="shared" si="14"/>
        <v>35.290500000000002</v>
      </c>
      <c r="U99">
        <f t="shared" si="15"/>
        <v>12.288363843000001</v>
      </c>
      <c r="X99" s="9"/>
      <c r="Y99" s="21">
        <v>0.25192300000000001</v>
      </c>
      <c r="Z99" s="21">
        <v>82.728099999999998</v>
      </c>
      <c r="AA99" s="21">
        <v>-3.53394E-2</v>
      </c>
      <c r="AB99" s="21">
        <v>89</v>
      </c>
      <c r="AC99" s="21">
        <v>0.25067099999999998</v>
      </c>
      <c r="AD99">
        <f t="shared" si="16"/>
        <v>35.339399999999998</v>
      </c>
      <c r="AE99">
        <f t="shared" si="17"/>
        <v>8.9028076661999993</v>
      </c>
      <c r="AF99" s="9"/>
      <c r="AG99" s="21">
        <v>0.34820600000000002</v>
      </c>
      <c r="AH99" s="21">
        <v>85.706699999999998</v>
      </c>
      <c r="AI99" s="21">
        <v>-3.5296599999999997E-2</v>
      </c>
      <c r="AJ99" s="21">
        <v>89</v>
      </c>
      <c r="AK99" s="21">
        <v>0.34686299999999998</v>
      </c>
      <c r="AL99">
        <f t="shared" si="18"/>
        <v>35.296599999999998</v>
      </c>
      <c r="AM99">
        <f t="shared" si="19"/>
        <v>12.2904878996</v>
      </c>
      <c r="AP99" s="9"/>
      <c r="AQ99" s="21">
        <v>0.25192300000000001</v>
      </c>
      <c r="AR99" s="21">
        <v>88.4422</v>
      </c>
      <c r="AS99" s="21">
        <v>-3.5400399999999999E-2</v>
      </c>
      <c r="AT99" s="21">
        <v>89</v>
      </c>
      <c r="AU99" s="21">
        <v>0.25067099999999998</v>
      </c>
      <c r="AV99">
        <f t="shared" si="20"/>
        <v>35.400399999999998</v>
      </c>
      <c r="AW99">
        <f t="shared" si="21"/>
        <v>8.918174969199999</v>
      </c>
      <c r="AX99" s="9"/>
      <c r="AY99" s="21">
        <v>0.34820600000000002</v>
      </c>
      <c r="AZ99" s="21">
        <v>91.212800000000001</v>
      </c>
      <c r="BA99" s="21">
        <v>-3.5253899999999998E-2</v>
      </c>
      <c r="BB99" s="21">
        <v>89</v>
      </c>
      <c r="BC99" s="21">
        <v>0.34692400000000001</v>
      </c>
      <c r="BD99">
        <f t="shared" si="22"/>
        <v>35.253899999999994</v>
      </c>
      <c r="BE99">
        <f t="shared" si="23"/>
        <v>12.275619503399998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0.246887</v>
      </c>
      <c r="H100" s="21">
        <v>46.311500000000002</v>
      </c>
      <c r="I100" s="21">
        <v>-3.5272199999999997E-2</v>
      </c>
      <c r="J100" s="21">
        <v>90</v>
      </c>
      <c r="K100" s="21">
        <v>0.245667</v>
      </c>
      <c r="L100">
        <f t="shared" si="12"/>
        <v>35.272199999999998</v>
      </c>
      <c r="M100">
        <f t="shared" si="13"/>
        <v>8.7082476413999998</v>
      </c>
      <c r="N100" s="9"/>
      <c r="O100" s="21">
        <v>0.35324100000000003</v>
      </c>
      <c r="P100" s="21">
        <v>79.489599999999996</v>
      </c>
      <c r="Q100" s="21">
        <v>-3.5266100000000002E-2</v>
      </c>
      <c r="R100" s="21">
        <v>90</v>
      </c>
      <c r="S100" s="21">
        <v>0.35202</v>
      </c>
      <c r="T100">
        <f t="shared" si="14"/>
        <v>35.266100000000002</v>
      </c>
      <c r="U100">
        <f t="shared" si="15"/>
        <v>12.457432430100001</v>
      </c>
      <c r="X100" s="9"/>
      <c r="Y100" s="21">
        <v>0.246887</v>
      </c>
      <c r="Z100" s="21">
        <v>82.738200000000006</v>
      </c>
      <c r="AA100" s="21">
        <v>-3.5345500000000002E-2</v>
      </c>
      <c r="AB100" s="21">
        <v>90</v>
      </c>
      <c r="AC100" s="21">
        <v>0.245697</v>
      </c>
      <c r="AD100">
        <f t="shared" si="16"/>
        <v>35.345500000000001</v>
      </c>
      <c r="AE100">
        <f t="shared" si="17"/>
        <v>8.7263444584999998</v>
      </c>
      <c r="AF100" s="9"/>
      <c r="AG100" s="21">
        <v>0.35324100000000003</v>
      </c>
      <c r="AH100" s="21">
        <v>85.716700000000003</v>
      </c>
      <c r="AI100" s="21">
        <v>-3.5287499999999999E-2</v>
      </c>
      <c r="AJ100" s="21">
        <v>90</v>
      </c>
      <c r="AK100" s="21">
        <v>0.35202</v>
      </c>
      <c r="AL100">
        <f t="shared" si="18"/>
        <v>35.287500000000001</v>
      </c>
      <c r="AM100">
        <f t="shared" si="19"/>
        <v>12.464991787500001</v>
      </c>
      <c r="AP100" s="9"/>
      <c r="AQ100" s="21">
        <v>0.246887</v>
      </c>
      <c r="AR100" s="21">
        <v>88.452299999999994</v>
      </c>
      <c r="AS100" s="21">
        <v>-3.5375999999999998E-2</v>
      </c>
      <c r="AT100" s="21">
        <v>90</v>
      </c>
      <c r="AU100" s="21">
        <v>0.245667</v>
      </c>
      <c r="AV100">
        <f t="shared" si="20"/>
        <v>35.375999999999998</v>
      </c>
      <c r="AW100">
        <f t="shared" si="21"/>
        <v>8.7338745119999999</v>
      </c>
      <c r="AX100" s="9"/>
      <c r="AY100" s="21">
        <v>0.35324100000000003</v>
      </c>
      <c r="AZ100" s="21">
        <v>91.222899999999996</v>
      </c>
      <c r="BA100" s="21">
        <v>-3.5263099999999999E-2</v>
      </c>
      <c r="BB100" s="21">
        <v>90</v>
      </c>
      <c r="BC100" s="21">
        <v>0.35192899999999999</v>
      </c>
      <c r="BD100">
        <f t="shared" si="22"/>
        <v>35.263100000000001</v>
      </c>
      <c r="BE100">
        <f t="shared" si="23"/>
        <v>12.456372707100002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0.24185200000000001</v>
      </c>
      <c r="H101" s="21">
        <v>46.3215</v>
      </c>
      <c r="I101" s="21">
        <v>-3.5287499999999999E-2</v>
      </c>
      <c r="J101" s="21">
        <v>91</v>
      </c>
      <c r="K101" s="21">
        <v>0.24057000000000001</v>
      </c>
      <c r="L101">
        <f t="shared" si="12"/>
        <v>35.287500000000001</v>
      </c>
      <c r="M101">
        <f t="shared" si="13"/>
        <v>8.5343524500000001</v>
      </c>
      <c r="N101" s="9"/>
      <c r="O101" s="21">
        <v>0.35827599999999998</v>
      </c>
      <c r="P101" s="21">
        <v>79.499700000000004</v>
      </c>
      <c r="Q101" s="21">
        <v>-3.5269200000000001E-2</v>
      </c>
      <c r="R101" s="21">
        <v>91</v>
      </c>
      <c r="S101" s="21">
        <v>0.35699500000000001</v>
      </c>
      <c r="T101">
        <f t="shared" si="14"/>
        <v>35.269199999999998</v>
      </c>
      <c r="U101">
        <f t="shared" si="15"/>
        <v>12.636107899199999</v>
      </c>
      <c r="X101" s="9"/>
      <c r="Y101" s="21">
        <v>0.24185200000000001</v>
      </c>
      <c r="Z101" s="21">
        <v>82.748199999999997</v>
      </c>
      <c r="AA101" s="21">
        <v>-3.5336300000000001E-2</v>
      </c>
      <c r="AB101" s="21">
        <v>91</v>
      </c>
      <c r="AC101" s="21">
        <v>0.24063100000000001</v>
      </c>
      <c r="AD101">
        <f t="shared" si="16"/>
        <v>35.336300000000001</v>
      </c>
      <c r="AE101">
        <f t="shared" si="17"/>
        <v>8.5461548276000006</v>
      </c>
      <c r="AF101" s="9"/>
      <c r="AG101" s="21">
        <v>0.35827599999999998</v>
      </c>
      <c r="AH101" s="21">
        <v>85.726799999999997</v>
      </c>
      <c r="AI101" s="21">
        <v>-3.5275300000000002E-2</v>
      </c>
      <c r="AJ101" s="21">
        <v>91</v>
      </c>
      <c r="AK101" s="21">
        <v>0.356964</v>
      </c>
      <c r="AL101">
        <f t="shared" si="18"/>
        <v>35.275300000000001</v>
      </c>
      <c r="AM101">
        <f t="shared" si="19"/>
        <v>12.638293382800001</v>
      </c>
      <c r="AP101" s="9"/>
      <c r="AQ101" s="21">
        <v>0.24185200000000001</v>
      </c>
      <c r="AR101" s="21">
        <v>88.462400000000002</v>
      </c>
      <c r="AS101" s="21">
        <v>-3.5360700000000002E-2</v>
      </c>
      <c r="AT101" s="21">
        <v>91</v>
      </c>
      <c r="AU101" s="21">
        <v>0.24060100000000001</v>
      </c>
      <c r="AV101">
        <f t="shared" si="20"/>
        <v>35.360700000000001</v>
      </c>
      <c r="AW101">
        <f t="shared" si="21"/>
        <v>8.5520560163999999</v>
      </c>
      <c r="AX101" s="9"/>
      <c r="AY101" s="21">
        <v>0.35827599999999998</v>
      </c>
      <c r="AZ101" s="21">
        <v>91.233000000000004</v>
      </c>
      <c r="BA101" s="21">
        <v>-3.5263099999999999E-2</v>
      </c>
      <c r="BB101" s="21">
        <v>91</v>
      </c>
      <c r="BC101" s="21">
        <v>0.35702499999999998</v>
      </c>
      <c r="BD101">
        <f t="shared" si="22"/>
        <v>35.263100000000001</v>
      </c>
      <c r="BE101">
        <f t="shared" si="23"/>
        <v>12.633922415600001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0.236816</v>
      </c>
      <c r="H102" s="21">
        <v>46.331600000000002</v>
      </c>
      <c r="I102" s="21">
        <v>-3.52844E-2</v>
      </c>
      <c r="J102" s="21">
        <v>92</v>
      </c>
      <c r="K102" s="21">
        <v>0.23553499999999999</v>
      </c>
      <c r="L102">
        <f t="shared" si="12"/>
        <v>35.284399999999998</v>
      </c>
      <c r="M102">
        <f t="shared" si="13"/>
        <v>8.3559104703999996</v>
      </c>
      <c r="N102" s="9"/>
      <c r="O102" s="21">
        <v>0.36331200000000002</v>
      </c>
      <c r="P102" s="21">
        <v>79.509699999999995</v>
      </c>
      <c r="Q102" s="21">
        <v>-3.5266100000000002E-2</v>
      </c>
      <c r="R102" s="21">
        <v>92</v>
      </c>
      <c r="S102" s="21">
        <v>0.36203000000000002</v>
      </c>
      <c r="T102">
        <f t="shared" si="14"/>
        <v>35.266100000000002</v>
      </c>
      <c r="U102">
        <f t="shared" si="15"/>
        <v>12.812597323200002</v>
      </c>
      <c r="X102" s="9"/>
      <c r="Y102" s="21">
        <v>0.236816</v>
      </c>
      <c r="Z102" s="21">
        <v>82.758300000000006</v>
      </c>
      <c r="AA102" s="21">
        <v>-3.5348499999999998E-2</v>
      </c>
      <c r="AB102" s="21">
        <v>92</v>
      </c>
      <c r="AC102" s="21">
        <v>0.235626</v>
      </c>
      <c r="AD102">
        <f t="shared" si="16"/>
        <v>35.348500000000001</v>
      </c>
      <c r="AE102">
        <f t="shared" si="17"/>
        <v>8.3710903759999997</v>
      </c>
      <c r="AF102" s="9"/>
      <c r="AG102" s="21">
        <v>0.36331200000000002</v>
      </c>
      <c r="AH102" s="21">
        <v>85.736900000000006</v>
      </c>
      <c r="AI102" s="21">
        <v>-3.5256999999999997E-2</v>
      </c>
      <c r="AJ102" s="21">
        <v>92</v>
      </c>
      <c r="AK102" s="21">
        <v>0.36206100000000002</v>
      </c>
      <c r="AL102">
        <f t="shared" si="18"/>
        <v>35.256999999999998</v>
      </c>
      <c r="AM102">
        <f t="shared" si="19"/>
        <v>12.809291183999999</v>
      </c>
      <c r="AP102" s="9"/>
      <c r="AQ102" s="21">
        <v>0.236816</v>
      </c>
      <c r="AR102" s="21">
        <v>88.472499999999997</v>
      </c>
      <c r="AS102" s="21">
        <v>-3.5342400000000003E-2</v>
      </c>
      <c r="AT102" s="21">
        <v>92</v>
      </c>
      <c r="AU102" s="21">
        <v>0.235626</v>
      </c>
      <c r="AV102">
        <f t="shared" si="20"/>
        <v>35.342400000000005</v>
      </c>
      <c r="AW102">
        <f t="shared" si="21"/>
        <v>8.3696457984000006</v>
      </c>
      <c r="AX102" s="9"/>
      <c r="AY102" s="21">
        <v>0.36331200000000002</v>
      </c>
      <c r="AZ102" s="21">
        <v>91.242999999999995</v>
      </c>
      <c r="BA102" s="21">
        <v>-3.5256999999999997E-2</v>
      </c>
      <c r="BB102" s="21">
        <v>92</v>
      </c>
      <c r="BC102" s="21">
        <v>0.36196899999999999</v>
      </c>
      <c r="BD102">
        <f t="shared" si="22"/>
        <v>35.256999999999998</v>
      </c>
      <c r="BE102">
        <f t="shared" si="23"/>
        <v>12.809291183999999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0.23178099999999999</v>
      </c>
      <c r="H103" s="21">
        <v>46.341700000000003</v>
      </c>
      <c r="I103" s="21">
        <v>-3.5290500000000002E-2</v>
      </c>
      <c r="J103" s="21">
        <v>93</v>
      </c>
      <c r="K103" s="21">
        <v>0.23049900000000001</v>
      </c>
      <c r="L103">
        <f t="shared" si="12"/>
        <v>35.290500000000002</v>
      </c>
      <c r="M103">
        <f t="shared" si="13"/>
        <v>8.1796673804999998</v>
      </c>
      <c r="N103" s="9"/>
      <c r="O103" s="21">
        <v>0.36834699999999998</v>
      </c>
      <c r="P103" s="21">
        <v>79.519800000000004</v>
      </c>
      <c r="Q103" s="21">
        <v>-3.5272199999999997E-2</v>
      </c>
      <c r="R103" s="21">
        <v>93</v>
      </c>
      <c r="S103" s="21">
        <v>0.36706499999999997</v>
      </c>
      <c r="T103">
        <f t="shared" si="14"/>
        <v>35.272199999999998</v>
      </c>
      <c r="U103">
        <f t="shared" si="15"/>
        <v>12.992409053399999</v>
      </c>
      <c r="X103" s="9"/>
      <c r="Y103" s="21">
        <v>0.23178099999999999</v>
      </c>
      <c r="Z103" s="21">
        <v>82.7684</v>
      </c>
      <c r="AA103" s="21">
        <v>-3.5348499999999998E-2</v>
      </c>
      <c r="AB103" s="21">
        <v>93</v>
      </c>
      <c r="AC103" s="21">
        <v>0.23049900000000001</v>
      </c>
      <c r="AD103">
        <f t="shared" si="16"/>
        <v>35.348500000000001</v>
      </c>
      <c r="AE103">
        <f t="shared" si="17"/>
        <v>8.1931106785000001</v>
      </c>
      <c r="AF103" s="9"/>
      <c r="AG103" s="21">
        <v>0.36834699999999998</v>
      </c>
      <c r="AH103" s="21">
        <v>85.747</v>
      </c>
      <c r="AI103" s="21">
        <v>-3.52448E-2</v>
      </c>
      <c r="AJ103" s="21">
        <v>93</v>
      </c>
      <c r="AK103" s="21">
        <v>0.36709599999999998</v>
      </c>
      <c r="AL103">
        <f t="shared" si="18"/>
        <v>35.244799999999998</v>
      </c>
      <c r="AM103">
        <f t="shared" si="19"/>
        <v>12.982316345599999</v>
      </c>
      <c r="AP103" s="9"/>
      <c r="AQ103" s="21">
        <v>0.23178099999999999</v>
      </c>
      <c r="AR103" s="21">
        <v>88.482500000000002</v>
      </c>
      <c r="AS103" s="21">
        <v>-3.5351599999999997E-2</v>
      </c>
      <c r="AT103" s="21">
        <v>93</v>
      </c>
      <c r="AU103" s="21">
        <v>0.23055999999999999</v>
      </c>
      <c r="AV103">
        <f t="shared" si="20"/>
        <v>35.351599999999998</v>
      </c>
      <c r="AW103">
        <f t="shared" si="21"/>
        <v>8.1938291995999997</v>
      </c>
      <c r="AX103" s="9"/>
      <c r="AY103" s="21">
        <v>0.36834699999999998</v>
      </c>
      <c r="AZ103" s="21">
        <v>91.253100000000003</v>
      </c>
      <c r="BA103" s="21">
        <v>-3.5238600000000002E-2</v>
      </c>
      <c r="BB103" s="21">
        <v>93</v>
      </c>
      <c r="BC103" s="21">
        <v>0.36706499999999997</v>
      </c>
      <c r="BD103">
        <f t="shared" si="22"/>
        <v>35.238600000000005</v>
      </c>
      <c r="BE103">
        <f t="shared" si="23"/>
        <v>12.980032594200001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0.226746</v>
      </c>
      <c r="H104" s="21">
        <v>46.351700000000001</v>
      </c>
      <c r="I104" s="21">
        <v>-3.5293600000000001E-2</v>
      </c>
      <c r="J104" s="21">
        <v>94</v>
      </c>
      <c r="K104" s="21">
        <v>0.225525</v>
      </c>
      <c r="L104">
        <f t="shared" si="12"/>
        <v>35.293599999999998</v>
      </c>
      <c r="M104">
        <f t="shared" si="13"/>
        <v>8.0026826256000003</v>
      </c>
      <c r="N104" s="9"/>
      <c r="O104" s="21">
        <v>0.37338300000000002</v>
      </c>
      <c r="P104" s="21">
        <v>79.529899999999998</v>
      </c>
      <c r="Q104" s="21">
        <v>-3.5263099999999999E-2</v>
      </c>
      <c r="R104" s="21">
        <v>94</v>
      </c>
      <c r="S104" s="21">
        <v>0.37207000000000001</v>
      </c>
      <c r="T104">
        <f t="shared" si="14"/>
        <v>35.263100000000001</v>
      </c>
      <c r="U104">
        <f t="shared" si="15"/>
        <v>13.166642067300002</v>
      </c>
      <c r="X104" s="9"/>
      <c r="Y104" s="21">
        <v>0.226746</v>
      </c>
      <c r="Z104" s="21">
        <v>82.778499999999994</v>
      </c>
      <c r="AA104" s="21">
        <v>-3.5348499999999998E-2</v>
      </c>
      <c r="AB104" s="21">
        <v>94</v>
      </c>
      <c r="AC104" s="21">
        <v>0.225494</v>
      </c>
      <c r="AD104">
        <f t="shared" si="16"/>
        <v>35.348500000000001</v>
      </c>
      <c r="AE104">
        <f t="shared" si="17"/>
        <v>8.0151309810000004</v>
      </c>
      <c r="AF104" s="9"/>
      <c r="AG104" s="21">
        <v>0.37338300000000002</v>
      </c>
      <c r="AH104" s="21">
        <v>85.757000000000005</v>
      </c>
      <c r="AI104" s="21">
        <v>-3.5229499999999997E-2</v>
      </c>
      <c r="AJ104" s="21">
        <v>94</v>
      </c>
      <c r="AK104" s="21">
        <v>0.37210100000000002</v>
      </c>
      <c r="AL104">
        <f t="shared" si="18"/>
        <v>35.229499999999994</v>
      </c>
      <c r="AM104">
        <f t="shared" si="19"/>
        <v>13.154096398499998</v>
      </c>
      <c r="AP104" s="9"/>
      <c r="AQ104" s="21">
        <v>0.226746</v>
      </c>
      <c r="AR104" s="21">
        <v>88.492599999999996</v>
      </c>
      <c r="AS104" s="21">
        <v>-3.5375999999999998E-2</v>
      </c>
      <c r="AT104" s="21">
        <v>94</v>
      </c>
      <c r="AU104" s="21">
        <v>0.22555500000000001</v>
      </c>
      <c r="AV104">
        <f t="shared" si="20"/>
        <v>35.375999999999998</v>
      </c>
      <c r="AW104">
        <f t="shared" si="21"/>
        <v>8.0213664959999988</v>
      </c>
      <c r="AX104" s="9"/>
      <c r="AY104" s="21">
        <v>0.37338300000000002</v>
      </c>
      <c r="AZ104" s="21">
        <v>91.263199999999998</v>
      </c>
      <c r="BA104" s="21">
        <v>-3.5229499999999997E-2</v>
      </c>
      <c r="BB104" s="21">
        <v>94</v>
      </c>
      <c r="BC104" s="21">
        <v>0.37219200000000002</v>
      </c>
      <c r="BD104">
        <f t="shared" si="22"/>
        <v>35.229499999999994</v>
      </c>
      <c r="BE104">
        <f t="shared" si="23"/>
        <v>13.154096398499998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0.22170999999999999</v>
      </c>
      <c r="H105" s="21">
        <v>46.361800000000002</v>
      </c>
      <c r="I105" s="21">
        <v>-3.53119E-2</v>
      </c>
      <c r="J105" s="21">
        <v>95</v>
      </c>
      <c r="K105" s="21">
        <v>0.22051999999999999</v>
      </c>
      <c r="L105">
        <f t="shared" si="12"/>
        <v>35.311900000000001</v>
      </c>
      <c r="M105">
        <f t="shared" si="13"/>
        <v>7.8290013490000003</v>
      </c>
      <c r="N105" s="9"/>
      <c r="O105" s="21">
        <v>0.37841799999999998</v>
      </c>
      <c r="P105" s="21">
        <v>79.539900000000003</v>
      </c>
      <c r="Q105" s="21">
        <v>-3.5238600000000002E-2</v>
      </c>
      <c r="R105" s="21">
        <v>95</v>
      </c>
      <c r="S105" s="21">
        <v>0.377197</v>
      </c>
      <c r="T105">
        <f t="shared" si="14"/>
        <v>35.238600000000005</v>
      </c>
      <c r="U105">
        <f t="shared" si="15"/>
        <v>13.334920534800002</v>
      </c>
      <c r="X105" s="9"/>
      <c r="Y105" s="21">
        <v>0.22170999999999999</v>
      </c>
      <c r="Z105" s="21">
        <v>82.788499999999999</v>
      </c>
      <c r="AA105" s="21">
        <v>-3.5357699999999999E-2</v>
      </c>
      <c r="AB105" s="21">
        <v>95</v>
      </c>
      <c r="AC105" s="21">
        <v>0.22051999999999999</v>
      </c>
      <c r="AD105">
        <f t="shared" si="16"/>
        <v>35.357700000000001</v>
      </c>
      <c r="AE105">
        <f t="shared" si="17"/>
        <v>7.839155667</v>
      </c>
      <c r="AF105" s="9"/>
      <c r="AG105" s="21">
        <v>0.37841799999999998</v>
      </c>
      <c r="AH105" s="21">
        <v>85.767099999999999</v>
      </c>
      <c r="AI105" s="21">
        <v>-3.5214200000000001E-2</v>
      </c>
      <c r="AJ105" s="21">
        <v>95</v>
      </c>
      <c r="AK105" s="21">
        <v>0.37722800000000001</v>
      </c>
      <c r="AL105">
        <f t="shared" si="18"/>
        <v>35.214199999999998</v>
      </c>
      <c r="AM105">
        <f t="shared" si="19"/>
        <v>13.325687135599999</v>
      </c>
      <c r="AP105" s="9"/>
      <c r="AQ105" s="21">
        <v>0.22170999999999999</v>
      </c>
      <c r="AR105" s="21">
        <v>88.502700000000004</v>
      </c>
      <c r="AS105" s="21">
        <v>-3.5394299999999997E-2</v>
      </c>
      <c r="AT105" s="21">
        <v>95</v>
      </c>
      <c r="AU105" s="21">
        <v>0.22048999999999999</v>
      </c>
      <c r="AV105">
        <f t="shared" si="20"/>
        <v>35.394299999999994</v>
      </c>
      <c r="AW105">
        <f t="shared" si="21"/>
        <v>7.8472702529999987</v>
      </c>
      <c r="AX105" s="9"/>
      <c r="AY105" s="21">
        <v>0.37841799999999998</v>
      </c>
      <c r="AZ105" s="21">
        <v>91.273200000000003</v>
      </c>
      <c r="BA105" s="21">
        <v>-3.5223400000000002E-2</v>
      </c>
      <c r="BB105" s="21">
        <v>95</v>
      </c>
      <c r="BC105" s="21">
        <v>0.37707499999999999</v>
      </c>
      <c r="BD105">
        <f t="shared" si="22"/>
        <v>35.223400000000005</v>
      </c>
      <c r="BE105">
        <f t="shared" si="23"/>
        <v>13.329168581200001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0.21667500000000001</v>
      </c>
      <c r="H106" s="21">
        <v>46.371899999999997</v>
      </c>
      <c r="I106" s="21">
        <v>-3.5324099999999997E-2</v>
      </c>
      <c r="J106" s="21">
        <v>96</v>
      </c>
      <c r="K106" s="21">
        <v>0.21545400000000001</v>
      </c>
      <c r="L106">
        <f t="shared" si="12"/>
        <v>35.324099999999994</v>
      </c>
      <c r="M106">
        <f t="shared" si="13"/>
        <v>7.6538493674999986</v>
      </c>
      <c r="N106" s="9"/>
      <c r="O106" s="21">
        <v>0.38345299999999999</v>
      </c>
      <c r="P106" s="21">
        <v>79.55</v>
      </c>
      <c r="Q106" s="21">
        <v>-3.52325E-2</v>
      </c>
      <c r="R106" s="21">
        <v>96</v>
      </c>
      <c r="S106" s="21">
        <v>0.38214100000000001</v>
      </c>
      <c r="T106">
        <f t="shared" si="14"/>
        <v>35.232500000000002</v>
      </c>
      <c r="U106">
        <f t="shared" si="15"/>
        <v>13.5100078225</v>
      </c>
      <c r="X106" s="9"/>
      <c r="Y106" s="21">
        <v>0.21667500000000001</v>
      </c>
      <c r="Z106" s="21">
        <v>82.798599999999993</v>
      </c>
      <c r="AA106" s="21">
        <v>-3.5351599999999997E-2</v>
      </c>
      <c r="AB106" s="21">
        <v>96</v>
      </c>
      <c r="AC106" s="21">
        <v>0.21548500000000001</v>
      </c>
      <c r="AD106">
        <f t="shared" si="16"/>
        <v>35.351599999999998</v>
      </c>
      <c r="AE106">
        <f t="shared" si="17"/>
        <v>7.6598079299999995</v>
      </c>
      <c r="AF106" s="9"/>
      <c r="AG106" s="21">
        <v>0.38345299999999999</v>
      </c>
      <c r="AH106" s="21">
        <v>85.777199999999993</v>
      </c>
      <c r="AI106" s="21">
        <v>-3.5183699999999998E-2</v>
      </c>
      <c r="AJ106" s="21">
        <v>96</v>
      </c>
      <c r="AK106" s="21">
        <v>0.38220199999999999</v>
      </c>
      <c r="AL106">
        <f t="shared" si="18"/>
        <v>35.183700000000002</v>
      </c>
      <c r="AM106">
        <f t="shared" si="19"/>
        <v>13.4912953161</v>
      </c>
      <c r="AP106" s="9"/>
      <c r="AQ106" s="21">
        <v>0.21667500000000001</v>
      </c>
      <c r="AR106" s="21">
        <v>88.512699999999995</v>
      </c>
      <c r="AS106" s="21">
        <v>-3.5418699999999997E-2</v>
      </c>
      <c r="AT106" s="21">
        <v>96</v>
      </c>
      <c r="AU106" s="21">
        <v>0.21548500000000001</v>
      </c>
      <c r="AV106">
        <f t="shared" si="20"/>
        <v>35.418699999999994</v>
      </c>
      <c r="AW106">
        <f t="shared" si="21"/>
        <v>7.6743468224999987</v>
      </c>
      <c r="AX106" s="9"/>
      <c r="AY106" s="21">
        <v>0.38345299999999999</v>
      </c>
      <c r="AZ106" s="21">
        <v>91.283299999999997</v>
      </c>
      <c r="BA106" s="21">
        <v>-3.5195900000000002E-2</v>
      </c>
      <c r="BB106" s="21">
        <v>96</v>
      </c>
      <c r="BC106" s="21">
        <v>0.38214100000000001</v>
      </c>
      <c r="BD106">
        <f t="shared" si="22"/>
        <v>35.195900000000002</v>
      </c>
      <c r="BE106">
        <f t="shared" si="23"/>
        <v>13.4959734427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0.21163899999999999</v>
      </c>
      <c r="H107" s="21">
        <v>46.381999999999998</v>
      </c>
      <c r="I107" s="21">
        <v>-3.53394E-2</v>
      </c>
      <c r="J107" s="21">
        <v>97</v>
      </c>
      <c r="K107" s="21">
        <v>0.21035799999999999</v>
      </c>
      <c r="L107">
        <f t="shared" si="12"/>
        <v>35.339399999999998</v>
      </c>
      <c r="M107">
        <f t="shared" si="13"/>
        <v>7.4791952765999996</v>
      </c>
      <c r="N107" s="9"/>
      <c r="O107" s="21">
        <v>0.38848899999999997</v>
      </c>
      <c r="P107" s="21">
        <v>79.560100000000006</v>
      </c>
      <c r="Q107" s="21">
        <v>-3.5223400000000002E-2</v>
      </c>
      <c r="R107" s="21">
        <v>97</v>
      </c>
      <c r="S107" s="21">
        <v>0.387268</v>
      </c>
      <c r="T107">
        <f t="shared" si="14"/>
        <v>35.223400000000005</v>
      </c>
      <c r="U107">
        <f t="shared" si="15"/>
        <v>13.683903442600002</v>
      </c>
      <c r="X107" s="9"/>
      <c r="Y107" s="21">
        <v>0.21163899999999999</v>
      </c>
      <c r="Z107" s="21">
        <v>82.808700000000002</v>
      </c>
      <c r="AA107" s="21">
        <v>-3.5342400000000003E-2</v>
      </c>
      <c r="AB107" s="21">
        <v>97</v>
      </c>
      <c r="AC107" s="21">
        <v>0.210449</v>
      </c>
      <c r="AD107">
        <f t="shared" si="16"/>
        <v>35.342400000000005</v>
      </c>
      <c r="AE107">
        <f t="shared" si="17"/>
        <v>7.4798301936000007</v>
      </c>
      <c r="AF107" s="9"/>
      <c r="AG107" s="21">
        <v>0.38848899999999997</v>
      </c>
      <c r="AH107" s="21">
        <v>85.787199999999999</v>
      </c>
      <c r="AI107" s="21">
        <v>-3.5168499999999998E-2</v>
      </c>
      <c r="AJ107" s="21">
        <v>97</v>
      </c>
      <c r="AK107" s="21">
        <v>0.387299</v>
      </c>
      <c r="AL107">
        <f t="shared" si="18"/>
        <v>35.168500000000002</v>
      </c>
      <c r="AM107">
        <f t="shared" si="19"/>
        <v>13.662575396499999</v>
      </c>
      <c r="AP107" s="9"/>
      <c r="AQ107" s="21">
        <v>0.21163899999999999</v>
      </c>
      <c r="AR107" s="21">
        <v>88.522800000000004</v>
      </c>
      <c r="AS107" s="21">
        <v>-3.5427899999999998E-2</v>
      </c>
      <c r="AT107" s="21">
        <v>97</v>
      </c>
      <c r="AU107" s="21">
        <v>0.21051</v>
      </c>
      <c r="AV107">
        <f t="shared" si="20"/>
        <v>35.427900000000001</v>
      </c>
      <c r="AW107">
        <f t="shared" si="21"/>
        <v>7.4979253281</v>
      </c>
      <c r="AX107" s="9"/>
      <c r="AY107" s="21">
        <v>0.38848899999999997</v>
      </c>
      <c r="AZ107" s="21">
        <v>91.293400000000005</v>
      </c>
      <c r="BA107" s="21">
        <v>-3.5195900000000002E-2</v>
      </c>
      <c r="BB107" s="21">
        <v>97</v>
      </c>
      <c r="BC107" s="21">
        <v>0.38717699999999999</v>
      </c>
      <c r="BD107">
        <f t="shared" si="22"/>
        <v>35.195900000000002</v>
      </c>
      <c r="BE107">
        <f t="shared" si="23"/>
        <v>13.6732199951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0.20660400000000001</v>
      </c>
      <c r="H108" s="21">
        <v>46.392000000000003</v>
      </c>
      <c r="I108" s="21">
        <v>-3.5348499999999998E-2</v>
      </c>
      <c r="J108" s="21">
        <v>98</v>
      </c>
      <c r="K108" s="21">
        <v>0.20541400000000001</v>
      </c>
      <c r="L108">
        <f t="shared" si="12"/>
        <v>35.348500000000001</v>
      </c>
      <c r="M108">
        <f t="shared" si="13"/>
        <v>7.303141494000001</v>
      </c>
      <c r="N108" s="9"/>
      <c r="O108" s="21">
        <v>0.39352399999999998</v>
      </c>
      <c r="P108" s="21">
        <v>79.5702</v>
      </c>
      <c r="Q108" s="21">
        <v>-3.5205100000000003E-2</v>
      </c>
      <c r="R108" s="21">
        <v>98</v>
      </c>
      <c r="S108" s="21">
        <v>0.39224199999999998</v>
      </c>
      <c r="T108">
        <f t="shared" si="14"/>
        <v>35.205100000000002</v>
      </c>
      <c r="U108">
        <f t="shared" si="15"/>
        <v>13.8540517724</v>
      </c>
      <c r="X108" s="9"/>
      <c r="Y108" s="21">
        <v>0.20660400000000001</v>
      </c>
      <c r="Z108" s="21">
        <v>82.818700000000007</v>
      </c>
      <c r="AA108" s="21">
        <v>-3.5351599999999997E-2</v>
      </c>
      <c r="AB108" s="21">
        <v>98</v>
      </c>
      <c r="AC108" s="21">
        <v>0.20538300000000001</v>
      </c>
      <c r="AD108">
        <f t="shared" si="16"/>
        <v>35.351599999999998</v>
      </c>
      <c r="AE108">
        <f t="shared" si="17"/>
        <v>7.3037819663999999</v>
      </c>
      <c r="AF108" s="9"/>
      <c r="AG108" s="21">
        <v>0.39352399999999998</v>
      </c>
      <c r="AH108" s="21">
        <v>85.797300000000007</v>
      </c>
      <c r="AI108" s="21">
        <v>-3.5144000000000002E-2</v>
      </c>
      <c r="AJ108" s="21">
        <v>98</v>
      </c>
      <c r="AK108" s="21">
        <v>0.39224199999999998</v>
      </c>
      <c r="AL108">
        <f t="shared" si="18"/>
        <v>35.143999999999998</v>
      </c>
      <c r="AM108">
        <f t="shared" si="19"/>
        <v>13.830007455999999</v>
      </c>
      <c r="AP108" s="9"/>
      <c r="AQ108" s="21">
        <v>0.20660400000000001</v>
      </c>
      <c r="AR108" s="21">
        <v>88.532899999999998</v>
      </c>
      <c r="AS108" s="21">
        <v>-3.5418699999999997E-2</v>
      </c>
      <c r="AT108" s="21">
        <v>98</v>
      </c>
      <c r="AU108" s="21">
        <v>0.20538300000000001</v>
      </c>
      <c r="AV108">
        <f t="shared" si="20"/>
        <v>35.418699999999994</v>
      </c>
      <c r="AW108">
        <f t="shared" si="21"/>
        <v>7.3176450947999987</v>
      </c>
      <c r="AX108" s="9"/>
      <c r="AY108" s="21">
        <v>0.39352399999999998</v>
      </c>
      <c r="AZ108" s="21">
        <v>91.3035</v>
      </c>
      <c r="BA108" s="21">
        <v>-3.5195900000000002E-2</v>
      </c>
      <c r="BB108" s="21">
        <v>98</v>
      </c>
      <c r="BC108" s="21">
        <v>0.39230300000000001</v>
      </c>
      <c r="BD108">
        <f t="shared" si="22"/>
        <v>35.195900000000002</v>
      </c>
      <c r="BE108">
        <f t="shared" si="23"/>
        <v>13.850431351599999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0.201569</v>
      </c>
      <c r="H109" s="21">
        <v>46.402099999999997</v>
      </c>
      <c r="I109" s="21">
        <v>-3.5333299999999998E-2</v>
      </c>
      <c r="J109" s="21">
        <v>99</v>
      </c>
      <c r="K109" s="21">
        <v>0.200348</v>
      </c>
      <c r="L109">
        <f t="shared" si="12"/>
        <v>35.333300000000001</v>
      </c>
      <c r="M109">
        <f t="shared" si="13"/>
        <v>7.1220979477000004</v>
      </c>
      <c r="N109" s="9"/>
      <c r="O109" s="21">
        <v>0.39856000000000003</v>
      </c>
      <c r="P109" s="21">
        <v>79.580200000000005</v>
      </c>
      <c r="Q109" s="21">
        <v>-3.5186799999999997E-2</v>
      </c>
      <c r="R109" s="21">
        <v>99</v>
      </c>
      <c r="S109" s="21">
        <v>0.39727800000000002</v>
      </c>
      <c r="T109">
        <f t="shared" si="14"/>
        <v>35.186799999999998</v>
      </c>
      <c r="U109">
        <f t="shared" si="15"/>
        <v>14.024051008000001</v>
      </c>
      <c r="X109" s="9"/>
      <c r="Y109" s="21">
        <v>0.201569</v>
      </c>
      <c r="Z109" s="21">
        <v>82.828800000000001</v>
      </c>
      <c r="AA109" s="21">
        <v>-3.5375999999999998E-2</v>
      </c>
      <c r="AB109" s="21">
        <v>99</v>
      </c>
      <c r="AC109" s="21">
        <v>0.200378</v>
      </c>
      <c r="AD109">
        <f t="shared" si="16"/>
        <v>35.375999999999998</v>
      </c>
      <c r="AE109">
        <f t="shared" si="17"/>
        <v>7.1307049439999997</v>
      </c>
      <c r="AF109" s="9"/>
      <c r="AG109" s="21">
        <v>0.39856000000000003</v>
      </c>
      <c r="AH109" s="21">
        <v>85.807400000000001</v>
      </c>
      <c r="AI109" s="21">
        <v>-3.5134899999999997E-2</v>
      </c>
      <c r="AJ109" s="21">
        <v>99</v>
      </c>
      <c r="AK109" s="21">
        <v>0.39727800000000002</v>
      </c>
      <c r="AL109">
        <f t="shared" si="18"/>
        <v>35.134899999999995</v>
      </c>
      <c r="AM109">
        <f t="shared" si="19"/>
        <v>14.003365743999998</v>
      </c>
      <c r="AP109" s="9"/>
      <c r="AQ109" s="21">
        <v>0.201569</v>
      </c>
      <c r="AR109" s="21">
        <v>88.543000000000006</v>
      </c>
      <c r="AS109" s="21">
        <v>-3.53973E-2</v>
      </c>
      <c r="AT109" s="21">
        <v>99</v>
      </c>
      <c r="AU109" s="21">
        <v>0.200317</v>
      </c>
      <c r="AV109">
        <f t="shared" si="20"/>
        <v>35.397300000000001</v>
      </c>
      <c r="AW109">
        <f t="shared" si="21"/>
        <v>7.1349983637000003</v>
      </c>
      <c r="AX109" s="9"/>
      <c r="AY109" s="21">
        <v>0.39856000000000003</v>
      </c>
      <c r="AZ109" s="21">
        <v>91.313500000000005</v>
      </c>
      <c r="BA109" s="21">
        <v>-3.5177600000000003E-2</v>
      </c>
      <c r="BB109" s="21">
        <v>99</v>
      </c>
      <c r="BC109" s="21">
        <v>0.39727800000000002</v>
      </c>
      <c r="BD109">
        <f t="shared" si="22"/>
        <v>35.177600000000005</v>
      </c>
      <c r="BE109">
        <f t="shared" si="23"/>
        <v>14.020384256000003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0.19653300000000001</v>
      </c>
      <c r="H110" s="21">
        <v>46.412199999999999</v>
      </c>
      <c r="I110" s="21">
        <v>-3.53546E-2</v>
      </c>
      <c r="J110" s="21">
        <v>100</v>
      </c>
      <c r="K110" s="21">
        <v>0.19534299999999999</v>
      </c>
      <c r="L110">
        <f t="shared" si="12"/>
        <v>35.354599999999998</v>
      </c>
      <c r="M110">
        <f t="shared" si="13"/>
        <v>6.9483456017999998</v>
      </c>
      <c r="N110" s="9"/>
      <c r="O110" s="21">
        <v>0.40359499999999998</v>
      </c>
      <c r="P110" s="21">
        <v>79.590299999999999</v>
      </c>
      <c r="Q110" s="21">
        <v>-3.5177600000000003E-2</v>
      </c>
      <c r="R110" s="21">
        <v>100</v>
      </c>
      <c r="S110" s="21">
        <v>0.40234399999999998</v>
      </c>
      <c r="T110">
        <f t="shared" si="14"/>
        <v>35.177600000000005</v>
      </c>
      <c r="U110">
        <f t="shared" si="15"/>
        <v>14.197503472000001</v>
      </c>
      <c r="X110" s="9"/>
      <c r="Y110" s="21">
        <v>0.19653300000000001</v>
      </c>
      <c r="Z110" s="21">
        <v>82.838899999999995</v>
      </c>
      <c r="AA110" s="21">
        <v>-3.5391199999999998E-2</v>
      </c>
      <c r="AB110" s="21">
        <v>100</v>
      </c>
      <c r="AC110" s="21">
        <v>0.19528200000000001</v>
      </c>
      <c r="AD110">
        <f t="shared" si="16"/>
        <v>35.391199999999998</v>
      </c>
      <c r="AE110">
        <f t="shared" si="17"/>
        <v>6.9555387095999999</v>
      </c>
      <c r="AF110" s="9"/>
      <c r="AG110" s="21">
        <v>0.40359499999999998</v>
      </c>
      <c r="AH110" s="21">
        <v>85.817499999999995</v>
      </c>
      <c r="AI110" s="21">
        <v>-3.5125700000000003E-2</v>
      </c>
      <c r="AJ110" s="21">
        <v>100</v>
      </c>
      <c r="AK110" s="21">
        <v>0.40234399999999998</v>
      </c>
      <c r="AL110">
        <f t="shared" si="18"/>
        <v>35.125700000000002</v>
      </c>
      <c r="AM110">
        <f t="shared" si="19"/>
        <v>14.176556891500001</v>
      </c>
      <c r="AP110" s="9"/>
      <c r="AQ110" s="21">
        <v>0.19653300000000001</v>
      </c>
      <c r="AR110" s="21">
        <v>88.552999999999997</v>
      </c>
      <c r="AS110" s="21">
        <v>-3.5372899999999999E-2</v>
      </c>
      <c r="AT110" s="21">
        <v>100</v>
      </c>
      <c r="AU110" s="21">
        <v>0.19531299999999999</v>
      </c>
      <c r="AV110">
        <f t="shared" si="20"/>
        <v>35.372900000000001</v>
      </c>
      <c r="AW110">
        <f t="shared" si="21"/>
        <v>6.9519421557000003</v>
      </c>
      <c r="AX110" s="9"/>
      <c r="AY110" s="21">
        <v>0.40359499999999998</v>
      </c>
      <c r="AZ110" s="21">
        <v>91.323599999999999</v>
      </c>
      <c r="BA110" s="21">
        <v>-3.5171500000000001E-2</v>
      </c>
      <c r="BB110" s="21">
        <v>100</v>
      </c>
      <c r="BC110" s="21">
        <v>0.40231299999999998</v>
      </c>
      <c r="BD110">
        <f t="shared" si="22"/>
        <v>35.171500000000002</v>
      </c>
      <c r="BE110">
        <f t="shared" si="23"/>
        <v>14.1950415425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0.191498</v>
      </c>
      <c r="H111" s="21">
        <v>46.422199999999997</v>
      </c>
      <c r="I111" s="21">
        <v>-3.5379000000000001E-2</v>
      </c>
      <c r="J111" s="21">
        <v>101</v>
      </c>
      <c r="K111" s="21">
        <v>0.190216</v>
      </c>
      <c r="L111">
        <f t="shared" si="12"/>
        <v>35.378999999999998</v>
      </c>
      <c r="M111">
        <f t="shared" si="13"/>
        <v>6.7750077419999997</v>
      </c>
      <c r="N111" s="9"/>
      <c r="O111" s="21">
        <v>0.40862999999999999</v>
      </c>
      <c r="P111" s="21">
        <v>79.600399999999993</v>
      </c>
      <c r="Q111" s="21">
        <v>-3.5180700000000002E-2</v>
      </c>
      <c r="R111" s="21">
        <v>101</v>
      </c>
      <c r="S111" s="21">
        <v>0.40737899999999999</v>
      </c>
      <c r="T111">
        <f t="shared" si="14"/>
        <v>35.180700000000002</v>
      </c>
      <c r="U111">
        <f t="shared" si="15"/>
        <v>14.375889441</v>
      </c>
      <c r="X111" s="9"/>
      <c r="Y111" s="21">
        <v>0.191498</v>
      </c>
      <c r="Z111" s="21">
        <v>82.8489</v>
      </c>
      <c r="AA111" s="21">
        <v>-3.5391199999999998E-2</v>
      </c>
      <c r="AB111" s="21">
        <v>101</v>
      </c>
      <c r="AC111" s="21">
        <v>0.19018599999999999</v>
      </c>
      <c r="AD111">
        <f t="shared" si="16"/>
        <v>35.391199999999998</v>
      </c>
      <c r="AE111">
        <f t="shared" si="17"/>
        <v>6.7773440175999999</v>
      </c>
      <c r="AF111" s="9"/>
      <c r="AG111" s="21">
        <v>0.40862999999999999</v>
      </c>
      <c r="AH111" s="21">
        <v>85.827500000000001</v>
      </c>
      <c r="AI111" s="21">
        <v>-3.5116599999999998E-2</v>
      </c>
      <c r="AJ111" s="21">
        <v>101</v>
      </c>
      <c r="AK111" s="21">
        <v>0.40734900000000002</v>
      </c>
      <c r="AL111">
        <f t="shared" si="18"/>
        <v>35.116599999999998</v>
      </c>
      <c r="AM111">
        <f t="shared" si="19"/>
        <v>14.349696258</v>
      </c>
      <c r="AP111" s="9"/>
      <c r="AQ111" s="21">
        <v>0.191498</v>
      </c>
      <c r="AR111" s="21">
        <v>88.563100000000006</v>
      </c>
      <c r="AS111" s="21">
        <v>-3.5363800000000001E-2</v>
      </c>
      <c r="AT111" s="21">
        <v>101</v>
      </c>
      <c r="AU111" s="21">
        <v>0.190247</v>
      </c>
      <c r="AV111">
        <f t="shared" si="20"/>
        <v>35.363799999999998</v>
      </c>
      <c r="AW111">
        <f t="shared" si="21"/>
        <v>6.7720969724</v>
      </c>
      <c r="AX111" s="9"/>
      <c r="AY111" s="21">
        <v>0.40862999999999999</v>
      </c>
      <c r="AZ111" s="21">
        <v>91.333699999999993</v>
      </c>
      <c r="BA111" s="21">
        <v>-3.5171500000000001E-2</v>
      </c>
      <c r="BB111" s="21">
        <v>101</v>
      </c>
      <c r="BC111" s="21">
        <v>0.40734900000000002</v>
      </c>
      <c r="BD111">
        <f t="shared" si="22"/>
        <v>35.171500000000002</v>
      </c>
      <c r="BE111">
        <f t="shared" si="23"/>
        <v>14.372130045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0.18646199999999999</v>
      </c>
      <c r="H112" s="21">
        <v>46.432299999999998</v>
      </c>
      <c r="I112" s="21">
        <v>-3.5385100000000003E-2</v>
      </c>
      <c r="J112" s="21">
        <v>102</v>
      </c>
      <c r="K112" s="21">
        <v>0.18518100000000001</v>
      </c>
      <c r="L112">
        <f t="shared" si="12"/>
        <v>35.385100000000001</v>
      </c>
      <c r="M112">
        <f t="shared" si="13"/>
        <v>6.5979765162000001</v>
      </c>
      <c r="N112" s="9"/>
      <c r="O112" s="21">
        <v>0.41366599999999998</v>
      </c>
      <c r="P112" s="21">
        <v>79.610399999999998</v>
      </c>
      <c r="Q112" s="21">
        <v>-3.5171500000000001E-2</v>
      </c>
      <c r="R112" s="21">
        <v>102</v>
      </c>
      <c r="S112" s="21">
        <v>0.41241499999999998</v>
      </c>
      <c r="T112">
        <f t="shared" si="14"/>
        <v>35.171500000000002</v>
      </c>
      <c r="U112">
        <f t="shared" si="15"/>
        <v>14.549253718999999</v>
      </c>
      <c r="X112" s="9"/>
      <c r="Y112" s="21">
        <v>0.18646199999999999</v>
      </c>
      <c r="Z112" s="21">
        <v>82.858999999999995</v>
      </c>
      <c r="AA112" s="21">
        <v>-3.5388200000000002E-2</v>
      </c>
      <c r="AB112" s="21">
        <v>102</v>
      </c>
      <c r="AC112" s="21">
        <v>0.18527199999999999</v>
      </c>
      <c r="AD112">
        <f t="shared" si="16"/>
        <v>35.388200000000005</v>
      </c>
      <c r="AE112">
        <f t="shared" si="17"/>
        <v>6.5985545484000001</v>
      </c>
      <c r="AF112" s="9"/>
      <c r="AG112" s="21">
        <v>0.41366599999999998</v>
      </c>
      <c r="AH112" s="21">
        <v>85.837599999999995</v>
      </c>
      <c r="AI112" s="21">
        <v>-3.5113499999999999E-2</v>
      </c>
      <c r="AJ112" s="21">
        <v>102</v>
      </c>
      <c r="AK112" s="21">
        <v>0.41244500000000001</v>
      </c>
      <c r="AL112">
        <f t="shared" si="18"/>
        <v>35.113500000000002</v>
      </c>
      <c r="AM112">
        <f t="shared" si="19"/>
        <v>14.525261091000001</v>
      </c>
      <c r="AP112" s="9"/>
      <c r="AQ112" s="21">
        <v>0.18646199999999999</v>
      </c>
      <c r="AR112" s="21">
        <v>88.5732</v>
      </c>
      <c r="AS112" s="21">
        <v>-3.5366799999999997E-2</v>
      </c>
      <c r="AT112" s="21">
        <v>102</v>
      </c>
      <c r="AU112" s="21">
        <v>0.18527199999999999</v>
      </c>
      <c r="AV112">
        <f t="shared" si="20"/>
        <v>35.366799999999998</v>
      </c>
      <c r="AW112">
        <f t="shared" si="21"/>
        <v>6.5945642615999995</v>
      </c>
      <c r="AX112" s="9"/>
      <c r="AY112" s="21">
        <v>0.41366599999999998</v>
      </c>
      <c r="AZ112" s="21">
        <v>91.343699999999998</v>
      </c>
      <c r="BA112" s="21">
        <v>-3.5159299999999997E-2</v>
      </c>
      <c r="BB112" s="21">
        <v>102</v>
      </c>
      <c r="BC112" s="21">
        <v>0.41244500000000001</v>
      </c>
      <c r="BD112">
        <f t="shared" si="22"/>
        <v>35.159299999999995</v>
      </c>
      <c r="BE112">
        <f t="shared" si="23"/>
        <v>14.544206993799998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0.181427</v>
      </c>
      <c r="H113" s="21">
        <v>46.442399999999999</v>
      </c>
      <c r="I113" s="21">
        <v>-3.5372899999999999E-2</v>
      </c>
      <c r="J113" s="21">
        <v>103</v>
      </c>
      <c r="K113" s="21">
        <v>0.18023700000000001</v>
      </c>
      <c r="L113">
        <f t="shared" si="12"/>
        <v>35.372900000000001</v>
      </c>
      <c r="M113">
        <f t="shared" si="13"/>
        <v>6.4175991283</v>
      </c>
      <c r="N113" s="9"/>
      <c r="O113" s="21">
        <v>0.41870099999999999</v>
      </c>
      <c r="P113" s="21">
        <v>79.620500000000007</v>
      </c>
      <c r="Q113" s="21">
        <v>-3.5159299999999997E-2</v>
      </c>
      <c r="R113" s="21">
        <v>103</v>
      </c>
      <c r="S113" s="21">
        <v>0.41738900000000001</v>
      </c>
      <c r="T113">
        <f t="shared" si="14"/>
        <v>35.159299999999995</v>
      </c>
      <c r="U113">
        <f t="shared" si="15"/>
        <v>14.721234069299998</v>
      </c>
      <c r="X113" s="9"/>
      <c r="Y113" s="21">
        <v>0.181427</v>
      </c>
      <c r="Z113" s="21">
        <v>82.869100000000003</v>
      </c>
      <c r="AA113" s="21">
        <v>-3.5400399999999999E-2</v>
      </c>
      <c r="AB113" s="21">
        <v>103</v>
      </c>
      <c r="AC113" s="21">
        <v>0.18023700000000001</v>
      </c>
      <c r="AD113">
        <f t="shared" si="16"/>
        <v>35.400399999999998</v>
      </c>
      <c r="AE113">
        <f t="shared" si="17"/>
        <v>6.4225883707999998</v>
      </c>
      <c r="AF113" s="9"/>
      <c r="AG113" s="21">
        <v>0.41870099999999999</v>
      </c>
      <c r="AH113" s="21">
        <v>85.847700000000003</v>
      </c>
      <c r="AI113" s="21">
        <v>-3.5092199999999997E-2</v>
      </c>
      <c r="AJ113" s="21">
        <v>103</v>
      </c>
      <c r="AK113" s="21">
        <v>0.41748000000000002</v>
      </c>
      <c r="AL113">
        <f t="shared" si="18"/>
        <v>35.092199999999998</v>
      </c>
      <c r="AM113">
        <f t="shared" si="19"/>
        <v>14.693139232199998</v>
      </c>
      <c r="AP113" s="9"/>
      <c r="AQ113" s="21">
        <v>0.181427</v>
      </c>
      <c r="AR113" s="21">
        <v>88.583200000000005</v>
      </c>
      <c r="AS113" s="21">
        <v>-3.5363800000000001E-2</v>
      </c>
      <c r="AT113" s="21">
        <v>103</v>
      </c>
      <c r="AU113" s="21">
        <v>0.18020600000000001</v>
      </c>
      <c r="AV113">
        <f t="shared" si="20"/>
        <v>35.363799999999998</v>
      </c>
      <c r="AW113">
        <f t="shared" si="21"/>
        <v>6.4159481425999996</v>
      </c>
      <c r="AX113" s="9"/>
      <c r="AY113" s="21">
        <v>0.41870099999999999</v>
      </c>
      <c r="AZ113" s="21">
        <v>91.353800000000007</v>
      </c>
      <c r="BA113" s="21">
        <v>-3.5131799999999998E-2</v>
      </c>
      <c r="BB113" s="21">
        <v>103</v>
      </c>
      <c r="BC113" s="21">
        <v>0.41748000000000002</v>
      </c>
      <c r="BD113">
        <f t="shared" si="22"/>
        <v>35.131799999999998</v>
      </c>
      <c r="BE113">
        <f t="shared" si="23"/>
        <v>14.7097197918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0.17639199999999999</v>
      </c>
      <c r="H114" s="21">
        <v>46.452500000000001</v>
      </c>
      <c r="I114" s="21">
        <v>-3.5366799999999997E-2</v>
      </c>
      <c r="J114" s="21">
        <v>104</v>
      </c>
      <c r="K114" s="21">
        <v>0.17517099999999999</v>
      </c>
      <c r="L114">
        <f t="shared" si="12"/>
        <v>35.366799999999998</v>
      </c>
      <c r="M114">
        <f t="shared" si="13"/>
        <v>6.2384205855999992</v>
      </c>
      <c r="N114" s="9"/>
      <c r="O114" s="21">
        <v>0.42373699999999997</v>
      </c>
      <c r="P114" s="21">
        <v>79.630600000000001</v>
      </c>
      <c r="Q114" s="21">
        <v>-3.5153200000000003E-2</v>
      </c>
      <c r="R114" s="21">
        <v>104</v>
      </c>
      <c r="S114" s="21">
        <v>0.42245500000000002</v>
      </c>
      <c r="T114">
        <f t="shared" si="14"/>
        <v>35.153200000000005</v>
      </c>
      <c r="U114">
        <f t="shared" si="15"/>
        <v>14.895711508400002</v>
      </c>
      <c r="X114" s="9"/>
      <c r="Y114" s="21">
        <v>0.17639199999999999</v>
      </c>
      <c r="Z114" s="21">
        <v>82.879199999999997</v>
      </c>
      <c r="AA114" s="21">
        <v>-3.5424799999999999E-2</v>
      </c>
      <c r="AB114" s="21">
        <v>104</v>
      </c>
      <c r="AC114" s="21">
        <v>0.175201</v>
      </c>
      <c r="AD114">
        <f t="shared" si="16"/>
        <v>35.424799999999998</v>
      </c>
      <c r="AE114">
        <f t="shared" si="17"/>
        <v>6.2486513215999997</v>
      </c>
      <c r="AF114" s="9"/>
      <c r="AG114" s="21">
        <v>0.42373699999999997</v>
      </c>
      <c r="AH114" s="21">
        <v>85.857699999999994</v>
      </c>
      <c r="AI114" s="21">
        <v>-3.5086100000000002E-2</v>
      </c>
      <c r="AJ114" s="21">
        <v>104</v>
      </c>
      <c r="AK114" s="21">
        <v>0.42242400000000002</v>
      </c>
      <c r="AL114">
        <f t="shared" si="18"/>
        <v>35.086100000000002</v>
      </c>
      <c r="AM114">
        <f t="shared" si="19"/>
        <v>14.867278755699999</v>
      </c>
      <c r="AP114" s="9"/>
      <c r="AQ114" s="21">
        <v>0.17639199999999999</v>
      </c>
      <c r="AR114" s="21">
        <v>88.593299999999999</v>
      </c>
      <c r="AS114" s="21">
        <v>-3.5351599999999997E-2</v>
      </c>
      <c r="AT114" s="21">
        <v>104</v>
      </c>
      <c r="AU114" s="21">
        <v>0.175201</v>
      </c>
      <c r="AV114">
        <f t="shared" si="20"/>
        <v>35.351599999999998</v>
      </c>
      <c r="AW114">
        <f t="shared" si="21"/>
        <v>6.2357394271999995</v>
      </c>
      <c r="AX114" s="9"/>
      <c r="AY114" s="21">
        <v>0.42373699999999997</v>
      </c>
      <c r="AZ114" s="21">
        <v>91.363900000000001</v>
      </c>
      <c r="BA114" s="21">
        <v>-3.5116599999999998E-2</v>
      </c>
      <c r="BB114" s="21">
        <v>104</v>
      </c>
      <c r="BC114" s="21">
        <v>0.422485</v>
      </c>
      <c r="BD114">
        <f t="shared" si="22"/>
        <v>35.116599999999998</v>
      </c>
      <c r="BE114">
        <f t="shared" si="23"/>
        <v>14.880202734199999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0.17135600000000001</v>
      </c>
      <c r="H115" s="21">
        <v>46.462499999999999</v>
      </c>
      <c r="I115" s="21">
        <v>-3.53546E-2</v>
      </c>
      <c r="J115" s="21">
        <v>105</v>
      </c>
      <c r="K115" s="21">
        <v>0.17013500000000001</v>
      </c>
      <c r="L115">
        <f t="shared" si="12"/>
        <v>35.354599999999998</v>
      </c>
      <c r="M115">
        <f t="shared" si="13"/>
        <v>6.0582228375999998</v>
      </c>
      <c r="N115" s="9"/>
      <c r="O115" s="21">
        <v>0.42877199999999999</v>
      </c>
      <c r="P115" s="21">
        <v>79.640600000000006</v>
      </c>
      <c r="Q115" s="21">
        <v>-3.5147100000000001E-2</v>
      </c>
      <c r="R115" s="21">
        <v>105</v>
      </c>
      <c r="S115" s="21">
        <v>0.42748999999999998</v>
      </c>
      <c r="T115">
        <f t="shared" si="14"/>
        <v>35.147100000000002</v>
      </c>
      <c r="U115">
        <f t="shared" si="15"/>
        <v>15.0700923612</v>
      </c>
      <c r="X115" s="9"/>
      <c r="Y115" s="21">
        <v>0.17135600000000001</v>
      </c>
      <c r="Z115" s="21">
        <v>82.889200000000002</v>
      </c>
      <c r="AA115" s="21">
        <v>-3.54492E-2</v>
      </c>
      <c r="AB115" s="21">
        <v>105</v>
      </c>
      <c r="AC115" s="21">
        <v>0.17016600000000001</v>
      </c>
      <c r="AD115">
        <f t="shared" si="16"/>
        <v>35.449199999999998</v>
      </c>
      <c r="AE115">
        <f t="shared" si="17"/>
        <v>6.0744331151999997</v>
      </c>
      <c r="AF115" s="9"/>
      <c r="AG115" s="21">
        <v>0.42877199999999999</v>
      </c>
      <c r="AH115" s="21">
        <v>85.867800000000003</v>
      </c>
      <c r="AI115" s="21">
        <v>-3.5058600000000002E-2</v>
      </c>
      <c r="AJ115" s="21">
        <v>105</v>
      </c>
      <c r="AK115" s="21">
        <v>0.42752099999999998</v>
      </c>
      <c r="AL115">
        <f t="shared" si="18"/>
        <v>35.058600000000006</v>
      </c>
      <c r="AM115">
        <f t="shared" si="19"/>
        <v>15.032146039200002</v>
      </c>
      <c r="AP115" s="9"/>
      <c r="AQ115" s="21">
        <v>0.17135600000000001</v>
      </c>
      <c r="AR115" s="21">
        <v>88.603399999999993</v>
      </c>
      <c r="AS115" s="21">
        <v>-3.5342400000000003E-2</v>
      </c>
      <c r="AT115" s="21">
        <v>105</v>
      </c>
      <c r="AU115" s="21">
        <v>0.17019699999999999</v>
      </c>
      <c r="AV115">
        <f t="shared" si="20"/>
        <v>35.342400000000005</v>
      </c>
      <c r="AW115">
        <f t="shared" si="21"/>
        <v>6.0561322944000011</v>
      </c>
      <c r="AX115" s="9"/>
      <c r="AY115" s="21">
        <v>0.42877199999999999</v>
      </c>
      <c r="AZ115" s="21">
        <v>91.373900000000006</v>
      </c>
      <c r="BA115" s="21">
        <v>-3.5092199999999997E-2</v>
      </c>
      <c r="BB115" s="21">
        <v>105</v>
      </c>
      <c r="BC115" s="21">
        <v>0.42752099999999998</v>
      </c>
      <c r="BD115">
        <f t="shared" si="22"/>
        <v>35.092199999999998</v>
      </c>
      <c r="BE115">
        <f t="shared" si="23"/>
        <v>15.046552778399999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0.166321</v>
      </c>
      <c r="H116" s="21">
        <v>46.4726</v>
      </c>
      <c r="I116" s="21">
        <v>-3.5351599999999997E-2</v>
      </c>
      <c r="J116" s="21">
        <v>106</v>
      </c>
      <c r="K116" s="21">
        <v>0.1651</v>
      </c>
      <c r="L116">
        <f t="shared" si="12"/>
        <v>35.351599999999998</v>
      </c>
      <c r="M116">
        <f t="shared" si="13"/>
        <v>5.8797134635999999</v>
      </c>
      <c r="N116" s="9"/>
      <c r="O116" s="21">
        <v>0.433807</v>
      </c>
      <c r="P116" s="21">
        <v>79.650700000000001</v>
      </c>
      <c r="Q116" s="21">
        <v>-3.5116599999999998E-2</v>
      </c>
      <c r="R116" s="21">
        <v>106</v>
      </c>
      <c r="S116" s="21">
        <v>0.432587</v>
      </c>
      <c r="T116">
        <f t="shared" si="14"/>
        <v>35.116599999999998</v>
      </c>
      <c r="U116">
        <f t="shared" si="15"/>
        <v>15.233826896199998</v>
      </c>
      <c r="X116" s="9"/>
      <c r="Y116" s="21">
        <v>0.166321</v>
      </c>
      <c r="Z116" s="21">
        <v>82.899299999999997</v>
      </c>
      <c r="AA116" s="21">
        <v>-3.5464500000000003E-2</v>
      </c>
      <c r="AB116" s="21">
        <v>106</v>
      </c>
      <c r="AC116" s="21">
        <v>0.1651</v>
      </c>
      <c r="AD116">
        <f t="shared" si="16"/>
        <v>35.464500000000001</v>
      </c>
      <c r="AE116">
        <f t="shared" si="17"/>
        <v>5.8984911044999997</v>
      </c>
      <c r="AF116" s="9"/>
      <c r="AG116" s="21">
        <v>0.433807</v>
      </c>
      <c r="AH116" s="21">
        <v>85.877899999999997</v>
      </c>
      <c r="AI116" s="21">
        <v>-3.5043299999999999E-2</v>
      </c>
      <c r="AJ116" s="21">
        <v>106</v>
      </c>
      <c r="AK116" s="21">
        <v>0.43249500000000002</v>
      </c>
      <c r="AL116">
        <f t="shared" si="18"/>
        <v>35.043300000000002</v>
      </c>
      <c r="AM116">
        <f t="shared" si="19"/>
        <v>15.202028843100001</v>
      </c>
      <c r="AP116" s="9"/>
      <c r="AQ116" s="21">
        <v>0.166321</v>
      </c>
      <c r="AR116" s="21">
        <v>88.613500000000002</v>
      </c>
      <c r="AS116" s="21">
        <v>-3.5342400000000003E-2</v>
      </c>
      <c r="AT116" s="21">
        <v>106</v>
      </c>
      <c r="AU116" s="21">
        <v>0.16522200000000001</v>
      </c>
      <c r="AV116">
        <f t="shared" si="20"/>
        <v>35.342400000000005</v>
      </c>
      <c r="AW116">
        <f t="shared" si="21"/>
        <v>5.8781833104000007</v>
      </c>
      <c r="AX116" s="9"/>
      <c r="AY116" s="21">
        <v>0.433807</v>
      </c>
      <c r="AZ116" s="21">
        <v>91.384</v>
      </c>
      <c r="BA116" s="21">
        <v>-3.5055500000000003E-2</v>
      </c>
      <c r="BB116" s="21">
        <v>106</v>
      </c>
      <c r="BC116" s="21">
        <v>0.43261699999999997</v>
      </c>
      <c r="BD116">
        <f t="shared" si="22"/>
        <v>35.055500000000002</v>
      </c>
      <c r="BE116">
        <f t="shared" si="23"/>
        <v>15.207321288500001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0.16128500000000001</v>
      </c>
      <c r="H117" s="21">
        <v>46.482700000000001</v>
      </c>
      <c r="I117" s="21">
        <v>-3.5357699999999999E-2</v>
      </c>
      <c r="J117" s="21">
        <v>107</v>
      </c>
      <c r="K117" s="21">
        <v>0.16012599999999999</v>
      </c>
      <c r="L117">
        <f t="shared" si="12"/>
        <v>35.357700000000001</v>
      </c>
      <c r="M117">
        <f t="shared" si="13"/>
        <v>5.7026666445000007</v>
      </c>
      <c r="N117" s="9"/>
      <c r="O117" s="21">
        <v>0.43884299999999998</v>
      </c>
      <c r="P117" s="21">
        <v>79.660799999999995</v>
      </c>
      <c r="Q117" s="21">
        <v>-3.5098299999999999E-2</v>
      </c>
      <c r="R117" s="21">
        <v>107</v>
      </c>
      <c r="S117" s="21">
        <v>0.4375</v>
      </c>
      <c r="T117">
        <f t="shared" si="14"/>
        <v>35.098300000000002</v>
      </c>
      <c r="U117">
        <f t="shared" si="15"/>
        <v>15.4026432669</v>
      </c>
      <c r="X117" s="9"/>
      <c r="Y117" s="21">
        <v>0.16128500000000001</v>
      </c>
      <c r="Z117" s="21">
        <v>82.909400000000005</v>
      </c>
      <c r="AA117" s="21">
        <v>-3.5473600000000001E-2</v>
      </c>
      <c r="AB117" s="21">
        <v>107</v>
      </c>
      <c r="AC117" s="21">
        <v>0.16003400000000001</v>
      </c>
      <c r="AD117">
        <f t="shared" si="16"/>
        <v>35.473599999999998</v>
      </c>
      <c r="AE117">
        <f t="shared" si="17"/>
        <v>5.7213595760000002</v>
      </c>
      <c r="AF117" s="9"/>
      <c r="AG117" s="21">
        <v>0.43884299999999998</v>
      </c>
      <c r="AH117" s="21">
        <v>85.887900000000002</v>
      </c>
      <c r="AI117" s="21">
        <v>-3.5018899999999999E-2</v>
      </c>
      <c r="AJ117" s="21">
        <v>107</v>
      </c>
      <c r="AK117" s="21">
        <v>0.4375</v>
      </c>
      <c r="AL117">
        <f t="shared" si="18"/>
        <v>35.018900000000002</v>
      </c>
      <c r="AM117">
        <f t="shared" si="19"/>
        <v>15.3677991327</v>
      </c>
      <c r="AP117" s="9"/>
      <c r="AQ117" s="21">
        <v>0.16128500000000001</v>
      </c>
      <c r="AR117" s="21">
        <v>88.623500000000007</v>
      </c>
      <c r="AS117" s="21">
        <v>-3.53394E-2</v>
      </c>
      <c r="AT117" s="21">
        <v>107</v>
      </c>
      <c r="AU117" s="21">
        <v>0.16000400000000001</v>
      </c>
      <c r="AV117">
        <f t="shared" si="20"/>
        <v>35.339399999999998</v>
      </c>
      <c r="AW117">
        <f t="shared" si="21"/>
        <v>5.6997151290000003</v>
      </c>
      <c r="AX117" s="9"/>
      <c r="AY117" s="21">
        <v>0.43884299999999998</v>
      </c>
      <c r="AZ117" s="21">
        <v>91.394099999999995</v>
      </c>
      <c r="BA117" s="21">
        <v>-3.5034200000000001E-2</v>
      </c>
      <c r="BB117" s="21">
        <v>107</v>
      </c>
      <c r="BC117" s="21">
        <v>0.43759199999999998</v>
      </c>
      <c r="BD117">
        <f t="shared" si="22"/>
        <v>35.034199999999998</v>
      </c>
      <c r="BE117">
        <f t="shared" si="23"/>
        <v>15.374513430599999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0.15625</v>
      </c>
      <c r="H118" s="21">
        <v>46.492699999999999</v>
      </c>
      <c r="I118" s="21">
        <v>-3.5357699999999999E-2</v>
      </c>
      <c r="J118" s="21">
        <v>108</v>
      </c>
      <c r="K118" s="21">
        <v>0.15512100000000001</v>
      </c>
      <c r="L118">
        <f t="shared" si="12"/>
        <v>35.357700000000001</v>
      </c>
      <c r="M118">
        <f t="shared" si="13"/>
        <v>5.524640625</v>
      </c>
      <c r="N118" s="9"/>
      <c r="O118" s="21">
        <v>0.44387799999999999</v>
      </c>
      <c r="P118" s="21">
        <v>79.670900000000003</v>
      </c>
      <c r="Q118" s="21">
        <v>-3.5089099999999998E-2</v>
      </c>
      <c r="R118" s="21">
        <v>108</v>
      </c>
      <c r="S118" s="21">
        <v>0.44262699999999999</v>
      </c>
      <c r="T118">
        <f t="shared" si="14"/>
        <v>35.089099999999995</v>
      </c>
      <c r="U118">
        <f t="shared" si="15"/>
        <v>15.575279529799998</v>
      </c>
      <c r="X118" s="9"/>
      <c r="Y118" s="21">
        <v>0.15625</v>
      </c>
      <c r="Z118" s="21">
        <v>82.919399999999996</v>
      </c>
      <c r="AA118" s="21">
        <v>-3.5470599999999998E-2</v>
      </c>
      <c r="AB118" s="21">
        <v>108</v>
      </c>
      <c r="AC118" s="21">
        <v>0.15506</v>
      </c>
      <c r="AD118">
        <f t="shared" si="16"/>
        <v>35.470599999999997</v>
      </c>
      <c r="AE118">
        <f t="shared" si="17"/>
        <v>5.5422812499999994</v>
      </c>
      <c r="AF118" s="9"/>
      <c r="AG118" s="21">
        <v>0.44387799999999999</v>
      </c>
      <c r="AH118" s="21">
        <v>85.897999999999996</v>
      </c>
      <c r="AI118" s="21">
        <v>-3.4997599999999997E-2</v>
      </c>
      <c r="AJ118" s="21">
        <v>108</v>
      </c>
      <c r="AK118" s="21">
        <v>0.44265700000000002</v>
      </c>
      <c r="AL118">
        <f t="shared" si="18"/>
        <v>34.997599999999998</v>
      </c>
      <c r="AM118">
        <f t="shared" si="19"/>
        <v>15.5346646928</v>
      </c>
      <c r="AP118" s="9"/>
      <c r="AQ118" s="21">
        <v>0.15625</v>
      </c>
      <c r="AR118" s="21">
        <v>88.633600000000001</v>
      </c>
      <c r="AS118" s="21">
        <v>-3.5366799999999997E-2</v>
      </c>
      <c r="AT118" s="21">
        <v>108</v>
      </c>
      <c r="AU118" s="21">
        <v>0.15506</v>
      </c>
      <c r="AV118">
        <f t="shared" si="20"/>
        <v>35.366799999999998</v>
      </c>
      <c r="AW118">
        <f t="shared" si="21"/>
        <v>5.5260625000000001</v>
      </c>
      <c r="AX118" s="9"/>
      <c r="AY118" s="21">
        <v>0.44387799999999999</v>
      </c>
      <c r="AZ118" s="21">
        <v>91.404200000000003</v>
      </c>
      <c r="BA118" s="21">
        <v>-3.5018899999999999E-2</v>
      </c>
      <c r="BB118" s="21">
        <v>108</v>
      </c>
      <c r="BC118" s="21">
        <v>0.44271899999999997</v>
      </c>
      <c r="BD118">
        <f t="shared" si="22"/>
        <v>35.018900000000002</v>
      </c>
      <c r="BE118">
        <f t="shared" si="23"/>
        <v>15.544119294200001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0.15121499999999999</v>
      </c>
      <c r="H119" s="21">
        <v>46.502800000000001</v>
      </c>
      <c r="I119" s="21">
        <v>-3.5348499999999998E-2</v>
      </c>
      <c r="J119" s="21">
        <v>109</v>
      </c>
      <c r="K119" s="21">
        <v>0.15002399999999999</v>
      </c>
      <c r="L119">
        <f t="shared" si="12"/>
        <v>35.348500000000001</v>
      </c>
      <c r="M119">
        <f t="shared" si="13"/>
        <v>5.3452234274999997</v>
      </c>
      <c r="N119" s="9"/>
      <c r="O119" s="21">
        <v>0.44891399999999998</v>
      </c>
      <c r="P119" s="21">
        <v>79.680899999999994</v>
      </c>
      <c r="Q119" s="21">
        <v>-3.5046399999999998E-2</v>
      </c>
      <c r="R119" s="21">
        <v>109</v>
      </c>
      <c r="S119" s="21">
        <v>0.447662</v>
      </c>
      <c r="T119">
        <f t="shared" si="14"/>
        <v>35.046399999999998</v>
      </c>
      <c r="U119">
        <f t="shared" si="15"/>
        <v>15.732819609599998</v>
      </c>
      <c r="X119" s="9"/>
      <c r="Y119" s="21">
        <v>0.15121499999999999</v>
      </c>
      <c r="Z119" s="21">
        <v>82.929500000000004</v>
      </c>
      <c r="AA119" s="21">
        <v>-3.5470599999999998E-2</v>
      </c>
      <c r="AB119" s="21">
        <v>109</v>
      </c>
      <c r="AC119" s="21">
        <v>0.14999399999999999</v>
      </c>
      <c r="AD119">
        <f t="shared" si="16"/>
        <v>35.470599999999997</v>
      </c>
      <c r="AE119">
        <f t="shared" si="17"/>
        <v>5.3636867789999991</v>
      </c>
      <c r="AF119" s="9"/>
      <c r="AG119" s="21">
        <v>0.44891399999999998</v>
      </c>
      <c r="AH119" s="21">
        <v>85.908100000000005</v>
      </c>
      <c r="AI119" s="21">
        <v>-3.4970099999999997E-2</v>
      </c>
      <c r="AJ119" s="21">
        <v>109</v>
      </c>
      <c r="AK119" s="21">
        <v>0.44760100000000003</v>
      </c>
      <c r="AL119">
        <f t="shared" si="18"/>
        <v>34.970099999999995</v>
      </c>
      <c r="AM119">
        <f t="shared" si="19"/>
        <v>15.698567471399997</v>
      </c>
      <c r="AP119" s="9"/>
      <c r="AQ119" s="21">
        <v>0.15121499999999999</v>
      </c>
      <c r="AR119" s="21">
        <v>88.643699999999995</v>
      </c>
      <c r="AS119" s="21">
        <v>-3.5388200000000002E-2</v>
      </c>
      <c r="AT119" s="21">
        <v>109</v>
      </c>
      <c r="AU119" s="21">
        <v>0.14996300000000001</v>
      </c>
      <c r="AV119">
        <f t="shared" si="20"/>
        <v>35.388200000000005</v>
      </c>
      <c r="AW119">
        <f t="shared" si="21"/>
        <v>5.3512266630000003</v>
      </c>
      <c r="AX119" s="9"/>
      <c r="AY119" s="21">
        <v>0.44891399999999998</v>
      </c>
      <c r="AZ119" s="21">
        <v>91.414199999999994</v>
      </c>
      <c r="BA119" s="21">
        <v>-3.4994499999999998E-2</v>
      </c>
      <c r="BB119" s="21">
        <v>109</v>
      </c>
      <c r="BC119" s="21">
        <v>0.44760100000000003</v>
      </c>
      <c r="BD119">
        <f t="shared" si="22"/>
        <v>34.994499999999995</v>
      </c>
      <c r="BE119">
        <f t="shared" si="23"/>
        <v>15.709520972999997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0.146179</v>
      </c>
      <c r="H120" s="21">
        <v>46.512900000000002</v>
      </c>
      <c r="I120" s="21">
        <v>-3.53394E-2</v>
      </c>
      <c r="J120" s="21">
        <v>110</v>
      </c>
      <c r="K120" s="21">
        <v>0.14505000000000001</v>
      </c>
      <c r="L120">
        <f t="shared" si="12"/>
        <v>35.339399999999998</v>
      </c>
      <c r="M120">
        <f t="shared" si="13"/>
        <v>5.1658781525999995</v>
      </c>
      <c r="N120" s="9"/>
      <c r="O120" s="21">
        <v>0.45394899999999999</v>
      </c>
      <c r="P120" s="21">
        <v>79.691000000000003</v>
      </c>
      <c r="Q120" s="21">
        <v>-3.5009800000000001E-2</v>
      </c>
      <c r="R120" s="21">
        <v>110</v>
      </c>
      <c r="S120" s="21">
        <v>0.45272800000000002</v>
      </c>
      <c r="T120">
        <f t="shared" si="14"/>
        <v>35.009799999999998</v>
      </c>
      <c r="U120">
        <f t="shared" si="15"/>
        <v>15.892663700199998</v>
      </c>
      <c r="X120" s="9"/>
      <c r="Y120" s="21">
        <v>0.146179</v>
      </c>
      <c r="Z120" s="21">
        <v>82.939599999999999</v>
      </c>
      <c r="AA120" s="21">
        <v>-3.5455300000000002E-2</v>
      </c>
      <c r="AB120" s="21">
        <v>110</v>
      </c>
      <c r="AC120" s="21">
        <v>0.14502000000000001</v>
      </c>
      <c r="AD120">
        <f t="shared" si="16"/>
        <v>35.455300000000001</v>
      </c>
      <c r="AE120">
        <f t="shared" si="17"/>
        <v>5.1828202987000003</v>
      </c>
      <c r="AF120" s="9"/>
      <c r="AG120" s="21">
        <v>0.45394899999999999</v>
      </c>
      <c r="AH120" s="21">
        <v>85.918199999999999</v>
      </c>
      <c r="AI120" s="21">
        <v>-3.4942599999999997E-2</v>
      </c>
      <c r="AJ120" s="21">
        <v>110</v>
      </c>
      <c r="AK120" s="21">
        <v>0.45266699999999999</v>
      </c>
      <c r="AL120">
        <f t="shared" si="18"/>
        <v>34.942599999999999</v>
      </c>
      <c r="AM120">
        <f t="shared" si="19"/>
        <v>15.8621583274</v>
      </c>
      <c r="AP120" s="9"/>
      <c r="AQ120" s="21">
        <v>0.146179</v>
      </c>
      <c r="AR120" s="21">
        <v>88.653700000000001</v>
      </c>
      <c r="AS120" s="21">
        <v>-3.5385100000000003E-2</v>
      </c>
      <c r="AT120" s="21">
        <v>110</v>
      </c>
      <c r="AU120" s="21">
        <v>0.14498900000000001</v>
      </c>
      <c r="AV120">
        <f t="shared" si="20"/>
        <v>35.385100000000001</v>
      </c>
      <c r="AW120">
        <f t="shared" si="21"/>
        <v>5.1725585329000001</v>
      </c>
      <c r="AX120" s="9"/>
      <c r="AY120" s="21">
        <v>0.45394899999999999</v>
      </c>
      <c r="AZ120" s="21">
        <v>91.424300000000002</v>
      </c>
      <c r="BA120" s="21">
        <v>-3.4960900000000003E-2</v>
      </c>
      <c r="BB120" s="21">
        <v>110</v>
      </c>
      <c r="BC120" s="21">
        <v>0.45263700000000001</v>
      </c>
      <c r="BD120">
        <f t="shared" si="22"/>
        <v>34.960900000000002</v>
      </c>
      <c r="BE120">
        <f t="shared" si="23"/>
        <v>15.870465594100001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0.14114399999999999</v>
      </c>
      <c r="H121" s="21">
        <v>46.523000000000003</v>
      </c>
      <c r="I121" s="21">
        <v>-3.5342400000000003E-2</v>
      </c>
      <c r="J121" s="21">
        <v>111</v>
      </c>
      <c r="K121" s="21">
        <v>0.13992299999999999</v>
      </c>
      <c r="L121">
        <f t="shared" si="12"/>
        <v>35.342400000000005</v>
      </c>
      <c r="M121">
        <f t="shared" si="13"/>
        <v>4.9883677056</v>
      </c>
      <c r="N121" s="9"/>
      <c r="O121" s="21">
        <v>0.458984</v>
      </c>
      <c r="P121" s="21">
        <v>79.701099999999997</v>
      </c>
      <c r="Q121" s="21">
        <v>-3.4954800000000001E-2</v>
      </c>
      <c r="R121" s="21">
        <v>111</v>
      </c>
      <c r="S121" s="21">
        <v>0.45770300000000003</v>
      </c>
      <c r="T121">
        <f t="shared" si="14"/>
        <v>34.954799999999999</v>
      </c>
      <c r="U121">
        <f t="shared" si="15"/>
        <v>16.043693923199999</v>
      </c>
      <c r="X121" s="9"/>
      <c r="Y121" s="21">
        <v>0.14114399999999999</v>
      </c>
      <c r="Z121" s="21">
        <v>82.949700000000007</v>
      </c>
      <c r="AA121" s="21">
        <v>-3.5452299999999999E-2</v>
      </c>
      <c r="AB121" s="21">
        <v>111</v>
      </c>
      <c r="AC121" s="21">
        <v>0.13989299999999999</v>
      </c>
      <c r="AD121">
        <f t="shared" si="16"/>
        <v>35.452300000000001</v>
      </c>
      <c r="AE121">
        <f t="shared" si="17"/>
        <v>5.0038794311999997</v>
      </c>
      <c r="AF121" s="9"/>
      <c r="AG121" s="21">
        <v>0.458984</v>
      </c>
      <c r="AH121" s="21">
        <v>85.928200000000004</v>
      </c>
      <c r="AI121" s="21">
        <v>-3.4927399999999997E-2</v>
      </c>
      <c r="AJ121" s="21">
        <v>111</v>
      </c>
      <c r="AK121" s="21">
        <v>0.45764199999999999</v>
      </c>
      <c r="AL121">
        <f t="shared" si="18"/>
        <v>34.927399999999999</v>
      </c>
      <c r="AM121">
        <f t="shared" si="19"/>
        <v>16.031117761600001</v>
      </c>
      <c r="AP121" s="9"/>
      <c r="AQ121" s="21">
        <v>0.14114399999999999</v>
      </c>
      <c r="AR121" s="21">
        <v>88.663799999999995</v>
      </c>
      <c r="AS121" s="21">
        <v>-3.5388200000000002E-2</v>
      </c>
      <c r="AT121" s="21">
        <v>111</v>
      </c>
      <c r="AU121" s="21">
        <v>0.140045</v>
      </c>
      <c r="AV121">
        <f t="shared" si="20"/>
        <v>35.388200000000005</v>
      </c>
      <c r="AW121">
        <f t="shared" si="21"/>
        <v>4.9948321008000001</v>
      </c>
      <c r="AX121" s="9"/>
      <c r="AY121" s="21">
        <v>0.458984</v>
      </c>
      <c r="AZ121" s="21">
        <v>91.434399999999997</v>
      </c>
      <c r="BA121" s="21">
        <v>-3.4912100000000001E-2</v>
      </c>
      <c r="BB121" s="21">
        <v>111</v>
      </c>
      <c r="BC121" s="21">
        <v>0.45767200000000002</v>
      </c>
      <c r="BD121">
        <f t="shared" si="22"/>
        <v>34.912100000000002</v>
      </c>
      <c r="BE121">
        <f t="shared" si="23"/>
        <v>16.0240953064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0.13610800000000001</v>
      </c>
      <c r="H122" s="21">
        <v>46.533000000000001</v>
      </c>
      <c r="I122" s="21">
        <v>-3.5357699999999999E-2</v>
      </c>
      <c r="J122" s="21">
        <v>112</v>
      </c>
      <c r="K122" s="21">
        <v>0.13488800000000001</v>
      </c>
      <c r="L122">
        <f t="shared" si="12"/>
        <v>35.357700000000001</v>
      </c>
      <c r="M122">
        <f t="shared" si="13"/>
        <v>4.8124658316</v>
      </c>
      <c r="N122" s="9"/>
      <c r="O122" s="21">
        <v>0.46401999999999999</v>
      </c>
      <c r="P122" s="21">
        <v>79.711100000000002</v>
      </c>
      <c r="Q122" s="21">
        <v>-3.49304E-2</v>
      </c>
      <c r="R122" s="21">
        <v>112</v>
      </c>
      <c r="S122" s="21">
        <v>0.46273799999999998</v>
      </c>
      <c r="T122">
        <f t="shared" si="14"/>
        <v>34.930399999999999</v>
      </c>
      <c r="U122">
        <f t="shared" si="15"/>
        <v>16.208404207999997</v>
      </c>
      <c r="X122" s="9"/>
      <c r="Y122" s="21">
        <v>0.13610800000000001</v>
      </c>
      <c r="Z122" s="21">
        <v>82.959699999999998</v>
      </c>
      <c r="AA122" s="21">
        <v>-3.5452299999999999E-2</v>
      </c>
      <c r="AB122" s="21">
        <v>112</v>
      </c>
      <c r="AC122" s="21">
        <v>0.13488800000000001</v>
      </c>
      <c r="AD122">
        <f t="shared" si="16"/>
        <v>35.452300000000001</v>
      </c>
      <c r="AE122">
        <f t="shared" si="17"/>
        <v>4.8253416484000002</v>
      </c>
      <c r="AF122" s="9"/>
      <c r="AG122" s="21">
        <v>0.46401999999999999</v>
      </c>
      <c r="AH122" s="21">
        <v>85.938299999999998</v>
      </c>
      <c r="AI122" s="21">
        <v>-3.4896900000000002E-2</v>
      </c>
      <c r="AJ122" s="21">
        <v>112</v>
      </c>
      <c r="AK122" s="21">
        <v>0.46276899999999999</v>
      </c>
      <c r="AL122">
        <f t="shared" si="18"/>
        <v>34.896900000000002</v>
      </c>
      <c r="AM122">
        <f t="shared" si="19"/>
        <v>16.192859538</v>
      </c>
      <c r="AP122" s="9"/>
      <c r="AQ122" s="21">
        <v>0.13610800000000001</v>
      </c>
      <c r="AR122" s="21">
        <v>88.673900000000003</v>
      </c>
      <c r="AS122" s="21">
        <v>-3.5385100000000003E-2</v>
      </c>
      <c r="AT122" s="21">
        <v>112</v>
      </c>
      <c r="AU122" s="21">
        <v>0.13491800000000001</v>
      </c>
      <c r="AV122">
        <f t="shared" si="20"/>
        <v>35.385100000000001</v>
      </c>
      <c r="AW122">
        <f t="shared" si="21"/>
        <v>4.8161951908000002</v>
      </c>
      <c r="AX122" s="9"/>
      <c r="AY122" s="21">
        <v>0.46401999999999999</v>
      </c>
      <c r="AZ122" s="21">
        <v>91.444400000000002</v>
      </c>
      <c r="BA122" s="21">
        <v>-3.4869400000000002E-2</v>
      </c>
      <c r="BB122" s="21">
        <v>112</v>
      </c>
      <c r="BC122" s="21">
        <v>0.46270800000000001</v>
      </c>
      <c r="BD122">
        <f t="shared" si="22"/>
        <v>34.869399999999999</v>
      </c>
      <c r="BE122">
        <f t="shared" si="23"/>
        <v>16.180098987999997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0.131073</v>
      </c>
      <c r="H123" s="21">
        <v>46.543100000000003</v>
      </c>
      <c r="I123" s="21">
        <v>-3.53821E-2</v>
      </c>
      <c r="J123" s="21">
        <v>113</v>
      </c>
      <c r="K123" s="21">
        <v>0.129852</v>
      </c>
      <c r="L123">
        <f t="shared" si="12"/>
        <v>35.382100000000001</v>
      </c>
      <c r="M123">
        <f t="shared" si="13"/>
        <v>4.6376379933000003</v>
      </c>
      <c r="N123" s="9"/>
      <c r="O123" s="21">
        <v>0.469055</v>
      </c>
      <c r="P123" s="21">
        <v>79.721199999999996</v>
      </c>
      <c r="Q123" s="21">
        <v>-3.49152E-2</v>
      </c>
      <c r="R123" s="21">
        <v>113</v>
      </c>
      <c r="S123" s="21">
        <v>0.46777299999999999</v>
      </c>
      <c r="T123">
        <f t="shared" si="14"/>
        <v>34.915199999999999</v>
      </c>
      <c r="U123">
        <f t="shared" si="15"/>
        <v>16.377149136</v>
      </c>
      <c r="X123" s="9"/>
      <c r="Y123" s="21">
        <v>0.131073</v>
      </c>
      <c r="Z123" s="21">
        <v>82.969800000000006</v>
      </c>
      <c r="AA123" s="21">
        <v>-3.54492E-2</v>
      </c>
      <c r="AB123" s="21">
        <v>113</v>
      </c>
      <c r="AC123" s="21">
        <v>0.129913</v>
      </c>
      <c r="AD123">
        <f t="shared" si="16"/>
        <v>35.449199999999998</v>
      </c>
      <c r="AE123">
        <f t="shared" si="17"/>
        <v>4.6464329915999993</v>
      </c>
      <c r="AF123" s="9"/>
      <c r="AG123" s="21">
        <v>0.469055</v>
      </c>
      <c r="AH123" s="21">
        <v>85.948400000000007</v>
      </c>
      <c r="AI123" s="21">
        <v>-3.4854099999999999E-2</v>
      </c>
      <c r="AJ123" s="21">
        <v>113</v>
      </c>
      <c r="AK123" s="21">
        <v>0.46774300000000002</v>
      </c>
      <c r="AL123">
        <f t="shared" si="18"/>
        <v>34.854100000000003</v>
      </c>
      <c r="AM123">
        <f t="shared" si="19"/>
        <v>16.3484898755</v>
      </c>
      <c r="AP123" s="9"/>
      <c r="AQ123" s="21">
        <v>0.131073</v>
      </c>
      <c r="AR123" s="21">
        <v>88.683899999999994</v>
      </c>
      <c r="AS123" s="21">
        <v>-3.5385100000000003E-2</v>
      </c>
      <c r="AT123" s="21">
        <v>113</v>
      </c>
      <c r="AU123" s="21">
        <v>0.129913</v>
      </c>
      <c r="AV123">
        <f t="shared" si="20"/>
        <v>35.385100000000001</v>
      </c>
      <c r="AW123">
        <f t="shared" si="21"/>
        <v>4.6380312122999996</v>
      </c>
      <c r="AX123" s="9"/>
      <c r="AY123" s="21">
        <v>0.469055</v>
      </c>
      <c r="AZ123" s="21">
        <v>91.454499999999996</v>
      </c>
      <c r="BA123" s="21">
        <v>-3.4817500000000001E-2</v>
      </c>
      <c r="BB123" s="21">
        <v>113</v>
      </c>
      <c r="BC123" s="21">
        <v>0.467804</v>
      </c>
      <c r="BD123">
        <f t="shared" si="22"/>
        <v>34.817500000000003</v>
      </c>
      <c r="BE123">
        <f t="shared" si="23"/>
        <v>16.331322462500001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0.12603800000000001</v>
      </c>
      <c r="H124" s="21">
        <v>46.553199999999997</v>
      </c>
      <c r="I124" s="21">
        <v>-3.5385100000000003E-2</v>
      </c>
      <c r="J124" s="21">
        <v>114</v>
      </c>
      <c r="K124" s="21">
        <v>0.12478599999999999</v>
      </c>
      <c r="L124">
        <f t="shared" si="12"/>
        <v>35.385100000000001</v>
      </c>
      <c r="M124">
        <f t="shared" si="13"/>
        <v>4.4598672338000007</v>
      </c>
      <c r="N124" s="9"/>
      <c r="O124" s="21">
        <v>0.47409099999999998</v>
      </c>
      <c r="P124" s="21">
        <v>79.731300000000005</v>
      </c>
      <c r="Q124" s="21">
        <v>-3.4872399999999998E-2</v>
      </c>
      <c r="R124" s="21">
        <v>114</v>
      </c>
      <c r="S124" s="21">
        <v>0.47289999999999999</v>
      </c>
      <c r="T124">
        <f t="shared" si="14"/>
        <v>34.872399999999999</v>
      </c>
      <c r="U124">
        <f t="shared" si="15"/>
        <v>16.532690988399999</v>
      </c>
      <c r="X124" s="9"/>
      <c r="Y124" s="21">
        <v>0.12603800000000001</v>
      </c>
      <c r="Z124" s="21">
        <v>82.979900000000001</v>
      </c>
      <c r="AA124" s="21">
        <v>-3.5446199999999997E-2</v>
      </c>
      <c r="AB124" s="21">
        <v>114</v>
      </c>
      <c r="AC124" s="21">
        <v>0.124817</v>
      </c>
      <c r="AD124">
        <f t="shared" si="16"/>
        <v>35.446199999999997</v>
      </c>
      <c r="AE124">
        <f t="shared" si="17"/>
        <v>4.4675681556000004</v>
      </c>
      <c r="AF124" s="9"/>
      <c r="AG124" s="21">
        <v>0.47409099999999998</v>
      </c>
      <c r="AH124" s="21">
        <v>85.958399999999997</v>
      </c>
      <c r="AI124" s="21">
        <v>-3.4817500000000001E-2</v>
      </c>
      <c r="AJ124" s="21">
        <v>114</v>
      </c>
      <c r="AK124" s="21">
        <v>0.47277799999999998</v>
      </c>
      <c r="AL124">
        <f t="shared" si="18"/>
        <v>34.817500000000003</v>
      </c>
      <c r="AM124">
        <f t="shared" si="19"/>
        <v>16.506663392500002</v>
      </c>
      <c r="AP124" s="9"/>
      <c r="AQ124" s="21">
        <v>0.12603800000000001</v>
      </c>
      <c r="AR124" s="21">
        <v>88.694000000000003</v>
      </c>
      <c r="AS124" s="21">
        <v>-3.53973E-2</v>
      </c>
      <c r="AT124" s="21">
        <v>114</v>
      </c>
      <c r="AU124" s="21">
        <v>0.124847</v>
      </c>
      <c r="AV124">
        <f t="shared" si="20"/>
        <v>35.397300000000001</v>
      </c>
      <c r="AW124">
        <f t="shared" si="21"/>
        <v>4.4614048974000005</v>
      </c>
      <c r="AX124" s="9"/>
      <c r="AY124" s="21">
        <v>0.47409099999999998</v>
      </c>
      <c r="AZ124" s="21">
        <v>91.464600000000004</v>
      </c>
      <c r="BA124" s="21">
        <v>-3.4777799999999998E-2</v>
      </c>
      <c r="BB124" s="21">
        <v>114</v>
      </c>
      <c r="BC124" s="21">
        <v>0.472748</v>
      </c>
      <c r="BD124">
        <f t="shared" si="22"/>
        <v>34.777799999999999</v>
      </c>
      <c r="BE124">
        <f t="shared" si="23"/>
        <v>16.487841979799999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0.121002</v>
      </c>
      <c r="H125" s="21">
        <v>46.563200000000002</v>
      </c>
      <c r="I125" s="21">
        <v>-3.5375999999999998E-2</v>
      </c>
      <c r="J125" s="21">
        <v>115</v>
      </c>
      <c r="K125" s="21">
        <v>0.119781</v>
      </c>
      <c r="L125">
        <f t="shared" si="12"/>
        <v>35.375999999999998</v>
      </c>
      <c r="M125">
        <f t="shared" si="13"/>
        <v>4.2805667519999995</v>
      </c>
      <c r="N125" s="9"/>
      <c r="O125" s="21">
        <v>0.479126</v>
      </c>
      <c r="P125" s="21">
        <v>79.741399999999999</v>
      </c>
      <c r="Q125" s="21">
        <v>-3.4823600000000003E-2</v>
      </c>
      <c r="R125" s="21">
        <v>115</v>
      </c>
      <c r="S125" s="21">
        <v>0.47775299999999998</v>
      </c>
      <c r="T125">
        <f t="shared" si="14"/>
        <v>34.823600000000006</v>
      </c>
      <c r="U125">
        <f t="shared" si="15"/>
        <v>16.684892173600002</v>
      </c>
      <c r="X125" s="9"/>
      <c r="Y125" s="21">
        <v>0.121002</v>
      </c>
      <c r="Z125" s="21">
        <v>82.989900000000006</v>
      </c>
      <c r="AA125" s="21">
        <v>-3.5443099999999998E-2</v>
      </c>
      <c r="AB125" s="21">
        <v>115</v>
      </c>
      <c r="AC125" s="21">
        <v>0.119781</v>
      </c>
      <c r="AD125">
        <f t="shared" si="16"/>
        <v>35.443100000000001</v>
      </c>
      <c r="AE125">
        <f t="shared" si="17"/>
        <v>4.2886859862</v>
      </c>
      <c r="AF125" s="9"/>
      <c r="AG125" s="21">
        <v>0.479126</v>
      </c>
      <c r="AH125" s="21">
        <v>85.968500000000006</v>
      </c>
      <c r="AI125" s="21">
        <v>-3.4771700000000003E-2</v>
      </c>
      <c r="AJ125" s="21">
        <v>115</v>
      </c>
      <c r="AK125" s="21">
        <v>0.47787499999999999</v>
      </c>
      <c r="AL125">
        <f t="shared" si="18"/>
        <v>34.771700000000003</v>
      </c>
      <c r="AM125">
        <f t="shared" si="19"/>
        <v>16.660025534200003</v>
      </c>
      <c r="AP125" s="9"/>
      <c r="AQ125" s="21">
        <v>0.121002</v>
      </c>
      <c r="AR125" s="21">
        <v>88.704099999999997</v>
      </c>
      <c r="AS125" s="21">
        <v>-3.5415599999999998E-2</v>
      </c>
      <c r="AT125" s="21">
        <v>115</v>
      </c>
      <c r="AU125" s="21">
        <v>0.119812</v>
      </c>
      <c r="AV125">
        <f t="shared" si="20"/>
        <v>35.415599999999998</v>
      </c>
      <c r="AW125">
        <f t="shared" si="21"/>
        <v>4.2853584311999997</v>
      </c>
      <c r="AX125" s="9"/>
      <c r="AY125" s="21">
        <v>0.479126</v>
      </c>
      <c r="AZ125" s="21">
        <v>91.474699999999999</v>
      </c>
      <c r="BA125" s="21">
        <v>-3.47412E-2</v>
      </c>
      <c r="BB125" s="21">
        <v>115</v>
      </c>
      <c r="BC125" s="21">
        <v>0.47784399999999999</v>
      </c>
      <c r="BD125">
        <f t="shared" si="22"/>
        <v>34.741199999999999</v>
      </c>
      <c r="BE125">
        <f t="shared" si="23"/>
        <v>16.645412191199998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0.115967</v>
      </c>
      <c r="H126" s="21">
        <v>46.573300000000003</v>
      </c>
      <c r="I126" s="21">
        <v>-3.5366799999999997E-2</v>
      </c>
      <c r="J126" s="21">
        <v>116</v>
      </c>
      <c r="K126" s="21">
        <v>0.114777</v>
      </c>
      <c r="L126">
        <f t="shared" si="12"/>
        <v>35.366799999999998</v>
      </c>
      <c r="M126">
        <f t="shared" si="13"/>
        <v>4.1013816955999998</v>
      </c>
      <c r="N126" s="9"/>
      <c r="O126" s="21">
        <v>0.48416100000000001</v>
      </c>
      <c r="P126" s="21">
        <v>79.751400000000004</v>
      </c>
      <c r="Q126" s="21">
        <v>-3.4765600000000001E-2</v>
      </c>
      <c r="R126" s="21">
        <v>116</v>
      </c>
      <c r="S126" s="21">
        <v>0.48294100000000001</v>
      </c>
      <c r="T126">
        <f t="shared" si="14"/>
        <v>34.765599999999999</v>
      </c>
      <c r="U126">
        <f t="shared" si="15"/>
        <v>16.832147661600001</v>
      </c>
      <c r="X126" s="9"/>
      <c r="Y126" s="21">
        <v>0.115967</v>
      </c>
      <c r="Z126" s="21">
        <v>83</v>
      </c>
      <c r="AA126" s="21">
        <v>-3.5452299999999999E-2</v>
      </c>
      <c r="AB126" s="21">
        <v>116</v>
      </c>
      <c r="AC126" s="21">
        <v>0.11480700000000001</v>
      </c>
      <c r="AD126">
        <f t="shared" si="16"/>
        <v>35.452300000000001</v>
      </c>
      <c r="AE126">
        <f t="shared" si="17"/>
        <v>4.1112968740999998</v>
      </c>
      <c r="AF126" s="9"/>
      <c r="AG126" s="21">
        <v>0.48416100000000001</v>
      </c>
      <c r="AH126" s="21">
        <v>85.9786</v>
      </c>
      <c r="AI126" s="21">
        <v>-3.4716799999999999E-2</v>
      </c>
      <c r="AJ126" s="21">
        <v>116</v>
      </c>
      <c r="AK126" s="21">
        <v>0.482819</v>
      </c>
      <c r="AL126">
        <f t="shared" si="18"/>
        <v>34.716799999999999</v>
      </c>
      <c r="AM126">
        <f t="shared" si="19"/>
        <v>16.808520604799998</v>
      </c>
      <c r="AP126" s="9"/>
      <c r="AQ126" s="21">
        <v>0.115967</v>
      </c>
      <c r="AR126" s="21">
        <v>88.714200000000005</v>
      </c>
      <c r="AS126" s="21">
        <v>-3.5421800000000003E-2</v>
      </c>
      <c r="AT126" s="21">
        <v>116</v>
      </c>
      <c r="AU126" s="21">
        <v>0.114838</v>
      </c>
      <c r="AV126">
        <f t="shared" si="20"/>
        <v>35.421800000000005</v>
      </c>
      <c r="AW126">
        <f t="shared" si="21"/>
        <v>4.1077598806000006</v>
      </c>
      <c r="AX126" s="9"/>
      <c r="AY126" s="21">
        <v>0.48416100000000001</v>
      </c>
      <c r="AZ126" s="21">
        <v>91.484700000000004</v>
      </c>
      <c r="BA126" s="21">
        <v>-3.4692399999999998E-2</v>
      </c>
      <c r="BB126" s="21">
        <v>116</v>
      </c>
      <c r="BC126" s="21">
        <v>0.482819</v>
      </c>
      <c r="BD126">
        <f t="shared" si="22"/>
        <v>34.692399999999999</v>
      </c>
      <c r="BE126">
        <f t="shared" si="23"/>
        <v>16.796707076400001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0.110931</v>
      </c>
      <c r="H127" s="21">
        <v>46.583399999999997</v>
      </c>
      <c r="I127" s="21">
        <v>-3.5363800000000001E-2</v>
      </c>
      <c r="J127" s="21">
        <v>117</v>
      </c>
      <c r="K127" s="21">
        <v>0.109711</v>
      </c>
      <c r="L127">
        <f t="shared" si="12"/>
        <v>35.363799999999998</v>
      </c>
      <c r="M127">
        <f t="shared" si="13"/>
        <v>3.9229416977999998</v>
      </c>
      <c r="N127" s="9"/>
      <c r="O127" s="21">
        <v>0.48919699999999999</v>
      </c>
      <c r="P127" s="21">
        <v>79.761499999999998</v>
      </c>
      <c r="Q127" s="21">
        <v>-3.46985E-2</v>
      </c>
      <c r="R127" s="21">
        <v>117</v>
      </c>
      <c r="S127" s="21">
        <v>0.48794599999999999</v>
      </c>
      <c r="T127">
        <f t="shared" si="14"/>
        <v>34.698500000000003</v>
      </c>
      <c r="U127">
        <f t="shared" si="15"/>
        <v>16.974402104500001</v>
      </c>
      <c r="X127" s="9"/>
      <c r="Y127" s="21">
        <v>0.110931</v>
      </c>
      <c r="Z127" s="21">
        <v>83.010099999999994</v>
      </c>
      <c r="AA127" s="21">
        <v>-3.54492E-2</v>
      </c>
      <c r="AB127" s="21">
        <v>117</v>
      </c>
      <c r="AC127" s="21">
        <v>0.10974100000000001</v>
      </c>
      <c r="AD127">
        <f t="shared" si="16"/>
        <v>35.449199999999998</v>
      </c>
      <c r="AE127">
        <f t="shared" si="17"/>
        <v>3.9324152051999999</v>
      </c>
      <c r="AF127" s="9"/>
      <c r="AG127" s="21">
        <v>0.48919699999999999</v>
      </c>
      <c r="AH127" s="21">
        <v>85.988699999999994</v>
      </c>
      <c r="AI127" s="21">
        <v>-3.46558E-2</v>
      </c>
      <c r="AJ127" s="21">
        <v>117</v>
      </c>
      <c r="AK127" s="21">
        <v>0.48791499999999999</v>
      </c>
      <c r="AL127">
        <f t="shared" si="18"/>
        <v>34.655799999999999</v>
      </c>
      <c r="AM127">
        <f t="shared" si="19"/>
        <v>16.953513392599998</v>
      </c>
      <c r="AP127" s="9"/>
      <c r="AQ127" s="21">
        <v>0.110931</v>
      </c>
      <c r="AR127" s="21">
        <v>88.724199999999996</v>
      </c>
      <c r="AS127" s="21">
        <v>-3.5424799999999999E-2</v>
      </c>
      <c r="AT127" s="21">
        <v>117</v>
      </c>
      <c r="AU127" s="21">
        <v>0.109711</v>
      </c>
      <c r="AV127">
        <f t="shared" si="20"/>
        <v>35.424799999999998</v>
      </c>
      <c r="AW127">
        <f t="shared" si="21"/>
        <v>3.9297084887999998</v>
      </c>
      <c r="AX127" s="9"/>
      <c r="AY127" s="21">
        <v>0.48919699999999999</v>
      </c>
      <c r="AZ127" s="21">
        <v>91.494799999999998</v>
      </c>
      <c r="BA127" s="21">
        <v>-3.4628300000000001E-2</v>
      </c>
      <c r="BB127" s="21">
        <v>117</v>
      </c>
      <c r="BC127" s="21">
        <v>0.48794599999999999</v>
      </c>
      <c r="BD127">
        <f t="shared" si="22"/>
        <v>34.628300000000003</v>
      </c>
      <c r="BE127">
        <f t="shared" si="23"/>
        <v>16.940060475100001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0.105896</v>
      </c>
      <c r="H128" s="21">
        <v>46.593400000000003</v>
      </c>
      <c r="I128" s="21">
        <v>-3.5369900000000003E-2</v>
      </c>
      <c r="J128" s="21">
        <v>118</v>
      </c>
      <c r="K128" s="21">
        <v>0.104614</v>
      </c>
      <c r="L128">
        <f t="shared" si="12"/>
        <v>35.369900000000001</v>
      </c>
      <c r="M128">
        <f t="shared" si="13"/>
        <v>3.7455309304000002</v>
      </c>
      <c r="N128" s="9"/>
      <c r="O128" s="21">
        <v>0.494232</v>
      </c>
      <c r="P128" s="21">
        <v>79.771600000000007</v>
      </c>
      <c r="Q128" s="21">
        <v>-3.4637500000000002E-2</v>
      </c>
      <c r="R128" s="21">
        <v>118</v>
      </c>
      <c r="S128" s="21">
        <v>0.49292000000000002</v>
      </c>
      <c r="T128">
        <f t="shared" si="14"/>
        <v>34.637500000000003</v>
      </c>
      <c r="U128">
        <f t="shared" si="15"/>
        <v>17.118960900000001</v>
      </c>
      <c r="X128" s="9"/>
      <c r="Y128" s="21">
        <v>0.105896</v>
      </c>
      <c r="Z128" s="21">
        <v>83.020200000000003</v>
      </c>
      <c r="AA128" s="21">
        <v>-3.5446199999999997E-2</v>
      </c>
      <c r="AB128" s="21">
        <v>118</v>
      </c>
      <c r="AC128" s="21">
        <v>0.104675</v>
      </c>
      <c r="AD128">
        <f t="shared" si="16"/>
        <v>35.446199999999997</v>
      </c>
      <c r="AE128">
        <f t="shared" si="17"/>
        <v>3.7536107951999997</v>
      </c>
      <c r="AF128" s="9"/>
      <c r="AG128" s="21">
        <v>0.494232</v>
      </c>
      <c r="AH128" s="21">
        <v>85.998699999999999</v>
      </c>
      <c r="AI128" s="21">
        <v>-3.45764E-2</v>
      </c>
      <c r="AJ128" s="21">
        <v>118</v>
      </c>
      <c r="AK128" s="21">
        <v>0.49288900000000002</v>
      </c>
      <c r="AL128">
        <f t="shared" si="18"/>
        <v>34.5764</v>
      </c>
      <c r="AM128">
        <f t="shared" si="19"/>
        <v>17.088763324799999</v>
      </c>
      <c r="AP128" s="9"/>
      <c r="AQ128" s="21">
        <v>0.105896</v>
      </c>
      <c r="AR128" s="21">
        <v>88.734300000000005</v>
      </c>
      <c r="AS128" s="21">
        <v>-3.5446199999999997E-2</v>
      </c>
      <c r="AT128" s="21">
        <v>118</v>
      </c>
      <c r="AU128" s="21">
        <v>0.10470599999999999</v>
      </c>
      <c r="AV128">
        <f t="shared" si="20"/>
        <v>35.446199999999997</v>
      </c>
      <c r="AW128">
        <f t="shared" si="21"/>
        <v>3.7536107951999997</v>
      </c>
      <c r="AX128" s="9"/>
      <c r="AY128" s="21">
        <v>0.494232</v>
      </c>
      <c r="AZ128" s="21">
        <v>91.504900000000006</v>
      </c>
      <c r="BA128" s="21">
        <v>-3.4545899999999997E-2</v>
      </c>
      <c r="BB128" s="21">
        <v>118</v>
      </c>
      <c r="BC128" s="21">
        <v>0.49295</v>
      </c>
      <c r="BD128">
        <f t="shared" si="22"/>
        <v>34.545899999999996</v>
      </c>
      <c r="BE128">
        <f t="shared" si="23"/>
        <v>17.073689248799997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0.10086100000000001</v>
      </c>
      <c r="H129" s="21">
        <v>46.603499999999997</v>
      </c>
      <c r="I129" s="21">
        <v>-3.53821E-2</v>
      </c>
      <c r="J129" s="21">
        <v>119</v>
      </c>
      <c r="K129" s="21">
        <v>9.9609400000000001E-2</v>
      </c>
      <c r="L129">
        <f t="shared" si="12"/>
        <v>35.382100000000001</v>
      </c>
      <c r="M129">
        <f t="shared" si="13"/>
        <v>3.5686739881000005</v>
      </c>
      <c r="N129" s="9"/>
      <c r="O129" s="21">
        <v>0.49926799999999999</v>
      </c>
      <c r="P129" s="21">
        <v>79.781599999999997</v>
      </c>
      <c r="Q129" s="21">
        <v>-3.4549000000000003E-2</v>
      </c>
      <c r="R129" s="21">
        <v>119</v>
      </c>
      <c r="S129" s="21">
        <v>0.497894</v>
      </c>
      <c r="T129">
        <f t="shared" si="14"/>
        <v>34.549000000000007</v>
      </c>
      <c r="U129">
        <f t="shared" si="15"/>
        <v>17.249210132000002</v>
      </c>
      <c r="X129" s="9"/>
      <c r="Y129" s="21">
        <v>0.10086100000000001</v>
      </c>
      <c r="Z129" s="21">
        <v>83.030199999999994</v>
      </c>
      <c r="AA129" s="21">
        <v>-3.5434E-2</v>
      </c>
      <c r="AB129" s="21">
        <v>119</v>
      </c>
      <c r="AC129" s="21">
        <v>9.9578899999999998E-2</v>
      </c>
      <c r="AD129">
        <f t="shared" si="16"/>
        <v>35.433999999999997</v>
      </c>
      <c r="AE129">
        <f t="shared" si="17"/>
        <v>3.5739086740000001</v>
      </c>
      <c r="AF129" s="9"/>
      <c r="AG129" s="21">
        <v>0.49926799999999999</v>
      </c>
      <c r="AH129" s="21">
        <v>86.008799999999994</v>
      </c>
      <c r="AI129" s="21">
        <v>-3.4478799999999997E-2</v>
      </c>
      <c r="AJ129" s="21">
        <v>119</v>
      </c>
      <c r="AK129" s="21">
        <v>0.49801600000000001</v>
      </c>
      <c r="AL129">
        <f t="shared" si="18"/>
        <v>34.4788</v>
      </c>
      <c r="AM129">
        <f t="shared" si="19"/>
        <v>17.214161518400001</v>
      </c>
      <c r="AP129" s="9"/>
      <c r="AQ129" s="21">
        <v>0.10086100000000001</v>
      </c>
      <c r="AR129" s="21">
        <v>88.744399999999999</v>
      </c>
      <c r="AS129" s="21">
        <v>-3.5461399999999997E-2</v>
      </c>
      <c r="AT129" s="21">
        <v>119</v>
      </c>
      <c r="AU129" s="21">
        <v>9.9609400000000001E-2</v>
      </c>
      <c r="AV129">
        <f t="shared" si="20"/>
        <v>35.461399999999998</v>
      </c>
      <c r="AW129">
        <f t="shared" si="21"/>
        <v>3.5766722654000001</v>
      </c>
      <c r="AX129" s="9"/>
      <c r="AY129" s="21">
        <v>0.49926799999999999</v>
      </c>
      <c r="AZ129" s="21">
        <v>91.514899999999997</v>
      </c>
      <c r="BA129" s="21">
        <v>-3.4451299999999997E-2</v>
      </c>
      <c r="BB129" s="21">
        <v>119</v>
      </c>
      <c r="BC129" s="21">
        <v>0.49798599999999998</v>
      </c>
      <c r="BD129">
        <f t="shared" si="22"/>
        <v>34.451299999999996</v>
      </c>
      <c r="BE129">
        <f t="shared" si="23"/>
        <v>17.200431648399999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9.5825199999999999E-2</v>
      </c>
      <c r="H130" s="21">
        <v>46.613599999999998</v>
      </c>
      <c r="I130" s="21">
        <v>-3.53821E-2</v>
      </c>
      <c r="J130" s="21">
        <v>120</v>
      </c>
      <c r="K130" s="21">
        <v>9.4604499999999994E-2</v>
      </c>
      <c r="L130">
        <f t="shared" si="12"/>
        <v>35.382100000000001</v>
      </c>
      <c r="M130">
        <f t="shared" si="13"/>
        <v>3.39049680892</v>
      </c>
      <c r="N130" s="9"/>
      <c r="O130" s="21">
        <v>0.50430299999999995</v>
      </c>
      <c r="P130" s="21">
        <v>79.791700000000006</v>
      </c>
      <c r="Q130" s="21">
        <v>-3.44666E-2</v>
      </c>
      <c r="R130" s="21">
        <v>120</v>
      </c>
      <c r="S130" s="21">
        <v>0.50295999999999996</v>
      </c>
      <c r="T130">
        <f t="shared" si="14"/>
        <v>34.4666</v>
      </c>
      <c r="U130">
        <f t="shared" si="15"/>
        <v>17.381609779799998</v>
      </c>
      <c r="X130" s="9"/>
      <c r="Y130" s="21">
        <v>9.5825199999999999E-2</v>
      </c>
      <c r="Z130" s="21">
        <v>83.040300000000002</v>
      </c>
      <c r="AA130" s="21">
        <v>-3.5443099999999998E-2</v>
      </c>
      <c r="AB130" s="21">
        <v>120</v>
      </c>
      <c r="AC130" s="21">
        <v>9.4634999999999997E-2</v>
      </c>
      <c r="AD130">
        <f t="shared" si="16"/>
        <v>35.443100000000001</v>
      </c>
      <c r="AE130">
        <f t="shared" si="17"/>
        <v>3.3963421461200003</v>
      </c>
      <c r="AF130" s="9"/>
      <c r="AG130" s="21">
        <v>0.50430299999999995</v>
      </c>
      <c r="AH130" s="21">
        <v>86.018900000000002</v>
      </c>
      <c r="AI130" s="21">
        <v>-3.4384199999999997E-2</v>
      </c>
      <c r="AJ130" s="21">
        <v>120</v>
      </c>
      <c r="AK130" s="21">
        <v>0.50308200000000003</v>
      </c>
      <c r="AL130">
        <f t="shared" si="18"/>
        <v>34.3842</v>
      </c>
      <c r="AM130">
        <f t="shared" si="19"/>
        <v>17.340055212599999</v>
      </c>
      <c r="AP130" s="9"/>
      <c r="AQ130" s="21">
        <v>9.5825199999999999E-2</v>
      </c>
      <c r="AR130" s="21">
        <v>88.754400000000004</v>
      </c>
      <c r="AS130" s="21">
        <v>-3.5485799999999998E-2</v>
      </c>
      <c r="AT130" s="21">
        <v>120</v>
      </c>
      <c r="AU130" s="21">
        <v>9.4604499999999994E-2</v>
      </c>
      <c r="AV130">
        <f t="shared" si="20"/>
        <v>35.485799999999998</v>
      </c>
      <c r="AW130">
        <f t="shared" si="21"/>
        <v>3.4004338821599998</v>
      </c>
      <c r="AX130" s="9"/>
      <c r="AY130" s="21">
        <v>0.50430299999999995</v>
      </c>
      <c r="AZ130" s="21">
        <v>91.525000000000006</v>
      </c>
      <c r="BA130" s="21">
        <v>-3.4350600000000002E-2</v>
      </c>
      <c r="BB130" s="21">
        <v>120</v>
      </c>
      <c r="BC130" s="21">
        <v>0.50302100000000005</v>
      </c>
      <c r="BD130">
        <f t="shared" si="22"/>
        <v>34.3506</v>
      </c>
      <c r="BE130">
        <f t="shared" si="23"/>
        <v>17.323110631799999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9.0789800000000004E-2</v>
      </c>
      <c r="H131" s="21">
        <v>46.623699999999999</v>
      </c>
      <c r="I131" s="21">
        <v>-3.5379000000000001E-2</v>
      </c>
      <c r="J131" s="21">
        <v>121</v>
      </c>
      <c r="K131" s="21">
        <v>8.9630100000000004E-2</v>
      </c>
      <c r="L131">
        <f t="shared" si="12"/>
        <v>35.378999999999998</v>
      </c>
      <c r="M131">
        <f t="shared" si="13"/>
        <v>3.2120523342</v>
      </c>
      <c r="N131" s="9"/>
      <c r="O131" s="21">
        <v>0.50933799999999996</v>
      </c>
      <c r="P131" s="21">
        <v>79.8018</v>
      </c>
      <c r="Q131" s="21">
        <v>-3.4375000000000003E-2</v>
      </c>
      <c r="R131" s="21">
        <v>121</v>
      </c>
      <c r="S131" s="21">
        <v>0.507996</v>
      </c>
      <c r="T131">
        <f t="shared" si="14"/>
        <v>34.375</v>
      </c>
      <c r="U131">
        <f t="shared" si="15"/>
        <v>17.50849375</v>
      </c>
      <c r="X131" s="9"/>
      <c r="Y131" s="21">
        <v>9.0789800000000004E-2</v>
      </c>
      <c r="Z131" s="21">
        <v>83.050399999999996</v>
      </c>
      <c r="AA131" s="21">
        <v>-3.5455300000000002E-2</v>
      </c>
      <c r="AB131" s="21">
        <v>121</v>
      </c>
      <c r="AC131" s="21">
        <v>8.9660599999999993E-2</v>
      </c>
      <c r="AD131">
        <f t="shared" si="16"/>
        <v>35.455300000000001</v>
      </c>
      <c r="AE131">
        <f t="shared" si="17"/>
        <v>3.21897959594</v>
      </c>
      <c r="AF131" s="9"/>
      <c r="AG131" s="21">
        <v>0.50933799999999996</v>
      </c>
      <c r="AH131" s="21">
        <v>86.028899999999993</v>
      </c>
      <c r="AI131" s="21">
        <v>-3.4277299999999997E-2</v>
      </c>
      <c r="AJ131" s="21">
        <v>121</v>
      </c>
      <c r="AK131" s="21">
        <v>0.50805699999999998</v>
      </c>
      <c r="AL131">
        <f t="shared" si="18"/>
        <v>34.277299999999997</v>
      </c>
      <c r="AM131">
        <f t="shared" si="19"/>
        <v>17.458731427399997</v>
      </c>
      <c r="AP131" s="9"/>
      <c r="AQ131" s="21">
        <v>9.0789800000000004E-2</v>
      </c>
      <c r="AR131" s="21">
        <v>88.764499999999998</v>
      </c>
      <c r="AS131" s="21">
        <v>-3.5488899999999997E-2</v>
      </c>
      <c r="AT131" s="21">
        <v>121</v>
      </c>
      <c r="AU131" s="21">
        <v>8.9660599999999993E-2</v>
      </c>
      <c r="AV131">
        <f t="shared" si="20"/>
        <v>35.488899999999994</v>
      </c>
      <c r="AW131">
        <f t="shared" si="21"/>
        <v>3.2220301332199996</v>
      </c>
      <c r="AX131" s="9"/>
      <c r="AY131" s="21">
        <v>0.50933799999999996</v>
      </c>
      <c r="AZ131" s="21">
        <v>91.5351</v>
      </c>
      <c r="BA131" s="21">
        <v>-3.4258999999999998E-2</v>
      </c>
      <c r="BB131" s="21">
        <v>121</v>
      </c>
      <c r="BC131" s="21">
        <v>0.50805699999999998</v>
      </c>
      <c r="BD131">
        <f t="shared" si="22"/>
        <v>34.259</v>
      </c>
      <c r="BE131">
        <f t="shared" si="23"/>
        <v>17.449410541999999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8.5754399999999995E-2</v>
      </c>
      <c r="H132" s="21">
        <v>46.633699999999997</v>
      </c>
      <c r="I132" s="21">
        <v>-3.53973E-2</v>
      </c>
      <c r="J132" s="21">
        <v>122</v>
      </c>
      <c r="K132" s="21">
        <v>8.4564200000000006E-2</v>
      </c>
      <c r="L132">
        <f t="shared" si="12"/>
        <v>35.397300000000001</v>
      </c>
      <c r="M132">
        <f t="shared" si="13"/>
        <v>3.03547422312</v>
      </c>
      <c r="N132" s="9"/>
      <c r="O132" s="21">
        <v>0.514374</v>
      </c>
      <c r="P132" s="21">
        <v>79.811899999999994</v>
      </c>
      <c r="Q132" s="21">
        <v>-3.4234599999999997E-2</v>
      </c>
      <c r="R132" s="21">
        <v>122</v>
      </c>
      <c r="S132" s="21">
        <v>0.51300000000000001</v>
      </c>
      <c r="T132">
        <f t="shared" si="14"/>
        <v>34.2346</v>
      </c>
      <c r="U132">
        <f t="shared" si="15"/>
        <v>17.6093881404</v>
      </c>
      <c r="X132" s="9"/>
      <c r="Y132" s="21">
        <v>8.5754399999999995E-2</v>
      </c>
      <c r="Z132" s="21">
        <v>83.060400000000001</v>
      </c>
      <c r="AA132" s="21">
        <v>-3.5458400000000001E-2</v>
      </c>
      <c r="AB132" s="21">
        <v>122</v>
      </c>
      <c r="AC132" s="21">
        <v>8.4594699999999995E-2</v>
      </c>
      <c r="AD132">
        <f t="shared" si="16"/>
        <v>35.458399999999997</v>
      </c>
      <c r="AE132">
        <f t="shared" si="17"/>
        <v>3.0407138169599994</v>
      </c>
      <c r="AF132" s="9"/>
      <c r="AG132" s="21">
        <v>0.514374</v>
      </c>
      <c r="AH132" s="21">
        <v>86.039000000000001</v>
      </c>
      <c r="AI132" s="21">
        <v>-3.4152200000000001E-2</v>
      </c>
      <c r="AJ132" s="21">
        <v>122</v>
      </c>
      <c r="AK132" s="21">
        <v>0.51309199999999999</v>
      </c>
      <c r="AL132">
        <f t="shared" si="18"/>
        <v>34.152200000000001</v>
      </c>
      <c r="AM132">
        <f t="shared" si="19"/>
        <v>17.567003722799999</v>
      </c>
      <c r="AP132" s="9"/>
      <c r="AQ132" s="21">
        <v>8.5754399999999995E-2</v>
      </c>
      <c r="AR132" s="21">
        <v>88.774600000000007</v>
      </c>
      <c r="AS132" s="21">
        <v>-3.5498000000000002E-2</v>
      </c>
      <c r="AT132" s="21">
        <v>122</v>
      </c>
      <c r="AU132" s="21">
        <v>8.4564200000000006E-2</v>
      </c>
      <c r="AV132">
        <f t="shared" si="20"/>
        <v>35.498000000000005</v>
      </c>
      <c r="AW132">
        <f t="shared" si="21"/>
        <v>3.0441096912000001</v>
      </c>
      <c r="AX132" s="9"/>
      <c r="AY132" s="21">
        <v>0.514374</v>
      </c>
      <c r="AZ132" s="21">
        <v>91.545199999999994</v>
      </c>
      <c r="BA132" s="21">
        <v>-3.4139999999999997E-2</v>
      </c>
      <c r="BB132" s="21">
        <v>122</v>
      </c>
      <c r="BC132" s="21">
        <v>0.51309199999999999</v>
      </c>
      <c r="BD132">
        <f t="shared" si="22"/>
        <v>34.139999999999993</v>
      </c>
      <c r="BE132">
        <f t="shared" si="23"/>
        <v>17.560728359999995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8.0718999999999999E-2</v>
      </c>
      <c r="H133" s="21">
        <v>46.643799999999999</v>
      </c>
      <c r="I133" s="21">
        <v>-3.5388200000000002E-2</v>
      </c>
      <c r="J133" s="21">
        <v>123</v>
      </c>
      <c r="K133" s="21">
        <v>7.9620399999999994E-2</v>
      </c>
      <c r="L133">
        <f t="shared" si="12"/>
        <v>35.388200000000005</v>
      </c>
      <c r="M133">
        <f t="shared" si="13"/>
        <v>2.8565001158000003</v>
      </c>
      <c r="N133" s="9"/>
      <c r="O133" s="21">
        <v>0.51940900000000001</v>
      </c>
      <c r="P133" s="21">
        <v>79.821899999999999</v>
      </c>
      <c r="Q133" s="21">
        <v>-3.40851E-2</v>
      </c>
      <c r="R133" s="21">
        <v>123</v>
      </c>
      <c r="S133" s="21">
        <v>0.51806600000000003</v>
      </c>
      <c r="T133">
        <f t="shared" si="14"/>
        <v>34.085099999999997</v>
      </c>
      <c r="U133">
        <f t="shared" si="15"/>
        <v>17.7041077059</v>
      </c>
      <c r="X133" s="9"/>
      <c r="Y133" s="21">
        <v>8.0718999999999999E-2</v>
      </c>
      <c r="Z133" s="21">
        <v>83.070499999999996</v>
      </c>
      <c r="AA133" s="21">
        <v>-3.5470599999999998E-2</v>
      </c>
      <c r="AB133" s="21">
        <v>123</v>
      </c>
      <c r="AC133" s="21">
        <v>7.9681399999999999E-2</v>
      </c>
      <c r="AD133">
        <f t="shared" si="16"/>
        <v>35.470599999999997</v>
      </c>
      <c r="AE133">
        <f t="shared" si="17"/>
        <v>2.8631513613999999</v>
      </c>
      <c r="AF133" s="9"/>
      <c r="AG133" s="21">
        <v>0.51940900000000001</v>
      </c>
      <c r="AH133" s="21">
        <v>86.049099999999996</v>
      </c>
      <c r="AI133" s="21">
        <v>-3.4011800000000002E-2</v>
      </c>
      <c r="AJ133" s="21">
        <v>123</v>
      </c>
      <c r="AK133" s="21">
        <v>0.51815800000000001</v>
      </c>
      <c r="AL133">
        <f t="shared" si="18"/>
        <v>34.011800000000001</v>
      </c>
      <c r="AM133">
        <f t="shared" si="19"/>
        <v>17.666035026199999</v>
      </c>
      <c r="AP133" s="9"/>
      <c r="AQ133" s="21">
        <v>8.0718999999999999E-2</v>
      </c>
      <c r="AR133" s="21">
        <v>88.784700000000001</v>
      </c>
      <c r="AS133" s="21">
        <v>-3.5513299999999998E-2</v>
      </c>
      <c r="AT133" s="21">
        <v>123</v>
      </c>
      <c r="AU133" s="21">
        <v>7.9559299999999999E-2</v>
      </c>
      <c r="AV133">
        <f t="shared" si="20"/>
        <v>35.513300000000001</v>
      </c>
      <c r="AW133">
        <f t="shared" si="21"/>
        <v>2.8665980627000001</v>
      </c>
      <c r="AX133" s="9"/>
      <c r="AY133" s="21">
        <v>0.51940900000000001</v>
      </c>
      <c r="AZ133" s="21">
        <v>91.555199999999999</v>
      </c>
      <c r="BA133" s="21">
        <v>-3.3993500000000003E-2</v>
      </c>
      <c r="BB133" s="21">
        <v>123</v>
      </c>
      <c r="BC133" s="21">
        <v>0.518127</v>
      </c>
      <c r="BD133">
        <f t="shared" si="22"/>
        <v>33.993500000000004</v>
      </c>
      <c r="BE133">
        <f t="shared" si="23"/>
        <v>17.656529841500003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7.5683600000000004E-2</v>
      </c>
      <c r="H134" s="21">
        <v>46.6539</v>
      </c>
      <c r="I134" s="21">
        <v>-3.5394299999999997E-2</v>
      </c>
      <c r="J134" s="21">
        <v>124</v>
      </c>
      <c r="K134" s="21">
        <v>7.4554400000000007E-2</v>
      </c>
      <c r="L134">
        <f t="shared" si="12"/>
        <v>35.394299999999994</v>
      </c>
      <c r="M134">
        <f t="shared" si="13"/>
        <v>2.6787680434799999</v>
      </c>
      <c r="N134" s="9"/>
      <c r="O134" s="21">
        <v>0.52444500000000005</v>
      </c>
      <c r="P134" s="21">
        <v>79.831999999999994</v>
      </c>
      <c r="Q134" s="21">
        <v>-3.3917200000000002E-2</v>
      </c>
      <c r="R134" s="21">
        <v>124</v>
      </c>
      <c r="S134" s="21">
        <v>0.52316300000000004</v>
      </c>
      <c r="T134">
        <f t="shared" si="14"/>
        <v>33.917200000000001</v>
      </c>
      <c r="U134">
        <f t="shared" si="15"/>
        <v>17.787705954000003</v>
      </c>
      <c r="X134" s="9"/>
      <c r="Y134" s="21">
        <v>7.5683600000000004E-2</v>
      </c>
      <c r="Z134" s="21">
        <v>83.080600000000004</v>
      </c>
      <c r="AA134" s="21">
        <v>-3.5482800000000002E-2</v>
      </c>
      <c r="AB134" s="21">
        <v>124</v>
      </c>
      <c r="AC134" s="21">
        <v>7.4523900000000004E-2</v>
      </c>
      <c r="AD134">
        <f t="shared" si="16"/>
        <v>35.482800000000005</v>
      </c>
      <c r="AE134">
        <f t="shared" si="17"/>
        <v>2.6854660420800003</v>
      </c>
      <c r="AF134" s="9"/>
      <c r="AG134" s="21">
        <v>0.52444500000000005</v>
      </c>
      <c r="AH134" s="21">
        <v>86.059200000000004</v>
      </c>
      <c r="AI134" s="21">
        <v>-3.3834799999999998E-2</v>
      </c>
      <c r="AJ134" s="21">
        <v>124</v>
      </c>
      <c r="AK134" s="21">
        <v>0.52316300000000004</v>
      </c>
      <c r="AL134">
        <f t="shared" si="18"/>
        <v>33.834800000000001</v>
      </c>
      <c r="AM134">
        <f t="shared" si="19"/>
        <v>17.744491686000003</v>
      </c>
      <c r="AP134" s="9"/>
      <c r="AQ134" s="21">
        <v>7.5683600000000004E-2</v>
      </c>
      <c r="AR134" s="21">
        <v>88.794700000000006</v>
      </c>
      <c r="AS134" s="21">
        <v>-3.5501100000000001E-2</v>
      </c>
      <c r="AT134" s="21">
        <v>124</v>
      </c>
      <c r="AU134" s="21">
        <v>7.4432399999999996E-2</v>
      </c>
      <c r="AV134">
        <f t="shared" si="20"/>
        <v>35.501100000000001</v>
      </c>
      <c r="AW134">
        <f t="shared" si="21"/>
        <v>2.6868510519600002</v>
      </c>
      <c r="AX134" s="9"/>
      <c r="AY134" s="21">
        <v>0.52444500000000005</v>
      </c>
      <c r="AZ134" s="21">
        <v>91.565299999999993</v>
      </c>
      <c r="BA134" s="21">
        <v>-3.3819599999999998E-2</v>
      </c>
      <c r="BB134" s="21">
        <v>124</v>
      </c>
      <c r="BC134" s="21">
        <v>0.52316300000000004</v>
      </c>
      <c r="BD134">
        <f t="shared" si="22"/>
        <v>33.819600000000001</v>
      </c>
      <c r="BE134">
        <f t="shared" si="23"/>
        <v>17.736520122000002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7.0648199999999994E-2</v>
      </c>
      <c r="H135" s="21">
        <v>46.663899999999998</v>
      </c>
      <c r="I135" s="21">
        <v>-3.5391199999999998E-2</v>
      </c>
      <c r="J135" s="21">
        <v>125</v>
      </c>
      <c r="K135" s="21">
        <v>6.9518999999999997E-2</v>
      </c>
      <c r="L135">
        <f t="shared" si="12"/>
        <v>35.391199999999998</v>
      </c>
      <c r="M135">
        <f t="shared" si="13"/>
        <v>2.5003245758399997</v>
      </c>
      <c r="N135" s="9"/>
      <c r="O135" s="21">
        <v>0.52947999999999995</v>
      </c>
      <c r="P135" s="21">
        <v>79.842100000000002</v>
      </c>
      <c r="Q135" s="21">
        <v>-3.3724999999999998E-2</v>
      </c>
      <c r="R135" s="21">
        <v>125</v>
      </c>
      <c r="S135" s="21">
        <v>0.52819799999999995</v>
      </c>
      <c r="T135">
        <f t="shared" si="14"/>
        <v>33.725000000000001</v>
      </c>
      <c r="U135">
        <f t="shared" si="15"/>
        <v>17.856712999999999</v>
      </c>
      <c r="X135" s="9"/>
      <c r="Y135" s="21">
        <v>7.0648199999999994E-2</v>
      </c>
      <c r="Z135" s="21">
        <v>83.090699999999998</v>
      </c>
      <c r="AA135" s="21">
        <v>-3.5488899999999997E-2</v>
      </c>
      <c r="AB135" s="21">
        <v>125</v>
      </c>
      <c r="AC135" s="21">
        <v>6.9397E-2</v>
      </c>
      <c r="AD135">
        <f t="shared" si="16"/>
        <v>35.488899999999994</v>
      </c>
      <c r="AE135">
        <f t="shared" si="17"/>
        <v>2.5072269049799996</v>
      </c>
      <c r="AF135" s="9"/>
      <c r="AG135" s="21">
        <v>0.52947999999999995</v>
      </c>
      <c r="AH135" s="21">
        <v>86.069199999999995</v>
      </c>
      <c r="AI135" s="21">
        <v>-3.36365E-2</v>
      </c>
      <c r="AJ135" s="21">
        <v>125</v>
      </c>
      <c r="AK135" s="21">
        <v>0.52819799999999995</v>
      </c>
      <c r="AL135">
        <f t="shared" si="18"/>
        <v>33.636499999999998</v>
      </c>
      <c r="AM135">
        <f t="shared" si="19"/>
        <v>17.809854019999996</v>
      </c>
      <c r="AP135" s="9"/>
      <c r="AQ135" s="21">
        <v>7.0648199999999994E-2</v>
      </c>
      <c r="AR135" s="21">
        <v>88.8048</v>
      </c>
      <c r="AS135" s="21">
        <v>-3.5498000000000002E-2</v>
      </c>
      <c r="AT135" s="21">
        <v>125</v>
      </c>
      <c r="AU135" s="21">
        <v>6.9518999999999997E-2</v>
      </c>
      <c r="AV135">
        <f t="shared" si="20"/>
        <v>35.498000000000005</v>
      </c>
      <c r="AW135">
        <f t="shared" si="21"/>
        <v>2.5078698036000002</v>
      </c>
      <c r="AX135" s="9"/>
      <c r="AY135" s="21">
        <v>0.52947999999999995</v>
      </c>
      <c r="AZ135" s="21">
        <v>91.575400000000002</v>
      </c>
      <c r="BA135" s="21">
        <v>-3.3633400000000001E-2</v>
      </c>
      <c r="BB135" s="21">
        <v>125</v>
      </c>
      <c r="BC135" s="21">
        <v>0.52816799999999997</v>
      </c>
      <c r="BD135">
        <f t="shared" si="22"/>
        <v>33.633400000000002</v>
      </c>
      <c r="BE135">
        <f t="shared" si="23"/>
        <v>17.808212632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6.5612799999999999E-2</v>
      </c>
      <c r="H136" s="21">
        <v>46.673999999999999</v>
      </c>
      <c r="I136" s="21">
        <v>-3.5391199999999998E-2</v>
      </c>
      <c r="J136" s="21">
        <v>126</v>
      </c>
      <c r="K136" s="21">
        <v>6.4453099999999999E-2</v>
      </c>
      <c r="L136">
        <f t="shared" si="12"/>
        <v>35.391199999999998</v>
      </c>
      <c r="M136">
        <f t="shared" si="13"/>
        <v>2.3221157273599999</v>
      </c>
      <c r="N136" s="9"/>
      <c r="O136" s="21">
        <v>0.53451499999999996</v>
      </c>
      <c r="P136" s="21">
        <v>79.852099999999993</v>
      </c>
      <c r="Q136" s="21">
        <v>-3.3499099999999997E-2</v>
      </c>
      <c r="R136" s="21">
        <v>126</v>
      </c>
      <c r="S136" s="21">
        <v>0.53323399999999999</v>
      </c>
      <c r="T136">
        <f t="shared" si="14"/>
        <v>33.499099999999999</v>
      </c>
      <c r="U136">
        <f t="shared" si="15"/>
        <v>17.905771436499997</v>
      </c>
      <c r="X136" s="9"/>
      <c r="Y136" s="21">
        <v>6.5612799999999999E-2</v>
      </c>
      <c r="Z136" s="21">
        <v>83.100700000000003</v>
      </c>
      <c r="AA136" s="21">
        <v>-3.5482800000000002E-2</v>
      </c>
      <c r="AB136" s="21">
        <v>126</v>
      </c>
      <c r="AC136" s="21">
        <v>6.4483600000000002E-2</v>
      </c>
      <c r="AD136">
        <f t="shared" si="16"/>
        <v>35.482800000000005</v>
      </c>
      <c r="AE136">
        <f t="shared" si="17"/>
        <v>2.3281258598400001</v>
      </c>
      <c r="AF136" s="9"/>
      <c r="AG136" s="21">
        <v>0.53451499999999996</v>
      </c>
      <c r="AH136" s="21">
        <v>86.079300000000003</v>
      </c>
      <c r="AI136" s="21">
        <v>-3.3432000000000003E-2</v>
      </c>
      <c r="AJ136" s="21">
        <v>126</v>
      </c>
      <c r="AK136" s="21">
        <v>0.53317300000000001</v>
      </c>
      <c r="AL136">
        <f t="shared" si="18"/>
        <v>33.432000000000002</v>
      </c>
      <c r="AM136">
        <f t="shared" si="19"/>
        <v>17.86990548</v>
      </c>
      <c r="AP136" s="9"/>
      <c r="AQ136" s="21">
        <v>6.5612799999999999E-2</v>
      </c>
      <c r="AR136" s="21">
        <v>88.814899999999994</v>
      </c>
      <c r="AS136" s="21">
        <v>-3.5485799999999998E-2</v>
      </c>
      <c r="AT136" s="21">
        <v>126</v>
      </c>
      <c r="AU136" s="21">
        <v>6.4422599999999997E-2</v>
      </c>
      <c r="AV136">
        <f t="shared" si="20"/>
        <v>35.485799999999998</v>
      </c>
      <c r="AW136">
        <f t="shared" si="21"/>
        <v>2.3283226982399996</v>
      </c>
      <c r="AX136" s="9"/>
      <c r="AY136" s="21">
        <v>0.53451499999999996</v>
      </c>
      <c r="AZ136" s="21">
        <v>91.585400000000007</v>
      </c>
      <c r="BA136" s="21">
        <v>-3.3435100000000002E-2</v>
      </c>
      <c r="BB136" s="21">
        <v>126</v>
      </c>
      <c r="BC136" s="21">
        <v>0.53320299999999998</v>
      </c>
      <c r="BD136">
        <f t="shared" si="22"/>
        <v>33.435100000000006</v>
      </c>
      <c r="BE136">
        <f t="shared" si="23"/>
        <v>17.871562476500003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6.0577400000000003E-2</v>
      </c>
      <c r="H137" s="21">
        <v>46.684100000000001</v>
      </c>
      <c r="I137" s="21">
        <v>-3.54065E-2</v>
      </c>
      <c r="J137" s="21">
        <v>127</v>
      </c>
      <c r="K137" s="21">
        <v>5.9356699999999998E-2</v>
      </c>
      <c r="L137">
        <f t="shared" si="12"/>
        <v>35.406500000000001</v>
      </c>
      <c r="M137">
        <f t="shared" si="13"/>
        <v>2.1448337131000001</v>
      </c>
      <c r="N137" s="9"/>
      <c r="O137" s="21">
        <v>0.539551</v>
      </c>
      <c r="P137" s="21">
        <v>79.862200000000001</v>
      </c>
      <c r="Q137" s="21">
        <v>-3.3239699999999997E-2</v>
      </c>
      <c r="R137" s="21">
        <v>127</v>
      </c>
      <c r="S137" s="21">
        <v>0.53820800000000002</v>
      </c>
      <c r="T137">
        <f t="shared" si="14"/>
        <v>33.239699999999999</v>
      </c>
      <c r="U137">
        <f t="shared" si="15"/>
        <v>17.9345133747</v>
      </c>
      <c r="X137" s="9"/>
      <c r="Y137" s="21">
        <v>6.0577400000000003E-2</v>
      </c>
      <c r="Z137" s="21">
        <v>83.110799999999998</v>
      </c>
      <c r="AA137" s="21">
        <v>-3.5482800000000002E-2</v>
      </c>
      <c r="AB137" s="21">
        <v>127</v>
      </c>
      <c r="AC137" s="21">
        <v>5.94482E-2</v>
      </c>
      <c r="AD137">
        <f t="shared" si="16"/>
        <v>35.482800000000005</v>
      </c>
      <c r="AE137">
        <f t="shared" si="17"/>
        <v>2.1494557687200002</v>
      </c>
      <c r="AF137" s="9"/>
      <c r="AG137" s="21">
        <v>0.539551</v>
      </c>
      <c r="AH137" s="21">
        <v>86.089399999999998</v>
      </c>
      <c r="AI137" s="21">
        <v>-3.3181799999999997E-2</v>
      </c>
      <c r="AJ137" s="21">
        <v>127</v>
      </c>
      <c r="AK137" s="21">
        <v>0.53823900000000002</v>
      </c>
      <c r="AL137">
        <f t="shared" si="18"/>
        <v>33.181799999999996</v>
      </c>
      <c r="AM137">
        <f t="shared" si="19"/>
        <v>17.903273371799997</v>
      </c>
      <c r="AP137" s="9"/>
      <c r="AQ137" s="21">
        <v>6.0577400000000003E-2</v>
      </c>
      <c r="AR137" s="21">
        <v>88.8249</v>
      </c>
      <c r="AS137" s="21">
        <v>-3.5488899999999997E-2</v>
      </c>
      <c r="AT137" s="21">
        <v>127</v>
      </c>
      <c r="AU137" s="21">
        <v>5.9356699999999998E-2</v>
      </c>
      <c r="AV137">
        <f t="shared" si="20"/>
        <v>35.488899999999994</v>
      </c>
      <c r="AW137">
        <f t="shared" si="21"/>
        <v>2.14982529086</v>
      </c>
      <c r="AX137" s="9"/>
      <c r="AY137" s="21">
        <v>0.539551</v>
      </c>
      <c r="AZ137" s="21">
        <v>91.595500000000001</v>
      </c>
      <c r="BA137" s="21">
        <v>-3.3200100000000003E-2</v>
      </c>
      <c r="BB137" s="21">
        <v>127</v>
      </c>
      <c r="BC137" s="21">
        <v>0.53823900000000002</v>
      </c>
      <c r="BD137">
        <f t="shared" si="22"/>
        <v>33.200100000000006</v>
      </c>
      <c r="BE137">
        <f t="shared" si="23"/>
        <v>17.913147155100003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5.5542000000000001E-2</v>
      </c>
      <c r="H138" s="21">
        <v>46.694200000000002</v>
      </c>
      <c r="I138" s="21">
        <v>-3.5400399999999999E-2</v>
      </c>
      <c r="J138" s="21">
        <v>128</v>
      </c>
      <c r="K138" s="21">
        <v>5.4351799999999999E-2</v>
      </c>
      <c r="L138">
        <f t="shared" si="12"/>
        <v>35.400399999999998</v>
      </c>
      <c r="M138">
        <f t="shared" si="13"/>
        <v>1.9662090167999999</v>
      </c>
      <c r="N138" s="9"/>
      <c r="O138" s="21">
        <v>0.54458600000000001</v>
      </c>
      <c r="P138" s="21">
        <v>79.872299999999996</v>
      </c>
      <c r="Q138" s="21">
        <v>-3.2949800000000001E-2</v>
      </c>
      <c r="R138" s="21">
        <v>128</v>
      </c>
      <c r="S138" s="21">
        <v>0.54324300000000003</v>
      </c>
      <c r="T138">
        <f t="shared" si="14"/>
        <v>32.949800000000003</v>
      </c>
      <c r="U138">
        <f t="shared" si="15"/>
        <v>17.943999782800002</v>
      </c>
      <c r="X138" s="9"/>
      <c r="Y138" s="21">
        <v>5.5542000000000001E-2</v>
      </c>
      <c r="Z138" s="21">
        <v>83.120900000000006</v>
      </c>
      <c r="AA138" s="21">
        <v>-3.5470599999999998E-2</v>
      </c>
      <c r="AB138" s="21">
        <v>128</v>
      </c>
      <c r="AC138" s="21">
        <v>5.4260299999999997E-2</v>
      </c>
      <c r="AD138">
        <f t="shared" si="16"/>
        <v>35.470599999999997</v>
      </c>
      <c r="AE138">
        <f t="shared" si="17"/>
        <v>1.9701080651999998</v>
      </c>
      <c r="AF138" s="9"/>
      <c r="AG138" s="21">
        <v>0.54458600000000001</v>
      </c>
      <c r="AH138" s="21">
        <v>86.099400000000003</v>
      </c>
      <c r="AI138" s="21">
        <v>-3.2904099999999999E-2</v>
      </c>
      <c r="AJ138" s="21">
        <v>128</v>
      </c>
      <c r="AK138" s="21">
        <v>0.54330400000000001</v>
      </c>
      <c r="AL138">
        <f t="shared" si="18"/>
        <v>32.9041</v>
      </c>
      <c r="AM138">
        <f t="shared" si="19"/>
        <v>17.919112202600001</v>
      </c>
      <c r="AP138" s="9"/>
      <c r="AQ138" s="21">
        <v>5.5542000000000001E-2</v>
      </c>
      <c r="AR138" s="21">
        <v>88.834999999999994</v>
      </c>
      <c r="AS138" s="21">
        <v>-3.5516399999999997E-2</v>
      </c>
      <c r="AT138" s="21">
        <v>128</v>
      </c>
      <c r="AU138" s="21">
        <v>5.4321300000000003E-2</v>
      </c>
      <c r="AV138">
        <f t="shared" si="20"/>
        <v>35.516399999999997</v>
      </c>
      <c r="AW138">
        <f t="shared" si="21"/>
        <v>1.9726518888</v>
      </c>
      <c r="AX138" s="9"/>
      <c r="AY138" s="21">
        <v>0.54458600000000001</v>
      </c>
      <c r="AZ138" s="21">
        <v>91.605599999999995</v>
      </c>
      <c r="BA138" s="21">
        <v>-3.2934600000000001E-2</v>
      </c>
      <c r="BB138" s="21">
        <v>128</v>
      </c>
      <c r="BC138" s="21">
        <v>0.54330400000000001</v>
      </c>
      <c r="BD138">
        <f t="shared" si="22"/>
        <v>32.934600000000003</v>
      </c>
      <c r="BE138">
        <f t="shared" si="23"/>
        <v>17.935722075600001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5.0506599999999999E-2</v>
      </c>
      <c r="H139" s="21">
        <v>46.7042</v>
      </c>
      <c r="I139" s="21">
        <v>-3.5403400000000002E-2</v>
      </c>
      <c r="J139" s="21">
        <v>129</v>
      </c>
      <c r="K139" s="21">
        <v>5.0100699999999998E-2</v>
      </c>
      <c r="L139">
        <f t="shared" si="12"/>
        <v>35.403400000000005</v>
      </c>
      <c r="M139">
        <f t="shared" si="13"/>
        <v>1.7881053624400003</v>
      </c>
      <c r="N139" s="9"/>
      <c r="O139" s="21">
        <v>0.54962200000000005</v>
      </c>
      <c r="P139" s="21">
        <v>79.882400000000004</v>
      </c>
      <c r="Q139" s="21">
        <v>-3.2638500000000001E-2</v>
      </c>
      <c r="R139" s="21">
        <v>129</v>
      </c>
      <c r="S139" s="21">
        <v>0.54840100000000003</v>
      </c>
      <c r="T139">
        <f t="shared" si="14"/>
        <v>32.638500000000001</v>
      </c>
      <c r="U139">
        <f t="shared" si="15"/>
        <v>17.938837647000003</v>
      </c>
      <c r="X139" s="9"/>
      <c r="Y139" s="21">
        <v>5.0506599999999999E-2</v>
      </c>
      <c r="Z139" s="21">
        <v>83.130899999999997</v>
      </c>
      <c r="AA139" s="21">
        <v>-3.5464500000000003E-2</v>
      </c>
      <c r="AB139" s="21">
        <v>129</v>
      </c>
      <c r="AC139" s="21">
        <v>5.0167799999999999E-2</v>
      </c>
      <c r="AD139">
        <f t="shared" si="16"/>
        <v>35.464500000000001</v>
      </c>
      <c r="AE139">
        <f t="shared" si="17"/>
        <v>1.7911913156999999</v>
      </c>
      <c r="AF139" s="9"/>
      <c r="AG139" s="21">
        <v>0.54962200000000005</v>
      </c>
      <c r="AH139" s="21">
        <v>86.109499999999997</v>
      </c>
      <c r="AI139" s="21">
        <v>-3.2580600000000001E-2</v>
      </c>
      <c r="AJ139" s="21">
        <v>129</v>
      </c>
      <c r="AK139" s="21">
        <v>0.54834000000000005</v>
      </c>
      <c r="AL139">
        <f t="shared" si="18"/>
        <v>32.580600000000004</v>
      </c>
      <c r="AM139">
        <f t="shared" si="19"/>
        <v>17.907014533200005</v>
      </c>
      <c r="AP139" s="9"/>
      <c r="AQ139" s="21">
        <v>5.0506599999999999E-2</v>
      </c>
      <c r="AR139" s="21">
        <v>88.845100000000002</v>
      </c>
      <c r="AS139" s="21">
        <v>-3.5537699999999998E-2</v>
      </c>
      <c r="AT139" s="21">
        <v>129</v>
      </c>
      <c r="AU139" s="21">
        <v>5.0143399999999998E-2</v>
      </c>
      <c r="AV139">
        <f t="shared" si="20"/>
        <v>35.537700000000001</v>
      </c>
      <c r="AW139">
        <f t="shared" si="21"/>
        <v>1.79488839882</v>
      </c>
      <c r="AX139" s="9"/>
      <c r="AY139" s="21">
        <v>0.54962200000000005</v>
      </c>
      <c r="AZ139" s="21">
        <v>91.615700000000004</v>
      </c>
      <c r="BA139" s="21">
        <v>-3.2605000000000002E-2</v>
      </c>
      <c r="BB139" s="21">
        <v>129</v>
      </c>
      <c r="BC139" s="21">
        <v>0.54834000000000005</v>
      </c>
      <c r="BD139">
        <f t="shared" si="22"/>
        <v>32.605000000000004</v>
      </c>
      <c r="BE139">
        <f t="shared" si="23"/>
        <v>17.920425310000002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4.5471200000000003E-2</v>
      </c>
      <c r="H140" s="21">
        <v>46.714300000000001</v>
      </c>
      <c r="I140" s="21">
        <v>-3.5385100000000003E-2</v>
      </c>
      <c r="J140" s="21">
        <v>130</v>
      </c>
      <c r="K140" s="21">
        <v>4.5043899999999998E-2</v>
      </c>
      <c r="L140">
        <f t="shared" ref="L140:L169" si="24">-I140/$F$2*1000</f>
        <v>35.385100000000001</v>
      </c>
      <c r="M140">
        <f t="shared" ref="M140:M169" si="25">L140*G140</f>
        <v>1.6090029591200001</v>
      </c>
      <c r="N140" s="9"/>
      <c r="O140" s="21">
        <v>0.55465699999999996</v>
      </c>
      <c r="P140" s="21">
        <v>79.892399999999995</v>
      </c>
      <c r="Q140" s="21">
        <v>-3.2296800000000001E-2</v>
      </c>
      <c r="R140" s="21">
        <v>130</v>
      </c>
      <c r="S140" s="21">
        <v>0.553284</v>
      </c>
      <c r="T140">
        <f t="shared" ref="T140:T169" si="26">-Q140/$F$2*1000</f>
        <v>32.296799999999998</v>
      </c>
      <c r="U140">
        <f t="shared" ref="U140:U169" si="27">T140*O140</f>
        <v>17.913646197599999</v>
      </c>
      <c r="X140" s="9"/>
      <c r="Y140" s="21">
        <v>4.5471200000000003E-2</v>
      </c>
      <c r="Z140" s="21">
        <v>83.141000000000005</v>
      </c>
      <c r="AA140" s="21">
        <v>-3.5461399999999997E-2</v>
      </c>
      <c r="AB140" s="21">
        <v>130</v>
      </c>
      <c r="AC140" s="21">
        <v>4.5126300000000001E-2</v>
      </c>
      <c r="AD140">
        <f t="shared" ref="AD140:AD169" si="28">-AA140/$F$2*1000</f>
        <v>35.461399999999998</v>
      </c>
      <c r="AE140">
        <f t="shared" ref="AE140:AE169" si="29">AD140*Y140</f>
        <v>1.61247241168</v>
      </c>
      <c r="AF140" s="9"/>
      <c r="AG140" s="21">
        <v>0.55465699999999996</v>
      </c>
      <c r="AH140" s="21">
        <v>86.119600000000005</v>
      </c>
      <c r="AI140" s="21">
        <v>-3.22449E-2</v>
      </c>
      <c r="AJ140" s="21">
        <v>130</v>
      </c>
      <c r="AK140" s="21">
        <v>0.55343600000000004</v>
      </c>
      <c r="AL140">
        <f t="shared" ref="AL140:AL169" si="30">-AI140/$F$2*1000</f>
        <v>32.244900000000001</v>
      </c>
      <c r="AM140">
        <f t="shared" ref="AM140:AM169" si="31">AL140*AG140</f>
        <v>17.884859499299999</v>
      </c>
      <c r="AP140" s="9"/>
      <c r="AQ140" s="21">
        <v>4.5471200000000003E-2</v>
      </c>
      <c r="AR140" s="21">
        <v>88.855199999999996</v>
      </c>
      <c r="AS140" s="21">
        <v>-3.5537699999999998E-2</v>
      </c>
      <c r="AT140" s="21">
        <v>130</v>
      </c>
      <c r="AU140" s="21">
        <v>4.5046999999999997E-2</v>
      </c>
      <c r="AV140">
        <f t="shared" ref="AV140:AV169" si="32">-AS140/$F$2*1000</f>
        <v>35.537700000000001</v>
      </c>
      <c r="AW140">
        <f t="shared" ref="AW140:AW169" si="33">AV140*AQ140</f>
        <v>1.6159418642400001</v>
      </c>
      <c r="AX140" s="9"/>
      <c r="AY140" s="21">
        <v>0.55465699999999996</v>
      </c>
      <c r="AZ140" s="21">
        <v>91.625699999999995</v>
      </c>
      <c r="BA140" s="21">
        <v>-3.2253999999999998E-2</v>
      </c>
      <c r="BB140" s="21">
        <v>130</v>
      </c>
      <c r="BC140" s="21">
        <v>0.55346700000000004</v>
      </c>
      <c r="BD140">
        <f t="shared" ref="BD140:BD169" si="34">-BA140/$F$2*1000</f>
        <v>32.253999999999998</v>
      </c>
      <c r="BE140">
        <f t="shared" ref="BE140:BE169" si="35">BD140*AY140</f>
        <v>17.889906877999998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4.0435800000000001E-2</v>
      </c>
      <c r="H141" s="21">
        <v>46.724400000000003</v>
      </c>
      <c r="I141" s="21">
        <v>-3.5388200000000002E-2</v>
      </c>
      <c r="J141" s="21">
        <v>131</v>
      </c>
      <c r="K141" s="21">
        <v>4.0032999999999999E-2</v>
      </c>
      <c r="L141">
        <f t="shared" si="24"/>
        <v>35.388200000000005</v>
      </c>
      <c r="M141">
        <f t="shared" si="25"/>
        <v>1.4309501775600002</v>
      </c>
      <c r="N141" s="9"/>
      <c r="O141" s="21">
        <v>0.55969199999999997</v>
      </c>
      <c r="P141" s="21">
        <v>79.902500000000003</v>
      </c>
      <c r="Q141" s="21">
        <v>-3.1912200000000002E-2</v>
      </c>
      <c r="R141" s="21">
        <v>131</v>
      </c>
      <c r="S141" s="21">
        <v>0.55847199999999997</v>
      </c>
      <c r="T141">
        <f t="shared" si="26"/>
        <v>31.912200000000002</v>
      </c>
      <c r="U141">
        <f t="shared" si="27"/>
        <v>17.8610030424</v>
      </c>
      <c r="X141" s="9"/>
      <c r="Y141" s="21">
        <v>4.0435800000000001E-2</v>
      </c>
      <c r="Z141" s="21">
        <v>83.1511</v>
      </c>
      <c r="AA141" s="21">
        <v>-3.5470599999999998E-2</v>
      </c>
      <c r="AB141" s="21">
        <v>131</v>
      </c>
      <c r="AC141" s="21">
        <v>4.0060400000000003E-2</v>
      </c>
      <c r="AD141">
        <f t="shared" si="28"/>
        <v>35.470599999999997</v>
      </c>
      <c r="AE141">
        <f t="shared" si="29"/>
        <v>1.43428208748</v>
      </c>
      <c r="AF141" s="9"/>
      <c r="AG141" s="21">
        <v>0.55969199999999997</v>
      </c>
      <c r="AH141" s="21">
        <v>86.1297</v>
      </c>
      <c r="AI141" s="21">
        <v>-3.1872600000000001E-2</v>
      </c>
      <c r="AJ141" s="21">
        <v>131</v>
      </c>
      <c r="AK141" s="21">
        <v>0.55841099999999999</v>
      </c>
      <c r="AL141">
        <f t="shared" si="30"/>
        <v>31.872600000000002</v>
      </c>
      <c r="AM141">
        <f t="shared" si="31"/>
        <v>17.838839239199999</v>
      </c>
      <c r="AP141" s="9"/>
      <c r="AQ141" s="21">
        <v>4.0435800000000001E-2</v>
      </c>
      <c r="AR141" s="21">
        <v>88.865200000000002</v>
      </c>
      <c r="AS141" s="21">
        <v>-3.5516399999999997E-2</v>
      </c>
      <c r="AT141" s="21">
        <v>131</v>
      </c>
      <c r="AU141" s="21">
        <v>4.0023799999999998E-2</v>
      </c>
      <c r="AV141">
        <f t="shared" si="32"/>
        <v>35.516399999999997</v>
      </c>
      <c r="AW141">
        <f t="shared" si="33"/>
        <v>1.4361340471199999</v>
      </c>
      <c r="AX141" s="9"/>
      <c r="AY141" s="21">
        <v>0.55969199999999997</v>
      </c>
      <c r="AZ141" s="21">
        <v>91.635800000000003</v>
      </c>
      <c r="BA141" s="21">
        <v>-3.1881699999999999E-2</v>
      </c>
      <c r="BB141" s="21">
        <v>131</v>
      </c>
      <c r="BC141" s="21">
        <v>0.55841099999999999</v>
      </c>
      <c r="BD141">
        <f t="shared" si="34"/>
        <v>31.881699999999999</v>
      </c>
      <c r="BE141">
        <f t="shared" si="35"/>
        <v>17.843932436399999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3.5400399999999999E-2</v>
      </c>
      <c r="H142" s="21">
        <v>46.734400000000001</v>
      </c>
      <c r="I142" s="21">
        <v>-3.53973E-2</v>
      </c>
      <c r="J142" s="21">
        <v>132</v>
      </c>
      <c r="K142" s="21">
        <v>3.4966999999999998E-2</v>
      </c>
      <c r="L142">
        <f t="shared" si="24"/>
        <v>35.397300000000001</v>
      </c>
      <c r="M142">
        <f t="shared" si="25"/>
        <v>1.2530785789200001</v>
      </c>
      <c r="N142" s="9"/>
      <c r="O142" s="21">
        <v>0.56472800000000001</v>
      </c>
      <c r="P142" s="21">
        <v>79.912599999999998</v>
      </c>
      <c r="Q142" s="21">
        <v>-3.1475799999999998E-2</v>
      </c>
      <c r="R142" s="21">
        <v>132</v>
      </c>
      <c r="S142" s="21">
        <v>0.56338500000000002</v>
      </c>
      <c r="T142">
        <f t="shared" si="26"/>
        <v>31.4758</v>
      </c>
      <c r="U142">
        <f t="shared" si="27"/>
        <v>17.775265582399999</v>
      </c>
      <c r="X142" s="9"/>
      <c r="Y142" s="21">
        <v>3.5400399999999999E-2</v>
      </c>
      <c r="Z142" s="21">
        <v>83.161100000000005</v>
      </c>
      <c r="AA142" s="21">
        <v>-3.5498000000000002E-2</v>
      </c>
      <c r="AB142" s="21">
        <v>132</v>
      </c>
      <c r="AC142" s="21">
        <v>3.4979200000000002E-2</v>
      </c>
      <c r="AD142">
        <f t="shared" si="28"/>
        <v>35.498000000000005</v>
      </c>
      <c r="AE142">
        <f t="shared" si="29"/>
        <v>1.2566433992000001</v>
      </c>
      <c r="AF142" s="9"/>
      <c r="AG142" s="21">
        <v>0.56472800000000001</v>
      </c>
      <c r="AH142" s="21">
        <v>86.139700000000005</v>
      </c>
      <c r="AI142" s="21">
        <v>-3.1460599999999998E-2</v>
      </c>
      <c r="AJ142" s="21">
        <v>132</v>
      </c>
      <c r="AK142" s="21">
        <v>0.56350699999999998</v>
      </c>
      <c r="AL142">
        <f t="shared" si="30"/>
        <v>31.460599999999999</v>
      </c>
      <c r="AM142">
        <f t="shared" si="31"/>
        <v>17.766681716800001</v>
      </c>
      <c r="AP142" s="9"/>
      <c r="AQ142" s="21">
        <v>3.5400399999999999E-2</v>
      </c>
      <c r="AR142" s="21">
        <v>88.875299999999996</v>
      </c>
      <c r="AS142" s="21">
        <v>-3.5507200000000003E-2</v>
      </c>
      <c r="AT142" s="21">
        <v>132</v>
      </c>
      <c r="AU142" s="21">
        <v>3.5046399999999998E-2</v>
      </c>
      <c r="AV142">
        <f t="shared" si="32"/>
        <v>35.507200000000005</v>
      </c>
      <c r="AW142">
        <f t="shared" si="33"/>
        <v>1.2569690828800002</v>
      </c>
      <c r="AX142" s="9"/>
      <c r="AY142" s="21">
        <v>0.56472800000000001</v>
      </c>
      <c r="AZ142" s="21">
        <v>91.645899999999997</v>
      </c>
      <c r="BA142" s="21">
        <v>-3.1442299999999999E-2</v>
      </c>
      <c r="BB142" s="21">
        <v>132</v>
      </c>
      <c r="BC142" s="21">
        <v>0.56338500000000002</v>
      </c>
      <c r="BD142">
        <f t="shared" si="34"/>
        <v>31.442299999999999</v>
      </c>
      <c r="BE142">
        <f t="shared" si="35"/>
        <v>17.7563471944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3.0365E-2</v>
      </c>
      <c r="H143" s="21">
        <v>46.744500000000002</v>
      </c>
      <c r="I143" s="21">
        <v>-3.5421800000000003E-2</v>
      </c>
      <c r="J143" s="21">
        <v>133</v>
      </c>
      <c r="K143" s="21">
        <v>2.99011E-2</v>
      </c>
      <c r="L143">
        <f t="shared" si="24"/>
        <v>35.421800000000005</v>
      </c>
      <c r="M143">
        <f t="shared" si="25"/>
        <v>1.0755829570000002</v>
      </c>
      <c r="N143" s="9"/>
      <c r="O143" s="21">
        <v>0.56976300000000002</v>
      </c>
      <c r="P143" s="21">
        <v>79.922600000000003</v>
      </c>
      <c r="Q143" s="21">
        <v>-3.0999800000000001E-2</v>
      </c>
      <c r="R143" s="21">
        <v>133</v>
      </c>
      <c r="S143" s="21">
        <v>0.56848100000000001</v>
      </c>
      <c r="T143">
        <f t="shared" si="26"/>
        <v>30.9998</v>
      </c>
      <c r="U143">
        <f t="shared" si="27"/>
        <v>17.662539047399999</v>
      </c>
      <c r="X143" s="9"/>
      <c r="Y143" s="21">
        <v>3.0365E-2</v>
      </c>
      <c r="Z143" s="21">
        <v>83.171199999999999</v>
      </c>
      <c r="AA143" s="21">
        <v>-3.5516399999999997E-2</v>
      </c>
      <c r="AB143" s="21">
        <v>133</v>
      </c>
      <c r="AC143" s="21">
        <v>2.9910300000000001E-2</v>
      </c>
      <c r="AD143">
        <f t="shared" si="28"/>
        <v>35.516399999999997</v>
      </c>
      <c r="AE143">
        <f t="shared" si="29"/>
        <v>1.078455486</v>
      </c>
      <c r="AF143" s="9"/>
      <c r="AG143" s="21">
        <v>0.56976300000000002</v>
      </c>
      <c r="AH143" s="21">
        <v>86.149799999999999</v>
      </c>
      <c r="AI143" s="21">
        <v>-3.10028E-2</v>
      </c>
      <c r="AJ143" s="21">
        <v>133</v>
      </c>
      <c r="AK143" s="21">
        <v>0.56842000000000004</v>
      </c>
      <c r="AL143">
        <f t="shared" si="30"/>
        <v>31.002800000000001</v>
      </c>
      <c r="AM143">
        <f t="shared" si="31"/>
        <v>17.6642483364</v>
      </c>
      <c r="AP143" s="9"/>
      <c r="AQ143" s="21">
        <v>3.0365E-2</v>
      </c>
      <c r="AR143" s="21">
        <v>88.885400000000004</v>
      </c>
      <c r="AS143" s="21">
        <v>-3.5510300000000002E-2</v>
      </c>
      <c r="AT143" s="21">
        <v>133</v>
      </c>
      <c r="AU143" s="21">
        <v>2.9931599999999999E-2</v>
      </c>
      <c r="AV143">
        <f t="shared" si="32"/>
        <v>35.510300000000001</v>
      </c>
      <c r="AW143">
        <f t="shared" si="33"/>
        <v>1.0782702595</v>
      </c>
      <c r="AX143" s="9"/>
      <c r="AY143" s="21">
        <v>0.56976300000000002</v>
      </c>
      <c r="AZ143" s="21">
        <v>91.655900000000003</v>
      </c>
      <c r="BA143" s="21">
        <v>-3.0956999999999998E-2</v>
      </c>
      <c r="BB143" s="21">
        <v>133</v>
      </c>
      <c r="BC143" s="21">
        <v>0.56848100000000001</v>
      </c>
      <c r="BD143">
        <f t="shared" si="34"/>
        <v>30.956999999999997</v>
      </c>
      <c r="BE143">
        <f t="shared" si="35"/>
        <v>17.638153191000001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2.5329600000000001E-2</v>
      </c>
      <c r="H144" s="21">
        <v>46.754600000000003</v>
      </c>
      <c r="I144" s="21">
        <v>-3.5430900000000001E-2</v>
      </c>
      <c r="J144" s="21">
        <v>134</v>
      </c>
      <c r="K144" s="21">
        <v>2.4850500000000001E-2</v>
      </c>
      <c r="L144">
        <f t="shared" si="24"/>
        <v>35.430900000000001</v>
      </c>
      <c r="M144">
        <f t="shared" si="25"/>
        <v>0.89745052464000008</v>
      </c>
      <c r="N144" s="9"/>
      <c r="O144" s="21">
        <v>0.57479899999999995</v>
      </c>
      <c r="P144" s="21">
        <v>79.932699999999997</v>
      </c>
      <c r="Q144" s="21">
        <v>-3.0462599999999999E-2</v>
      </c>
      <c r="R144" s="21">
        <v>134</v>
      </c>
      <c r="S144" s="21">
        <v>0.57354700000000003</v>
      </c>
      <c r="T144">
        <f t="shared" si="26"/>
        <v>30.462599999999998</v>
      </c>
      <c r="U144">
        <f t="shared" si="27"/>
        <v>17.509872017399996</v>
      </c>
      <c r="X144" s="9"/>
      <c r="Y144" s="21">
        <v>2.5329600000000001E-2</v>
      </c>
      <c r="Z144" s="21">
        <v>83.181299999999993</v>
      </c>
      <c r="AA144" s="21">
        <v>-3.5516399999999997E-2</v>
      </c>
      <c r="AB144" s="21">
        <v>134</v>
      </c>
      <c r="AC144" s="21">
        <v>2.4865700000000001E-2</v>
      </c>
      <c r="AD144">
        <f t="shared" si="28"/>
        <v>35.516399999999997</v>
      </c>
      <c r="AE144">
        <f t="shared" si="29"/>
        <v>0.89961620543999998</v>
      </c>
      <c r="AF144" s="9"/>
      <c r="AG144" s="21">
        <v>0.57479899999999995</v>
      </c>
      <c r="AH144" s="21">
        <v>86.159899999999993</v>
      </c>
      <c r="AI144" s="21">
        <v>-3.0481000000000001E-2</v>
      </c>
      <c r="AJ144" s="21">
        <v>134</v>
      </c>
      <c r="AK144" s="21">
        <v>0.57357800000000003</v>
      </c>
      <c r="AL144">
        <f t="shared" si="30"/>
        <v>30.481000000000002</v>
      </c>
      <c r="AM144">
        <f t="shared" si="31"/>
        <v>17.520448319</v>
      </c>
      <c r="AP144" s="9"/>
      <c r="AQ144" s="21">
        <v>2.5329600000000001E-2</v>
      </c>
      <c r="AR144" s="21">
        <v>88.895399999999995</v>
      </c>
      <c r="AS144" s="21">
        <v>-3.5507200000000003E-2</v>
      </c>
      <c r="AT144" s="21">
        <v>134</v>
      </c>
      <c r="AU144" s="21">
        <v>2.4853500000000001E-2</v>
      </c>
      <c r="AV144">
        <f t="shared" si="32"/>
        <v>35.507200000000005</v>
      </c>
      <c r="AW144">
        <f t="shared" si="33"/>
        <v>0.89938317312000016</v>
      </c>
      <c r="AX144" s="9"/>
      <c r="AY144" s="21">
        <v>0.57479899999999995</v>
      </c>
      <c r="AZ144" s="21">
        <v>91.665999999999997</v>
      </c>
      <c r="BA144" s="21">
        <v>-3.0413800000000001E-2</v>
      </c>
      <c r="BB144" s="21">
        <v>134</v>
      </c>
      <c r="BC144" s="21">
        <v>0.57354700000000003</v>
      </c>
      <c r="BD144">
        <f t="shared" si="34"/>
        <v>30.413800000000002</v>
      </c>
      <c r="BE144">
        <f t="shared" si="35"/>
        <v>17.481821826200001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2.0294199999999998E-2</v>
      </c>
      <c r="H145" s="21">
        <v>46.764699999999998</v>
      </c>
      <c r="I145" s="21">
        <v>-3.5424799999999999E-2</v>
      </c>
      <c r="J145" s="21">
        <v>135</v>
      </c>
      <c r="K145" s="21">
        <v>1.9839499999999999E-2</v>
      </c>
      <c r="L145">
        <f t="shared" si="24"/>
        <v>35.424799999999998</v>
      </c>
      <c r="M145">
        <f t="shared" si="25"/>
        <v>0.71891797615999986</v>
      </c>
      <c r="N145" s="9"/>
      <c r="O145" s="21">
        <v>0.57983399999999996</v>
      </c>
      <c r="P145" s="21">
        <v>79.942800000000005</v>
      </c>
      <c r="Q145" s="21">
        <v>-2.9876699999999999E-2</v>
      </c>
      <c r="R145" s="21">
        <v>135</v>
      </c>
      <c r="S145" s="21">
        <v>0.57861300000000004</v>
      </c>
      <c r="T145">
        <f t="shared" si="26"/>
        <v>29.8767</v>
      </c>
      <c r="U145">
        <f t="shared" si="27"/>
        <v>17.323526467799997</v>
      </c>
      <c r="X145" s="9"/>
      <c r="Y145" s="21">
        <v>2.0294199999999998E-2</v>
      </c>
      <c r="Z145" s="21">
        <v>83.191400000000002</v>
      </c>
      <c r="AA145" s="21">
        <v>-3.55194E-2</v>
      </c>
      <c r="AB145" s="21">
        <v>135</v>
      </c>
      <c r="AC145" s="21">
        <v>1.9821200000000001E-2</v>
      </c>
      <c r="AD145">
        <f t="shared" si="28"/>
        <v>35.519399999999997</v>
      </c>
      <c r="AE145">
        <f t="shared" si="29"/>
        <v>0.72083780747999993</v>
      </c>
      <c r="AF145" s="9"/>
      <c r="AG145" s="21">
        <v>0.57983399999999996</v>
      </c>
      <c r="AH145" s="21">
        <v>86.169899999999998</v>
      </c>
      <c r="AI145" s="21">
        <v>-2.9910300000000001E-2</v>
      </c>
      <c r="AJ145" s="21">
        <v>135</v>
      </c>
      <c r="AK145" s="21">
        <v>0.57855199999999996</v>
      </c>
      <c r="AL145">
        <f t="shared" si="30"/>
        <v>29.910299999999999</v>
      </c>
      <c r="AM145">
        <f t="shared" si="31"/>
        <v>17.3430088902</v>
      </c>
      <c r="AP145" s="9"/>
      <c r="AQ145" s="21">
        <v>2.0294199999999998E-2</v>
      </c>
      <c r="AR145" s="21">
        <v>88.905500000000004</v>
      </c>
      <c r="AS145" s="21">
        <v>-3.5501100000000001E-2</v>
      </c>
      <c r="AT145" s="21">
        <v>135</v>
      </c>
      <c r="AU145" s="21">
        <v>1.9839499999999999E-2</v>
      </c>
      <c r="AV145">
        <f t="shared" si="32"/>
        <v>35.501100000000001</v>
      </c>
      <c r="AW145">
        <f t="shared" si="33"/>
        <v>0.72046642361999991</v>
      </c>
      <c r="AX145" s="9"/>
      <c r="AY145" s="21">
        <v>0.57983399999999996</v>
      </c>
      <c r="AZ145" s="21">
        <v>91.676100000000005</v>
      </c>
      <c r="BA145" s="21">
        <v>-2.9840100000000001E-2</v>
      </c>
      <c r="BB145" s="21">
        <v>135</v>
      </c>
      <c r="BC145" s="21">
        <v>0.57855199999999996</v>
      </c>
      <c r="BD145">
        <f t="shared" si="34"/>
        <v>29.8401</v>
      </c>
      <c r="BE145">
        <f t="shared" si="35"/>
        <v>17.302304543399998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1.5258799999999999E-2</v>
      </c>
      <c r="H146" s="21">
        <v>46.774700000000003</v>
      </c>
      <c r="I146" s="21">
        <v>-3.54065E-2</v>
      </c>
      <c r="J146" s="21">
        <v>136</v>
      </c>
      <c r="K146" s="21">
        <v>1.47736E-2</v>
      </c>
      <c r="L146">
        <f t="shared" si="24"/>
        <v>35.406500000000001</v>
      </c>
      <c r="M146">
        <f t="shared" si="25"/>
        <v>0.5402607022</v>
      </c>
      <c r="N146" s="9"/>
      <c r="O146" s="21">
        <v>0.58486899999999997</v>
      </c>
      <c r="P146" s="21">
        <v>79.952799999999996</v>
      </c>
      <c r="Q146" s="21">
        <v>-2.9220599999999999E-2</v>
      </c>
      <c r="R146" s="21">
        <v>136</v>
      </c>
      <c r="S146" s="21">
        <v>0.58364899999999997</v>
      </c>
      <c r="T146">
        <f t="shared" si="26"/>
        <v>29.220600000000001</v>
      </c>
      <c r="U146">
        <f t="shared" si="27"/>
        <v>17.090223101399999</v>
      </c>
      <c r="X146" s="9"/>
      <c r="Y146" s="21">
        <v>1.5258799999999999E-2</v>
      </c>
      <c r="Z146" s="21">
        <v>83.201400000000007</v>
      </c>
      <c r="AA146" s="21">
        <v>-3.5549900000000002E-2</v>
      </c>
      <c r="AB146" s="21">
        <v>136</v>
      </c>
      <c r="AC146" s="21">
        <v>1.4822399999999999E-2</v>
      </c>
      <c r="AD146">
        <f t="shared" si="28"/>
        <v>35.549900000000001</v>
      </c>
      <c r="AE146">
        <f t="shared" si="29"/>
        <v>0.54244881412000001</v>
      </c>
      <c r="AF146" s="9"/>
      <c r="AG146" s="21">
        <v>0.58486899999999997</v>
      </c>
      <c r="AH146" s="21">
        <v>86.18</v>
      </c>
      <c r="AI146" s="21">
        <v>-2.9263299999999999E-2</v>
      </c>
      <c r="AJ146" s="21">
        <v>136</v>
      </c>
      <c r="AK146" s="21">
        <v>0.58367899999999995</v>
      </c>
      <c r="AL146">
        <f t="shared" si="30"/>
        <v>29.263299999999997</v>
      </c>
      <c r="AM146">
        <f t="shared" si="31"/>
        <v>17.115197007699997</v>
      </c>
      <c r="AP146" s="9"/>
      <c r="AQ146" s="21">
        <v>1.5258799999999999E-2</v>
      </c>
      <c r="AR146" s="21">
        <v>88.915599999999998</v>
      </c>
      <c r="AS146" s="21">
        <v>-3.5513299999999998E-2</v>
      </c>
      <c r="AT146" s="21">
        <v>136</v>
      </c>
      <c r="AU146" s="21">
        <v>1.47949E-2</v>
      </c>
      <c r="AV146">
        <f t="shared" si="32"/>
        <v>35.513300000000001</v>
      </c>
      <c r="AW146">
        <f t="shared" si="33"/>
        <v>0.54189034203999997</v>
      </c>
      <c r="AX146" s="9"/>
      <c r="AY146" s="21">
        <v>0.58486899999999997</v>
      </c>
      <c r="AZ146" s="21">
        <v>91.686199999999999</v>
      </c>
      <c r="BA146" s="21">
        <v>-2.9196199999999999E-2</v>
      </c>
      <c r="BB146" s="21">
        <v>136</v>
      </c>
      <c r="BC146" s="21">
        <v>0.58364899999999997</v>
      </c>
      <c r="BD146">
        <f t="shared" si="34"/>
        <v>29.196199999999997</v>
      </c>
      <c r="BE146">
        <f t="shared" si="35"/>
        <v>17.075952297799997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1.0223400000000001E-2</v>
      </c>
      <c r="H147" s="21">
        <v>46.784799999999997</v>
      </c>
      <c r="I147" s="21">
        <v>-3.5409499999999997E-2</v>
      </c>
      <c r="J147" s="21">
        <v>137</v>
      </c>
      <c r="K147" s="21">
        <v>9.6893299999999995E-3</v>
      </c>
      <c r="L147">
        <f t="shared" si="24"/>
        <v>35.409499999999994</v>
      </c>
      <c r="M147">
        <f t="shared" si="25"/>
        <v>0.36200548229999996</v>
      </c>
      <c r="N147" s="9"/>
      <c r="O147" s="21">
        <v>0.58990500000000001</v>
      </c>
      <c r="P147" s="21">
        <v>79.962900000000005</v>
      </c>
      <c r="Q147" s="21">
        <v>-2.8506500000000001E-2</v>
      </c>
      <c r="R147" s="21">
        <v>137</v>
      </c>
      <c r="S147" s="21">
        <v>0.58871499999999999</v>
      </c>
      <c r="T147">
        <f t="shared" si="26"/>
        <v>28.506499999999999</v>
      </c>
      <c r="U147">
        <f t="shared" si="27"/>
        <v>16.816126882500001</v>
      </c>
      <c r="X147" s="9"/>
      <c r="Y147" s="21">
        <v>1.0223400000000001E-2</v>
      </c>
      <c r="Z147" s="21">
        <v>83.211500000000001</v>
      </c>
      <c r="AA147" s="21">
        <v>-3.5568200000000001E-2</v>
      </c>
      <c r="AB147" s="21">
        <v>137</v>
      </c>
      <c r="AC147" s="21">
        <v>9.7106899999999993E-3</v>
      </c>
      <c r="AD147">
        <f t="shared" si="28"/>
        <v>35.568200000000004</v>
      </c>
      <c r="AE147">
        <f t="shared" si="29"/>
        <v>0.36362793588000009</v>
      </c>
      <c r="AF147" s="9"/>
      <c r="AG147" s="21">
        <v>0.58990500000000001</v>
      </c>
      <c r="AH147" s="21">
        <v>86.190100000000001</v>
      </c>
      <c r="AI147" s="21">
        <v>-2.85492E-2</v>
      </c>
      <c r="AJ147" s="21">
        <v>137</v>
      </c>
      <c r="AK147" s="21">
        <v>0.58868399999999999</v>
      </c>
      <c r="AL147">
        <f t="shared" si="30"/>
        <v>28.549199999999999</v>
      </c>
      <c r="AM147">
        <f t="shared" si="31"/>
        <v>16.841315825999999</v>
      </c>
      <c r="AP147" s="9"/>
      <c r="AQ147" s="21">
        <v>1.0223400000000001E-2</v>
      </c>
      <c r="AR147" s="21">
        <v>88.925700000000006</v>
      </c>
      <c r="AS147" s="21">
        <v>-3.5510300000000002E-2</v>
      </c>
      <c r="AT147" s="21">
        <v>137</v>
      </c>
      <c r="AU147" s="21">
        <v>9.7412100000000001E-3</v>
      </c>
      <c r="AV147">
        <f t="shared" si="32"/>
        <v>35.510300000000001</v>
      </c>
      <c r="AW147">
        <f t="shared" si="33"/>
        <v>0.36303600102000005</v>
      </c>
      <c r="AX147" s="9"/>
      <c r="AY147" s="21">
        <v>0.58990500000000001</v>
      </c>
      <c r="AZ147" s="21">
        <v>91.696200000000005</v>
      </c>
      <c r="BA147" s="21">
        <v>-2.8491200000000001E-2</v>
      </c>
      <c r="BB147" s="21">
        <v>137</v>
      </c>
      <c r="BC147" s="21">
        <v>0.58865400000000001</v>
      </c>
      <c r="BD147">
        <f t="shared" si="34"/>
        <v>28.491200000000003</v>
      </c>
      <c r="BE147">
        <f t="shared" si="35"/>
        <v>16.807101336000002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5.18799E-3</v>
      </c>
      <c r="H148" s="21">
        <v>46.794899999999998</v>
      </c>
      <c r="I148" s="21">
        <v>-3.5437000000000003E-2</v>
      </c>
      <c r="J148" s="21">
        <v>138</v>
      </c>
      <c r="K148" s="21">
        <v>4.6783399999999996E-3</v>
      </c>
      <c r="L148">
        <f t="shared" si="24"/>
        <v>35.437000000000005</v>
      </c>
      <c r="M148">
        <f t="shared" si="25"/>
        <v>0.18384680163000003</v>
      </c>
      <c r="N148" s="9"/>
      <c r="O148" s="21">
        <v>0.59494000000000002</v>
      </c>
      <c r="P148" s="21">
        <v>79.972999999999999</v>
      </c>
      <c r="Q148" s="21">
        <v>-2.7722199999999999E-2</v>
      </c>
      <c r="R148" s="21">
        <v>138</v>
      </c>
      <c r="S148" s="21">
        <v>0.59375</v>
      </c>
      <c r="T148">
        <f t="shared" si="26"/>
        <v>27.722199999999997</v>
      </c>
      <c r="U148">
        <f t="shared" si="27"/>
        <v>16.493045668000001</v>
      </c>
      <c r="X148" s="9"/>
      <c r="Y148" s="21">
        <v>5.18799E-3</v>
      </c>
      <c r="Z148" s="21">
        <v>83.221599999999995</v>
      </c>
      <c r="AA148" s="21">
        <v>-3.5574300000000003E-2</v>
      </c>
      <c r="AB148" s="21">
        <v>138</v>
      </c>
      <c r="AC148" s="21">
        <v>4.6264599999999998E-3</v>
      </c>
      <c r="AD148">
        <f t="shared" si="28"/>
        <v>35.574300000000001</v>
      </c>
      <c r="AE148">
        <f t="shared" si="29"/>
        <v>0.18455911265700001</v>
      </c>
      <c r="AF148" s="9"/>
      <c r="AG148" s="21">
        <v>0.59494000000000002</v>
      </c>
      <c r="AH148" s="21">
        <v>86.200100000000006</v>
      </c>
      <c r="AI148" s="21">
        <v>-2.7783200000000001E-2</v>
      </c>
      <c r="AJ148" s="21">
        <v>138</v>
      </c>
      <c r="AK148" s="21">
        <v>0.59381099999999998</v>
      </c>
      <c r="AL148">
        <f t="shared" si="30"/>
        <v>27.783200000000001</v>
      </c>
      <c r="AM148">
        <f t="shared" si="31"/>
        <v>16.529337008000002</v>
      </c>
      <c r="AP148" s="9"/>
      <c r="AQ148" s="21">
        <v>5.18799E-3</v>
      </c>
      <c r="AR148" s="21">
        <v>88.935699999999997</v>
      </c>
      <c r="AS148" s="21">
        <v>-3.5501100000000001E-2</v>
      </c>
      <c r="AT148" s="21">
        <v>138</v>
      </c>
      <c r="AU148" s="21">
        <v>4.6966600000000001E-3</v>
      </c>
      <c r="AV148">
        <f t="shared" si="32"/>
        <v>35.501100000000001</v>
      </c>
      <c r="AW148">
        <f t="shared" si="33"/>
        <v>0.184179351789</v>
      </c>
      <c r="AX148" s="9"/>
      <c r="AY148" s="21">
        <v>0.59494000000000002</v>
      </c>
      <c r="AZ148" s="21">
        <v>91.706299999999999</v>
      </c>
      <c r="BA148" s="21">
        <v>-2.7734399999999999E-2</v>
      </c>
      <c r="BB148" s="21">
        <v>138</v>
      </c>
      <c r="BC148" s="21">
        <v>0.593781</v>
      </c>
      <c r="BD148">
        <f t="shared" si="34"/>
        <v>27.734400000000001</v>
      </c>
      <c r="BE148">
        <f t="shared" si="35"/>
        <v>16.500303936000002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1.52588E-4</v>
      </c>
      <c r="H149" s="21">
        <v>46.804900000000004</v>
      </c>
      <c r="I149" s="21">
        <v>-3.5455300000000002E-2</v>
      </c>
      <c r="J149" s="21">
        <v>139</v>
      </c>
      <c r="K149" s="21">
        <v>-3.6010700000000003E-4</v>
      </c>
      <c r="L149">
        <f t="shared" si="24"/>
        <v>35.455300000000001</v>
      </c>
      <c r="M149">
        <f t="shared" si="25"/>
        <v>5.4100533163999997E-3</v>
      </c>
      <c r="N149" s="9"/>
      <c r="O149" s="21">
        <v>0.59997599999999995</v>
      </c>
      <c r="P149" s="21">
        <v>79.983099999999993</v>
      </c>
      <c r="Q149" s="21">
        <v>-2.6864599999999999E-2</v>
      </c>
      <c r="R149" s="21">
        <v>139</v>
      </c>
      <c r="S149" s="21">
        <v>0.59881600000000001</v>
      </c>
      <c r="T149">
        <f t="shared" si="26"/>
        <v>26.864599999999999</v>
      </c>
      <c r="U149">
        <f t="shared" si="27"/>
        <v>16.118115249599999</v>
      </c>
      <c r="X149" s="9"/>
      <c r="Y149" s="21">
        <v>1.52588E-4</v>
      </c>
      <c r="Z149" s="21">
        <v>83.2316</v>
      </c>
      <c r="AA149" s="21">
        <v>-3.5568200000000001E-2</v>
      </c>
      <c r="AB149" s="21">
        <v>139</v>
      </c>
      <c r="AC149" s="21">
        <v>-3.7841799999999999E-4</v>
      </c>
      <c r="AD149">
        <f t="shared" si="28"/>
        <v>35.568200000000004</v>
      </c>
      <c r="AE149">
        <f t="shared" si="29"/>
        <v>5.4272805016000007E-3</v>
      </c>
      <c r="AF149" s="9"/>
      <c r="AG149" s="21">
        <v>0.59997599999999995</v>
      </c>
      <c r="AH149" s="21">
        <v>86.2102</v>
      </c>
      <c r="AI149" s="21">
        <v>-2.6934799999999998E-2</v>
      </c>
      <c r="AJ149" s="21">
        <v>139</v>
      </c>
      <c r="AK149" s="21">
        <v>0.59884599999999999</v>
      </c>
      <c r="AL149">
        <f t="shared" si="30"/>
        <v>26.934799999999999</v>
      </c>
      <c r="AM149">
        <f t="shared" si="31"/>
        <v>16.160233564799999</v>
      </c>
      <c r="AP149" s="9"/>
      <c r="AQ149" s="21">
        <v>1.52588E-4</v>
      </c>
      <c r="AR149" s="21">
        <v>88.945800000000006</v>
      </c>
      <c r="AS149" s="21">
        <v>-3.5507200000000003E-2</v>
      </c>
      <c r="AT149" s="21">
        <v>139</v>
      </c>
      <c r="AU149" s="21">
        <v>-3.1738300000000002E-4</v>
      </c>
      <c r="AV149">
        <f t="shared" si="32"/>
        <v>35.507200000000005</v>
      </c>
      <c r="AW149">
        <f t="shared" si="33"/>
        <v>5.4179726336000007E-3</v>
      </c>
      <c r="AX149" s="9"/>
      <c r="AY149" s="21">
        <v>0.59997599999999995</v>
      </c>
      <c r="AZ149" s="21">
        <v>91.716399999999993</v>
      </c>
      <c r="BA149" s="21">
        <v>-2.68738E-2</v>
      </c>
      <c r="BB149" s="21">
        <v>139</v>
      </c>
      <c r="BC149" s="21">
        <v>0.59890699999999997</v>
      </c>
      <c r="BD149">
        <f t="shared" si="34"/>
        <v>26.873799999999999</v>
      </c>
      <c r="BE149">
        <f t="shared" si="35"/>
        <v>16.123635028799999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-4.8828099999999996E-3</v>
      </c>
      <c r="H150" s="21">
        <v>46.814999999999998</v>
      </c>
      <c r="I150" s="21">
        <v>-3.5470599999999998E-2</v>
      </c>
      <c r="J150" s="21">
        <v>140</v>
      </c>
      <c r="K150" s="21">
        <v>-5.4168699999999998E-3</v>
      </c>
      <c r="L150">
        <f t="shared" si="24"/>
        <v>35.470599999999997</v>
      </c>
      <c r="M150">
        <f t="shared" si="25"/>
        <v>-0.17319620038599998</v>
      </c>
      <c r="N150" s="9"/>
      <c r="O150" s="21">
        <v>0.60501099999999997</v>
      </c>
      <c r="P150" s="21">
        <v>79.993099999999998</v>
      </c>
      <c r="Q150" s="21">
        <v>-2.59308E-2</v>
      </c>
      <c r="R150" s="21">
        <v>140</v>
      </c>
      <c r="S150" s="21">
        <v>0.60388200000000003</v>
      </c>
      <c r="T150">
        <f t="shared" si="26"/>
        <v>25.930800000000001</v>
      </c>
      <c r="U150">
        <f t="shared" si="27"/>
        <v>15.6884192388</v>
      </c>
      <c r="X150" s="9"/>
      <c r="Y150" s="21">
        <v>-4.8828099999999996E-3</v>
      </c>
      <c r="Z150" s="21">
        <v>83.241699999999994</v>
      </c>
      <c r="AA150" s="21">
        <v>-3.55713E-2</v>
      </c>
      <c r="AB150" s="21">
        <v>140</v>
      </c>
      <c r="AC150" s="21">
        <v>-5.4107699999999996E-3</v>
      </c>
      <c r="AD150">
        <f t="shared" si="28"/>
        <v>35.571300000000001</v>
      </c>
      <c r="AE150">
        <f t="shared" si="29"/>
        <v>-0.173687899353</v>
      </c>
      <c r="AF150" s="9"/>
      <c r="AG150" s="21">
        <v>0.60501099999999997</v>
      </c>
      <c r="AH150" s="21">
        <v>86.220299999999995</v>
      </c>
      <c r="AI150" s="21">
        <v>-2.6025400000000001E-2</v>
      </c>
      <c r="AJ150" s="21">
        <v>140</v>
      </c>
      <c r="AK150" s="21">
        <v>0.60388200000000003</v>
      </c>
      <c r="AL150">
        <f t="shared" si="30"/>
        <v>26.025400000000001</v>
      </c>
      <c r="AM150">
        <f t="shared" si="31"/>
        <v>15.745653279399999</v>
      </c>
      <c r="AP150" s="9"/>
      <c r="AQ150" s="21">
        <v>-4.8828099999999996E-3</v>
      </c>
      <c r="AR150" s="21">
        <v>88.9559</v>
      </c>
      <c r="AS150" s="21">
        <v>-3.55194E-2</v>
      </c>
      <c r="AT150" s="21">
        <v>140</v>
      </c>
      <c r="AU150" s="21">
        <v>-5.3863499999999998E-3</v>
      </c>
      <c r="AV150">
        <f t="shared" si="32"/>
        <v>35.519399999999997</v>
      </c>
      <c r="AW150">
        <f t="shared" si="33"/>
        <v>-0.17343448151399998</v>
      </c>
      <c r="AX150" s="9"/>
      <c r="AY150" s="21">
        <v>0.60501099999999997</v>
      </c>
      <c r="AZ150" s="21">
        <v>91.726399999999998</v>
      </c>
      <c r="BA150" s="21">
        <v>-2.59583E-2</v>
      </c>
      <c r="BB150" s="21">
        <v>140</v>
      </c>
      <c r="BC150" s="21">
        <v>0.60388200000000003</v>
      </c>
      <c r="BD150">
        <f t="shared" si="34"/>
        <v>25.958300000000001</v>
      </c>
      <c r="BE150">
        <f t="shared" si="35"/>
        <v>15.7050570413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-9.9182100000000002E-3</v>
      </c>
      <c r="H151" s="21">
        <v>46.825099999999999</v>
      </c>
      <c r="I151" s="21">
        <v>-3.54767E-2</v>
      </c>
      <c r="J151" s="21">
        <v>141</v>
      </c>
      <c r="K151" s="21">
        <v>-1.05164E-2</v>
      </c>
      <c r="L151">
        <f t="shared" si="24"/>
        <v>35.476700000000001</v>
      </c>
      <c r="M151">
        <f t="shared" si="25"/>
        <v>-0.35186536070700003</v>
      </c>
      <c r="N151" s="9"/>
      <c r="O151" s="21">
        <v>0.61004599999999998</v>
      </c>
      <c r="P151" s="21">
        <v>80.003200000000007</v>
      </c>
      <c r="Q151" s="21">
        <v>-2.4914599999999999E-2</v>
      </c>
      <c r="R151" s="21">
        <v>141</v>
      </c>
      <c r="S151" s="21">
        <v>0.60891700000000004</v>
      </c>
      <c r="T151">
        <f t="shared" si="26"/>
        <v>24.9146</v>
      </c>
      <c r="U151">
        <f t="shared" si="27"/>
        <v>15.199052071599999</v>
      </c>
      <c r="X151" s="9"/>
      <c r="Y151" s="21">
        <v>-9.9182100000000002E-3</v>
      </c>
      <c r="Z151" s="21">
        <v>83.251800000000003</v>
      </c>
      <c r="AA151" s="21">
        <v>-3.55865E-2</v>
      </c>
      <c r="AB151" s="21">
        <v>141</v>
      </c>
      <c r="AC151" s="21">
        <v>-1.0452299999999999E-2</v>
      </c>
      <c r="AD151">
        <f t="shared" si="28"/>
        <v>35.586500000000001</v>
      </c>
      <c r="AE151">
        <f t="shared" si="29"/>
        <v>-0.35295438016500003</v>
      </c>
      <c r="AF151" s="9"/>
      <c r="AG151" s="21">
        <v>0.61004599999999998</v>
      </c>
      <c r="AH151" s="21">
        <v>86.230400000000003</v>
      </c>
      <c r="AI151" s="21">
        <v>-2.50031E-2</v>
      </c>
      <c r="AJ151" s="21">
        <v>141</v>
      </c>
      <c r="AK151" s="21">
        <v>0.60891700000000004</v>
      </c>
      <c r="AL151">
        <f t="shared" si="30"/>
        <v>25.0031</v>
      </c>
      <c r="AM151">
        <f t="shared" si="31"/>
        <v>15.253041142599999</v>
      </c>
      <c r="AP151" s="9"/>
      <c r="AQ151" s="21">
        <v>-9.9182100000000002E-3</v>
      </c>
      <c r="AR151" s="21">
        <v>88.965900000000005</v>
      </c>
      <c r="AS151" s="21">
        <v>-3.5516399999999997E-2</v>
      </c>
      <c r="AT151" s="21">
        <v>141</v>
      </c>
      <c r="AU151" s="21">
        <v>-1.0461399999999999E-2</v>
      </c>
      <c r="AV151">
        <f t="shared" si="32"/>
        <v>35.516399999999997</v>
      </c>
      <c r="AW151">
        <f t="shared" si="33"/>
        <v>-0.35225911364399998</v>
      </c>
      <c r="AX151" s="9"/>
      <c r="AY151" s="21">
        <v>0.61004599999999998</v>
      </c>
      <c r="AZ151" s="21">
        <v>91.736500000000007</v>
      </c>
      <c r="BA151" s="21">
        <v>-2.49512E-2</v>
      </c>
      <c r="BB151" s="21">
        <v>141</v>
      </c>
      <c r="BC151" s="21">
        <v>0.60888699999999996</v>
      </c>
      <c r="BD151">
        <f t="shared" si="34"/>
        <v>24.9512</v>
      </c>
      <c r="BE151">
        <f t="shared" si="35"/>
        <v>15.221379755199999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-1.4953599999999999E-2</v>
      </c>
      <c r="H152" s="21">
        <v>46.8352</v>
      </c>
      <c r="I152" s="21">
        <v>-3.5488899999999997E-2</v>
      </c>
      <c r="J152" s="21">
        <v>142</v>
      </c>
      <c r="K152" s="21">
        <v>-1.55304E-2</v>
      </c>
      <c r="L152">
        <f t="shared" si="24"/>
        <v>35.488899999999994</v>
      </c>
      <c r="M152">
        <f t="shared" si="25"/>
        <v>-0.53068681503999993</v>
      </c>
      <c r="N152" s="9"/>
      <c r="O152" s="21">
        <v>0.61508200000000002</v>
      </c>
      <c r="P152" s="21">
        <v>80.013300000000001</v>
      </c>
      <c r="Q152" s="21">
        <v>-2.3797599999999999E-2</v>
      </c>
      <c r="R152" s="21">
        <v>142</v>
      </c>
      <c r="S152" s="21">
        <v>0.61398299999999995</v>
      </c>
      <c r="T152">
        <f t="shared" si="26"/>
        <v>23.797599999999999</v>
      </c>
      <c r="U152">
        <f t="shared" si="27"/>
        <v>14.6374754032</v>
      </c>
      <c r="X152" s="9"/>
      <c r="Y152" s="21">
        <v>-1.4953599999999999E-2</v>
      </c>
      <c r="Z152" s="21">
        <v>83.261899999999997</v>
      </c>
      <c r="AA152" s="21">
        <v>-3.5610999999999997E-2</v>
      </c>
      <c r="AB152" s="21">
        <v>142</v>
      </c>
      <c r="AC152" s="21">
        <v>-1.5509E-2</v>
      </c>
      <c r="AD152">
        <f t="shared" si="28"/>
        <v>35.610999999999997</v>
      </c>
      <c r="AE152">
        <f t="shared" si="29"/>
        <v>-0.53251264959999989</v>
      </c>
      <c r="AF152" s="9"/>
      <c r="AG152" s="21">
        <v>0.61508200000000002</v>
      </c>
      <c r="AH152" s="21">
        <v>86.240399999999994</v>
      </c>
      <c r="AI152" s="21">
        <v>-2.3892199999999999E-2</v>
      </c>
      <c r="AJ152" s="21">
        <v>142</v>
      </c>
      <c r="AK152" s="21">
        <v>0.61401399999999995</v>
      </c>
      <c r="AL152">
        <f t="shared" si="30"/>
        <v>23.892199999999999</v>
      </c>
      <c r="AM152">
        <f t="shared" si="31"/>
        <v>14.6956621604</v>
      </c>
      <c r="AP152" s="9"/>
      <c r="AQ152" s="21">
        <v>-1.4953599999999999E-2</v>
      </c>
      <c r="AR152" s="21">
        <v>88.975999999999999</v>
      </c>
      <c r="AS152" s="21">
        <v>-3.55194E-2</v>
      </c>
      <c r="AT152" s="21">
        <v>142</v>
      </c>
      <c r="AU152" s="21">
        <v>-1.5518199999999999E-2</v>
      </c>
      <c r="AV152">
        <f t="shared" si="32"/>
        <v>35.519399999999997</v>
      </c>
      <c r="AW152">
        <f t="shared" si="33"/>
        <v>-0.53114289983999996</v>
      </c>
      <c r="AX152" s="9"/>
      <c r="AY152" s="21">
        <v>0.61508200000000002</v>
      </c>
      <c r="AZ152" s="21">
        <v>91.746600000000001</v>
      </c>
      <c r="BA152" s="21">
        <v>-2.3852499999999999E-2</v>
      </c>
      <c r="BB152" s="21">
        <v>142</v>
      </c>
      <c r="BC152" s="21">
        <v>0.61398299999999995</v>
      </c>
      <c r="BD152">
        <f t="shared" si="34"/>
        <v>23.852499999999999</v>
      </c>
      <c r="BE152">
        <f t="shared" si="35"/>
        <v>14.671243405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-1.9989E-2</v>
      </c>
      <c r="H153" s="21">
        <v>46.845199999999998</v>
      </c>
      <c r="I153" s="21">
        <v>-3.54919E-2</v>
      </c>
      <c r="J153" s="21">
        <v>143</v>
      </c>
      <c r="K153" s="21">
        <v>-2.0577999999999999E-2</v>
      </c>
      <c r="L153">
        <f t="shared" si="24"/>
        <v>35.491900000000001</v>
      </c>
      <c r="M153">
        <f t="shared" si="25"/>
        <v>-0.70944758910000005</v>
      </c>
      <c r="N153" s="9"/>
      <c r="O153" s="21">
        <v>0.62011700000000003</v>
      </c>
      <c r="P153" s="21">
        <v>80.023300000000006</v>
      </c>
      <c r="Q153" s="21">
        <v>-2.26044E-2</v>
      </c>
      <c r="R153" s="21">
        <v>143</v>
      </c>
      <c r="S153" s="21">
        <v>0.61901899999999999</v>
      </c>
      <c r="T153">
        <f t="shared" si="26"/>
        <v>22.604400000000002</v>
      </c>
      <c r="U153">
        <f t="shared" si="27"/>
        <v>14.017372714800002</v>
      </c>
      <c r="X153" s="9"/>
      <c r="Y153" s="21">
        <v>-1.9989E-2</v>
      </c>
      <c r="Z153" s="21">
        <v>83.271900000000002</v>
      </c>
      <c r="AA153" s="21">
        <v>-3.5610999999999997E-2</v>
      </c>
      <c r="AB153" s="21">
        <v>143</v>
      </c>
      <c r="AC153" s="21">
        <v>-2.0590199999999999E-2</v>
      </c>
      <c r="AD153">
        <f t="shared" si="28"/>
        <v>35.610999999999997</v>
      </c>
      <c r="AE153">
        <f t="shared" si="29"/>
        <v>-0.7118282789999999</v>
      </c>
      <c r="AF153" s="9"/>
      <c r="AG153" s="21">
        <v>0.62011700000000003</v>
      </c>
      <c r="AH153" s="21">
        <v>86.250500000000002</v>
      </c>
      <c r="AI153" s="21">
        <v>-2.2662399999999999E-2</v>
      </c>
      <c r="AJ153" s="21">
        <v>143</v>
      </c>
      <c r="AK153" s="21">
        <v>0.61901899999999999</v>
      </c>
      <c r="AL153">
        <f t="shared" si="30"/>
        <v>22.662399999999998</v>
      </c>
      <c r="AM153">
        <f t="shared" si="31"/>
        <v>14.0533395008</v>
      </c>
      <c r="AP153" s="9"/>
      <c r="AQ153" s="21">
        <v>-1.9989E-2</v>
      </c>
      <c r="AR153" s="21">
        <v>88.986099999999993</v>
      </c>
      <c r="AS153" s="21">
        <v>-3.5516399999999997E-2</v>
      </c>
      <c r="AT153" s="21">
        <v>143</v>
      </c>
      <c r="AU153" s="21">
        <v>-2.0571900000000001E-2</v>
      </c>
      <c r="AV153">
        <f t="shared" si="32"/>
        <v>35.516399999999997</v>
      </c>
      <c r="AW153">
        <f t="shared" si="33"/>
        <v>-0.70993731959999995</v>
      </c>
      <c r="AX153" s="9"/>
      <c r="AY153" s="21">
        <v>0.62011700000000003</v>
      </c>
      <c r="AZ153" s="21">
        <v>91.756600000000006</v>
      </c>
      <c r="BA153" s="21">
        <v>-2.2668500000000001E-2</v>
      </c>
      <c r="BB153" s="21">
        <v>143</v>
      </c>
      <c r="BC153" s="21">
        <v>0.61901899999999999</v>
      </c>
      <c r="BD153">
        <f t="shared" si="34"/>
        <v>22.668500000000002</v>
      </c>
      <c r="BE153">
        <f t="shared" si="35"/>
        <v>14.057122214500001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-2.5024399999999999E-2</v>
      </c>
      <c r="H154" s="21">
        <v>46.8553</v>
      </c>
      <c r="I154" s="21">
        <v>-3.5507200000000003E-2</v>
      </c>
      <c r="J154" s="21">
        <v>144</v>
      </c>
      <c r="K154" s="21">
        <v>-2.5546300000000001E-2</v>
      </c>
      <c r="L154">
        <f t="shared" si="24"/>
        <v>35.507200000000005</v>
      </c>
      <c r="M154">
        <f t="shared" si="25"/>
        <v>-0.88854637568000006</v>
      </c>
      <c r="N154" s="9"/>
      <c r="O154" s="21">
        <v>0.62515299999999996</v>
      </c>
      <c r="P154" s="21">
        <v>80.0334</v>
      </c>
      <c r="Q154" s="21">
        <v>-2.1319600000000001E-2</v>
      </c>
      <c r="R154" s="21">
        <v>144</v>
      </c>
      <c r="S154" s="21">
        <v>0.62408399999999997</v>
      </c>
      <c r="T154">
        <f t="shared" si="26"/>
        <v>21.319600000000001</v>
      </c>
      <c r="U154">
        <f t="shared" si="27"/>
        <v>13.3280118988</v>
      </c>
      <c r="X154" s="9"/>
      <c r="Y154" s="21">
        <v>-2.5024399999999999E-2</v>
      </c>
      <c r="Z154" s="21">
        <v>83.281999999999996</v>
      </c>
      <c r="AA154" s="21">
        <v>-3.5595700000000001E-2</v>
      </c>
      <c r="AB154" s="21">
        <v>144</v>
      </c>
      <c r="AC154" s="21">
        <v>-2.5592E-2</v>
      </c>
      <c r="AD154">
        <f t="shared" si="28"/>
        <v>35.595700000000001</v>
      </c>
      <c r="AE154">
        <f t="shared" si="29"/>
        <v>-0.89076103507999993</v>
      </c>
      <c r="AF154" s="9"/>
      <c r="AG154" s="21">
        <v>0.62515299999999996</v>
      </c>
      <c r="AH154" s="21">
        <v>86.260599999999997</v>
      </c>
      <c r="AI154" s="21">
        <v>-2.13776E-2</v>
      </c>
      <c r="AJ154" s="21">
        <v>144</v>
      </c>
      <c r="AK154" s="21">
        <v>0.62411499999999998</v>
      </c>
      <c r="AL154">
        <f t="shared" si="30"/>
        <v>21.377600000000001</v>
      </c>
      <c r="AM154">
        <f t="shared" si="31"/>
        <v>13.364270772799999</v>
      </c>
      <c r="AP154" s="9"/>
      <c r="AQ154" s="21">
        <v>-2.5024399999999999E-2</v>
      </c>
      <c r="AR154" s="21">
        <v>88.996099999999998</v>
      </c>
      <c r="AS154" s="21">
        <v>-3.5534700000000002E-2</v>
      </c>
      <c r="AT154" s="21">
        <v>144</v>
      </c>
      <c r="AU154" s="21">
        <v>-2.5592E-2</v>
      </c>
      <c r="AV154">
        <f t="shared" si="32"/>
        <v>35.534700000000001</v>
      </c>
      <c r="AW154">
        <f t="shared" si="33"/>
        <v>-0.88923454668000002</v>
      </c>
      <c r="AX154" s="9"/>
      <c r="AY154" s="21">
        <v>0.62515299999999996</v>
      </c>
      <c r="AZ154" s="21">
        <v>91.7667</v>
      </c>
      <c r="BA154" s="21">
        <v>-2.1383699999999999E-2</v>
      </c>
      <c r="BB154" s="21">
        <v>144</v>
      </c>
      <c r="BC154" s="21">
        <v>0.62408399999999997</v>
      </c>
      <c r="BD154">
        <f t="shared" si="34"/>
        <v>21.383699999999997</v>
      </c>
      <c r="BE154">
        <f t="shared" si="35"/>
        <v>13.368084206099997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-3.0059800000000001E-2</v>
      </c>
      <c r="H155" s="21">
        <v>46.865400000000001</v>
      </c>
      <c r="I155" s="21">
        <v>-3.5513299999999998E-2</v>
      </c>
      <c r="J155" s="21">
        <v>145</v>
      </c>
      <c r="K155" s="21">
        <v>-3.0645800000000001E-2</v>
      </c>
      <c r="L155">
        <f t="shared" si="24"/>
        <v>35.513300000000001</v>
      </c>
      <c r="M155">
        <f t="shared" si="25"/>
        <v>-1.0675226953400001</v>
      </c>
      <c r="N155" s="9"/>
      <c r="O155" s="21">
        <v>0.63018799999999997</v>
      </c>
      <c r="P155" s="21">
        <v>80.043499999999995</v>
      </c>
      <c r="Q155" s="21">
        <v>-1.9940200000000002E-2</v>
      </c>
      <c r="R155" s="21">
        <v>145</v>
      </c>
      <c r="S155" s="21">
        <v>0.62918099999999999</v>
      </c>
      <c r="T155">
        <f t="shared" si="26"/>
        <v>19.940200000000001</v>
      </c>
      <c r="U155">
        <f t="shared" si="27"/>
        <v>12.566074757599999</v>
      </c>
      <c r="X155" s="9"/>
      <c r="Y155" s="21">
        <v>-3.0059800000000001E-2</v>
      </c>
      <c r="Z155" s="21">
        <v>83.292100000000005</v>
      </c>
      <c r="AA155" s="21">
        <v>-3.5574300000000003E-2</v>
      </c>
      <c r="AB155" s="21">
        <v>145</v>
      </c>
      <c r="AC155" s="21">
        <v>-3.0642699999999998E-2</v>
      </c>
      <c r="AD155">
        <f t="shared" si="28"/>
        <v>35.574300000000001</v>
      </c>
      <c r="AE155">
        <f t="shared" si="29"/>
        <v>-1.0693563431400002</v>
      </c>
      <c r="AF155" s="9"/>
      <c r="AG155" s="21">
        <v>0.63018799999999997</v>
      </c>
      <c r="AH155" s="21">
        <v>86.270600000000002</v>
      </c>
      <c r="AI155" s="21">
        <v>-2.0004299999999999E-2</v>
      </c>
      <c r="AJ155" s="21">
        <v>145</v>
      </c>
      <c r="AK155" s="21">
        <v>0.62912000000000001</v>
      </c>
      <c r="AL155">
        <f t="shared" si="30"/>
        <v>20.004300000000001</v>
      </c>
      <c r="AM155">
        <f t="shared" si="31"/>
        <v>12.6064698084</v>
      </c>
      <c r="AP155" s="9"/>
      <c r="AQ155" s="21">
        <v>-3.0059800000000001E-2</v>
      </c>
      <c r="AR155" s="21">
        <v>89.006200000000007</v>
      </c>
      <c r="AS155" s="21">
        <v>-3.5562099999999999E-2</v>
      </c>
      <c r="AT155" s="21">
        <v>145</v>
      </c>
      <c r="AU155" s="21">
        <v>-3.0654899999999999E-2</v>
      </c>
      <c r="AV155">
        <f t="shared" si="32"/>
        <v>35.562100000000001</v>
      </c>
      <c r="AW155">
        <f t="shared" si="33"/>
        <v>-1.0689896135800001</v>
      </c>
      <c r="AX155" s="9"/>
      <c r="AY155" s="21">
        <v>0.63018799999999997</v>
      </c>
      <c r="AZ155" s="21">
        <v>91.776799999999994</v>
      </c>
      <c r="BA155" s="21">
        <v>-2.0007299999999999E-2</v>
      </c>
      <c r="BB155" s="21">
        <v>145</v>
      </c>
      <c r="BC155" s="21">
        <v>0.62921099999999996</v>
      </c>
      <c r="BD155">
        <f t="shared" si="34"/>
        <v>20.007299999999997</v>
      </c>
      <c r="BE155">
        <f t="shared" si="35"/>
        <v>12.608360372399998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-3.50952E-2</v>
      </c>
      <c r="H156" s="21">
        <v>46.875399999999999</v>
      </c>
      <c r="I156" s="21">
        <v>-3.5516399999999997E-2</v>
      </c>
      <c r="J156" s="21">
        <v>146</v>
      </c>
      <c r="K156" s="21">
        <v>-3.5672000000000002E-2</v>
      </c>
      <c r="L156">
        <f t="shared" si="24"/>
        <v>35.516399999999997</v>
      </c>
      <c r="M156">
        <f t="shared" si="25"/>
        <v>-1.2464551612799999</v>
      </c>
      <c r="N156" s="9"/>
      <c r="O156" s="21">
        <v>0.63522299999999998</v>
      </c>
      <c r="P156" s="21">
        <v>80.053600000000003</v>
      </c>
      <c r="Q156" s="21">
        <v>-1.8450899999999999E-2</v>
      </c>
      <c r="R156" s="21">
        <v>146</v>
      </c>
      <c r="S156" s="21">
        <v>0.63424700000000001</v>
      </c>
      <c r="T156">
        <f t="shared" si="26"/>
        <v>18.450900000000001</v>
      </c>
      <c r="U156">
        <f t="shared" si="27"/>
        <v>11.7204360507</v>
      </c>
      <c r="X156" s="9"/>
      <c r="Y156" s="21">
        <v>-3.50952E-2</v>
      </c>
      <c r="Z156" s="21">
        <v>83.302099999999996</v>
      </c>
      <c r="AA156" s="21">
        <v>-3.5559100000000003E-2</v>
      </c>
      <c r="AB156" s="21">
        <v>146</v>
      </c>
      <c r="AC156" s="21">
        <v>-3.57086E-2</v>
      </c>
      <c r="AD156">
        <f t="shared" si="28"/>
        <v>35.559100000000001</v>
      </c>
      <c r="AE156">
        <f t="shared" si="29"/>
        <v>-1.24795372632</v>
      </c>
      <c r="AF156" s="9"/>
      <c r="AG156" s="21">
        <v>0.63522299999999998</v>
      </c>
      <c r="AH156" s="21">
        <v>86.280699999999996</v>
      </c>
      <c r="AI156" s="21">
        <v>-1.8518099999999999E-2</v>
      </c>
      <c r="AJ156" s="21">
        <v>146</v>
      </c>
      <c r="AK156" s="21">
        <v>0.634216</v>
      </c>
      <c r="AL156">
        <f t="shared" si="30"/>
        <v>18.5181</v>
      </c>
      <c r="AM156">
        <f t="shared" si="31"/>
        <v>11.7631230363</v>
      </c>
      <c r="AP156" s="9"/>
      <c r="AQ156" s="21">
        <v>-3.50952E-2</v>
      </c>
      <c r="AR156" s="21">
        <v>89.016300000000001</v>
      </c>
      <c r="AS156" s="21">
        <v>-3.5568200000000001E-2</v>
      </c>
      <c r="AT156" s="21">
        <v>146</v>
      </c>
      <c r="AU156" s="21">
        <v>-3.5684199999999999E-2</v>
      </c>
      <c r="AV156">
        <f t="shared" si="32"/>
        <v>35.568200000000004</v>
      </c>
      <c r="AW156">
        <f t="shared" si="33"/>
        <v>-1.2482730926400001</v>
      </c>
      <c r="AX156" s="9"/>
      <c r="AY156" s="21">
        <v>0.63522299999999998</v>
      </c>
      <c r="AZ156" s="21">
        <v>91.786900000000003</v>
      </c>
      <c r="BA156" s="21">
        <v>-1.8505899999999999E-2</v>
      </c>
      <c r="BB156" s="21">
        <v>146</v>
      </c>
      <c r="BC156" s="21">
        <v>0.63415500000000002</v>
      </c>
      <c r="BD156">
        <f t="shared" si="34"/>
        <v>18.5059</v>
      </c>
      <c r="BE156">
        <f t="shared" si="35"/>
        <v>11.7553733157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-4.0130600000000002E-2</v>
      </c>
      <c r="H157" s="21">
        <v>46.8855</v>
      </c>
      <c r="I157" s="21">
        <v>-3.55194E-2</v>
      </c>
      <c r="J157" s="21">
        <v>147</v>
      </c>
      <c r="K157" s="21">
        <v>-4.0722700000000001E-2</v>
      </c>
      <c r="L157">
        <f t="shared" si="24"/>
        <v>35.519399999999997</v>
      </c>
      <c r="M157">
        <f t="shared" si="25"/>
        <v>-1.4254148336399999</v>
      </c>
      <c r="N157" s="9"/>
      <c r="O157" s="21">
        <v>0.64025900000000002</v>
      </c>
      <c r="P157" s="21">
        <v>80.063599999999994</v>
      </c>
      <c r="Q157" s="21">
        <v>-1.6854899999999999E-2</v>
      </c>
      <c r="R157" s="21">
        <v>147</v>
      </c>
      <c r="S157" s="21">
        <v>0.63931300000000002</v>
      </c>
      <c r="T157">
        <f t="shared" si="26"/>
        <v>16.854900000000001</v>
      </c>
      <c r="U157">
        <f t="shared" si="27"/>
        <v>10.791501419100001</v>
      </c>
      <c r="X157" s="9"/>
      <c r="Y157" s="21">
        <v>-4.0130600000000002E-2</v>
      </c>
      <c r="Z157" s="21">
        <v>83.312200000000004</v>
      </c>
      <c r="AA157" s="21">
        <v>-3.5568200000000001E-2</v>
      </c>
      <c r="AB157" s="21">
        <v>147</v>
      </c>
      <c r="AC157" s="21">
        <v>-4.0762300000000001E-2</v>
      </c>
      <c r="AD157">
        <f t="shared" si="28"/>
        <v>35.568200000000004</v>
      </c>
      <c r="AE157">
        <f t="shared" si="29"/>
        <v>-1.4273732069200002</v>
      </c>
      <c r="AF157" s="9"/>
      <c r="AG157" s="21">
        <v>0.64025900000000002</v>
      </c>
      <c r="AH157" s="21">
        <v>86.290800000000004</v>
      </c>
      <c r="AI157" s="21">
        <v>-1.6912799999999999E-2</v>
      </c>
      <c r="AJ157" s="21">
        <v>147</v>
      </c>
      <c r="AK157" s="21">
        <v>0.63928200000000002</v>
      </c>
      <c r="AL157">
        <f t="shared" si="30"/>
        <v>16.912799999999997</v>
      </c>
      <c r="AM157">
        <f t="shared" si="31"/>
        <v>10.828572415199998</v>
      </c>
      <c r="AP157" s="9"/>
      <c r="AQ157" s="21">
        <v>-4.0130600000000002E-2</v>
      </c>
      <c r="AR157" s="21">
        <v>89.026399999999995</v>
      </c>
      <c r="AS157" s="21">
        <v>-3.5583499999999997E-2</v>
      </c>
      <c r="AT157" s="21">
        <v>147</v>
      </c>
      <c r="AU157" s="21">
        <v>-4.0783699999999999E-2</v>
      </c>
      <c r="AV157">
        <f t="shared" si="32"/>
        <v>35.583499999999994</v>
      </c>
      <c r="AW157">
        <f t="shared" si="33"/>
        <v>-1.4279872050999998</v>
      </c>
      <c r="AX157" s="9"/>
      <c r="AY157" s="21">
        <v>0.64025900000000002</v>
      </c>
      <c r="AZ157" s="21">
        <v>91.796899999999994</v>
      </c>
      <c r="BA157" s="21">
        <v>-1.6918900000000001E-2</v>
      </c>
      <c r="BB157" s="21">
        <v>147</v>
      </c>
      <c r="BC157" s="21">
        <v>0.63922100000000004</v>
      </c>
      <c r="BD157">
        <f t="shared" si="34"/>
        <v>16.918900000000001</v>
      </c>
      <c r="BE157">
        <f t="shared" si="35"/>
        <v>10.832477995100001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-4.5165999999999998E-2</v>
      </c>
      <c r="H158" s="21">
        <v>46.895600000000002</v>
      </c>
      <c r="I158" s="21">
        <v>-3.55194E-2</v>
      </c>
      <c r="J158" s="21">
        <v>148</v>
      </c>
      <c r="K158" s="21">
        <v>-4.5846600000000001E-2</v>
      </c>
      <c r="L158">
        <f t="shared" si="24"/>
        <v>35.519399999999997</v>
      </c>
      <c r="M158">
        <f t="shared" si="25"/>
        <v>-1.6042692203999998</v>
      </c>
      <c r="N158" s="9"/>
      <c r="O158" s="21">
        <v>0.64529400000000003</v>
      </c>
      <c r="P158" s="21">
        <v>80.073700000000002</v>
      </c>
      <c r="Q158" s="21">
        <v>-1.51489E-2</v>
      </c>
      <c r="R158" s="21">
        <v>148</v>
      </c>
      <c r="S158" s="21">
        <v>0.64434800000000003</v>
      </c>
      <c r="T158">
        <f t="shared" si="26"/>
        <v>15.148899999999999</v>
      </c>
      <c r="U158">
        <f t="shared" si="27"/>
        <v>9.7754942765999999</v>
      </c>
      <c r="X158" s="9"/>
      <c r="Y158" s="21">
        <v>-4.5165999999999998E-2</v>
      </c>
      <c r="Z158" s="21">
        <v>83.322299999999998</v>
      </c>
      <c r="AA158" s="21">
        <v>-3.5577400000000002E-2</v>
      </c>
      <c r="AB158" s="21">
        <v>148</v>
      </c>
      <c r="AC158" s="21">
        <v>-4.5846600000000001E-2</v>
      </c>
      <c r="AD158">
        <f t="shared" si="28"/>
        <v>35.577400000000004</v>
      </c>
      <c r="AE158">
        <f t="shared" si="29"/>
        <v>-1.6068888484000001</v>
      </c>
      <c r="AF158" s="9"/>
      <c r="AG158" s="21">
        <v>0.64529400000000003</v>
      </c>
      <c r="AH158" s="21">
        <v>86.300899999999999</v>
      </c>
      <c r="AI158" s="21">
        <v>-1.52161E-2</v>
      </c>
      <c r="AJ158" s="21">
        <v>148</v>
      </c>
      <c r="AK158" s="21">
        <v>0.64431799999999995</v>
      </c>
      <c r="AL158">
        <f t="shared" si="30"/>
        <v>15.216099999999999</v>
      </c>
      <c r="AM158">
        <f t="shared" si="31"/>
        <v>9.8188580333999997</v>
      </c>
      <c r="AP158" s="9"/>
      <c r="AQ158" s="21">
        <v>-4.5165999999999998E-2</v>
      </c>
      <c r="AR158" s="21">
        <v>89.0364</v>
      </c>
      <c r="AS158" s="21">
        <v>-3.55865E-2</v>
      </c>
      <c r="AT158" s="21">
        <v>148</v>
      </c>
      <c r="AU158" s="21">
        <v>-4.5809900000000001E-2</v>
      </c>
      <c r="AV158">
        <f t="shared" si="32"/>
        <v>35.586500000000001</v>
      </c>
      <c r="AW158">
        <f t="shared" si="33"/>
        <v>-1.6072998590000001</v>
      </c>
      <c r="AX158" s="9"/>
      <c r="AY158" s="21">
        <v>0.64529400000000003</v>
      </c>
      <c r="AZ158" s="21">
        <v>91.807000000000002</v>
      </c>
      <c r="BA158" s="21">
        <v>-1.5213000000000001E-2</v>
      </c>
      <c r="BB158" s="21">
        <v>148</v>
      </c>
      <c r="BC158" s="21">
        <v>0.64431799999999995</v>
      </c>
      <c r="BD158">
        <f t="shared" si="34"/>
        <v>15.213000000000001</v>
      </c>
      <c r="BE158">
        <f t="shared" si="35"/>
        <v>9.8168576220000006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-5.02014E-2</v>
      </c>
      <c r="H159" s="21">
        <v>46.9056</v>
      </c>
      <c r="I159" s="21">
        <v>-3.5507200000000003E-2</v>
      </c>
      <c r="J159" s="21">
        <v>149</v>
      </c>
      <c r="K159" s="21">
        <v>-5.13611E-2</v>
      </c>
      <c r="L159">
        <f t="shared" si="24"/>
        <v>35.507200000000005</v>
      </c>
      <c r="M159">
        <f t="shared" si="25"/>
        <v>-1.7825111500800002</v>
      </c>
      <c r="N159" s="9"/>
      <c r="O159" s="21">
        <v>0.65032999999999996</v>
      </c>
      <c r="P159" s="21">
        <v>80.083799999999997</v>
      </c>
      <c r="Q159" s="21">
        <v>-1.3327E-2</v>
      </c>
      <c r="R159" s="21">
        <v>149</v>
      </c>
      <c r="S159" s="21">
        <v>0.64938399999999996</v>
      </c>
      <c r="T159">
        <f t="shared" si="26"/>
        <v>13.327</v>
      </c>
      <c r="U159">
        <f t="shared" si="27"/>
        <v>8.6669479099999993</v>
      </c>
      <c r="X159" s="9"/>
      <c r="Y159" s="21">
        <v>-5.02014E-2</v>
      </c>
      <c r="Z159" s="21">
        <v>83.332400000000007</v>
      </c>
      <c r="AA159" s="21">
        <v>-3.5568200000000001E-2</v>
      </c>
      <c r="AB159" s="21">
        <v>149</v>
      </c>
      <c r="AC159" s="21">
        <v>-5.1330599999999997E-2</v>
      </c>
      <c r="AD159">
        <f t="shared" si="28"/>
        <v>35.568200000000004</v>
      </c>
      <c r="AE159">
        <f t="shared" si="29"/>
        <v>-1.7855734354800001</v>
      </c>
      <c r="AF159" s="9"/>
      <c r="AG159" s="21">
        <v>0.65032999999999996</v>
      </c>
      <c r="AH159" s="21">
        <v>86.310900000000004</v>
      </c>
      <c r="AI159" s="21">
        <v>-1.3384999999999999E-2</v>
      </c>
      <c r="AJ159" s="21">
        <v>149</v>
      </c>
      <c r="AK159" s="21">
        <v>0.64938399999999996</v>
      </c>
      <c r="AL159">
        <f t="shared" si="30"/>
        <v>13.385</v>
      </c>
      <c r="AM159">
        <f t="shared" si="31"/>
        <v>8.7046670499999994</v>
      </c>
      <c r="AP159" s="9"/>
      <c r="AQ159" s="21">
        <v>-5.02014E-2</v>
      </c>
      <c r="AR159" s="21">
        <v>89.046499999999995</v>
      </c>
      <c r="AS159" s="21">
        <v>-3.5580399999999998E-2</v>
      </c>
      <c r="AT159" s="21">
        <v>149</v>
      </c>
      <c r="AU159" s="21">
        <v>-5.1299999999999998E-2</v>
      </c>
      <c r="AV159">
        <f t="shared" si="32"/>
        <v>35.580399999999997</v>
      </c>
      <c r="AW159">
        <f t="shared" si="33"/>
        <v>-1.7861858925599998</v>
      </c>
      <c r="AX159" s="9"/>
      <c r="AY159" s="21">
        <v>0.65032999999999996</v>
      </c>
      <c r="AZ159" s="21">
        <v>91.817099999999996</v>
      </c>
      <c r="BA159" s="21">
        <v>-1.33942E-2</v>
      </c>
      <c r="BB159" s="21">
        <v>149</v>
      </c>
      <c r="BC159" s="21">
        <v>0.64938399999999996</v>
      </c>
      <c r="BD159">
        <f t="shared" si="34"/>
        <v>13.3942</v>
      </c>
      <c r="BE159">
        <f t="shared" si="35"/>
        <v>8.7106500859999993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-5.5236800000000003E-2</v>
      </c>
      <c r="H160" s="21">
        <v>46.915700000000001</v>
      </c>
      <c r="I160" s="21">
        <v>-3.5494999999999999E-2</v>
      </c>
      <c r="J160" s="21">
        <v>150</v>
      </c>
      <c r="K160" s="21">
        <v>-5.6426999999999998E-2</v>
      </c>
      <c r="L160">
        <f t="shared" si="24"/>
        <v>35.494999999999997</v>
      </c>
      <c r="M160">
        <f t="shared" si="25"/>
        <v>-1.960630216</v>
      </c>
      <c r="N160" s="9"/>
      <c r="O160" s="21">
        <v>0.65536499999999998</v>
      </c>
      <c r="P160" s="21">
        <v>80.093800000000002</v>
      </c>
      <c r="Q160" s="21">
        <v>-1.13831E-2</v>
      </c>
      <c r="R160" s="21">
        <v>150</v>
      </c>
      <c r="S160" s="21">
        <v>0.65447999999999995</v>
      </c>
      <c r="T160">
        <f t="shared" si="26"/>
        <v>11.383100000000001</v>
      </c>
      <c r="U160">
        <f t="shared" si="27"/>
        <v>7.4600853315000002</v>
      </c>
      <c r="X160" s="9"/>
      <c r="Y160" s="21">
        <v>-5.5236800000000003E-2</v>
      </c>
      <c r="Z160" s="21">
        <v>83.342399999999998</v>
      </c>
      <c r="AA160" s="21">
        <v>-3.5553000000000001E-2</v>
      </c>
      <c r="AB160" s="21">
        <v>150</v>
      </c>
      <c r="AC160" s="21">
        <v>-5.6304899999999998E-2</v>
      </c>
      <c r="AD160">
        <f t="shared" si="28"/>
        <v>35.553000000000004</v>
      </c>
      <c r="AE160">
        <f t="shared" si="29"/>
        <v>-1.9638339504000004</v>
      </c>
      <c r="AF160" s="9"/>
      <c r="AG160" s="21">
        <v>0.65536499999999998</v>
      </c>
      <c r="AH160" s="21">
        <v>86.320999999999998</v>
      </c>
      <c r="AI160" s="21">
        <v>-1.1450200000000001E-2</v>
      </c>
      <c r="AJ160" s="21">
        <v>150</v>
      </c>
      <c r="AK160" s="21">
        <v>0.65444899999999995</v>
      </c>
      <c r="AL160">
        <f t="shared" si="30"/>
        <v>11.450200000000001</v>
      </c>
      <c r="AM160">
        <f t="shared" si="31"/>
        <v>7.504060323</v>
      </c>
      <c r="AP160" s="9"/>
      <c r="AQ160" s="21">
        <v>-5.5236800000000003E-2</v>
      </c>
      <c r="AR160" s="21">
        <v>89.056600000000003</v>
      </c>
      <c r="AS160" s="21">
        <v>-3.5562099999999999E-2</v>
      </c>
      <c r="AT160" s="21">
        <v>150</v>
      </c>
      <c r="AU160" s="21">
        <v>-5.6396500000000002E-2</v>
      </c>
      <c r="AV160">
        <f t="shared" si="32"/>
        <v>35.562100000000001</v>
      </c>
      <c r="AW160">
        <f t="shared" si="33"/>
        <v>-1.9643366052800002</v>
      </c>
      <c r="AX160" s="9"/>
      <c r="AY160" s="21">
        <v>0.65536499999999998</v>
      </c>
      <c r="AZ160" s="21">
        <v>91.827100000000002</v>
      </c>
      <c r="BA160" s="21">
        <v>-1.14594E-2</v>
      </c>
      <c r="BB160" s="21">
        <v>150</v>
      </c>
      <c r="BC160" s="21">
        <v>0.65447999999999995</v>
      </c>
      <c r="BD160">
        <f t="shared" si="34"/>
        <v>11.4594</v>
      </c>
      <c r="BE160">
        <f t="shared" si="35"/>
        <v>7.5100896810000002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-6.0272199999999998E-2</v>
      </c>
      <c r="H161" s="21">
        <v>46.925800000000002</v>
      </c>
      <c r="I161" s="21">
        <v>-3.5488899999999997E-2</v>
      </c>
      <c r="J161" s="21">
        <v>151</v>
      </c>
      <c r="K161" s="21">
        <v>-6.1370800000000003E-2</v>
      </c>
      <c r="L161">
        <f t="shared" si="24"/>
        <v>35.488899999999994</v>
      </c>
      <c r="M161">
        <f t="shared" si="25"/>
        <v>-2.1389940785799997</v>
      </c>
      <c r="N161" s="9"/>
      <c r="O161" s="21">
        <v>0.66039999999999999</v>
      </c>
      <c r="P161" s="21">
        <v>80.103899999999996</v>
      </c>
      <c r="Q161" s="21">
        <v>-9.3536399999999999E-3</v>
      </c>
      <c r="R161" s="21">
        <v>151</v>
      </c>
      <c r="S161" s="21">
        <v>0.65951499999999996</v>
      </c>
      <c r="T161">
        <f t="shared" si="26"/>
        <v>9.3536400000000004</v>
      </c>
      <c r="U161">
        <f t="shared" si="27"/>
        <v>6.1771438559999998</v>
      </c>
      <c r="X161" s="9"/>
      <c r="Y161" s="21">
        <v>-6.0272199999999998E-2</v>
      </c>
      <c r="Z161" s="21">
        <v>83.352500000000006</v>
      </c>
      <c r="AA161" s="21">
        <v>-3.55438E-2</v>
      </c>
      <c r="AB161" s="21">
        <v>151</v>
      </c>
      <c r="AC161" s="21">
        <v>-6.1370800000000003E-2</v>
      </c>
      <c r="AD161">
        <f t="shared" si="28"/>
        <v>35.543799999999997</v>
      </c>
      <c r="AE161">
        <f t="shared" si="29"/>
        <v>-2.1423030223599997</v>
      </c>
      <c r="AF161" s="9"/>
      <c r="AG161" s="21">
        <v>0.66039999999999999</v>
      </c>
      <c r="AH161" s="21">
        <v>86.331100000000006</v>
      </c>
      <c r="AI161" s="21">
        <v>-9.3841600000000008E-3</v>
      </c>
      <c r="AJ161" s="21">
        <v>151</v>
      </c>
      <c r="AK161" s="21">
        <v>0.65954599999999997</v>
      </c>
      <c r="AL161">
        <f t="shared" si="30"/>
        <v>9.3841600000000014</v>
      </c>
      <c r="AM161">
        <f t="shared" si="31"/>
        <v>6.1972992640000006</v>
      </c>
      <c r="AP161" s="9"/>
      <c r="AQ161" s="21">
        <v>-6.0272199999999998E-2</v>
      </c>
      <c r="AR161" s="21">
        <v>89.066599999999994</v>
      </c>
      <c r="AS161" s="21">
        <v>-3.55713E-2</v>
      </c>
      <c r="AT161" s="21">
        <v>151</v>
      </c>
      <c r="AU161" s="21">
        <v>-6.1370800000000003E-2</v>
      </c>
      <c r="AV161">
        <f t="shared" si="32"/>
        <v>35.571300000000001</v>
      </c>
      <c r="AW161">
        <f t="shared" si="33"/>
        <v>-2.1439605078600001</v>
      </c>
      <c r="AX161" s="9"/>
      <c r="AY161" s="21">
        <v>0.66039999999999999</v>
      </c>
      <c r="AZ161" s="21">
        <v>91.837199999999996</v>
      </c>
      <c r="BA161" s="21">
        <v>-9.4024699999999996E-3</v>
      </c>
      <c r="BB161" s="21">
        <v>151</v>
      </c>
      <c r="BC161" s="21">
        <v>0.65960700000000005</v>
      </c>
      <c r="BD161">
        <f t="shared" si="34"/>
        <v>9.4024699999999992</v>
      </c>
      <c r="BE161">
        <f t="shared" si="35"/>
        <v>6.2093911879999997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-6.5307599999999993E-2</v>
      </c>
      <c r="H162" s="21">
        <v>46.935899999999997</v>
      </c>
      <c r="I162" s="21">
        <v>-3.54767E-2</v>
      </c>
      <c r="J162" s="21">
        <v>152</v>
      </c>
      <c r="K162" s="21">
        <v>-6.6436800000000004E-2</v>
      </c>
      <c r="L162">
        <f t="shared" si="24"/>
        <v>35.476700000000001</v>
      </c>
      <c r="M162">
        <f t="shared" si="25"/>
        <v>-2.31689813292</v>
      </c>
      <c r="N162" s="9"/>
      <c r="O162" s="21">
        <v>0.66543600000000003</v>
      </c>
      <c r="P162" s="21">
        <v>80.114000000000004</v>
      </c>
      <c r="Q162" s="21">
        <v>-7.1990999999999999E-3</v>
      </c>
      <c r="R162" s="21">
        <v>152</v>
      </c>
      <c r="S162" s="21">
        <v>0.66464199999999996</v>
      </c>
      <c r="T162">
        <f t="shared" si="26"/>
        <v>7.1990999999999996</v>
      </c>
      <c r="U162">
        <f t="shared" si="27"/>
        <v>4.7905403075999997</v>
      </c>
      <c r="X162" s="9"/>
      <c r="Y162" s="21">
        <v>-6.5307599999999993E-2</v>
      </c>
      <c r="Z162" s="21">
        <v>83.3626</v>
      </c>
      <c r="AA162" s="21">
        <v>-3.5553000000000001E-2</v>
      </c>
      <c r="AB162" s="21">
        <v>152</v>
      </c>
      <c r="AC162" s="21">
        <v>-6.6406300000000001E-2</v>
      </c>
      <c r="AD162">
        <f t="shared" si="28"/>
        <v>35.553000000000004</v>
      </c>
      <c r="AE162">
        <f t="shared" si="29"/>
        <v>-2.3218811027999999</v>
      </c>
      <c r="AF162" s="9"/>
      <c r="AG162" s="21">
        <v>0.66543600000000003</v>
      </c>
      <c r="AH162" s="21">
        <v>86.341099999999997</v>
      </c>
      <c r="AI162" s="21">
        <v>-7.22961E-3</v>
      </c>
      <c r="AJ162" s="21">
        <v>152</v>
      </c>
      <c r="AK162" s="21">
        <v>0.66461199999999998</v>
      </c>
      <c r="AL162">
        <f t="shared" si="30"/>
        <v>7.2296100000000001</v>
      </c>
      <c r="AM162">
        <f t="shared" si="31"/>
        <v>4.8108427599599999</v>
      </c>
      <c r="AP162" s="9"/>
      <c r="AQ162" s="21">
        <v>-6.5307599999999993E-2</v>
      </c>
      <c r="AR162" s="21">
        <v>89.076700000000002</v>
      </c>
      <c r="AS162" s="21">
        <v>-3.5577400000000002E-2</v>
      </c>
      <c r="AT162" s="21">
        <v>152</v>
      </c>
      <c r="AU162" s="21">
        <v>-6.6314700000000004E-2</v>
      </c>
      <c r="AV162">
        <f t="shared" si="32"/>
        <v>35.577400000000004</v>
      </c>
      <c r="AW162">
        <f t="shared" si="33"/>
        <v>-2.3234746082400002</v>
      </c>
      <c r="AX162" s="9"/>
      <c r="AY162" s="21">
        <v>0.66543600000000003</v>
      </c>
      <c r="AZ162" s="21">
        <v>91.847300000000004</v>
      </c>
      <c r="BA162" s="21">
        <v>-7.2326700000000001E-3</v>
      </c>
      <c r="BB162" s="21">
        <v>152</v>
      </c>
      <c r="BC162" s="21">
        <v>0.66464199999999996</v>
      </c>
      <c r="BD162">
        <f t="shared" si="34"/>
        <v>7.2326699999999997</v>
      </c>
      <c r="BE162">
        <f t="shared" si="35"/>
        <v>4.8128789941200001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-7.0343000000000003E-2</v>
      </c>
      <c r="H163" s="21">
        <v>46.945900000000002</v>
      </c>
      <c r="I163" s="21">
        <v>-3.5473600000000001E-2</v>
      </c>
      <c r="J163" s="21">
        <v>153</v>
      </c>
      <c r="K163" s="21">
        <v>-7.14722E-2</v>
      </c>
      <c r="L163">
        <f t="shared" si="24"/>
        <v>35.473599999999998</v>
      </c>
      <c r="M163">
        <f t="shared" si="25"/>
        <v>-2.4953194447999998</v>
      </c>
      <c r="N163" s="9"/>
      <c r="O163" s="21">
        <v>0.67047100000000004</v>
      </c>
      <c r="P163" s="21">
        <v>80.124099999999999</v>
      </c>
      <c r="Q163" s="21">
        <v>-4.9377400000000004E-3</v>
      </c>
      <c r="R163" s="21">
        <v>153</v>
      </c>
      <c r="S163" s="21">
        <v>0.66964699999999999</v>
      </c>
      <c r="T163">
        <f t="shared" si="26"/>
        <v>4.9377400000000007</v>
      </c>
      <c r="U163">
        <f t="shared" si="27"/>
        <v>3.3106114755400005</v>
      </c>
      <c r="X163" s="9"/>
      <c r="Y163" s="21">
        <v>-7.0343000000000003E-2</v>
      </c>
      <c r="Z163" s="21">
        <v>83.372600000000006</v>
      </c>
      <c r="AA163" s="21">
        <v>-3.5546899999999999E-2</v>
      </c>
      <c r="AB163" s="21">
        <v>153</v>
      </c>
      <c r="AC163" s="21">
        <v>-7.1563699999999994E-2</v>
      </c>
      <c r="AD163">
        <f t="shared" si="28"/>
        <v>35.546900000000001</v>
      </c>
      <c r="AE163">
        <f t="shared" si="29"/>
        <v>-2.5004755867000004</v>
      </c>
      <c r="AF163" s="9"/>
      <c r="AG163" s="21">
        <v>0.67047100000000004</v>
      </c>
      <c r="AH163" s="21">
        <v>86.351200000000006</v>
      </c>
      <c r="AI163" s="21">
        <v>-4.9527E-3</v>
      </c>
      <c r="AJ163" s="21">
        <v>153</v>
      </c>
      <c r="AK163" s="21">
        <v>0.66961700000000002</v>
      </c>
      <c r="AL163">
        <f t="shared" si="30"/>
        <v>4.9527000000000001</v>
      </c>
      <c r="AM163">
        <f t="shared" si="31"/>
        <v>3.3206417217000004</v>
      </c>
      <c r="AP163" s="9"/>
      <c r="AQ163" s="21">
        <v>-7.0343000000000003E-2</v>
      </c>
      <c r="AR163" s="21">
        <v>89.086799999999997</v>
      </c>
      <c r="AS163" s="21">
        <v>-3.5574300000000003E-2</v>
      </c>
      <c r="AT163" s="21">
        <v>153</v>
      </c>
      <c r="AU163" s="21">
        <v>-7.1502700000000002E-2</v>
      </c>
      <c r="AV163">
        <f t="shared" si="32"/>
        <v>35.574300000000001</v>
      </c>
      <c r="AW163">
        <f t="shared" si="33"/>
        <v>-2.5024029849000002</v>
      </c>
      <c r="AX163" s="9"/>
      <c r="AY163" s="21">
        <v>0.67047100000000004</v>
      </c>
      <c r="AZ163" s="21">
        <v>91.857399999999998</v>
      </c>
      <c r="BA163" s="21">
        <v>-4.9502599999999997E-3</v>
      </c>
      <c r="BB163" s="21">
        <v>153</v>
      </c>
      <c r="BC163" s="21">
        <v>0.669678</v>
      </c>
      <c r="BD163">
        <f t="shared" si="34"/>
        <v>4.9502600000000001</v>
      </c>
      <c r="BE163">
        <f t="shared" si="35"/>
        <v>3.3190057724600002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-7.5378399999999998E-2</v>
      </c>
      <c r="H164" s="21">
        <v>46.956000000000003</v>
      </c>
      <c r="I164" s="21">
        <v>-3.5488899999999997E-2</v>
      </c>
      <c r="J164" s="21">
        <v>154</v>
      </c>
      <c r="K164" s="21">
        <v>-7.6507599999999995E-2</v>
      </c>
      <c r="L164">
        <f t="shared" si="24"/>
        <v>35.488899999999994</v>
      </c>
      <c r="M164">
        <f t="shared" si="25"/>
        <v>-2.6750964997599995</v>
      </c>
      <c r="N164" s="9"/>
      <c r="O164" s="21">
        <v>0.67550699999999997</v>
      </c>
      <c r="P164" s="21">
        <v>80.134100000000004</v>
      </c>
      <c r="Q164" s="21">
        <v>-2.5448599999999999E-3</v>
      </c>
      <c r="R164" s="21">
        <v>154</v>
      </c>
      <c r="S164" s="21">
        <v>0.67477399999999998</v>
      </c>
      <c r="T164">
        <f t="shared" si="26"/>
        <v>2.5448599999999999</v>
      </c>
      <c r="U164">
        <f t="shared" si="27"/>
        <v>1.7190707440199999</v>
      </c>
      <c r="X164" s="9"/>
      <c r="Y164" s="21">
        <v>-7.5378399999999998E-2</v>
      </c>
      <c r="Z164" s="21">
        <v>83.3827</v>
      </c>
      <c r="AA164" s="21">
        <v>-3.55438E-2</v>
      </c>
      <c r="AB164" s="21">
        <v>154</v>
      </c>
      <c r="AC164" s="21">
        <v>-7.6507599999999995E-2</v>
      </c>
      <c r="AD164">
        <f t="shared" si="28"/>
        <v>35.543799999999997</v>
      </c>
      <c r="AE164">
        <f t="shared" si="29"/>
        <v>-2.6792347739199998</v>
      </c>
      <c r="AF164" s="9"/>
      <c r="AG164" s="21">
        <v>0.67550699999999997</v>
      </c>
      <c r="AH164" s="21">
        <v>86.3613</v>
      </c>
      <c r="AI164" s="21">
        <v>-2.5573700000000002E-3</v>
      </c>
      <c r="AJ164" s="21">
        <v>154</v>
      </c>
      <c r="AK164" s="21">
        <v>0.67480499999999999</v>
      </c>
      <c r="AL164">
        <f t="shared" si="30"/>
        <v>2.5573700000000001</v>
      </c>
      <c r="AM164">
        <f t="shared" si="31"/>
        <v>1.72752133659</v>
      </c>
      <c r="AP164" s="9"/>
      <c r="AQ164" s="21">
        <v>-7.5378399999999998E-2</v>
      </c>
      <c r="AR164" s="21">
        <v>89.096900000000005</v>
      </c>
      <c r="AS164" s="21">
        <v>-3.5568200000000001E-2</v>
      </c>
      <c r="AT164" s="21">
        <v>154</v>
      </c>
      <c r="AU164" s="21">
        <v>-7.6568600000000001E-2</v>
      </c>
      <c r="AV164">
        <f t="shared" si="32"/>
        <v>35.568200000000004</v>
      </c>
      <c r="AW164">
        <f t="shared" si="33"/>
        <v>-2.6810740068800003</v>
      </c>
      <c r="AX164" s="9"/>
      <c r="AY164" s="21">
        <v>0.67550699999999997</v>
      </c>
      <c r="AZ164" s="21">
        <v>91.867400000000004</v>
      </c>
      <c r="BA164" s="21">
        <v>-2.53265E-3</v>
      </c>
      <c r="BB164" s="21">
        <v>154</v>
      </c>
      <c r="BC164" s="21">
        <v>0.67474400000000001</v>
      </c>
      <c r="BD164">
        <f t="shared" si="34"/>
        <v>2.5326499999999998</v>
      </c>
      <c r="BE164">
        <f t="shared" si="35"/>
        <v>1.7108228035499997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-8.0413799999999994E-2</v>
      </c>
      <c r="H165" s="21">
        <v>46.966099999999997</v>
      </c>
      <c r="I165" s="21">
        <v>-3.5525500000000002E-2</v>
      </c>
      <c r="J165" s="21">
        <v>155</v>
      </c>
      <c r="K165" s="21">
        <v>-8.1573499999999993E-2</v>
      </c>
      <c r="L165">
        <f t="shared" si="24"/>
        <v>35.525500000000001</v>
      </c>
      <c r="M165">
        <f t="shared" si="25"/>
        <v>-2.8567404518999999</v>
      </c>
      <c r="N165" s="9"/>
      <c r="O165" s="21">
        <v>0.68054199999999998</v>
      </c>
      <c r="P165" s="21">
        <v>80.144199999999998</v>
      </c>
      <c r="Q165" s="24">
        <v>-4.0252700000000002E-5</v>
      </c>
      <c r="R165" s="21">
        <v>155</v>
      </c>
      <c r="S165" s="21">
        <v>0.67984</v>
      </c>
      <c r="T165">
        <f t="shared" si="26"/>
        <v>4.0252700000000002E-2</v>
      </c>
      <c r="U165">
        <f t="shared" si="27"/>
        <v>2.73936529634E-2</v>
      </c>
      <c r="X165" s="9"/>
      <c r="Y165" s="21">
        <v>-8.0413799999999994E-2</v>
      </c>
      <c r="Z165" s="21">
        <v>83.392799999999994</v>
      </c>
      <c r="AA165" s="21">
        <v>-3.5546899999999999E-2</v>
      </c>
      <c r="AB165" s="21">
        <v>155</v>
      </c>
      <c r="AC165" s="21">
        <v>-8.1603999999999996E-2</v>
      </c>
      <c r="AD165">
        <f t="shared" si="28"/>
        <v>35.546900000000001</v>
      </c>
      <c r="AE165">
        <f t="shared" si="29"/>
        <v>-2.8584613072199998</v>
      </c>
      <c r="AF165" s="9"/>
      <c r="AG165" s="21">
        <v>0.68054199999999998</v>
      </c>
      <c r="AH165" s="21">
        <v>86.371399999999994</v>
      </c>
      <c r="AI165" s="24">
        <v>-2.6336700000000001E-5</v>
      </c>
      <c r="AJ165" s="21">
        <v>155</v>
      </c>
      <c r="AK165" s="21">
        <v>0.67981000000000003</v>
      </c>
      <c r="AL165">
        <f t="shared" si="30"/>
        <v>2.6336700000000001E-2</v>
      </c>
      <c r="AM165">
        <f t="shared" si="31"/>
        <v>1.7923230491399999E-2</v>
      </c>
      <c r="AP165" s="9"/>
      <c r="AQ165" s="21">
        <v>-8.0413799999999994E-2</v>
      </c>
      <c r="AR165" s="21">
        <v>89.106899999999996</v>
      </c>
      <c r="AS165" s="21">
        <v>-3.5559100000000003E-2</v>
      </c>
      <c r="AT165" s="21">
        <v>155</v>
      </c>
      <c r="AU165" s="21">
        <v>-8.1512500000000002E-2</v>
      </c>
      <c r="AV165">
        <f t="shared" si="32"/>
        <v>35.559100000000001</v>
      </c>
      <c r="AW165">
        <f t="shared" si="33"/>
        <v>-2.8594423555799997</v>
      </c>
      <c r="AX165" s="9"/>
      <c r="AY165" s="21">
        <v>0.68054199999999998</v>
      </c>
      <c r="AZ165" s="21">
        <v>91.877499999999998</v>
      </c>
      <c r="BA165" s="24">
        <v>1.37329E-6</v>
      </c>
      <c r="BB165" s="21">
        <v>155</v>
      </c>
      <c r="BC165" s="21">
        <v>0.67981000000000003</v>
      </c>
      <c r="BD165">
        <f t="shared" si="34"/>
        <v>-1.3732899999999999E-3</v>
      </c>
      <c r="BE165">
        <f t="shared" si="35"/>
        <v>-9.3458152317999984E-4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-8.5449200000000003E-2</v>
      </c>
      <c r="H166" s="21">
        <v>46.976100000000002</v>
      </c>
      <c r="I166" s="21">
        <v>-3.5534700000000002E-2</v>
      </c>
      <c r="J166" s="21">
        <v>156</v>
      </c>
      <c r="K166" s="21">
        <v>-8.65784E-2</v>
      </c>
      <c r="L166">
        <f t="shared" si="24"/>
        <v>35.534700000000001</v>
      </c>
      <c r="M166">
        <f t="shared" si="25"/>
        <v>-3.0364116872400002</v>
      </c>
      <c r="N166" s="9"/>
      <c r="O166" s="21">
        <v>0.68557699999999999</v>
      </c>
      <c r="P166" s="21">
        <v>80.154300000000006</v>
      </c>
      <c r="Q166" s="21">
        <v>2.59918E-3</v>
      </c>
      <c r="R166" s="21">
        <v>156</v>
      </c>
      <c r="S166" s="21">
        <v>0.68493700000000002</v>
      </c>
      <c r="T166">
        <f t="shared" si="26"/>
        <v>-2.59918</v>
      </c>
      <c r="U166">
        <f t="shared" si="27"/>
        <v>-1.78193802686</v>
      </c>
      <c r="X166" s="9"/>
      <c r="Y166" s="21">
        <v>-8.5449200000000003E-2</v>
      </c>
      <c r="Z166" s="21">
        <v>83.402900000000002</v>
      </c>
      <c r="AA166" s="21">
        <v>-3.5546899999999999E-2</v>
      </c>
      <c r="AB166" s="21">
        <v>156</v>
      </c>
      <c r="AC166" s="21">
        <v>-8.6639400000000005E-2</v>
      </c>
      <c r="AD166">
        <f t="shared" si="28"/>
        <v>35.546900000000001</v>
      </c>
      <c r="AE166">
        <f t="shared" si="29"/>
        <v>-3.03745416748</v>
      </c>
      <c r="AF166" s="9"/>
      <c r="AG166" s="21">
        <v>0.68557699999999999</v>
      </c>
      <c r="AH166" s="21">
        <v>86.381399999999999</v>
      </c>
      <c r="AI166" s="21">
        <v>2.6074200000000001E-3</v>
      </c>
      <c r="AJ166" s="21">
        <v>156</v>
      </c>
      <c r="AK166" s="21">
        <v>0.68493700000000002</v>
      </c>
      <c r="AL166">
        <f t="shared" si="30"/>
        <v>-2.6074199999999998</v>
      </c>
      <c r="AM166">
        <f t="shared" si="31"/>
        <v>-1.7875871813399999</v>
      </c>
      <c r="AP166" s="9"/>
      <c r="AQ166" s="21">
        <v>-8.5449200000000003E-2</v>
      </c>
      <c r="AR166" s="21">
        <v>89.117000000000004</v>
      </c>
      <c r="AS166" s="21">
        <v>-3.5553000000000001E-2</v>
      </c>
      <c r="AT166" s="21">
        <v>156</v>
      </c>
      <c r="AU166" s="21">
        <v>-8.65784E-2</v>
      </c>
      <c r="AV166">
        <f t="shared" si="32"/>
        <v>35.553000000000004</v>
      </c>
      <c r="AW166">
        <f t="shared" si="33"/>
        <v>-3.0379754076000003</v>
      </c>
      <c r="AX166" s="9"/>
      <c r="AY166" s="21">
        <v>0.68557699999999999</v>
      </c>
      <c r="AZ166" s="21">
        <v>91.887600000000006</v>
      </c>
      <c r="BA166" s="21">
        <v>2.6516700000000001E-3</v>
      </c>
      <c r="BB166" s="21">
        <v>156</v>
      </c>
      <c r="BC166" s="21">
        <v>0.68487500000000001</v>
      </c>
      <c r="BD166">
        <f t="shared" si="34"/>
        <v>-2.6516700000000002</v>
      </c>
      <c r="BE166">
        <f t="shared" si="35"/>
        <v>-1.8179239635900002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-9.0484599999999998E-2</v>
      </c>
      <c r="H167" s="21">
        <v>46.986199999999997</v>
      </c>
      <c r="I167" s="21">
        <v>-3.5549900000000002E-2</v>
      </c>
      <c r="J167" s="21">
        <v>157</v>
      </c>
      <c r="K167" s="21">
        <v>-9.1644299999999998E-2</v>
      </c>
      <c r="L167">
        <f t="shared" si="24"/>
        <v>35.549900000000001</v>
      </c>
      <c r="M167">
        <f t="shared" si="25"/>
        <v>-3.2167184815400001</v>
      </c>
      <c r="N167" s="9"/>
      <c r="O167" s="21">
        <v>0.69061300000000003</v>
      </c>
      <c r="P167" s="21">
        <v>80.164299999999997</v>
      </c>
      <c r="Q167" s="21">
        <v>5.3405800000000002E-3</v>
      </c>
      <c r="R167" s="21">
        <v>157</v>
      </c>
      <c r="S167" s="21">
        <v>0.690002</v>
      </c>
      <c r="T167">
        <f t="shared" si="26"/>
        <v>-5.3405800000000001</v>
      </c>
      <c r="U167">
        <f t="shared" si="27"/>
        <v>-3.68827397554</v>
      </c>
      <c r="X167" s="9"/>
      <c r="Y167" s="21">
        <v>-9.0484599999999998E-2</v>
      </c>
      <c r="Z167" s="21">
        <v>83.412899999999993</v>
      </c>
      <c r="AA167" s="21">
        <v>-3.5562099999999999E-2</v>
      </c>
      <c r="AB167" s="21">
        <v>157</v>
      </c>
      <c r="AC167" s="21">
        <v>-9.1644299999999998E-2</v>
      </c>
      <c r="AD167">
        <f t="shared" si="28"/>
        <v>35.562100000000001</v>
      </c>
      <c r="AE167">
        <f t="shared" si="29"/>
        <v>-3.2178223936600001</v>
      </c>
      <c r="AF167" s="9"/>
      <c r="AG167" s="21">
        <v>0.69061300000000003</v>
      </c>
      <c r="AH167" s="21">
        <v>86.391499999999994</v>
      </c>
      <c r="AI167" s="21">
        <v>5.3680400000000001E-3</v>
      </c>
      <c r="AJ167" s="21">
        <v>157</v>
      </c>
      <c r="AK167" s="21">
        <v>0.69003300000000001</v>
      </c>
      <c r="AL167">
        <f t="shared" si="30"/>
        <v>-5.3680399999999997</v>
      </c>
      <c r="AM167">
        <f t="shared" si="31"/>
        <v>-3.7072382085200002</v>
      </c>
      <c r="AP167" s="9"/>
      <c r="AQ167" s="21">
        <v>-9.0484599999999998E-2</v>
      </c>
      <c r="AR167" s="21">
        <v>89.127099999999999</v>
      </c>
      <c r="AS167" s="21">
        <v>-3.5559100000000003E-2</v>
      </c>
      <c r="AT167" s="21">
        <v>157</v>
      </c>
      <c r="AU167" s="21">
        <v>-9.1583300000000006E-2</v>
      </c>
      <c r="AV167">
        <f t="shared" si="32"/>
        <v>35.559100000000001</v>
      </c>
      <c r="AW167">
        <f t="shared" si="33"/>
        <v>-3.2175509398600002</v>
      </c>
      <c r="AX167" s="9"/>
      <c r="AY167" s="21">
        <v>0.69061300000000003</v>
      </c>
      <c r="AZ167" s="21">
        <v>91.897599999999997</v>
      </c>
      <c r="BA167" s="21">
        <v>5.4199199999999999E-3</v>
      </c>
      <c r="BB167" s="21">
        <v>157</v>
      </c>
      <c r="BC167" s="21">
        <v>0.68997200000000003</v>
      </c>
      <c r="BD167">
        <f t="shared" si="34"/>
        <v>-5.4199200000000003</v>
      </c>
      <c r="BE167">
        <f t="shared" si="35"/>
        <v>-3.7430672109600005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-9.5519999999999994E-2</v>
      </c>
      <c r="H168" s="21">
        <v>46.996299999999998</v>
      </c>
      <c r="I168" s="21">
        <v>-3.5553000000000001E-2</v>
      </c>
      <c r="J168" s="21">
        <v>158</v>
      </c>
      <c r="K168" s="21">
        <v>-9.6679699999999993E-2</v>
      </c>
      <c r="L168">
        <f t="shared" si="24"/>
        <v>35.553000000000004</v>
      </c>
      <c r="M168">
        <f t="shared" si="25"/>
        <v>-3.39602256</v>
      </c>
      <c r="N168" s="9"/>
      <c r="O168" s="21">
        <v>0.69564800000000004</v>
      </c>
      <c r="P168" s="21">
        <v>80.174400000000006</v>
      </c>
      <c r="Q168" s="21">
        <v>8.2061800000000004E-3</v>
      </c>
      <c r="R168" s="21">
        <v>158</v>
      </c>
      <c r="S168" s="21">
        <v>0.69516</v>
      </c>
      <c r="T168">
        <f t="shared" si="26"/>
        <v>-8.2061799999999998</v>
      </c>
      <c r="U168">
        <f t="shared" si="27"/>
        <v>-5.7086127046400001</v>
      </c>
      <c r="X168" s="9"/>
      <c r="Y168" s="21">
        <v>-9.5519999999999994E-2</v>
      </c>
      <c r="Z168" s="21">
        <v>83.423000000000002</v>
      </c>
      <c r="AA168" s="21">
        <v>-3.5589599999999999E-2</v>
      </c>
      <c r="AB168" s="21">
        <v>158</v>
      </c>
      <c r="AC168" s="21">
        <v>-9.6649200000000005E-2</v>
      </c>
      <c r="AD168">
        <f t="shared" si="28"/>
        <v>35.589599999999997</v>
      </c>
      <c r="AE168">
        <f t="shared" si="29"/>
        <v>-3.3995185919999997</v>
      </c>
      <c r="AF168" s="9"/>
      <c r="AG168" s="21">
        <v>0.69564800000000004</v>
      </c>
      <c r="AH168" s="21">
        <v>86.401600000000002</v>
      </c>
      <c r="AI168" s="21">
        <v>8.2366899999999996E-3</v>
      </c>
      <c r="AJ168" s="21">
        <v>158</v>
      </c>
      <c r="AK168" s="21">
        <v>0.69509900000000002</v>
      </c>
      <c r="AL168">
        <f t="shared" si="30"/>
        <v>-8.2366899999999994</v>
      </c>
      <c r="AM168">
        <f t="shared" si="31"/>
        <v>-5.7298369251199999</v>
      </c>
      <c r="AP168" s="9"/>
      <c r="AQ168" s="21">
        <v>-9.5519999999999994E-2</v>
      </c>
      <c r="AR168" s="21">
        <v>89.137100000000004</v>
      </c>
      <c r="AS168" s="21">
        <v>-3.55865E-2</v>
      </c>
      <c r="AT168" s="21">
        <v>158</v>
      </c>
      <c r="AU168" s="21">
        <v>-9.6649200000000005E-2</v>
      </c>
      <c r="AV168">
        <f t="shared" si="32"/>
        <v>35.586500000000001</v>
      </c>
      <c r="AW168">
        <f t="shared" si="33"/>
        <v>-3.3992224799999997</v>
      </c>
      <c r="AX168" s="9"/>
      <c r="AY168" s="21">
        <v>0.69564800000000004</v>
      </c>
      <c r="AZ168" s="21">
        <v>91.907700000000006</v>
      </c>
      <c r="BA168" s="21">
        <v>8.3068800000000009E-3</v>
      </c>
      <c r="BB168" s="21">
        <v>158</v>
      </c>
      <c r="BC168" s="21">
        <v>0.69509900000000002</v>
      </c>
      <c r="BD168">
        <f t="shared" si="34"/>
        <v>-8.3068800000000014</v>
      </c>
      <c r="BE168">
        <f t="shared" si="35"/>
        <v>-5.7786644582400015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-0.10055500000000001</v>
      </c>
      <c r="H169" s="21">
        <v>47.006399999999999</v>
      </c>
      <c r="I169" s="21">
        <v>-3.5534700000000002E-2</v>
      </c>
      <c r="J169" s="21">
        <v>159</v>
      </c>
      <c r="K169" s="21">
        <v>-0.101746</v>
      </c>
      <c r="L169">
        <f t="shared" si="24"/>
        <v>35.534700000000001</v>
      </c>
      <c r="M169">
        <f t="shared" si="25"/>
        <v>-3.5731917585000001</v>
      </c>
      <c r="N169" s="9"/>
      <c r="O169" s="21">
        <v>0.70068399999999997</v>
      </c>
      <c r="P169" s="21">
        <v>80.1845</v>
      </c>
      <c r="Q169" s="21">
        <v>1.11786E-2</v>
      </c>
      <c r="R169" s="21">
        <v>159</v>
      </c>
      <c r="S169" s="21">
        <v>0.70022600000000002</v>
      </c>
      <c r="T169">
        <f t="shared" si="26"/>
        <v>-11.178600000000001</v>
      </c>
      <c r="U169">
        <f t="shared" si="27"/>
        <v>-7.8326661624000007</v>
      </c>
      <c r="X169" s="9"/>
      <c r="Y169" s="21">
        <v>-0.10055500000000001</v>
      </c>
      <c r="Z169" s="21">
        <v>83.433099999999996</v>
      </c>
      <c r="AA169" s="21">
        <v>-3.5604900000000002E-2</v>
      </c>
      <c r="AB169" s="21">
        <v>159</v>
      </c>
      <c r="AC169" s="21">
        <v>-0.101715</v>
      </c>
      <c r="AD169">
        <f t="shared" si="28"/>
        <v>35.604900000000001</v>
      </c>
      <c r="AE169">
        <f t="shared" si="29"/>
        <v>-3.5802507195000004</v>
      </c>
      <c r="AF169" s="9"/>
      <c r="AG169" s="21">
        <v>0.70068399999999997</v>
      </c>
      <c r="AH169" s="21">
        <v>86.411600000000007</v>
      </c>
      <c r="AI169" s="21">
        <v>1.1230499999999999E-2</v>
      </c>
      <c r="AJ169" s="21">
        <v>159</v>
      </c>
      <c r="AK169" s="21">
        <v>0.70019500000000001</v>
      </c>
      <c r="AL169">
        <f t="shared" si="30"/>
        <v>-11.230499999999999</v>
      </c>
      <c r="AM169">
        <f t="shared" si="31"/>
        <v>-7.8690316619999994</v>
      </c>
      <c r="AP169" s="9"/>
      <c r="AQ169" s="21">
        <v>-0.10055500000000001</v>
      </c>
      <c r="AR169" s="21">
        <v>89.147199999999998</v>
      </c>
      <c r="AS169" s="21">
        <v>-3.5610999999999997E-2</v>
      </c>
      <c r="AT169" s="21">
        <v>159</v>
      </c>
      <c r="AU169" s="21">
        <v>-0.101685</v>
      </c>
      <c r="AV169">
        <f t="shared" si="32"/>
        <v>35.610999999999997</v>
      </c>
      <c r="AW169">
        <f t="shared" si="33"/>
        <v>-3.5808641049999999</v>
      </c>
      <c r="AX169" s="9"/>
      <c r="AY169" s="21">
        <v>0.70068399999999997</v>
      </c>
      <c r="AZ169" s="21">
        <v>91.9178</v>
      </c>
      <c r="BA169" s="21">
        <v>1.13037E-2</v>
      </c>
      <c r="BB169" s="21">
        <v>159</v>
      </c>
      <c r="BC169" s="21">
        <v>0.70016500000000004</v>
      </c>
      <c r="BD169">
        <f t="shared" si="34"/>
        <v>-11.303699999999999</v>
      </c>
      <c r="BE169">
        <f t="shared" si="35"/>
        <v>-7.9203217307999996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273"/>
  <sheetViews>
    <sheetView topLeftCell="G1" workbookViewId="0">
      <selection activeCell="T11" sqref="T11:U169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333.08348684210301</v>
      </c>
      <c r="H2" s="2"/>
      <c r="I2" s="6" t="s">
        <v>12</v>
      </c>
      <c r="J2" s="2"/>
      <c r="K2" s="7" t="s">
        <v>13</v>
      </c>
      <c r="L2" s="3">
        <f>L4*I6*L9/100*100</f>
        <v>18.274231744799998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0.68945299999999998</v>
      </c>
      <c r="J3" s="2"/>
      <c r="K3" s="10">
        <f>INDEX(L11:L1056,MATCH(I3,K11:K1056,0))</f>
        <v>-7.5897199999999998E-2</v>
      </c>
      <c r="L3" s="26" t="s">
        <v>16</v>
      </c>
      <c r="M3" s="11">
        <f>M9</f>
        <v>18.274231744799998</v>
      </c>
      <c r="N3" s="9"/>
      <c r="O3" s="2" t="s">
        <v>44</v>
      </c>
      <c r="P3" s="2"/>
      <c r="Q3" s="2">
        <f>INDEX(S11:S1056,MATCH(0,T11:T1056,-1))</f>
        <v>0.68493700000000002</v>
      </c>
      <c r="R3" s="2"/>
      <c r="S3" s="10">
        <f>INDEX(T11:T1056,MATCH(Q3,S11:S1056,0))</f>
        <v>2.3931899999999997</v>
      </c>
      <c r="T3" s="26" t="s">
        <v>16</v>
      </c>
      <c r="U3" s="11">
        <f>U9</f>
        <v>18.268160180799999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1.7217309376814642</v>
      </c>
      <c r="H4" s="2"/>
      <c r="I4" s="2">
        <f>INDEX(K11:K1000,1+MATCH(0,L11:L856,1))</f>
        <v>0.68432599999999999</v>
      </c>
      <c r="J4" s="2"/>
      <c r="K4" s="10">
        <f>INDEX(L11:L1056,MATCH(I4,K11:K1056,0))</f>
        <v>2.9019200000000001</v>
      </c>
      <c r="L4" s="25">
        <f>M3/(I6*L9)</f>
        <v>0.76356958818652509</v>
      </c>
      <c r="M4" s="8" t="s">
        <v>17</v>
      </c>
      <c r="N4" s="9"/>
      <c r="O4" s="2">
        <f>ABS(Q3-Q4)/ABS(S3-S4)*1000</f>
        <v>1.6671890263890865</v>
      </c>
      <c r="P4" s="2"/>
      <c r="Q4" s="2">
        <f>INDEX(S11:S856,1+MATCH(0,T11:T856,-1))</f>
        <v>0.69003300000000001</v>
      </c>
      <c r="R4" s="2"/>
      <c r="S4" s="10">
        <f>INDEX(T11:T856,MATCH(Q4,S11:S856,0))</f>
        <v>-0.66345200000000004</v>
      </c>
      <c r="T4" s="25" t="e">
        <f>U3/(Q6*T9)</f>
        <v>#DIV/0!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32.394399999999997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32.348599999999998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0.68932232544267658</v>
      </c>
      <c r="J6" s="25"/>
      <c r="K6" s="2">
        <f>INDEX(K11:K1056,MATCH(L6,L11:L1056,0))</f>
        <v>4.8217800000000003E-3</v>
      </c>
      <c r="L6" s="10">
        <f>INDEX(L11:L1056,MATCH(0,K11:K1056,-1))</f>
        <v>34.704599999999999</v>
      </c>
      <c r="M6" s="8" t="s">
        <v>22</v>
      </c>
      <c r="N6" s="9"/>
      <c r="O6" s="2"/>
      <c r="P6" s="2"/>
      <c r="Q6" s="27">
        <f>(Q3-Q4)/(S3-S4)*(-S4)+Q4</f>
        <v>0.68892690010606417</v>
      </c>
      <c r="R6" s="27"/>
      <c r="S6" s="2">
        <f>INDEX(S11:S1056,MATCH(T6,T11:T1056,0))</f>
        <v>-4.6844499999999997E-3</v>
      </c>
      <c r="T6" s="10">
        <f>INDEX(T11:T1056,MATCH(0,S11:S1056,1))</f>
        <v>34.780899999999995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-2.41089E-4</v>
      </c>
      <c r="L7" s="10">
        <f>INDEX(L11:L856,1+MATCH(0,K11:K856,-1))</f>
        <v>34.719799999999999</v>
      </c>
      <c r="M7" s="12">
        <f>INDEX(K11:K1056,MATCH(M9,M11:M1056,0))</f>
        <v>0.56298800000000004</v>
      </c>
      <c r="N7" s="9"/>
      <c r="O7" s="2"/>
      <c r="P7" s="2"/>
      <c r="Q7" s="2"/>
      <c r="R7" s="2"/>
      <c r="S7" s="2">
        <f>INDEX(S11:S1056,MATCH(T7,T11:T1056,0))</f>
        <v>-4.6844499999999997E-3</v>
      </c>
      <c r="T7" s="10">
        <f>INDEX(T11:T1056,1+MATCH(0,S11:S1056,1))</f>
        <v>34.780899999999995</v>
      </c>
      <c r="U7" s="12">
        <f>INDEX(S11:S1056,MATCH(U9,U11:U1056,0))</f>
        <v>0.56356799999999996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 t="e">
        <f>(MAX(L2,T2)-MIN(L2,T2))/MAX(L2,T2)%</f>
        <v>#DIV/0!</v>
      </c>
      <c r="J9" s="2"/>
      <c r="K9" s="2"/>
      <c r="L9" s="3">
        <f>(L6-L7)/(K6-K7)*(-K7)+L7</f>
        <v>34.719076190476187</v>
      </c>
      <c r="M9" s="15">
        <f>MAX(M11:M1056)</f>
        <v>18.274231744799998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5">
        <f>MAX(U11:U1056)</f>
        <v>18.268160180799999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0.68932232544267658</v>
      </c>
      <c r="B11" s="18">
        <f>IFERROR(L9,0)</f>
        <v>34.719076190476187</v>
      </c>
      <c r="C11" s="19">
        <f>IFERROR(L4,0)</f>
        <v>0.76356958818652509</v>
      </c>
      <c r="D11" s="20">
        <f>IFERROR(L2,0)</f>
        <v>18.274231744799998</v>
      </c>
      <c r="E11" s="20">
        <f>IFERROR(I9,0)</f>
        <v>0</v>
      </c>
      <c r="F11" s="9"/>
      <c r="G11" s="21">
        <v>0.69503800000000004</v>
      </c>
      <c r="H11" s="21">
        <v>11.0595</v>
      </c>
      <c r="I11" s="21">
        <v>3.3258099999999998E-3</v>
      </c>
      <c r="J11" s="21">
        <v>1</v>
      </c>
      <c r="K11" s="21">
        <v>0.69457999999999998</v>
      </c>
      <c r="L11">
        <f>-I11/$F$2*1000</f>
        <v>-3.3258099999999997</v>
      </c>
      <c r="M11">
        <f>L11*G11</f>
        <v>-2.31156433078</v>
      </c>
      <c r="N11" s="9"/>
      <c r="O11" s="21">
        <v>-9.49097E-2</v>
      </c>
      <c r="P11" s="21">
        <v>14.8451</v>
      </c>
      <c r="Q11" s="21">
        <v>-3.4823600000000003E-2</v>
      </c>
      <c r="R11" s="21">
        <v>1</v>
      </c>
      <c r="S11" s="21">
        <v>-9.5886200000000005E-2</v>
      </c>
      <c r="T11">
        <f>-Q11/$F$2*1000</f>
        <v>34.823600000000006</v>
      </c>
      <c r="U11">
        <f>T11*O11</f>
        <v>-3.3050974289200004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0.68892690010606417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>
        <v>0.690002</v>
      </c>
      <c r="H12" s="21">
        <v>11.069599999999999</v>
      </c>
      <c r="I12" s="24">
        <v>7.5897199999999996E-5</v>
      </c>
      <c r="J12" s="21">
        <v>2</v>
      </c>
      <c r="K12" s="21">
        <v>0.68945299999999998</v>
      </c>
      <c r="L12">
        <f t="shared" ref="L12:L75" si="0">-I12/$F$2*1000</f>
        <v>-7.5897199999999998E-2</v>
      </c>
      <c r="M12">
        <f t="shared" ref="M12:M75" si="1">L12*G12</f>
        <v>-5.2369219794399999E-2</v>
      </c>
      <c r="N12" s="9"/>
      <c r="O12" s="21">
        <v>-8.9874300000000004E-2</v>
      </c>
      <c r="P12" s="21">
        <v>14.8552</v>
      </c>
      <c r="Q12" s="21">
        <v>-3.4838899999999999E-2</v>
      </c>
      <c r="R12" s="21">
        <v>2</v>
      </c>
      <c r="S12" s="21">
        <v>-9.0850799999999995E-2</v>
      </c>
      <c r="T12">
        <f t="shared" ref="T12:T75" si="2">-Q12/$F$2*1000</f>
        <v>34.838900000000002</v>
      </c>
      <c r="U12">
        <f t="shared" ref="U12:U75" si="3">T12*O12</f>
        <v>-3.1311217502700002</v>
      </c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>
        <v>0.68496699999999999</v>
      </c>
      <c r="H13" s="21">
        <v>11.079599999999999</v>
      </c>
      <c r="I13" s="21">
        <v>-2.9019200000000001E-3</v>
      </c>
      <c r="J13" s="21">
        <v>3</v>
      </c>
      <c r="K13" s="21">
        <v>0.68432599999999999</v>
      </c>
      <c r="L13">
        <f t="shared" si="0"/>
        <v>2.9019200000000001</v>
      </c>
      <c r="M13">
        <f t="shared" si="1"/>
        <v>1.9877194366399999</v>
      </c>
      <c r="N13" s="9"/>
      <c r="O13" s="21">
        <v>-8.4838899999999995E-2</v>
      </c>
      <c r="P13" s="21">
        <v>14.8652</v>
      </c>
      <c r="Q13" s="21">
        <v>-3.4851100000000003E-2</v>
      </c>
      <c r="R13" s="21">
        <v>3</v>
      </c>
      <c r="S13" s="21">
        <v>-8.59375E-2</v>
      </c>
      <c r="T13">
        <f t="shared" si="2"/>
        <v>34.851100000000002</v>
      </c>
      <c r="U13">
        <f t="shared" si="3"/>
        <v>-2.95672898779</v>
      </c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0.67993199999999998</v>
      </c>
      <c r="H14" s="21">
        <v>11.089700000000001</v>
      </c>
      <c r="I14" s="21">
        <v>-5.7464600000000001E-3</v>
      </c>
      <c r="J14" s="21">
        <v>4</v>
      </c>
      <c r="K14" s="21">
        <v>0.67925999999999997</v>
      </c>
      <c r="L14">
        <f t="shared" si="0"/>
        <v>5.7464599999999999</v>
      </c>
      <c r="M14">
        <f t="shared" si="1"/>
        <v>3.9072020407199997</v>
      </c>
      <c r="N14" s="9"/>
      <c r="O14" s="21">
        <v>-7.9803499999999999E-2</v>
      </c>
      <c r="P14" s="21">
        <v>14.875299999999999</v>
      </c>
      <c r="Q14" s="21">
        <v>-3.4847999999999997E-2</v>
      </c>
      <c r="R14" s="21">
        <v>4</v>
      </c>
      <c r="S14" s="21">
        <v>-8.0780000000000005E-2</v>
      </c>
      <c r="T14">
        <f t="shared" si="2"/>
        <v>34.847999999999999</v>
      </c>
      <c r="U14">
        <f t="shared" si="3"/>
        <v>-2.7809923679999997</v>
      </c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>
        <v>0.67489600000000005</v>
      </c>
      <c r="H15" s="21">
        <v>11.0998</v>
      </c>
      <c r="I15" s="21">
        <v>-8.3282500000000006E-3</v>
      </c>
      <c r="J15" s="21">
        <v>5</v>
      </c>
      <c r="K15" s="21">
        <v>0.67413299999999998</v>
      </c>
      <c r="L15">
        <f t="shared" si="0"/>
        <v>8.3282500000000006</v>
      </c>
      <c r="M15">
        <f t="shared" si="1"/>
        <v>5.6207026120000005</v>
      </c>
      <c r="N15" s="9"/>
      <c r="O15" s="21">
        <v>-7.4768100000000004E-2</v>
      </c>
      <c r="P15" s="21">
        <v>14.885400000000001</v>
      </c>
      <c r="Q15" s="21">
        <v>-3.4838899999999999E-2</v>
      </c>
      <c r="R15" s="21">
        <v>5</v>
      </c>
      <c r="S15" s="21">
        <v>-7.5775099999999998E-2</v>
      </c>
      <c r="T15">
        <f t="shared" si="2"/>
        <v>34.838900000000002</v>
      </c>
      <c r="U15">
        <f t="shared" si="3"/>
        <v>-2.6048383590900004</v>
      </c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>
        <v>0.66986100000000004</v>
      </c>
      <c r="H16" s="21">
        <v>11.1099</v>
      </c>
      <c r="I16" s="21">
        <v>-1.07788E-2</v>
      </c>
      <c r="J16" s="21">
        <v>6</v>
      </c>
      <c r="K16" s="21">
        <v>0.66909799999999997</v>
      </c>
      <c r="L16">
        <f t="shared" si="0"/>
        <v>10.7788</v>
      </c>
      <c r="M16">
        <f t="shared" si="1"/>
        <v>7.2202977468000009</v>
      </c>
      <c r="N16" s="9"/>
      <c r="O16" s="21">
        <v>-6.9732699999999995E-2</v>
      </c>
      <c r="P16" s="21">
        <v>14.8954</v>
      </c>
      <c r="Q16" s="21">
        <v>-3.4841900000000002E-2</v>
      </c>
      <c r="R16" s="21">
        <v>6</v>
      </c>
      <c r="S16" s="21">
        <v>-7.07092E-2</v>
      </c>
      <c r="T16">
        <f t="shared" si="2"/>
        <v>34.841900000000003</v>
      </c>
      <c r="U16">
        <f t="shared" si="3"/>
        <v>-2.42961976013</v>
      </c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0.664825</v>
      </c>
      <c r="H17" s="21">
        <v>11.119899999999999</v>
      </c>
      <c r="I17" s="21">
        <v>-1.2988299999999999E-2</v>
      </c>
      <c r="J17" s="21">
        <v>7</v>
      </c>
      <c r="K17" s="21">
        <v>0.66406299999999996</v>
      </c>
      <c r="L17">
        <f t="shared" si="0"/>
        <v>12.988299999999999</v>
      </c>
      <c r="M17">
        <f t="shared" si="1"/>
        <v>8.6349465474999985</v>
      </c>
      <c r="N17" s="9"/>
      <c r="O17" s="21">
        <v>-6.4697299999999999E-2</v>
      </c>
      <c r="P17" s="21">
        <v>14.9055</v>
      </c>
      <c r="Q17" s="21">
        <v>-3.48206E-2</v>
      </c>
      <c r="R17" s="21">
        <v>7</v>
      </c>
      <c r="S17" s="21">
        <v>-6.5704299999999993E-2</v>
      </c>
      <c r="T17">
        <f t="shared" si="2"/>
        <v>34.820599999999999</v>
      </c>
      <c r="U17">
        <f t="shared" si="3"/>
        <v>-2.2527988043799998</v>
      </c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0.65978999999999999</v>
      </c>
      <c r="H18" s="21">
        <v>11.13</v>
      </c>
      <c r="I18" s="21">
        <v>-1.5081799999999999E-2</v>
      </c>
      <c r="J18" s="21">
        <v>8</v>
      </c>
      <c r="K18" s="21">
        <v>0.65893599999999997</v>
      </c>
      <c r="L18">
        <f t="shared" si="0"/>
        <v>15.081799999999999</v>
      </c>
      <c r="M18">
        <f t="shared" si="1"/>
        <v>9.950820821999999</v>
      </c>
      <c r="N18" s="9"/>
      <c r="O18" s="21">
        <v>-5.9661899999999997E-2</v>
      </c>
      <c r="P18" s="21">
        <v>14.9156</v>
      </c>
      <c r="Q18" s="21">
        <v>-3.4799200000000002E-2</v>
      </c>
      <c r="R18" s="21">
        <v>8</v>
      </c>
      <c r="S18" s="21">
        <v>-6.0699500000000003E-2</v>
      </c>
      <c r="T18">
        <f t="shared" si="2"/>
        <v>34.799199999999999</v>
      </c>
      <c r="U18">
        <f t="shared" si="3"/>
        <v>-2.0761863904799998</v>
      </c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0.65475499999999998</v>
      </c>
      <c r="H19" s="21">
        <v>11.1401</v>
      </c>
      <c r="I19" s="21">
        <v>-1.6952499999999999E-2</v>
      </c>
      <c r="J19" s="21">
        <v>9</v>
      </c>
      <c r="K19" s="21">
        <v>0.65390000000000004</v>
      </c>
      <c r="L19">
        <f t="shared" si="0"/>
        <v>16.952500000000001</v>
      </c>
      <c r="M19">
        <f t="shared" si="1"/>
        <v>11.0997341375</v>
      </c>
      <c r="N19" s="9"/>
      <c r="O19" s="21">
        <v>-5.4626500000000001E-2</v>
      </c>
      <c r="P19" s="21">
        <v>14.925700000000001</v>
      </c>
      <c r="Q19" s="21">
        <v>-3.47687E-2</v>
      </c>
      <c r="R19" s="21">
        <v>9</v>
      </c>
      <c r="S19" s="21">
        <v>-5.5633500000000002E-2</v>
      </c>
      <c r="T19">
        <f t="shared" si="2"/>
        <v>34.768700000000003</v>
      </c>
      <c r="U19">
        <f t="shared" si="3"/>
        <v>-1.8992923905500001</v>
      </c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0.64971900000000005</v>
      </c>
      <c r="H20" s="21">
        <v>11.1501</v>
      </c>
      <c r="I20" s="21">
        <v>-1.8728600000000001E-2</v>
      </c>
      <c r="J20" s="21">
        <v>10</v>
      </c>
      <c r="K20" s="21">
        <v>0.64886500000000003</v>
      </c>
      <c r="L20">
        <f t="shared" si="0"/>
        <v>18.7286</v>
      </c>
      <c r="M20">
        <f t="shared" si="1"/>
        <v>12.1683272634</v>
      </c>
      <c r="N20" s="9"/>
      <c r="O20" s="21">
        <v>-4.9591099999999999E-2</v>
      </c>
      <c r="P20" s="21">
        <v>14.935700000000001</v>
      </c>
      <c r="Q20" s="21">
        <v>-3.4762599999999998E-2</v>
      </c>
      <c r="R20" s="21">
        <v>10</v>
      </c>
      <c r="S20" s="21">
        <v>-5.05981E-2</v>
      </c>
      <c r="T20">
        <f t="shared" si="2"/>
        <v>34.762599999999999</v>
      </c>
      <c r="U20">
        <f t="shared" si="3"/>
        <v>-1.72391557286</v>
      </c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0.64468400000000003</v>
      </c>
      <c r="H21" s="21">
        <v>11.1602</v>
      </c>
      <c r="I21" s="21">
        <v>-2.0318599999999999E-2</v>
      </c>
      <c r="J21" s="21">
        <v>11</v>
      </c>
      <c r="K21" s="21">
        <v>0.64373800000000003</v>
      </c>
      <c r="L21">
        <f t="shared" si="0"/>
        <v>20.3186</v>
      </c>
      <c r="M21">
        <f t="shared" si="1"/>
        <v>13.0990763224</v>
      </c>
      <c r="N21" s="9"/>
      <c r="O21" s="21">
        <v>-4.4555699999999997E-2</v>
      </c>
      <c r="P21" s="21">
        <v>14.9458</v>
      </c>
      <c r="Q21" s="21">
        <v>-3.4762599999999998E-2</v>
      </c>
      <c r="R21" s="21">
        <v>11</v>
      </c>
      <c r="S21" s="21">
        <v>-4.5098899999999997E-2</v>
      </c>
      <c r="T21">
        <f t="shared" si="2"/>
        <v>34.762599999999999</v>
      </c>
      <c r="U21">
        <f t="shared" si="3"/>
        <v>-1.5488719768199999</v>
      </c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0.63964799999999999</v>
      </c>
      <c r="H22" s="21">
        <v>11.170299999999999</v>
      </c>
      <c r="I22" s="21">
        <v>-2.1798700000000001E-2</v>
      </c>
      <c r="J22" s="21">
        <v>12</v>
      </c>
      <c r="K22" s="21">
        <v>0.63867200000000002</v>
      </c>
      <c r="L22">
        <f t="shared" si="0"/>
        <v>21.7987</v>
      </c>
      <c r="M22">
        <f t="shared" si="1"/>
        <v>13.943494857599999</v>
      </c>
      <c r="N22" s="9"/>
      <c r="O22" s="21">
        <v>-3.9520300000000001E-2</v>
      </c>
      <c r="P22" s="21">
        <v>14.9559</v>
      </c>
      <c r="Q22" s="21">
        <v>-3.4753399999999997E-2</v>
      </c>
      <c r="R22" s="21">
        <v>12</v>
      </c>
      <c r="S22" s="21">
        <v>-4.0011600000000001E-2</v>
      </c>
      <c r="T22">
        <f t="shared" si="2"/>
        <v>34.753399999999999</v>
      </c>
      <c r="U22">
        <f t="shared" si="3"/>
        <v>-1.37346479402</v>
      </c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0.63461299999999998</v>
      </c>
      <c r="H23" s="21">
        <v>11.180400000000001</v>
      </c>
      <c r="I23" s="21">
        <v>-2.3104900000000001E-2</v>
      </c>
      <c r="J23" s="21">
        <v>13</v>
      </c>
      <c r="K23" s="21">
        <v>0.63363599999999998</v>
      </c>
      <c r="L23">
        <f t="shared" si="0"/>
        <v>23.104900000000001</v>
      </c>
      <c r="M23">
        <f t="shared" si="1"/>
        <v>14.662669903699999</v>
      </c>
      <c r="N23" s="9"/>
      <c r="O23" s="21">
        <v>-3.4484899999999999E-2</v>
      </c>
      <c r="P23" s="21">
        <v>14.9659</v>
      </c>
      <c r="Q23" s="21">
        <v>-3.47687E-2</v>
      </c>
      <c r="R23" s="21">
        <v>13</v>
      </c>
      <c r="S23" s="21">
        <v>-3.4954800000000001E-2</v>
      </c>
      <c r="T23">
        <f t="shared" si="2"/>
        <v>34.768700000000003</v>
      </c>
      <c r="U23">
        <f t="shared" si="3"/>
        <v>-1.1989951426300001</v>
      </c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0.62957799999999997</v>
      </c>
      <c r="H24" s="21">
        <v>11.1904</v>
      </c>
      <c r="I24" s="21">
        <v>-2.4331700000000001E-2</v>
      </c>
      <c r="J24" s="21">
        <v>14</v>
      </c>
      <c r="K24" s="21">
        <v>0.62860099999999997</v>
      </c>
      <c r="L24">
        <f t="shared" si="0"/>
        <v>24.331700000000001</v>
      </c>
      <c r="M24">
        <f t="shared" si="1"/>
        <v>15.318703022599999</v>
      </c>
      <c r="N24" s="9"/>
      <c r="O24" s="21">
        <v>-2.94495E-2</v>
      </c>
      <c r="P24" s="21">
        <v>14.976000000000001</v>
      </c>
      <c r="Q24" s="21">
        <v>-3.47687E-2</v>
      </c>
      <c r="R24" s="21">
        <v>14</v>
      </c>
      <c r="S24" s="21">
        <v>-2.9989600000000002E-2</v>
      </c>
      <c r="T24">
        <f t="shared" si="2"/>
        <v>34.768700000000003</v>
      </c>
      <c r="U24">
        <f t="shared" si="3"/>
        <v>-1.0239208306500001</v>
      </c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0.62454200000000004</v>
      </c>
      <c r="H25" s="21">
        <v>11.2005</v>
      </c>
      <c r="I25" s="21">
        <v>-2.5424200000000001E-2</v>
      </c>
      <c r="J25" s="21">
        <v>15</v>
      </c>
      <c r="K25" s="21">
        <v>0.62353499999999995</v>
      </c>
      <c r="L25">
        <f t="shared" si="0"/>
        <v>25.424200000000003</v>
      </c>
      <c r="M25">
        <f t="shared" si="1"/>
        <v>15.878480716400002</v>
      </c>
      <c r="N25" s="9"/>
      <c r="O25" s="21">
        <v>-2.4414100000000001E-2</v>
      </c>
      <c r="P25" s="21">
        <v>14.9861</v>
      </c>
      <c r="Q25" s="21">
        <v>-3.4774800000000002E-2</v>
      </c>
      <c r="R25" s="21">
        <v>15</v>
      </c>
      <c r="S25" s="21">
        <v>-2.4877900000000001E-2</v>
      </c>
      <c r="T25">
        <f t="shared" si="2"/>
        <v>34.774799999999999</v>
      </c>
      <c r="U25">
        <f t="shared" si="3"/>
        <v>-0.84899544467999999</v>
      </c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0.61950700000000003</v>
      </c>
      <c r="H26" s="21">
        <v>11.210599999999999</v>
      </c>
      <c r="I26" s="21">
        <v>-2.6431300000000001E-2</v>
      </c>
      <c r="J26" s="21">
        <v>16</v>
      </c>
      <c r="K26" s="21">
        <v>0.61843899999999996</v>
      </c>
      <c r="L26">
        <f t="shared" si="0"/>
        <v>26.4313</v>
      </c>
      <c r="M26">
        <f t="shared" si="1"/>
        <v>16.374375369100001</v>
      </c>
      <c r="N26" s="9"/>
      <c r="O26" s="21">
        <v>-1.9378699999999999E-2</v>
      </c>
      <c r="P26" s="21">
        <v>14.9961</v>
      </c>
      <c r="Q26" s="21">
        <v>-3.47839E-2</v>
      </c>
      <c r="R26" s="21">
        <v>16</v>
      </c>
      <c r="S26" s="21">
        <v>-1.9751000000000001E-2</v>
      </c>
      <c r="T26">
        <f t="shared" si="2"/>
        <v>34.783900000000003</v>
      </c>
      <c r="U26">
        <f t="shared" si="3"/>
        <v>-0.67406676293000001</v>
      </c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0.61447099999999999</v>
      </c>
      <c r="H27" s="21">
        <v>11.220599999999999</v>
      </c>
      <c r="I27" s="21">
        <v>-2.7307100000000001E-2</v>
      </c>
      <c r="J27" s="21">
        <v>17</v>
      </c>
      <c r="K27" s="21">
        <v>0.61343400000000003</v>
      </c>
      <c r="L27">
        <f t="shared" si="0"/>
        <v>27.307100000000002</v>
      </c>
      <c r="M27">
        <f t="shared" si="1"/>
        <v>16.779421044100001</v>
      </c>
      <c r="N27" s="9"/>
      <c r="O27" s="21">
        <v>-1.43433E-2</v>
      </c>
      <c r="P27" s="21">
        <v>15.0062</v>
      </c>
      <c r="Q27" s="21">
        <v>-3.47931E-2</v>
      </c>
      <c r="R27" s="21">
        <v>17</v>
      </c>
      <c r="S27" s="21">
        <v>-1.4782699999999999E-2</v>
      </c>
      <c r="T27">
        <f t="shared" si="2"/>
        <v>34.793100000000003</v>
      </c>
      <c r="U27">
        <f t="shared" si="3"/>
        <v>-0.49904787123000005</v>
      </c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0.60943599999999998</v>
      </c>
      <c r="H28" s="21">
        <v>11.230700000000001</v>
      </c>
      <c r="I28" s="21">
        <v>-2.81158E-2</v>
      </c>
      <c r="J28" s="21">
        <v>18</v>
      </c>
      <c r="K28" s="21">
        <v>0.60833700000000002</v>
      </c>
      <c r="L28">
        <f t="shared" si="0"/>
        <v>28.1158</v>
      </c>
      <c r="M28">
        <f t="shared" si="1"/>
        <v>17.134780688799999</v>
      </c>
      <c r="N28" s="9"/>
      <c r="O28" s="21">
        <v>-9.3078599999999994E-3</v>
      </c>
      <c r="P28" s="21">
        <v>15.016299999999999</v>
      </c>
      <c r="Q28" s="21">
        <v>-3.4790000000000001E-2</v>
      </c>
      <c r="R28" s="21">
        <v>18</v>
      </c>
      <c r="S28" s="21">
        <v>-9.6923800000000004E-3</v>
      </c>
      <c r="T28">
        <f t="shared" si="2"/>
        <v>34.79</v>
      </c>
      <c r="U28">
        <f t="shared" si="3"/>
        <v>-0.32382044939999999</v>
      </c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0.60440099999999997</v>
      </c>
      <c r="H29" s="21">
        <v>11.2408</v>
      </c>
      <c r="I29" s="21">
        <v>-2.8820800000000001E-2</v>
      </c>
      <c r="J29" s="21">
        <v>19</v>
      </c>
      <c r="K29" s="21">
        <v>0.60333300000000001</v>
      </c>
      <c r="L29">
        <f t="shared" si="0"/>
        <v>28.820800000000002</v>
      </c>
      <c r="M29">
        <f t="shared" si="1"/>
        <v>17.419320340799999</v>
      </c>
      <c r="N29" s="9"/>
      <c r="O29" s="21">
        <v>-4.2724599999999996E-3</v>
      </c>
      <c r="P29" s="21">
        <v>15.026400000000001</v>
      </c>
      <c r="Q29" s="21">
        <v>-3.4780899999999997E-2</v>
      </c>
      <c r="R29" s="21">
        <v>19</v>
      </c>
      <c r="S29" s="21">
        <v>-4.6844499999999997E-3</v>
      </c>
      <c r="T29">
        <f t="shared" si="2"/>
        <v>34.780899999999995</v>
      </c>
      <c r="U29">
        <f t="shared" si="3"/>
        <v>-0.14860000401399998</v>
      </c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0.59936500000000004</v>
      </c>
      <c r="H30" s="21">
        <v>11.2508</v>
      </c>
      <c r="I30" s="21">
        <v>-2.94495E-2</v>
      </c>
      <c r="J30" s="21">
        <v>20</v>
      </c>
      <c r="K30" s="21">
        <v>0.59832799999999997</v>
      </c>
      <c r="L30">
        <f t="shared" si="0"/>
        <v>29.4495</v>
      </c>
      <c r="M30">
        <f t="shared" si="1"/>
        <v>17.650999567500001</v>
      </c>
      <c r="N30" s="9"/>
      <c r="O30" s="21">
        <v>7.6293900000000002E-4</v>
      </c>
      <c r="P30" s="21">
        <v>15.0364</v>
      </c>
      <c r="Q30" s="21">
        <v>-3.4780899999999997E-2</v>
      </c>
      <c r="R30" s="21">
        <v>20</v>
      </c>
      <c r="S30" s="21">
        <v>3.5400399999999999E-4</v>
      </c>
      <c r="T30">
        <f t="shared" si="2"/>
        <v>34.780899999999995</v>
      </c>
      <c r="U30">
        <f t="shared" si="3"/>
        <v>2.6535705065099998E-2</v>
      </c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0.59433000000000002</v>
      </c>
      <c r="H31" s="21">
        <v>11.260899999999999</v>
      </c>
      <c r="I31" s="21">
        <v>-3.0017100000000001E-2</v>
      </c>
      <c r="J31" s="21">
        <v>21</v>
      </c>
      <c r="K31" s="21">
        <v>0.59320099999999998</v>
      </c>
      <c r="L31">
        <f t="shared" si="0"/>
        <v>30.017100000000003</v>
      </c>
      <c r="M31">
        <f t="shared" si="1"/>
        <v>17.840063043000001</v>
      </c>
      <c r="N31" s="9"/>
      <c r="O31" s="21">
        <v>5.7983399999999999E-3</v>
      </c>
      <c r="P31" s="21">
        <v>15.0465</v>
      </c>
      <c r="Q31" s="21">
        <v>-3.4765600000000001E-2</v>
      </c>
      <c r="R31" s="21">
        <v>21</v>
      </c>
      <c r="S31" s="21">
        <v>5.4199199999999999E-3</v>
      </c>
      <c r="T31">
        <f t="shared" si="2"/>
        <v>34.765599999999999</v>
      </c>
      <c r="U31">
        <f t="shared" si="3"/>
        <v>0.201582769104</v>
      </c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0.58929399999999998</v>
      </c>
      <c r="H32" s="21">
        <v>11.271000000000001</v>
      </c>
      <c r="I32" s="21">
        <v>-3.05267E-2</v>
      </c>
      <c r="J32" s="21">
        <v>22</v>
      </c>
      <c r="K32" s="21">
        <v>0.58825700000000003</v>
      </c>
      <c r="L32">
        <f t="shared" si="0"/>
        <v>30.526700000000002</v>
      </c>
      <c r="M32">
        <f t="shared" si="1"/>
        <v>17.9892011498</v>
      </c>
      <c r="N32" s="9"/>
      <c r="O32" s="21">
        <v>1.08337E-2</v>
      </c>
      <c r="P32" s="21">
        <v>15.0566</v>
      </c>
      <c r="Q32" s="21">
        <v>-3.4747300000000002E-2</v>
      </c>
      <c r="R32" s="21">
        <v>22</v>
      </c>
      <c r="S32" s="21">
        <v>1.04767E-2</v>
      </c>
      <c r="T32">
        <f t="shared" si="2"/>
        <v>34.747300000000003</v>
      </c>
      <c r="U32">
        <f t="shared" si="3"/>
        <v>0.37644182401000004</v>
      </c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0.58425899999999997</v>
      </c>
      <c r="H33" s="21">
        <v>11.2811</v>
      </c>
      <c r="I33" s="21">
        <v>-3.0981399999999999E-2</v>
      </c>
      <c r="J33" s="21">
        <v>23</v>
      </c>
      <c r="K33" s="21">
        <v>0.58319100000000001</v>
      </c>
      <c r="L33">
        <f t="shared" si="0"/>
        <v>30.981400000000001</v>
      </c>
      <c r="M33">
        <f t="shared" si="1"/>
        <v>18.101161782599998</v>
      </c>
      <c r="N33" s="9"/>
      <c r="O33" s="21">
        <v>1.5869100000000001E-2</v>
      </c>
      <c r="P33" s="21">
        <v>15.066599999999999</v>
      </c>
      <c r="Q33" s="21">
        <v>-3.4729000000000003E-2</v>
      </c>
      <c r="R33" s="21">
        <v>23</v>
      </c>
      <c r="S33" s="21">
        <v>1.5539600000000001E-2</v>
      </c>
      <c r="T33">
        <f t="shared" si="2"/>
        <v>34.729000000000006</v>
      </c>
      <c r="U33">
        <f t="shared" si="3"/>
        <v>0.55111797390000017</v>
      </c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0.57922399999999996</v>
      </c>
      <c r="H34" s="21">
        <v>11.2911</v>
      </c>
      <c r="I34" s="21">
        <v>-3.1396500000000001E-2</v>
      </c>
      <c r="J34" s="21">
        <v>24</v>
      </c>
      <c r="K34" s="21">
        <v>0.578125</v>
      </c>
      <c r="L34">
        <f t="shared" si="0"/>
        <v>31.3965</v>
      </c>
      <c r="M34">
        <f t="shared" si="1"/>
        <v>18.185606315999998</v>
      </c>
      <c r="N34" s="9"/>
      <c r="O34" s="21">
        <v>2.0904499999999999E-2</v>
      </c>
      <c r="P34" s="21">
        <v>15.076700000000001</v>
      </c>
      <c r="Q34" s="21">
        <v>-3.4695400000000001E-2</v>
      </c>
      <c r="R34" s="21">
        <v>24</v>
      </c>
      <c r="S34" s="21">
        <v>2.0577999999999999E-2</v>
      </c>
      <c r="T34">
        <f t="shared" si="2"/>
        <v>34.695399999999999</v>
      </c>
      <c r="U34">
        <f t="shared" si="3"/>
        <v>0.72528998929999999</v>
      </c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0.57418800000000003</v>
      </c>
      <c r="H35" s="21">
        <v>11.3012</v>
      </c>
      <c r="I35" s="21">
        <v>-3.1771899999999999E-2</v>
      </c>
      <c r="J35" s="21">
        <v>25</v>
      </c>
      <c r="K35" s="21">
        <v>0.57302900000000001</v>
      </c>
      <c r="L35">
        <f t="shared" si="0"/>
        <v>31.771899999999999</v>
      </c>
      <c r="M35">
        <f t="shared" si="1"/>
        <v>18.243043717199999</v>
      </c>
      <c r="N35" s="9"/>
      <c r="O35" s="21">
        <v>2.5939899999999998E-2</v>
      </c>
      <c r="P35" s="21">
        <v>15.0868</v>
      </c>
      <c r="Q35" s="21">
        <v>-3.4692399999999998E-2</v>
      </c>
      <c r="R35" s="21">
        <v>25</v>
      </c>
      <c r="S35" s="21">
        <v>2.5640900000000001E-2</v>
      </c>
      <c r="T35">
        <f t="shared" si="2"/>
        <v>34.692399999999999</v>
      </c>
      <c r="U35">
        <f t="shared" si="3"/>
        <v>0.89991738675999988</v>
      </c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0.56915300000000002</v>
      </c>
      <c r="H36" s="21">
        <v>11.311299999999999</v>
      </c>
      <c r="I36" s="21">
        <v>-3.2101400000000002E-2</v>
      </c>
      <c r="J36" s="21">
        <v>26</v>
      </c>
      <c r="K36" s="21">
        <v>0.56805399999999995</v>
      </c>
      <c r="L36">
        <f t="shared" si="0"/>
        <v>32.101400000000005</v>
      </c>
      <c r="M36">
        <f t="shared" si="1"/>
        <v>18.270608114200005</v>
      </c>
      <c r="N36" s="9"/>
      <c r="O36" s="21">
        <v>3.0975300000000001E-2</v>
      </c>
      <c r="P36" s="21">
        <v>15.0969</v>
      </c>
      <c r="Q36" s="21">
        <v>-3.4704600000000002E-2</v>
      </c>
      <c r="R36" s="21">
        <v>26</v>
      </c>
      <c r="S36" s="21">
        <v>3.06793E-2</v>
      </c>
      <c r="T36">
        <f t="shared" si="2"/>
        <v>34.704599999999999</v>
      </c>
      <c r="U36">
        <f t="shared" si="3"/>
        <v>1.07498539638</v>
      </c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0.56411699999999998</v>
      </c>
      <c r="H37" s="21">
        <v>11.321300000000001</v>
      </c>
      <c r="I37" s="21">
        <v>-3.2394399999999997E-2</v>
      </c>
      <c r="J37" s="21">
        <v>27</v>
      </c>
      <c r="K37" s="21">
        <v>0.56298800000000004</v>
      </c>
      <c r="L37">
        <f t="shared" si="0"/>
        <v>32.394399999999997</v>
      </c>
      <c r="M37">
        <f t="shared" si="1"/>
        <v>18.274231744799998</v>
      </c>
      <c r="N37" s="9"/>
      <c r="O37" s="21">
        <v>3.60107E-2</v>
      </c>
      <c r="P37" s="21">
        <v>15.1069</v>
      </c>
      <c r="Q37" s="21">
        <v>-3.4710699999999997E-2</v>
      </c>
      <c r="R37" s="21">
        <v>27</v>
      </c>
      <c r="S37" s="21">
        <v>3.5702499999999998E-2</v>
      </c>
      <c r="T37">
        <f t="shared" si="2"/>
        <v>34.710699999999996</v>
      </c>
      <c r="U37">
        <f t="shared" si="3"/>
        <v>1.2499566044899999</v>
      </c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0.55908199999999997</v>
      </c>
      <c r="H38" s="21">
        <v>11.3314</v>
      </c>
      <c r="I38" s="21">
        <v>-3.2626299999999997E-2</v>
      </c>
      <c r="J38" s="21">
        <v>28</v>
      </c>
      <c r="K38" s="21">
        <v>0.55795300000000003</v>
      </c>
      <c r="L38">
        <f t="shared" si="0"/>
        <v>32.626300000000001</v>
      </c>
      <c r="M38">
        <f t="shared" si="1"/>
        <v>18.240777056599999</v>
      </c>
      <c r="N38" s="9"/>
      <c r="O38" s="21">
        <v>4.1046100000000002E-2</v>
      </c>
      <c r="P38" s="21">
        <v>15.117000000000001</v>
      </c>
      <c r="Q38" s="21">
        <v>-3.4726E-2</v>
      </c>
      <c r="R38" s="21">
        <v>28</v>
      </c>
      <c r="S38" s="21">
        <v>4.0740999999999999E-2</v>
      </c>
      <c r="T38">
        <f t="shared" si="2"/>
        <v>34.725999999999999</v>
      </c>
      <c r="U38">
        <f t="shared" si="3"/>
        <v>1.4253668686000001</v>
      </c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0.55404699999999996</v>
      </c>
      <c r="H39" s="21">
        <v>11.3415</v>
      </c>
      <c r="I39" s="21">
        <v>-3.2842999999999997E-2</v>
      </c>
      <c r="J39" s="21">
        <v>29</v>
      </c>
      <c r="K39" s="21">
        <v>0.55288700000000002</v>
      </c>
      <c r="L39">
        <f t="shared" si="0"/>
        <v>32.842999999999996</v>
      </c>
      <c r="M39">
        <f t="shared" si="1"/>
        <v>18.196565620999998</v>
      </c>
      <c r="N39" s="9"/>
      <c r="O39" s="21">
        <v>4.6081499999999997E-2</v>
      </c>
      <c r="P39" s="21">
        <v>15.1271</v>
      </c>
      <c r="Q39" s="21">
        <v>-3.4747300000000002E-2</v>
      </c>
      <c r="R39" s="21">
        <v>29</v>
      </c>
      <c r="S39" s="21">
        <v>4.5797699999999997E-2</v>
      </c>
      <c r="T39">
        <f t="shared" si="2"/>
        <v>34.747300000000003</v>
      </c>
      <c r="U39">
        <f t="shared" si="3"/>
        <v>1.60120770495</v>
      </c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0.54901100000000003</v>
      </c>
      <c r="H40" s="21">
        <v>11.351599999999999</v>
      </c>
      <c r="I40" s="21">
        <v>-3.3029200000000002E-2</v>
      </c>
      <c r="J40" s="21">
        <v>30</v>
      </c>
      <c r="K40" s="21">
        <v>0.54788199999999998</v>
      </c>
      <c r="L40">
        <f t="shared" si="0"/>
        <v>33.029200000000003</v>
      </c>
      <c r="M40">
        <f t="shared" si="1"/>
        <v>18.133394121200002</v>
      </c>
      <c r="N40" s="9"/>
      <c r="O40" s="21">
        <v>5.11169E-2</v>
      </c>
      <c r="P40" s="21">
        <v>15.1371</v>
      </c>
      <c r="Q40" s="21">
        <v>-3.4744299999999999E-2</v>
      </c>
      <c r="R40" s="21">
        <v>30</v>
      </c>
      <c r="S40" s="21">
        <v>5.08423E-2</v>
      </c>
      <c r="T40">
        <f t="shared" si="2"/>
        <v>34.744299999999996</v>
      </c>
      <c r="U40">
        <f t="shared" si="3"/>
        <v>1.7760209086699998</v>
      </c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0.54397600000000002</v>
      </c>
      <c r="H41" s="21">
        <v>11.361599999999999</v>
      </c>
      <c r="I41" s="21">
        <v>-3.3187899999999999E-2</v>
      </c>
      <c r="J41" s="21">
        <v>31</v>
      </c>
      <c r="K41" s="21">
        <v>0.54281599999999997</v>
      </c>
      <c r="L41">
        <f t="shared" si="0"/>
        <v>33.187899999999999</v>
      </c>
      <c r="M41">
        <f t="shared" si="1"/>
        <v>18.053421090400001</v>
      </c>
      <c r="N41" s="9"/>
      <c r="O41" s="21">
        <v>5.6152300000000002E-2</v>
      </c>
      <c r="P41" s="21">
        <v>15.1472</v>
      </c>
      <c r="Q41" s="21">
        <v>-3.4735099999999998E-2</v>
      </c>
      <c r="R41" s="21">
        <v>31</v>
      </c>
      <c r="S41" s="21">
        <v>5.50842E-2</v>
      </c>
      <c r="T41">
        <f t="shared" si="2"/>
        <v>34.735099999999996</v>
      </c>
      <c r="U41">
        <f t="shared" si="3"/>
        <v>1.9504557557299997</v>
      </c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0.53893999999999997</v>
      </c>
      <c r="H42" s="21">
        <v>11.371700000000001</v>
      </c>
      <c r="I42" s="21">
        <v>-3.3337400000000003E-2</v>
      </c>
      <c r="J42" s="21">
        <v>32</v>
      </c>
      <c r="K42" s="21">
        <v>0.53781100000000004</v>
      </c>
      <c r="L42">
        <f t="shared" si="0"/>
        <v>33.337400000000002</v>
      </c>
      <c r="M42">
        <f t="shared" si="1"/>
        <v>17.966858355999999</v>
      </c>
      <c r="N42" s="9"/>
      <c r="O42" s="21">
        <v>6.1187699999999998E-2</v>
      </c>
      <c r="P42" s="21">
        <v>15.157299999999999</v>
      </c>
      <c r="Q42" s="21">
        <v>-3.4722900000000001E-2</v>
      </c>
      <c r="R42" s="21">
        <v>32</v>
      </c>
      <c r="S42" s="21">
        <v>6.0089099999999999E-2</v>
      </c>
      <c r="T42">
        <f t="shared" si="2"/>
        <v>34.722900000000003</v>
      </c>
      <c r="U42">
        <f t="shared" si="3"/>
        <v>2.1246143883299999</v>
      </c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0.53390499999999996</v>
      </c>
      <c r="H43" s="21">
        <v>11.3818</v>
      </c>
      <c r="I43" s="21">
        <v>-3.3477800000000002E-2</v>
      </c>
      <c r="J43" s="21">
        <v>33</v>
      </c>
      <c r="K43" s="21">
        <v>0.53277600000000003</v>
      </c>
      <c r="L43">
        <f t="shared" si="0"/>
        <v>33.477800000000002</v>
      </c>
      <c r="M43">
        <f t="shared" si="1"/>
        <v>17.873964809</v>
      </c>
      <c r="N43" s="9"/>
      <c r="O43" s="21">
        <v>6.6223099999999993E-2</v>
      </c>
      <c r="P43" s="21">
        <v>15.167400000000001</v>
      </c>
      <c r="Q43" s="21">
        <v>-3.4716799999999999E-2</v>
      </c>
      <c r="R43" s="21">
        <v>33</v>
      </c>
      <c r="S43" s="21">
        <v>6.5155000000000005E-2</v>
      </c>
      <c r="T43">
        <f t="shared" si="2"/>
        <v>34.716799999999999</v>
      </c>
      <c r="U43">
        <f t="shared" si="3"/>
        <v>2.2990541180799995</v>
      </c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0.52886999999999995</v>
      </c>
      <c r="H44" s="21">
        <v>11.3918</v>
      </c>
      <c r="I44" s="21">
        <v>-3.3590700000000001E-2</v>
      </c>
      <c r="J44" s="21">
        <v>34</v>
      </c>
      <c r="K44" s="21">
        <v>0.52764900000000003</v>
      </c>
      <c r="L44">
        <f t="shared" si="0"/>
        <v>33.590699999999998</v>
      </c>
      <c r="M44">
        <f t="shared" si="1"/>
        <v>17.765113508999999</v>
      </c>
      <c r="N44" s="9"/>
      <c r="O44" s="21">
        <v>7.1258500000000002E-2</v>
      </c>
      <c r="P44" s="21">
        <v>15.1774</v>
      </c>
      <c r="Q44" s="21">
        <v>-3.4716799999999999E-2</v>
      </c>
      <c r="R44" s="21">
        <v>34</v>
      </c>
      <c r="S44" s="21">
        <v>7.0251499999999995E-2</v>
      </c>
      <c r="T44">
        <f t="shared" si="2"/>
        <v>34.716799999999999</v>
      </c>
      <c r="U44">
        <f t="shared" si="3"/>
        <v>2.4738670927999999</v>
      </c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0.52383400000000002</v>
      </c>
      <c r="H45" s="21">
        <v>11.401899999999999</v>
      </c>
      <c r="I45" s="21">
        <v>-3.3700599999999997E-2</v>
      </c>
      <c r="J45" s="21">
        <v>35</v>
      </c>
      <c r="K45" s="21">
        <v>0.522644</v>
      </c>
      <c r="L45">
        <f t="shared" si="0"/>
        <v>33.700599999999994</v>
      </c>
      <c r="M45">
        <f t="shared" si="1"/>
        <v>17.653520100399998</v>
      </c>
      <c r="N45" s="9"/>
      <c r="O45" s="21">
        <v>7.6293899999999998E-2</v>
      </c>
      <c r="P45" s="21">
        <v>15.1875</v>
      </c>
      <c r="Q45" s="21">
        <v>-3.4719800000000002E-2</v>
      </c>
      <c r="R45" s="21">
        <v>35</v>
      </c>
      <c r="S45" s="21">
        <v>7.5286900000000004E-2</v>
      </c>
      <c r="T45">
        <f t="shared" si="2"/>
        <v>34.719799999999999</v>
      </c>
      <c r="U45">
        <f t="shared" si="3"/>
        <v>2.64890894922</v>
      </c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0.51879900000000001</v>
      </c>
      <c r="H46" s="21">
        <v>11.412000000000001</v>
      </c>
      <c r="I46" s="21">
        <v>-3.3792099999999999E-2</v>
      </c>
      <c r="J46" s="21">
        <v>36</v>
      </c>
      <c r="K46" s="21">
        <v>0.51760899999999999</v>
      </c>
      <c r="L46">
        <f t="shared" si="0"/>
        <v>33.792099999999998</v>
      </c>
      <c r="M46">
        <f t="shared" si="1"/>
        <v>17.5313076879</v>
      </c>
      <c r="N46" s="9"/>
      <c r="O46" s="21">
        <v>8.1329299999999993E-2</v>
      </c>
      <c r="P46" s="21">
        <v>15.1976</v>
      </c>
      <c r="Q46" s="21">
        <v>-3.4707599999999998E-2</v>
      </c>
      <c r="R46" s="21">
        <v>36</v>
      </c>
      <c r="S46" s="21">
        <v>8.0352800000000002E-2</v>
      </c>
      <c r="T46">
        <f t="shared" si="2"/>
        <v>34.707599999999999</v>
      </c>
      <c r="U46">
        <f t="shared" si="3"/>
        <v>2.8227448126799999</v>
      </c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0.51376299999999997</v>
      </c>
      <c r="H47" s="21">
        <v>11.4221</v>
      </c>
      <c r="I47" s="21">
        <v>-3.3865399999999997E-2</v>
      </c>
      <c r="J47" s="21">
        <v>37</v>
      </c>
      <c r="K47" s="21">
        <v>0.51254299999999997</v>
      </c>
      <c r="L47">
        <f t="shared" si="0"/>
        <v>33.865399999999994</v>
      </c>
      <c r="M47">
        <f t="shared" si="1"/>
        <v>17.398789500199996</v>
      </c>
      <c r="N47" s="9"/>
      <c r="O47" s="21">
        <v>8.6364700000000003E-2</v>
      </c>
      <c r="P47" s="21">
        <v>15.207599999999999</v>
      </c>
      <c r="Q47" s="21">
        <v>-3.4707599999999998E-2</v>
      </c>
      <c r="R47" s="21">
        <v>37</v>
      </c>
      <c r="S47" s="21">
        <v>8.52966E-2</v>
      </c>
      <c r="T47">
        <f t="shared" si="2"/>
        <v>34.707599999999999</v>
      </c>
      <c r="U47">
        <f t="shared" si="3"/>
        <v>2.9975114617199998</v>
      </c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0.50872799999999996</v>
      </c>
      <c r="H48" s="21">
        <v>11.4321</v>
      </c>
      <c r="I48" s="21">
        <v>-3.3923300000000003E-2</v>
      </c>
      <c r="J48" s="21">
        <v>38</v>
      </c>
      <c r="K48" s="21">
        <v>0.50753800000000004</v>
      </c>
      <c r="L48">
        <f t="shared" si="0"/>
        <v>33.923300000000005</v>
      </c>
      <c r="M48">
        <f t="shared" si="1"/>
        <v>17.257732562400001</v>
      </c>
      <c r="N48" s="9"/>
      <c r="O48" s="21">
        <v>9.1400099999999998E-2</v>
      </c>
      <c r="P48" s="21">
        <v>15.217700000000001</v>
      </c>
      <c r="Q48" s="21">
        <v>-3.46985E-2</v>
      </c>
      <c r="R48" s="21">
        <v>38</v>
      </c>
      <c r="S48" s="21">
        <v>9.0362499999999998E-2</v>
      </c>
      <c r="T48">
        <f t="shared" si="2"/>
        <v>34.698500000000003</v>
      </c>
      <c r="U48">
        <f t="shared" si="3"/>
        <v>3.1714463698500004</v>
      </c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0.50369299999999995</v>
      </c>
      <c r="H49" s="21">
        <v>11.4422</v>
      </c>
      <c r="I49" s="21">
        <v>-3.3966099999999999E-2</v>
      </c>
      <c r="J49" s="21">
        <v>39</v>
      </c>
      <c r="K49" s="21">
        <v>0.50253300000000001</v>
      </c>
      <c r="L49">
        <f t="shared" si="0"/>
        <v>33.966099999999997</v>
      </c>
      <c r="M49">
        <f t="shared" si="1"/>
        <v>17.108486807299997</v>
      </c>
      <c r="N49" s="9"/>
      <c r="O49" s="21">
        <v>9.6435499999999993E-2</v>
      </c>
      <c r="P49" s="21">
        <v>15.2278</v>
      </c>
      <c r="Q49" s="21">
        <v>-3.4692399999999998E-2</v>
      </c>
      <c r="R49" s="21">
        <v>39</v>
      </c>
      <c r="S49" s="21">
        <v>9.5367400000000005E-2</v>
      </c>
      <c r="T49">
        <f t="shared" si="2"/>
        <v>34.692399999999999</v>
      </c>
      <c r="U49">
        <f t="shared" si="3"/>
        <v>3.3455789401999998</v>
      </c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0.49865700000000002</v>
      </c>
      <c r="H50" s="21">
        <v>11.452299999999999</v>
      </c>
      <c r="I50" s="21">
        <v>-3.3993500000000003E-2</v>
      </c>
      <c r="J50" s="21">
        <v>40</v>
      </c>
      <c r="K50" s="21">
        <v>0.49755899999999997</v>
      </c>
      <c r="L50">
        <f t="shared" si="0"/>
        <v>33.993500000000004</v>
      </c>
      <c r="M50">
        <f t="shared" si="1"/>
        <v>16.951096729500001</v>
      </c>
      <c r="N50" s="9"/>
      <c r="O50" s="21">
        <v>0.10147100000000001</v>
      </c>
      <c r="P50" s="21">
        <v>15.2379</v>
      </c>
      <c r="Q50" s="21">
        <v>-3.4674099999999999E-2</v>
      </c>
      <c r="R50" s="21">
        <v>40</v>
      </c>
      <c r="S50" s="21">
        <v>0.100342</v>
      </c>
      <c r="T50">
        <f t="shared" si="2"/>
        <v>34.674100000000003</v>
      </c>
      <c r="U50">
        <f t="shared" si="3"/>
        <v>3.5184156011000005</v>
      </c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0.49362200000000001</v>
      </c>
      <c r="H51" s="21">
        <v>11.462300000000001</v>
      </c>
      <c r="I51" s="21">
        <v>-3.4008799999999999E-2</v>
      </c>
      <c r="J51" s="21">
        <v>41</v>
      </c>
      <c r="K51" s="21">
        <v>0.49249300000000001</v>
      </c>
      <c r="L51">
        <f t="shared" si="0"/>
        <v>34.008800000000001</v>
      </c>
      <c r="M51">
        <f t="shared" si="1"/>
        <v>16.787491873600001</v>
      </c>
      <c r="N51" s="9"/>
      <c r="O51" s="21">
        <v>0.106506</v>
      </c>
      <c r="P51" s="21">
        <v>15.2479</v>
      </c>
      <c r="Q51" s="21">
        <v>-3.4661900000000002E-2</v>
      </c>
      <c r="R51" s="21">
        <v>41</v>
      </c>
      <c r="S51" s="21">
        <v>0.105408</v>
      </c>
      <c r="T51">
        <f t="shared" si="2"/>
        <v>34.661900000000003</v>
      </c>
      <c r="U51">
        <f t="shared" si="3"/>
        <v>3.6917003214000004</v>
      </c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0.48858600000000002</v>
      </c>
      <c r="H52" s="21">
        <v>11.4724</v>
      </c>
      <c r="I52" s="21">
        <v>-3.4014900000000001E-2</v>
      </c>
      <c r="J52" s="21">
        <v>42</v>
      </c>
      <c r="K52" s="21">
        <v>0.487396</v>
      </c>
      <c r="L52">
        <f t="shared" si="0"/>
        <v>34.014899999999997</v>
      </c>
      <c r="M52">
        <f t="shared" si="1"/>
        <v>16.619203931399998</v>
      </c>
      <c r="N52" s="9"/>
      <c r="O52" s="21">
        <v>0.111542</v>
      </c>
      <c r="P52" s="21">
        <v>15.257999999999999</v>
      </c>
      <c r="Q52" s="21">
        <v>-3.4652700000000002E-2</v>
      </c>
      <c r="R52" s="21">
        <v>42</v>
      </c>
      <c r="S52" s="21">
        <v>0.110443</v>
      </c>
      <c r="T52">
        <f t="shared" si="2"/>
        <v>34.652700000000003</v>
      </c>
      <c r="U52">
        <f t="shared" si="3"/>
        <v>3.8652314634000002</v>
      </c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0.48355100000000001</v>
      </c>
      <c r="H53" s="21">
        <v>11.4825</v>
      </c>
      <c r="I53" s="21">
        <v>-3.4054599999999997E-2</v>
      </c>
      <c r="J53" s="21">
        <v>43</v>
      </c>
      <c r="K53" s="21">
        <v>0.48236099999999998</v>
      </c>
      <c r="L53">
        <f t="shared" si="0"/>
        <v>34.054600000000001</v>
      </c>
      <c r="M53">
        <f t="shared" si="1"/>
        <v>16.467135884600001</v>
      </c>
      <c r="N53" s="9"/>
      <c r="O53" s="21">
        <v>0.116577</v>
      </c>
      <c r="P53" s="21">
        <v>15.2681</v>
      </c>
      <c r="Q53" s="21">
        <v>-3.4640499999999998E-2</v>
      </c>
      <c r="R53" s="21">
        <v>43</v>
      </c>
      <c r="S53" s="21">
        <v>0.11557000000000001</v>
      </c>
      <c r="T53">
        <f t="shared" si="2"/>
        <v>34.640499999999996</v>
      </c>
      <c r="U53">
        <f t="shared" si="3"/>
        <v>4.0382855684999992</v>
      </c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0.478516</v>
      </c>
      <c r="H54" s="21">
        <v>11.492599999999999</v>
      </c>
      <c r="I54" s="21">
        <v>-3.4078999999999998E-2</v>
      </c>
      <c r="J54" s="21">
        <v>44</v>
      </c>
      <c r="K54" s="21">
        <v>0.47729500000000002</v>
      </c>
      <c r="L54">
        <f t="shared" si="0"/>
        <v>34.079000000000001</v>
      </c>
      <c r="M54">
        <f t="shared" si="1"/>
        <v>16.307346764000002</v>
      </c>
      <c r="N54" s="9"/>
      <c r="O54" s="21">
        <v>0.121613</v>
      </c>
      <c r="P54" s="21">
        <v>15.2781</v>
      </c>
      <c r="Q54" s="21">
        <v>-3.4628300000000001E-2</v>
      </c>
      <c r="R54" s="21">
        <v>44</v>
      </c>
      <c r="S54" s="21">
        <v>0.120544</v>
      </c>
      <c r="T54">
        <f t="shared" si="2"/>
        <v>34.628300000000003</v>
      </c>
      <c r="U54">
        <f t="shared" si="3"/>
        <v>4.2112514479000005</v>
      </c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0.47348000000000001</v>
      </c>
      <c r="H55" s="21">
        <v>11.502599999999999</v>
      </c>
      <c r="I55" s="21">
        <v>-3.4109500000000001E-2</v>
      </c>
      <c r="J55" s="21">
        <v>45</v>
      </c>
      <c r="K55" s="21">
        <v>0.47235100000000002</v>
      </c>
      <c r="L55">
        <f t="shared" si="0"/>
        <v>34.109500000000004</v>
      </c>
      <c r="M55">
        <f t="shared" si="1"/>
        <v>16.150166060000004</v>
      </c>
      <c r="N55" s="9"/>
      <c r="O55" s="21">
        <v>0.12664800000000001</v>
      </c>
      <c r="P55" s="21">
        <v>15.2882</v>
      </c>
      <c r="Q55" s="21">
        <v>-3.46191E-2</v>
      </c>
      <c r="R55" s="21">
        <v>45</v>
      </c>
      <c r="S55" s="21">
        <v>0.125641</v>
      </c>
      <c r="T55">
        <f t="shared" si="2"/>
        <v>34.619100000000003</v>
      </c>
      <c r="U55">
        <f t="shared" si="3"/>
        <v>4.3844397768000007</v>
      </c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0.468445</v>
      </c>
      <c r="H56" s="21">
        <v>11.512700000000001</v>
      </c>
      <c r="I56" s="21">
        <v>-3.4152200000000001E-2</v>
      </c>
      <c r="J56" s="21">
        <v>46</v>
      </c>
      <c r="K56" s="21">
        <v>0.46728500000000001</v>
      </c>
      <c r="L56">
        <f t="shared" si="0"/>
        <v>34.152200000000001</v>
      </c>
      <c r="M56">
        <f t="shared" si="1"/>
        <v>15.998427329</v>
      </c>
      <c r="N56" s="9"/>
      <c r="O56" s="21">
        <v>0.13168299999999999</v>
      </c>
      <c r="P56" s="21">
        <v>15.298299999999999</v>
      </c>
      <c r="Q56" s="21">
        <v>-3.4631299999999997E-2</v>
      </c>
      <c r="R56" s="21">
        <v>46</v>
      </c>
      <c r="S56" s="21">
        <v>0.13064600000000001</v>
      </c>
      <c r="T56">
        <f t="shared" si="2"/>
        <v>34.631299999999996</v>
      </c>
      <c r="U56">
        <f t="shared" si="3"/>
        <v>4.5603534778999997</v>
      </c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0.46340900000000002</v>
      </c>
      <c r="H57" s="21">
        <v>11.5228</v>
      </c>
      <c r="I57" s="21">
        <v>-3.41797E-2</v>
      </c>
      <c r="J57" s="21">
        <v>47</v>
      </c>
      <c r="K57" s="21">
        <v>0.46231100000000003</v>
      </c>
      <c r="L57">
        <f t="shared" si="0"/>
        <v>34.179699999999997</v>
      </c>
      <c r="M57">
        <f t="shared" si="1"/>
        <v>15.839180597299999</v>
      </c>
      <c r="N57" s="9"/>
      <c r="O57" s="21">
        <v>0.13671900000000001</v>
      </c>
      <c r="P57" s="21">
        <v>15.308299999999999</v>
      </c>
      <c r="Q57" s="21">
        <v>-3.46466E-2</v>
      </c>
      <c r="R57" s="21">
        <v>47</v>
      </c>
      <c r="S57" s="21">
        <v>0.13558999999999999</v>
      </c>
      <c r="T57">
        <f t="shared" si="2"/>
        <v>34.646599999999999</v>
      </c>
      <c r="U57">
        <f t="shared" si="3"/>
        <v>4.7368485054000002</v>
      </c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0.458374</v>
      </c>
      <c r="H58" s="21">
        <v>11.5328</v>
      </c>
      <c r="I58" s="21">
        <v>-3.4216299999999998E-2</v>
      </c>
      <c r="J58" s="21">
        <v>48</v>
      </c>
      <c r="K58" s="21">
        <v>0.45721400000000001</v>
      </c>
      <c r="L58">
        <f t="shared" si="0"/>
        <v>34.216299999999997</v>
      </c>
      <c r="M58">
        <f t="shared" si="1"/>
        <v>15.683862296199999</v>
      </c>
      <c r="N58" s="9"/>
      <c r="O58" s="21">
        <v>0.14175399999999999</v>
      </c>
      <c r="P58" s="21">
        <v>15.3184</v>
      </c>
      <c r="Q58" s="21">
        <v>-3.4643599999999997E-2</v>
      </c>
      <c r="R58" s="21">
        <v>48</v>
      </c>
      <c r="S58" s="21">
        <v>0.14074700000000001</v>
      </c>
      <c r="T58">
        <f t="shared" si="2"/>
        <v>34.643599999999999</v>
      </c>
      <c r="U58">
        <f t="shared" si="3"/>
        <v>4.9108688743999993</v>
      </c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0.45333899999999999</v>
      </c>
      <c r="H59" s="21">
        <v>11.542899999999999</v>
      </c>
      <c r="I59" s="21">
        <v>-3.4234599999999997E-2</v>
      </c>
      <c r="J59" s="21">
        <v>49</v>
      </c>
      <c r="K59" s="21">
        <v>0.45223999999999998</v>
      </c>
      <c r="L59">
        <f t="shared" si="0"/>
        <v>34.2346</v>
      </c>
      <c r="M59">
        <f t="shared" si="1"/>
        <v>15.5198793294</v>
      </c>
      <c r="N59" s="9"/>
      <c r="O59" s="21">
        <v>0.14679</v>
      </c>
      <c r="P59" s="21">
        <v>15.3285</v>
      </c>
      <c r="Q59" s="21">
        <v>-3.4631299999999997E-2</v>
      </c>
      <c r="R59" s="21">
        <v>49</v>
      </c>
      <c r="S59" s="21">
        <v>0.14572099999999999</v>
      </c>
      <c r="T59">
        <f t="shared" si="2"/>
        <v>34.631299999999996</v>
      </c>
      <c r="U59">
        <f t="shared" si="3"/>
        <v>5.0835285269999995</v>
      </c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0.44830300000000001</v>
      </c>
      <c r="H60" s="21">
        <v>11.553000000000001</v>
      </c>
      <c r="I60" s="21">
        <v>-3.4252900000000003E-2</v>
      </c>
      <c r="J60" s="21">
        <v>50</v>
      </c>
      <c r="K60" s="21">
        <v>0.44717400000000002</v>
      </c>
      <c r="L60">
        <f t="shared" si="0"/>
        <v>34.252900000000004</v>
      </c>
      <c r="M60">
        <f t="shared" si="1"/>
        <v>15.355677828700003</v>
      </c>
      <c r="N60" s="9"/>
      <c r="O60" s="21">
        <v>0.15182499999999999</v>
      </c>
      <c r="P60" s="21">
        <v>15.3386</v>
      </c>
      <c r="Q60" s="21">
        <v>-3.4628300000000001E-2</v>
      </c>
      <c r="R60" s="21">
        <v>50</v>
      </c>
      <c r="S60" s="21">
        <v>0.15081800000000001</v>
      </c>
      <c r="T60">
        <f t="shared" si="2"/>
        <v>34.628300000000003</v>
      </c>
      <c r="U60">
        <f t="shared" si="3"/>
        <v>5.2574416475000003</v>
      </c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0.443268</v>
      </c>
      <c r="H61" s="21">
        <v>11.5631</v>
      </c>
      <c r="I61" s="21">
        <v>-3.4268199999999999E-2</v>
      </c>
      <c r="J61" s="21">
        <v>51</v>
      </c>
      <c r="K61" s="21">
        <v>0.44216899999999998</v>
      </c>
      <c r="L61">
        <f t="shared" si="0"/>
        <v>34.2682</v>
      </c>
      <c r="M61">
        <f t="shared" si="1"/>
        <v>15.189996477599999</v>
      </c>
      <c r="N61" s="9"/>
      <c r="O61" s="21">
        <v>0.15686</v>
      </c>
      <c r="P61" s="21">
        <v>15.348599999999999</v>
      </c>
      <c r="Q61" s="21">
        <v>-3.4625200000000002E-2</v>
      </c>
      <c r="R61" s="21">
        <v>51</v>
      </c>
      <c r="S61" s="21">
        <v>0.15579200000000001</v>
      </c>
      <c r="T61">
        <f t="shared" si="2"/>
        <v>34.6252</v>
      </c>
      <c r="U61">
        <f t="shared" si="3"/>
        <v>5.4313088719999998</v>
      </c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0.43823200000000001</v>
      </c>
      <c r="H62" s="21">
        <v>11.5731</v>
      </c>
      <c r="I62" s="21">
        <v>-3.4283399999999999E-2</v>
      </c>
      <c r="J62" s="21">
        <v>52</v>
      </c>
      <c r="K62" s="21">
        <v>0.43704199999999999</v>
      </c>
      <c r="L62">
        <f t="shared" si="0"/>
        <v>34.2834</v>
      </c>
      <c r="M62">
        <f t="shared" si="1"/>
        <v>15.0240829488</v>
      </c>
      <c r="N62" s="9"/>
      <c r="O62" s="21">
        <v>0.16189600000000001</v>
      </c>
      <c r="P62" s="21">
        <v>15.358700000000001</v>
      </c>
      <c r="Q62" s="21">
        <v>-3.4610000000000002E-2</v>
      </c>
      <c r="R62" s="21">
        <v>52</v>
      </c>
      <c r="S62" s="21">
        <v>0.16076699999999999</v>
      </c>
      <c r="T62">
        <f t="shared" si="2"/>
        <v>34.61</v>
      </c>
      <c r="U62">
        <f t="shared" si="3"/>
        <v>5.6032205600000005</v>
      </c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0.433197</v>
      </c>
      <c r="H63" s="21">
        <v>11.5832</v>
      </c>
      <c r="I63" s="21">
        <v>-3.4298700000000001E-2</v>
      </c>
      <c r="J63" s="21">
        <v>53</v>
      </c>
      <c r="K63" s="21">
        <v>0.43206800000000001</v>
      </c>
      <c r="L63">
        <f t="shared" si="0"/>
        <v>34.298700000000004</v>
      </c>
      <c r="M63">
        <f t="shared" si="1"/>
        <v>14.858093943900002</v>
      </c>
      <c r="N63" s="9"/>
      <c r="O63" s="21">
        <v>0.166931</v>
      </c>
      <c r="P63" s="21">
        <v>15.3688</v>
      </c>
      <c r="Q63" s="21">
        <v>-3.4612999999999998E-2</v>
      </c>
      <c r="R63" s="21">
        <v>53</v>
      </c>
      <c r="S63" s="21">
        <v>0.16586300000000001</v>
      </c>
      <c r="T63">
        <f t="shared" si="2"/>
        <v>34.613</v>
      </c>
      <c r="U63">
        <f t="shared" si="3"/>
        <v>5.7779827030000002</v>
      </c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0.42816199999999999</v>
      </c>
      <c r="H64" s="21">
        <v>11.593299999999999</v>
      </c>
      <c r="I64" s="21">
        <v>-3.43018E-2</v>
      </c>
      <c r="J64" s="21">
        <v>54</v>
      </c>
      <c r="K64" s="21">
        <v>0.42700199999999999</v>
      </c>
      <c r="L64">
        <f t="shared" si="0"/>
        <v>34.3018</v>
      </c>
      <c r="M64">
        <f t="shared" si="1"/>
        <v>14.6867272916</v>
      </c>
      <c r="N64" s="9"/>
      <c r="O64" s="21">
        <v>0.17196700000000001</v>
      </c>
      <c r="P64" s="21">
        <v>15.3788</v>
      </c>
      <c r="Q64" s="21">
        <v>-3.4625200000000002E-2</v>
      </c>
      <c r="R64" s="21">
        <v>54</v>
      </c>
      <c r="S64" s="21">
        <v>0.17086799999999999</v>
      </c>
      <c r="T64">
        <f t="shared" si="2"/>
        <v>34.6252</v>
      </c>
      <c r="U64">
        <f t="shared" si="3"/>
        <v>5.9543917683999998</v>
      </c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0.423126</v>
      </c>
      <c r="H65" s="21">
        <v>11.603300000000001</v>
      </c>
      <c r="I65" s="21">
        <v>-3.4304800000000003E-2</v>
      </c>
      <c r="J65" s="21">
        <v>55</v>
      </c>
      <c r="K65" s="21">
        <v>0.42202800000000001</v>
      </c>
      <c r="L65">
        <f t="shared" si="0"/>
        <v>34.3048</v>
      </c>
      <c r="M65">
        <f t="shared" si="1"/>
        <v>14.515252804799999</v>
      </c>
      <c r="N65" s="9"/>
      <c r="O65" s="21">
        <v>0.17700199999999999</v>
      </c>
      <c r="P65" s="21">
        <v>15.3889</v>
      </c>
      <c r="Q65" s="21">
        <v>-3.4634400000000003E-2</v>
      </c>
      <c r="R65" s="21">
        <v>55</v>
      </c>
      <c r="S65" s="21">
        <v>0.175903</v>
      </c>
      <c r="T65">
        <f t="shared" si="2"/>
        <v>34.634399999999999</v>
      </c>
      <c r="U65">
        <f t="shared" si="3"/>
        <v>6.1303580687999997</v>
      </c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0.41809099999999999</v>
      </c>
      <c r="H66" s="21">
        <v>11.6134</v>
      </c>
      <c r="I66" s="21">
        <v>-3.4304800000000003E-2</v>
      </c>
      <c r="J66" s="21">
        <v>56</v>
      </c>
      <c r="K66" s="21">
        <v>0.41687000000000002</v>
      </c>
      <c r="L66">
        <f t="shared" si="0"/>
        <v>34.3048</v>
      </c>
      <c r="M66">
        <f t="shared" si="1"/>
        <v>14.3425281368</v>
      </c>
      <c r="N66" s="9"/>
      <c r="O66" s="21">
        <v>0.182037</v>
      </c>
      <c r="P66" s="21">
        <v>15.398999999999999</v>
      </c>
      <c r="Q66" s="21">
        <v>-3.4640499999999998E-2</v>
      </c>
      <c r="R66" s="21">
        <v>56</v>
      </c>
      <c r="S66" s="21">
        <v>0.18093899999999999</v>
      </c>
      <c r="T66">
        <f t="shared" si="2"/>
        <v>34.640499999999996</v>
      </c>
      <c r="U66">
        <f t="shared" si="3"/>
        <v>6.305852698499999</v>
      </c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0.41305500000000001</v>
      </c>
      <c r="H67" s="21">
        <v>11.6235</v>
      </c>
      <c r="I67" s="21">
        <v>-3.4317E-2</v>
      </c>
      <c r="J67" s="21">
        <v>57</v>
      </c>
      <c r="K67" s="21">
        <v>0.41195700000000002</v>
      </c>
      <c r="L67">
        <f t="shared" si="0"/>
        <v>34.317</v>
      </c>
      <c r="M67">
        <f t="shared" si="1"/>
        <v>14.174808435000001</v>
      </c>
      <c r="N67" s="9"/>
      <c r="O67" s="21">
        <v>0.18707299999999999</v>
      </c>
      <c r="P67" s="21">
        <v>15.4091</v>
      </c>
      <c r="Q67" s="21">
        <v>-3.4616099999999997E-2</v>
      </c>
      <c r="R67" s="21">
        <v>57</v>
      </c>
      <c r="S67" s="21">
        <v>0.18603500000000001</v>
      </c>
      <c r="T67">
        <f t="shared" si="2"/>
        <v>34.616099999999996</v>
      </c>
      <c r="U67">
        <f t="shared" si="3"/>
        <v>6.4757376752999987</v>
      </c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0.40801999999999999</v>
      </c>
      <c r="H68" s="21">
        <v>11.6335</v>
      </c>
      <c r="I68" s="21">
        <v>-3.4310899999999998E-2</v>
      </c>
      <c r="J68" s="21">
        <v>58</v>
      </c>
      <c r="K68" s="21">
        <v>0.40686</v>
      </c>
      <c r="L68">
        <f t="shared" si="0"/>
        <v>34.310899999999997</v>
      </c>
      <c r="M68">
        <f t="shared" si="1"/>
        <v>13.999533417999999</v>
      </c>
      <c r="N68" s="9"/>
      <c r="O68" s="21">
        <v>0.192108</v>
      </c>
      <c r="P68" s="21">
        <v>15.4191</v>
      </c>
      <c r="Q68" s="21">
        <v>-3.4591700000000003E-2</v>
      </c>
      <c r="R68" s="21">
        <v>58</v>
      </c>
      <c r="S68" s="21">
        <v>0.19107099999999999</v>
      </c>
      <c r="T68">
        <f t="shared" si="2"/>
        <v>34.591700000000003</v>
      </c>
      <c r="U68">
        <f t="shared" si="3"/>
        <v>6.6453423036000006</v>
      </c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0.40298499999999998</v>
      </c>
      <c r="H69" s="21">
        <v>11.643599999999999</v>
      </c>
      <c r="I69" s="21">
        <v>-3.4320099999999999E-2</v>
      </c>
      <c r="J69" s="21">
        <v>59</v>
      </c>
      <c r="K69" s="21">
        <v>0.40179399999999998</v>
      </c>
      <c r="L69">
        <f t="shared" si="0"/>
        <v>34.320099999999996</v>
      </c>
      <c r="M69">
        <f t="shared" si="1"/>
        <v>13.830485498499998</v>
      </c>
      <c r="N69" s="9"/>
      <c r="O69" s="21">
        <v>0.19714400000000001</v>
      </c>
      <c r="P69" s="21">
        <v>15.4292</v>
      </c>
      <c r="Q69" s="21">
        <v>-3.4579499999999999E-2</v>
      </c>
      <c r="R69" s="21">
        <v>59</v>
      </c>
      <c r="S69" s="21">
        <v>0.196075</v>
      </c>
      <c r="T69">
        <f t="shared" si="2"/>
        <v>34.579499999999996</v>
      </c>
      <c r="U69">
        <f t="shared" si="3"/>
        <v>6.8171409479999996</v>
      </c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0.397949</v>
      </c>
      <c r="H70" s="21">
        <v>11.653700000000001</v>
      </c>
      <c r="I70" s="21">
        <v>-3.4353599999999998E-2</v>
      </c>
      <c r="J70" s="21">
        <v>60</v>
      </c>
      <c r="K70" s="21">
        <v>0.39678999999999998</v>
      </c>
      <c r="L70">
        <f t="shared" si="0"/>
        <v>34.3536</v>
      </c>
      <c r="M70">
        <f t="shared" si="1"/>
        <v>13.6709807664</v>
      </c>
      <c r="N70" s="9"/>
      <c r="O70" s="21">
        <v>0.202179</v>
      </c>
      <c r="P70" s="21">
        <v>15.439299999999999</v>
      </c>
      <c r="Q70" s="21">
        <v>-3.4573399999999997E-2</v>
      </c>
      <c r="R70" s="21">
        <v>60</v>
      </c>
      <c r="S70" s="21">
        <v>0.20111100000000001</v>
      </c>
      <c r="T70">
        <f t="shared" si="2"/>
        <v>34.573399999999999</v>
      </c>
      <c r="U70">
        <f t="shared" si="3"/>
        <v>6.9900154385999995</v>
      </c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0.39291399999999999</v>
      </c>
      <c r="H71" s="21">
        <v>11.6638</v>
      </c>
      <c r="I71" s="21">
        <v>-3.4375000000000003E-2</v>
      </c>
      <c r="J71" s="21">
        <v>61</v>
      </c>
      <c r="K71" s="21">
        <v>0.39178499999999999</v>
      </c>
      <c r="L71">
        <f t="shared" si="0"/>
        <v>34.375</v>
      </c>
      <c r="M71">
        <f t="shared" si="1"/>
        <v>13.50641875</v>
      </c>
      <c r="N71" s="9"/>
      <c r="O71" s="21">
        <v>0.20721400000000001</v>
      </c>
      <c r="P71" s="21">
        <v>15.449299999999999</v>
      </c>
      <c r="Q71" s="21">
        <v>-3.4564200000000003E-2</v>
      </c>
      <c r="R71" s="21">
        <v>61</v>
      </c>
      <c r="S71" s="21">
        <v>0.20611599999999999</v>
      </c>
      <c r="T71">
        <f t="shared" si="2"/>
        <v>34.564200000000007</v>
      </c>
      <c r="U71">
        <f t="shared" si="3"/>
        <v>7.1621861388000019</v>
      </c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0.387878</v>
      </c>
      <c r="H72" s="21">
        <v>11.6738</v>
      </c>
      <c r="I72" s="21">
        <v>-3.4408599999999998E-2</v>
      </c>
      <c r="J72" s="21">
        <v>62</v>
      </c>
      <c r="K72" s="21">
        <v>0.38680999999999999</v>
      </c>
      <c r="L72">
        <f t="shared" si="0"/>
        <v>34.4086</v>
      </c>
      <c r="M72">
        <f t="shared" si="1"/>
        <v>13.3463389508</v>
      </c>
      <c r="N72" s="9"/>
      <c r="O72" s="21">
        <v>0.21224999999999999</v>
      </c>
      <c r="P72" s="21">
        <v>15.4594</v>
      </c>
      <c r="Q72" s="21">
        <v>-3.45612E-2</v>
      </c>
      <c r="R72" s="21">
        <v>62</v>
      </c>
      <c r="S72" s="21">
        <v>0.21115100000000001</v>
      </c>
      <c r="T72">
        <f t="shared" si="2"/>
        <v>34.561199999999999</v>
      </c>
      <c r="U72">
        <f t="shared" si="3"/>
        <v>7.3356146999999998</v>
      </c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0.38284299999999999</v>
      </c>
      <c r="H73" s="21">
        <v>11.6839</v>
      </c>
      <c r="I73" s="21">
        <v>-3.4445200000000002E-2</v>
      </c>
      <c r="J73" s="21">
        <v>63</v>
      </c>
      <c r="K73" s="21">
        <v>0.38174400000000003</v>
      </c>
      <c r="L73">
        <f t="shared" si="0"/>
        <v>34.4452</v>
      </c>
      <c r="M73">
        <f t="shared" si="1"/>
        <v>13.1871037036</v>
      </c>
      <c r="N73" s="9"/>
      <c r="O73" s="21">
        <v>0.21728500000000001</v>
      </c>
      <c r="P73" s="21">
        <v>15.4695</v>
      </c>
      <c r="Q73" s="21">
        <v>-3.4551999999999999E-2</v>
      </c>
      <c r="R73" s="21">
        <v>63</v>
      </c>
      <c r="S73" s="21">
        <v>0.21621699999999999</v>
      </c>
      <c r="T73">
        <f t="shared" si="2"/>
        <v>34.552</v>
      </c>
      <c r="U73">
        <f t="shared" si="3"/>
        <v>7.5076313199999998</v>
      </c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0.37780799999999998</v>
      </c>
      <c r="H74" s="21">
        <v>11.694000000000001</v>
      </c>
      <c r="I74" s="21">
        <v>-3.4469600000000003E-2</v>
      </c>
      <c r="J74" s="21">
        <v>64</v>
      </c>
      <c r="K74" s="21">
        <v>0.37667800000000001</v>
      </c>
      <c r="L74">
        <f t="shared" si="0"/>
        <v>34.4696</v>
      </c>
      <c r="M74">
        <f t="shared" si="1"/>
        <v>13.0228906368</v>
      </c>
      <c r="N74" s="9"/>
      <c r="O74" s="21">
        <v>0.22232099999999999</v>
      </c>
      <c r="P74" s="21">
        <v>15.4796</v>
      </c>
      <c r="Q74" s="21">
        <v>-3.4542799999999999E-2</v>
      </c>
      <c r="R74" s="21">
        <v>64</v>
      </c>
      <c r="S74" s="21">
        <v>0.221252</v>
      </c>
      <c r="T74">
        <f t="shared" si="2"/>
        <v>34.5428</v>
      </c>
      <c r="U74">
        <f t="shared" si="3"/>
        <v>7.6795898387999992</v>
      </c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0.37277199999999999</v>
      </c>
      <c r="H75" s="21">
        <v>11.704000000000001</v>
      </c>
      <c r="I75" s="21">
        <v>-3.4469600000000003E-2</v>
      </c>
      <c r="J75" s="21">
        <v>65</v>
      </c>
      <c r="K75" s="21">
        <v>0.37158200000000002</v>
      </c>
      <c r="L75">
        <f t="shared" si="0"/>
        <v>34.4696</v>
      </c>
      <c r="M75">
        <f t="shared" si="1"/>
        <v>12.849301731199999</v>
      </c>
      <c r="N75" s="9"/>
      <c r="O75" s="21">
        <v>0.227356</v>
      </c>
      <c r="P75" s="21">
        <v>15.489599999999999</v>
      </c>
      <c r="Q75" s="21">
        <v>-3.4533700000000001E-2</v>
      </c>
      <c r="R75" s="21">
        <v>65</v>
      </c>
      <c r="S75" s="21">
        <v>0.22622700000000001</v>
      </c>
      <c r="T75">
        <f t="shared" si="2"/>
        <v>34.533700000000003</v>
      </c>
      <c r="U75">
        <f t="shared" si="3"/>
        <v>7.8514438972000011</v>
      </c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0.36773699999999998</v>
      </c>
      <c r="H76" s="21">
        <v>11.7141</v>
      </c>
      <c r="I76" s="21">
        <v>-3.4463500000000001E-2</v>
      </c>
      <c r="J76" s="21">
        <v>66</v>
      </c>
      <c r="K76" s="21">
        <v>0.36660799999999999</v>
      </c>
      <c r="L76">
        <f t="shared" ref="L76:L139" si="4">-I76/$F$2*1000</f>
        <v>34.463500000000003</v>
      </c>
      <c r="M76">
        <f t="shared" ref="M76:M139" si="5">L76*G76</f>
        <v>12.673504099500001</v>
      </c>
      <c r="N76" s="9"/>
      <c r="O76" s="21">
        <v>0.23239099999999999</v>
      </c>
      <c r="P76" s="21">
        <v>15.499700000000001</v>
      </c>
      <c r="Q76" s="21">
        <v>-3.4536699999999997E-2</v>
      </c>
      <c r="R76" s="21">
        <v>66</v>
      </c>
      <c r="S76" s="21">
        <v>0.231354</v>
      </c>
      <c r="T76">
        <f t="shared" ref="T76:T139" si="6">-Q76/$F$2*1000</f>
        <v>34.536699999999996</v>
      </c>
      <c r="U76">
        <f t="shared" ref="U76:U139" si="7">T76*O76</f>
        <v>8.0260182496999981</v>
      </c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0.362701</v>
      </c>
      <c r="H77" s="21">
        <v>11.7242</v>
      </c>
      <c r="I77" s="21">
        <v>-3.4469600000000003E-2</v>
      </c>
      <c r="J77" s="21">
        <v>67</v>
      </c>
      <c r="K77" s="21">
        <v>0.36163299999999998</v>
      </c>
      <c r="L77">
        <f t="shared" si="4"/>
        <v>34.4696</v>
      </c>
      <c r="M77">
        <f t="shared" si="5"/>
        <v>12.5021583896</v>
      </c>
      <c r="N77" s="9"/>
      <c r="O77" s="21">
        <v>0.237427</v>
      </c>
      <c r="P77" s="21">
        <v>15.5098</v>
      </c>
      <c r="Q77" s="21">
        <v>-3.4527599999999999E-2</v>
      </c>
      <c r="R77" s="21">
        <v>67</v>
      </c>
      <c r="S77" s="21">
        <v>0.23632800000000001</v>
      </c>
      <c r="T77">
        <f t="shared" si="6"/>
        <v>34.5276</v>
      </c>
      <c r="U77">
        <f t="shared" si="7"/>
        <v>8.1977844851999997</v>
      </c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0.35766599999999998</v>
      </c>
      <c r="H78" s="21">
        <v>11.734299999999999</v>
      </c>
      <c r="I78" s="21">
        <v>-3.4478799999999997E-2</v>
      </c>
      <c r="J78" s="21">
        <v>68</v>
      </c>
      <c r="K78" s="21">
        <v>0.35653699999999999</v>
      </c>
      <c r="L78">
        <f t="shared" si="4"/>
        <v>34.4788</v>
      </c>
      <c r="M78">
        <f t="shared" si="5"/>
        <v>12.331894480799999</v>
      </c>
      <c r="N78" s="9"/>
      <c r="O78" s="21">
        <v>0.24246200000000001</v>
      </c>
      <c r="P78" s="21">
        <v>15.5198</v>
      </c>
      <c r="Q78" s="21">
        <v>-3.45245E-2</v>
      </c>
      <c r="R78" s="21">
        <v>68</v>
      </c>
      <c r="S78" s="21">
        <v>0.24133299999999999</v>
      </c>
      <c r="T78">
        <f t="shared" si="6"/>
        <v>34.524499999999996</v>
      </c>
      <c r="U78">
        <f t="shared" si="7"/>
        <v>8.3708793190000002</v>
      </c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0.35263100000000003</v>
      </c>
      <c r="H79" s="21">
        <v>11.744300000000001</v>
      </c>
      <c r="I79" s="21">
        <v>-3.4469600000000003E-2</v>
      </c>
      <c r="J79" s="21">
        <v>69</v>
      </c>
      <c r="K79" s="21">
        <v>0.35150100000000001</v>
      </c>
      <c r="L79">
        <f t="shared" si="4"/>
        <v>34.4696</v>
      </c>
      <c r="M79">
        <f t="shared" si="5"/>
        <v>12.1550495176</v>
      </c>
      <c r="N79" s="9"/>
      <c r="O79" s="21">
        <v>0.247498</v>
      </c>
      <c r="P79" s="21">
        <v>15.5299</v>
      </c>
      <c r="Q79" s="21">
        <v>-3.4518399999999998E-2</v>
      </c>
      <c r="R79" s="21">
        <v>69</v>
      </c>
      <c r="S79" s="21">
        <v>0.24639900000000001</v>
      </c>
      <c r="T79">
        <f t="shared" si="6"/>
        <v>34.5184</v>
      </c>
      <c r="U79">
        <f t="shared" si="7"/>
        <v>8.5432349631999998</v>
      </c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0.34759499999999999</v>
      </c>
      <c r="H80" s="21">
        <v>11.7544</v>
      </c>
      <c r="I80" s="21">
        <v>-3.4463500000000001E-2</v>
      </c>
      <c r="J80" s="21">
        <v>70</v>
      </c>
      <c r="K80" s="21">
        <v>0.34643600000000002</v>
      </c>
      <c r="L80">
        <f t="shared" si="4"/>
        <v>34.463500000000003</v>
      </c>
      <c r="M80">
        <f t="shared" si="5"/>
        <v>11.979340282500001</v>
      </c>
      <c r="N80" s="9"/>
      <c r="O80" s="21">
        <v>0.25253300000000001</v>
      </c>
      <c r="P80" s="21">
        <v>15.54</v>
      </c>
      <c r="Q80" s="21">
        <v>-3.4515400000000002E-2</v>
      </c>
      <c r="R80" s="21">
        <v>70</v>
      </c>
      <c r="S80" s="21">
        <v>0.25137300000000001</v>
      </c>
      <c r="T80">
        <f t="shared" si="6"/>
        <v>34.5154</v>
      </c>
      <c r="U80">
        <f t="shared" si="7"/>
        <v>8.716277508200001</v>
      </c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0.34255999999999998</v>
      </c>
      <c r="H81" s="21">
        <v>11.7645</v>
      </c>
      <c r="I81" s="21">
        <v>-3.44666E-2</v>
      </c>
      <c r="J81" s="21">
        <v>71</v>
      </c>
      <c r="K81" s="21">
        <v>0.34137000000000001</v>
      </c>
      <c r="L81">
        <f t="shared" si="4"/>
        <v>34.4666</v>
      </c>
      <c r="M81">
        <f t="shared" si="5"/>
        <v>11.806878496</v>
      </c>
      <c r="N81" s="9"/>
      <c r="O81" s="21">
        <v>0.25756800000000002</v>
      </c>
      <c r="P81" s="21">
        <v>15.5501</v>
      </c>
      <c r="Q81" s="21">
        <v>-3.4521499999999997E-2</v>
      </c>
      <c r="R81" s="21">
        <v>71</v>
      </c>
      <c r="S81" s="21">
        <v>0.25646999999999998</v>
      </c>
      <c r="T81">
        <f t="shared" si="6"/>
        <v>34.521499999999996</v>
      </c>
      <c r="U81">
        <f t="shared" si="7"/>
        <v>8.8916337119999991</v>
      </c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0.33752399999999999</v>
      </c>
      <c r="H82" s="21">
        <v>11.7745</v>
      </c>
      <c r="I82" s="21">
        <v>-3.4472700000000002E-2</v>
      </c>
      <c r="J82" s="21">
        <v>72</v>
      </c>
      <c r="K82" s="21">
        <v>0.33630399999999999</v>
      </c>
      <c r="L82">
        <f t="shared" si="4"/>
        <v>34.472700000000003</v>
      </c>
      <c r="M82">
        <f t="shared" si="5"/>
        <v>11.635363594800001</v>
      </c>
      <c r="N82" s="9"/>
      <c r="O82" s="21">
        <v>0.262604</v>
      </c>
      <c r="P82" s="21">
        <v>15.5601</v>
      </c>
      <c r="Q82" s="21">
        <v>-3.4527599999999999E-2</v>
      </c>
      <c r="R82" s="21">
        <v>72</v>
      </c>
      <c r="S82" s="21">
        <v>0.26144400000000001</v>
      </c>
      <c r="T82">
        <f t="shared" si="6"/>
        <v>34.5276</v>
      </c>
      <c r="U82">
        <f t="shared" si="7"/>
        <v>9.0670858703999997</v>
      </c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0.33248899999999998</v>
      </c>
      <c r="H83" s="21">
        <v>11.784599999999999</v>
      </c>
      <c r="I83" s="21">
        <v>-3.4478799999999997E-2</v>
      </c>
      <c r="J83" s="21">
        <v>73</v>
      </c>
      <c r="K83" s="21">
        <v>0.33142100000000002</v>
      </c>
      <c r="L83">
        <f t="shared" si="4"/>
        <v>34.4788</v>
      </c>
      <c r="M83">
        <f t="shared" si="5"/>
        <v>11.4638217332</v>
      </c>
      <c r="N83" s="9"/>
      <c r="O83" s="21">
        <v>0.26763900000000002</v>
      </c>
      <c r="P83" s="21">
        <v>15.5702</v>
      </c>
      <c r="Q83" s="21">
        <v>-3.4536699999999997E-2</v>
      </c>
      <c r="R83" s="21">
        <v>73</v>
      </c>
      <c r="S83" s="21">
        <v>0.26651000000000002</v>
      </c>
      <c r="T83">
        <f t="shared" si="6"/>
        <v>34.536699999999996</v>
      </c>
      <c r="U83">
        <f t="shared" si="7"/>
        <v>9.2433678513000004</v>
      </c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0.32745400000000002</v>
      </c>
      <c r="H84" s="21">
        <v>11.794700000000001</v>
      </c>
      <c r="I84" s="21">
        <v>-3.4478799999999997E-2</v>
      </c>
      <c r="J84" s="21">
        <v>74</v>
      </c>
      <c r="K84" s="21">
        <v>0.32629399999999997</v>
      </c>
      <c r="L84">
        <f t="shared" si="4"/>
        <v>34.4788</v>
      </c>
      <c r="M84">
        <f t="shared" si="5"/>
        <v>11.2902209752</v>
      </c>
      <c r="N84" s="9"/>
      <c r="O84" s="21">
        <v>0.272675</v>
      </c>
      <c r="P84" s="21">
        <v>15.580299999999999</v>
      </c>
      <c r="Q84" s="21">
        <v>-3.4530600000000002E-2</v>
      </c>
      <c r="R84" s="21">
        <v>74</v>
      </c>
      <c r="S84" s="21">
        <v>0.27154499999999998</v>
      </c>
      <c r="T84">
        <f t="shared" si="6"/>
        <v>34.5306</v>
      </c>
      <c r="U84">
        <f t="shared" si="7"/>
        <v>9.4156313550000004</v>
      </c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0.32241799999999998</v>
      </c>
      <c r="H85" s="21">
        <v>11.8048</v>
      </c>
      <c r="I85" s="21">
        <v>-3.4460400000000002E-2</v>
      </c>
      <c r="J85" s="21">
        <v>75</v>
      </c>
      <c r="K85" s="21">
        <v>0.32125900000000002</v>
      </c>
      <c r="L85">
        <f t="shared" si="4"/>
        <v>34.4604</v>
      </c>
      <c r="M85">
        <f t="shared" si="5"/>
        <v>11.1106532472</v>
      </c>
      <c r="N85" s="9"/>
      <c r="O85" s="21">
        <v>0.27771000000000001</v>
      </c>
      <c r="P85" s="21">
        <v>15.590299999999999</v>
      </c>
      <c r="Q85" s="21">
        <v>-3.4506200000000001E-2</v>
      </c>
      <c r="R85" s="21">
        <v>75</v>
      </c>
      <c r="S85" s="21">
        <v>0.27658100000000002</v>
      </c>
      <c r="T85">
        <f t="shared" si="6"/>
        <v>34.5062</v>
      </c>
      <c r="U85">
        <f t="shared" si="7"/>
        <v>9.5827168020000002</v>
      </c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0.31738300000000003</v>
      </c>
      <c r="H86" s="21">
        <v>11.8148</v>
      </c>
      <c r="I86" s="21">
        <v>-3.4436000000000001E-2</v>
      </c>
      <c r="J86" s="21">
        <v>76</v>
      </c>
      <c r="K86" s="21">
        <v>0.31631500000000001</v>
      </c>
      <c r="L86">
        <f t="shared" si="4"/>
        <v>34.436</v>
      </c>
      <c r="M86">
        <f t="shared" si="5"/>
        <v>10.929400988000001</v>
      </c>
      <c r="N86" s="9"/>
      <c r="O86" s="21">
        <v>0.28274500000000002</v>
      </c>
      <c r="P86" s="21">
        <v>15.6004</v>
      </c>
      <c r="Q86" s="21">
        <v>-3.4491000000000001E-2</v>
      </c>
      <c r="R86" s="21">
        <v>76</v>
      </c>
      <c r="S86" s="21">
        <v>0.28152500000000003</v>
      </c>
      <c r="T86">
        <f t="shared" si="6"/>
        <v>34.491</v>
      </c>
      <c r="U86">
        <f t="shared" si="7"/>
        <v>9.7521577950000005</v>
      </c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0.31234699999999999</v>
      </c>
      <c r="H87" s="21">
        <v>11.8249</v>
      </c>
      <c r="I87" s="21">
        <v>-3.4445200000000002E-2</v>
      </c>
      <c r="J87" s="21">
        <v>77</v>
      </c>
      <c r="K87" s="21">
        <v>0.31127899999999997</v>
      </c>
      <c r="L87">
        <f t="shared" si="4"/>
        <v>34.4452</v>
      </c>
      <c r="M87">
        <f t="shared" si="5"/>
        <v>10.7588548844</v>
      </c>
      <c r="N87" s="9"/>
      <c r="O87" s="21">
        <v>0.28778100000000001</v>
      </c>
      <c r="P87" s="21">
        <v>15.6105</v>
      </c>
      <c r="Q87" s="21">
        <v>-3.4475699999999998E-2</v>
      </c>
      <c r="R87" s="21">
        <v>77</v>
      </c>
      <c r="S87" s="21">
        <v>0.286713</v>
      </c>
      <c r="T87">
        <f t="shared" si="6"/>
        <v>34.475699999999996</v>
      </c>
      <c r="U87">
        <f t="shared" si="7"/>
        <v>9.9214514216999987</v>
      </c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0.30731199999999997</v>
      </c>
      <c r="H88" s="21">
        <v>11.835000000000001</v>
      </c>
      <c r="I88" s="21">
        <v>-3.4469600000000003E-2</v>
      </c>
      <c r="J88" s="21">
        <v>78</v>
      </c>
      <c r="K88" s="21">
        <v>0.30624400000000002</v>
      </c>
      <c r="L88">
        <f t="shared" si="4"/>
        <v>34.4696</v>
      </c>
      <c r="M88">
        <f t="shared" si="5"/>
        <v>10.592921715199999</v>
      </c>
      <c r="N88" s="9"/>
      <c r="O88" s="21">
        <v>0.29281600000000002</v>
      </c>
      <c r="P88" s="21">
        <v>15.6206</v>
      </c>
      <c r="Q88" s="21">
        <v>-3.4478799999999997E-2</v>
      </c>
      <c r="R88" s="21">
        <v>78</v>
      </c>
      <c r="S88" s="21">
        <v>0.29174800000000001</v>
      </c>
      <c r="T88">
        <f t="shared" si="6"/>
        <v>34.4788</v>
      </c>
      <c r="U88">
        <f t="shared" si="7"/>
        <v>10.095944300800001</v>
      </c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0.30227700000000002</v>
      </c>
      <c r="H89" s="21">
        <v>11.845000000000001</v>
      </c>
      <c r="I89" s="21">
        <v>-3.4487900000000002E-2</v>
      </c>
      <c r="J89" s="21">
        <v>79</v>
      </c>
      <c r="K89" s="21">
        <v>0.30120799999999998</v>
      </c>
      <c r="L89">
        <f t="shared" si="4"/>
        <v>34.487900000000003</v>
      </c>
      <c r="M89">
        <f t="shared" si="5"/>
        <v>10.424898948300001</v>
      </c>
      <c r="N89" s="9"/>
      <c r="O89" s="21">
        <v>0.29785200000000001</v>
      </c>
      <c r="P89" s="21">
        <v>15.630599999999999</v>
      </c>
      <c r="Q89" s="21">
        <v>-3.4469600000000003E-2</v>
      </c>
      <c r="R89" s="21">
        <v>79</v>
      </c>
      <c r="S89" s="21">
        <v>0.29669200000000001</v>
      </c>
      <c r="T89">
        <f t="shared" si="6"/>
        <v>34.4696</v>
      </c>
      <c r="U89">
        <f t="shared" si="7"/>
        <v>10.266839299200001</v>
      </c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0.29724099999999998</v>
      </c>
      <c r="H90" s="21">
        <v>11.8551</v>
      </c>
      <c r="I90" s="21">
        <v>-3.4497100000000003E-2</v>
      </c>
      <c r="J90" s="21">
        <v>80</v>
      </c>
      <c r="K90" s="21">
        <v>0.29605100000000001</v>
      </c>
      <c r="L90">
        <f t="shared" si="4"/>
        <v>34.497100000000003</v>
      </c>
      <c r="M90">
        <f t="shared" si="5"/>
        <v>10.253952501100001</v>
      </c>
      <c r="N90" s="9"/>
      <c r="O90" s="21">
        <v>0.30288700000000002</v>
      </c>
      <c r="P90" s="21">
        <v>15.640700000000001</v>
      </c>
      <c r="Q90" s="21">
        <v>-3.4478799999999997E-2</v>
      </c>
      <c r="R90" s="21">
        <v>80</v>
      </c>
      <c r="S90" s="21">
        <v>0.30175800000000003</v>
      </c>
      <c r="T90">
        <f t="shared" si="6"/>
        <v>34.4788</v>
      </c>
      <c r="U90">
        <f t="shared" si="7"/>
        <v>10.443180295600001</v>
      </c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0.29220600000000002</v>
      </c>
      <c r="H91" s="21">
        <v>11.8652</v>
      </c>
      <c r="I91" s="21">
        <v>-3.4503199999999998E-2</v>
      </c>
      <c r="J91" s="21">
        <v>81</v>
      </c>
      <c r="K91" s="21">
        <v>0.29116799999999998</v>
      </c>
      <c r="L91">
        <f t="shared" si="4"/>
        <v>34.5032</v>
      </c>
      <c r="M91">
        <f t="shared" si="5"/>
        <v>10.082042059200001</v>
      </c>
      <c r="N91" s="9"/>
      <c r="O91" s="21">
        <v>0.30792199999999997</v>
      </c>
      <c r="P91" s="21">
        <v>15.6508</v>
      </c>
      <c r="Q91" s="21">
        <v>-3.4500099999999999E-2</v>
      </c>
      <c r="R91" s="21">
        <v>81</v>
      </c>
      <c r="S91" s="21">
        <v>0.30682399999999999</v>
      </c>
      <c r="T91">
        <f t="shared" si="6"/>
        <v>34.500099999999996</v>
      </c>
      <c r="U91">
        <f t="shared" si="7"/>
        <v>10.623339792199998</v>
      </c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0.28716999999999998</v>
      </c>
      <c r="H92" s="21">
        <v>11.875299999999999</v>
      </c>
      <c r="I92" s="21">
        <v>-3.4512300000000003E-2</v>
      </c>
      <c r="J92" s="21">
        <v>82</v>
      </c>
      <c r="K92" s="21">
        <v>0.28607199999999999</v>
      </c>
      <c r="L92">
        <f t="shared" si="4"/>
        <v>34.512300000000003</v>
      </c>
      <c r="M92">
        <f t="shared" si="5"/>
        <v>9.9108971910000001</v>
      </c>
      <c r="N92" s="9"/>
      <c r="O92" s="21">
        <v>0.31295800000000001</v>
      </c>
      <c r="P92" s="21">
        <v>15.6608</v>
      </c>
      <c r="Q92" s="21">
        <v>-3.4521499999999997E-2</v>
      </c>
      <c r="R92" s="21">
        <v>82</v>
      </c>
      <c r="S92" s="21">
        <v>0.31176799999999999</v>
      </c>
      <c r="T92">
        <f t="shared" si="6"/>
        <v>34.521499999999996</v>
      </c>
      <c r="U92">
        <f t="shared" si="7"/>
        <v>10.803779597</v>
      </c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0.28213500000000002</v>
      </c>
      <c r="H93" s="21">
        <v>11.885300000000001</v>
      </c>
      <c r="I93" s="21">
        <v>-3.4500099999999999E-2</v>
      </c>
      <c r="J93" s="21">
        <v>83</v>
      </c>
      <c r="K93" s="21">
        <v>0.28103600000000001</v>
      </c>
      <c r="L93">
        <f t="shared" si="4"/>
        <v>34.500099999999996</v>
      </c>
      <c r="M93">
        <f t="shared" si="5"/>
        <v>9.7336857134999999</v>
      </c>
      <c r="N93" s="9"/>
      <c r="O93" s="21">
        <v>0.31799300000000003</v>
      </c>
      <c r="P93" s="21">
        <v>15.6709</v>
      </c>
      <c r="Q93" s="21">
        <v>-3.4518399999999998E-2</v>
      </c>
      <c r="R93" s="21">
        <v>83</v>
      </c>
      <c r="S93" s="21">
        <v>0.316803</v>
      </c>
      <c r="T93">
        <f t="shared" si="6"/>
        <v>34.5184</v>
      </c>
      <c r="U93">
        <f t="shared" si="7"/>
        <v>10.976609571200001</v>
      </c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0.27710000000000001</v>
      </c>
      <c r="H94" s="21">
        <v>11.8954</v>
      </c>
      <c r="I94" s="21">
        <v>-3.4521499999999997E-2</v>
      </c>
      <c r="J94" s="21">
        <v>84</v>
      </c>
      <c r="K94" s="21">
        <v>0.276001</v>
      </c>
      <c r="L94">
        <f t="shared" si="4"/>
        <v>34.521499999999996</v>
      </c>
      <c r="M94">
        <f t="shared" si="5"/>
        <v>9.5659076499999998</v>
      </c>
      <c r="N94" s="9"/>
      <c r="O94" s="21">
        <v>0.32302900000000001</v>
      </c>
      <c r="P94" s="21">
        <v>15.680999999999999</v>
      </c>
      <c r="Q94" s="21">
        <v>-3.4518399999999998E-2</v>
      </c>
      <c r="R94" s="21">
        <v>84</v>
      </c>
      <c r="S94" s="21">
        <v>0.32189899999999999</v>
      </c>
      <c r="T94">
        <f t="shared" si="6"/>
        <v>34.5184</v>
      </c>
      <c r="U94">
        <f t="shared" si="7"/>
        <v>11.1504442336</v>
      </c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0.27206399999999997</v>
      </c>
      <c r="H95" s="21">
        <v>11.9055</v>
      </c>
      <c r="I95" s="21">
        <v>-3.4536699999999997E-2</v>
      </c>
      <c r="J95" s="21">
        <v>85</v>
      </c>
      <c r="K95" s="21">
        <v>0.27096599999999998</v>
      </c>
      <c r="L95">
        <f t="shared" si="4"/>
        <v>34.536699999999996</v>
      </c>
      <c r="M95">
        <f t="shared" si="5"/>
        <v>9.3961927487999972</v>
      </c>
      <c r="N95" s="9"/>
      <c r="O95" s="21">
        <v>0.32806400000000002</v>
      </c>
      <c r="P95" s="21">
        <v>15.691000000000001</v>
      </c>
      <c r="Q95" s="21">
        <v>-3.4521499999999997E-2</v>
      </c>
      <c r="R95" s="21">
        <v>85</v>
      </c>
      <c r="S95" s="21">
        <v>0.32693499999999998</v>
      </c>
      <c r="T95">
        <f t="shared" si="6"/>
        <v>34.521499999999996</v>
      </c>
      <c r="U95">
        <f t="shared" si="7"/>
        <v>11.325261376</v>
      </c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0.26702900000000002</v>
      </c>
      <c r="H96" s="21">
        <v>11.9155</v>
      </c>
      <c r="I96" s="21">
        <v>-3.4539800000000002E-2</v>
      </c>
      <c r="J96" s="21">
        <v>86</v>
      </c>
      <c r="K96" s="21">
        <v>0.26593</v>
      </c>
      <c r="L96">
        <f t="shared" si="4"/>
        <v>34.5398</v>
      </c>
      <c r="M96">
        <f t="shared" si="5"/>
        <v>9.2231282542000006</v>
      </c>
      <c r="N96" s="9"/>
      <c r="O96" s="21">
        <v>0.33309899999999998</v>
      </c>
      <c r="P96" s="21">
        <v>15.7011</v>
      </c>
      <c r="Q96" s="21">
        <v>-3.4512300000000003E-2</v>
      </c>
      <c r="R96" s="21">
        <v>86</v>
      </c>
      <c r="S96" s="21">
        <v>0.33206200000000002</v>
      </c>
      <c r="T96">
        <f t="shared" si="6"/>
        <v>34.512300000000003</v>
      </c>
      <c r="U96">
        <f t="shared" si="7"/>
        <v>11.4960126177</v>
      </c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0.26199299999999998</v>
      </c>
      <c r="H97" s="21">
        <v>11.925599999999999</v>
      </c>
      <c r="I97" s="21">
        <v>-3.4530600000000002E-2</v>
      </c>
      <c r="J97" s="21">
        <v>87</v>
      </c>
      <c r="K97" s="21">
        <v>0.26092500000000002</v>
      </c>
      <c r="L97">
        <f t="shared" si="4"/>
        <v>34.5306</v>
      </c>
      <c r="M97">
        <f t="shared" si="5"/>
        <v>9.0467754857999996</v>
      </c>
      <c r="N97" s="9"/>
      <c r="O97" s="21">
        <v>0.33813500000000002</v>
      </c>
      <c r="P97" s="21">
        <v>15.7112</v>
      </c>
      <c r="Q97" s="21">
        <v>-3.4497100000000003E-2</v>
      </c>
      <c r="R97" s="21">
        <v>87</v>
      </c>
      <c r="S97" s="21">
        <v>0.33697500000000002</v>
      </c>
      <c r="T97">
        <f t="shared" si="6"/>
        <v>34.497100000000003</v>
      </c>
      <c r="U97">
        <f t="shared" si="7"/>
        <v>11.664676908500002</v>
      </c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0.25695800000000002</v>
      </c>
      <c r="H98" s="21">
        <v>11.935700000000001</v>
      </c>
      <c r="I98" s="21">
        <v>-3.4530600000000002E-2</v>
      </c>
      <c r="J98" s="21">
        <v>88</v>
      </c>
      <c r="K98" s="21">
        <v>0.25579800000000003</v>
      </c>
      <c r="L98">
        <f t="shared" si="4"/>
        <v>34.5306</v>
      </c>
      <c r="M98">
        <f t="shared" si="5"/>
        <v>8.8729139147999998</v>
      </c>
      <c r="N98" s="9"/>
      <c r="O98" s="21">
        <v>0.34316999999999998</v>
      </c>
      <c r="P98" s="21">
        <v>15.721299999999999</v>
      </c>
      <c r="Q98" s="21">
        <v>-3.4484899999999999E-2</v>
      </c>
      <c r="R98" s="21">
        <v>88</v>
      </c>
      <c r="S98" s="21">
        <v>0.34204099999999998</v>
      </c>
      <c r="T98">
        <f t="shared" si="6"/>
        <v>34.484899999999996</v>
      </c>
      <c r="U98">
        <f t="shared" si="7"/>
        <v>11.834183132999998</v>
      </c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0.25192300000000001</v>
      </c>
      <c r="H99" s="21">
        <v>11.9457</v>
      </c>
      <c r="I99" s="21">
        <v>-3.4527599999999999E-2</v>
      </c>
      <c r="J99" s="21">
        <v>89</v>
      </c>
      <c r="K99" s="21">
        <v>0.25082399999999999</v>
      </c>
      <c r="L99">
        <f t="shared" si="4"/>
        <v>34.5276</v>
      </c>
      <c r="M99">
        <f t="shared" si="5"/>
        <v>8.6982965748000005</v>
      </c>
      <c r="N99" s="9"/>
      <c r="O99" s="21">
        <v>0.34820600000000002</v>
      </c>
      <c r="P99" s="21">
        <v>15.731299999999999</v>
      </c>
      <c r="Q99" s="21">
        <v>-3.4484899999999999E-2</v>
      </c>
      <c r="R99" s="21">
        <v>89</v>
      </c>
      <c r="S99" s="21">
        <v>0.347076</v>
      </c>
      <c r="T99">
        <f t="shared" si="6"/>
        <v>34.484899999999996</v>
      </c>
      <c r="U99">
        <f t="shared" si="7"/>
        <v>12.007849089399999</v>
      </c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0.246887</v>
      </c>
      <c r="H100" s="21">
        <v>11.9558</v>
      </c>
      <c r="I100" s="21">
        <v>-3.4533700000000001E-2</v>
      </c>
      <c r="J100" s="21">
        <v>90</v>
      </c>
      <c r="K100" s="21">
        <v>0.24581900000000001</v>
      </c>
      <c r="L100">
        <f t="shared" si="4"/>
        <v>34.533700000000003</v>
      </c>
      <c r="M100">
        <f t="shared" si="5"/>
        <v>8.5259215919000013</v>
      </c>
      <c r="N100" s="9"/>
      <c r="O100" s="21">
        <v>0.35324100000000003</v>
      </c>
      <c r="P100" s="21">
        <v>15.741400000000001</v>
      </c>
      <c r="Q100" s="21">
        <v>-3.4503199999999998E-2</v>
      </c>
      <c r="R100" s="21">
        <v>90</v>
      </c>
      <c r="S100" s="21">
        <v>0.35211199999999998</v>
      </c>
      <c r="T100">
        <f t="shared" si="6"/>
        <v>34.5032</v>
      </c>
      <c r="U100">
        <f t="shared" si="7"/>
        <v>12.187944871200001</v>
      </c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0.24185200000000001</v>
      </c>
      <c r="H101" s="21">
        <v>11.9659</v>
      </c>
      <c r="I101" s="21">
        <v>-3.4539800000000002E-2</v>
      </c>
      <c r="J101" s="21">
        <v>91</v>
      </c>
      <c r="K101" s="21">
        <v>0.24075299999999999</v>
      </c>
      <c r="L101">
        <f t="shared" si="4"/>
        <v>34.5398</v>
      </c>
      <c r="M101">
        <f t="shared" si="5"/>
        <v>8.3535197096000005</v>
      </c>
      <c r="N101" s="9"/>
      <c r="O101" s="21">
        <v>0.35827599999999998</v>
      </c>
      <c r="P101" s="21">
        <v>15.7515</v>
      </c>
      <c r="Q101" s="21">
        <v>-3.4515400000000002E-2</v>
      </c>
      <c r="R101" s="21">
        <v>91</v>
      </c>
      <c r="S101" s="21">
        <v>0.357178</v>
      </c>
      <c r="T101">
        <f t="shared" si="6"/>
        <v>34.5154</v>
      </c>
      <c r="U101">
        <f t="shared" si="7"/>
        <v>12.366039450399999</v>
      </c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0.236816</v>
      </c>
      <c r="H102" s="21">
        <v>11.976000000000001</v>
      </c>
      <c r="I102" s="21">
        <v>-3.4545899999999997E-2</v>
      </c>
      <c r="J102" s="21">
        <v>92</v>
      </c>
      <c r="K102" s="21">
        <v>0.23580899999999999</v>
      </c>
      <c r="L102">
        <f t="shared" si="4"/>
        <v>34.545899999999996</v>
      </c>
      <c r="M102">
        <f t="shared" si="5"/>
        <v>8.1810218543999991</v>
      </c>
      <c r="N102" s="9"/>
      <c r="O102" s="21">
        <v>0.36331200000000002</v>
      </c>
      <c r="P102" s="21">
        <v>15.7615</v>
      </c>
      <c r="Q102" s="21">
        <v>-3.4515400000000002E-2</v>
      </c>
      <c r="R102" s="21">
        <v>92</v>
      </c>
      <c r="S102" s="21">
        <v>0.36215199999999997</v>
      </c>
      <c r="T102">
        <f t="shared" si="6"/>
        <v>34.5154</v>
      </c>
      <c r="U102">
        <f t="shared" si="7"/>
        <v>12.5398590048</v>
      </c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0.23178099999999999</v>
      </c>
      <c r="H103" s="21">
        <v>11.986000000000001</v>
      </c>
      <c r="I103" s="21">
        <v>-3.45612E-2</v>
      </c>
      <c r="J103" s="21">
        <v>93</v>
      </c>
      <c r="K103" s="21">
        <v>0.230682</v>
      </c>
      <c r="L103">
        <f t="shared" si="4"/>
        <v>34.561199999999999</v>
      </c>
      <c r="M103">
        <f t="shared" si="5"/>
        <v>8.0106294972000001</v>
      </c>
      <c r="N103" s="9"/>
      <c r="O103" s="21">
        <v>0.36834699999999998</v>
      </c>
      <c r="P103" s="21">
        <v>15.771599999999999</v>
      </c>
      <c r="Q103" s="21">
        <v>-3.4497100000000003E-2</v>
      </c>
      <c r="R103" s="21">
        <v>93</v>
      </c>
      <c r="S103" s="21">
        <v>0.36721799999999999</v>
      </c>
      <c r="T103">
        <f t="shared" si="6"/>
        <v>34.497100000000003</v>
      </c>
      <c r="U103">
        <f t="shared" si="7"/>
        <v>12.7069032937</v>
      </c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0.226746</v>
      </c>
      <c r="H104" s="21">
        <v>11.9961</v>
      </c>
      <c r="I104" s="21">
        <v>-3.4570299999999998E-2</v>
      </c>
      <c r="J104" s="21">
        <v>94</v>
      </c>
      <c r="K104" s="21">
        <v>0.22564699999999999</v>
      </c>
      <c r="L104">
        <f t="shared" si="4"/>
        <v>34.570299999999996</v>
      </c>
      <c r="M104">
        <f t="shared" si="5"/>
        <v>7.8386772437999994</v>
      </c>
      <c r="N104" s="9"/>
      <c r="O104" s="21">
        <v>0.37338300000000002</v>
      </c>
      <c r="P104" s="21">
        <v>15.781700000000001</v>
      </c>
      <c r="Q104" s="21">
        <v>-3.44666E-2</v>
      </c>
      <c r="R104" s="21">
        <v>94</v>
      </c>
      <c r="S104" s="21">
        <v>0.372253</v>
      </c>
      <c r="T104">
        <f t="shared" si="6"/>
        <v>34.4666</v>
      </c>
      <c r="U104">
        <f t="shared" si="7"/>
        <v>12.869242507800001</v>
      </c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0.22170999999999999</v>
      </c>
      <c r="H105" s="21">
        <v>12.0062</v>
      </c>
      <c r="I105" s="21">
        <v>-3.4579499999999999E-2</v>
      </c>
      <c r="J105" s="21">
        <v>95</v>
      </c>
      <c r="K105" s="21">
        <v>0.220551</v>
      </c>
      <c r="L105">
        <f t="shared" si="4"/>
        <v>34.579499999999996</v>
      </c>
      <c r="M105">
        <f t="shared" si="5"/>
        <v>7.6666209449999991</v>
      </c>
      <c r="N105" s="9"/>
      <c r="O105" s="21">
        <v>0.37841799999999998</v>
      </c>
      <c r="P105" s="21">
        <v>15.7918</v>
      </c>
      <c r="Q105" s="21">
        <v>-3.4451299999999997E-2</v>
      </c>
      <c r="R105" s="21">
        <v>95</v>
      </c>
      <c r="S105" s="21">
        <v>0.37725799999999998</v>
      </c>
      <c r="T105">
        <f t="shared" si="6"/>
        <v>34.451299999999996</v>
      </c>
      <c r="U105">
        <f t="shared" si="7"/>
        <v>13.036992043399998</v>
      </c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0.21667500000000001</v>
      </c>
      <c r="H106" s="21">
        <v>12.0162</v>
      </c>
      <c r="I106" s="21">
        <v>-3.4579499999999999E-2</v>
      </c>
      <c r="J106" s="21">
        <v>96</v>
      </c>
      <c r="K106" s="21">
        <v>0.21560699999999999</v>
      </c>
      <c r="L106">
        <f t="shared" si="4"/>
        <v>34.579499999999996</v>
      </c>
      <c r="M106">
        <f t="shared" si="5"/>
        <v>7.492513162499999</v>
      </c>
      <c r="N106" s="9"/>
      <c r="O106" s="21">
        <v>0.38345299999999999</v>
      </c>
      <c r="P106" s="21">
        <v>15.8018</v>
      </c>
      <c r="Q106" s="21">
        <v>-3.4448199999999998E-2</v>
      </c>
      <c r="R106" s="21">
        <v>96</v>
      </c>
      <c r="S106" s="21">
        <v>0.382324</v>
      </c>
      <c r="T106">
        <f t="shared" si="6"/>
        <v>34.4482</v>
      </c>
      <c r="U106">
        <f t="shared" si="7"/>
        <v>13.209265634599999</v>
      </c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0.21163899999999999</v>
      </c>
      <c r="H107" s="21">
        <v>12.026300000000001</v>
      </c>
      <c r="I107" s="21">
        <v>-3.4555099999999998E-2</v>
      </c>
      <c r="J107" s="21">
        <v>97</v>
      </c>
      <c r="K107" s="21">
        <v>0.21054100000000001</v>
      </c>
      <c r="L107">
        <f t="shared" si="4"/>
        <v>34.555099999999996</v>
      </c>
      <c r="M107">
        <f t="shared" si="5"/>
        <v>7.3132068088999986</v>
      </c>
      <c r="N107" s="9"/>
      <c r="O107" s="21">
        <v>0.38848899999999997</v>
      </c>
      <c r="P107" s="21">
        <v>15.8119</v>
      </c>
      <c r="Q107" s="21">
        <v>-3.4460400000000002E-2</v>
      </c>
      <c r="R107" s="21">
        <v>97</v>
      </c>
      <c r="S107" s="21">
        <v>0.38742100000000002</v>
      </c>
      <c r="T107">
        <f t="shared" si="6"/>
        <v>34.4604</v>
      </c>
      <c r="U107">
        <f t="shared" si="7"/>
        <v>13.387486335599998</v>
      </c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0.20660400000000001</v>
      </c>
      <c r="H108" s="21">
        <v>12.0364</v>
      </c>
      <c r="I108" s="21">
        <v>-3.4549000000000003E-2</v>
      </c>
      <c r="J108" s="21">
        <v>98</v>
      </c>
      <c r="K108" s="21">
        <v>0.205597</v>
      </c>
      <c r="L108">
        <f t="shared" si="4"/>
        <v>34.549000000000007</v>
      </c>
      <c r="M108">
        <f t="shared" si="5"/>
        <v>7.137961596000002</v>
      </c>
      <c r="N108" s="9"/>
      <c r="O108" s="21">
        <v>0.39352399999999998</v>
      </c>
      <c r="P108" s="21">
        <v>15.821999999999999</v>
      </c>
      <c r="Q108" s="21">
        <v>-3.4463500000000001E-2</v>
      </c>
      <c r="R108" s="21">
        <v>98</v>
      </c>
      <c r="S108" s="21">
        <v>0.39239499999999999</v>
      </c>
      <c r="T108">
        <f t="shared" si="6"/>
        <v>34.463500000000003</v>
      </c>
      <c r="U108">
        <f t="shared" si="7"/>
        <v>13.562214374000002</v>
      </c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0.201569</v>
      </c>
      <c r="H109" s="21">
        <v>12.0465</v>
      </c>
      <c r="I109" s="21">
        <v>-3.4564200000000003E-2</v>
      </c>
      <c r="J109" s="21">
        <v>99</v>
      </c>
      <c r="K109" s="21">
        <v>0.20047000000000001</v>
      </c>
      <c r="L109">
        <f t="shared" si="4"/>
        <v>34.564200000000007</v>
      </c>
      <c r="M109">
        <f t="shared" si="5"/>
        <v>6.967071229800001</v>
      </c>
      <c r="N109" s="9"/>
      <c r="O109" s="21">
        <v>0.39856000000000003</v>
      </c>
      <c r="P109" s="21">
        <v>15.832000000000001</v>
      </c>
      <c r="Q109" s="21">
        <v>-3.4475699999999998E-2</v>
      </c>
      <c r="R109" s="21">
        <v>99</v>
      </c>
      <c r="S109" s="21">
        <v>0.39739999999999998</v>
      </c>
      <c r="T109">
        <f t="shared" si="6"/>
        <v>34.475699999999996</v>
      </c>
      <c r="U109">
        <f t="shared" si="7"/>
        <v>13.740634991999999</v>
      </c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0.19653300000000001</v>
      </c>
      <c r="H110" s="21">
        <v>12.0565</v>
      </c>
      <c r="I110" s="21">
        <v>-3.4582500000000002E-2</v>
      </c>
      <c r="J110" s="21">
        <v>100</v>
      </c>
      <c r="K110" s="21">
        <v>0.195496</v>
      </c>
      <c r="L110">
        <f t="shared" si="4"/>
        <v>34.582500000000003</v>
      </c>
      <c r="M110">
        <f t="shared" si="5"/>
        <v>6.7966024725000009</v>
      </c>
      <c r="N110" s="9"/>
      <c r="O110" s="21">
        <v>0.40359499999999998</v>
      </c>
      <c r="P110" s="21">
        <v>15.8421</v>
      </c>
      <c r="Q110" s="21">
        <v>-3.4463500000000001E-2</v>
      </c>
      <c r="R110" s="21">
        <v>100</v>
      </c>
      <c r="S110" s="21">
        <v>0.40240500000000001</v>
      </c>
      <c r="T110">
        <f t="shared" si="6"/>
        <v>34.463500000000003</v>
      </c>
      <c r="U110">
        <f t="shared" si="7"/>
        <v>13.909296282500001</v>
      </c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0.191498</v>
      </c>
      <c r="H111" s="21">
        <v>12.066599999999999</v>
      </c>
      <c r="I111" s="21">
        <v>-3.4585600000000001E-2</v>
      </c>
      <c r="J111" s="21">
        <v>101</v>
      </c>
      <c r="K111" s="21">
        <v>0.19045999999999999</v>
      </c>
      <c r="L111">
        <f t="shared" si="4"/>
        <v>34.585599999999999</v>
      </c>
      <c r="M111">
        <f t="shared" si="5"/>
        <v>6.6230732288</v>
      </c>
      <c r="N111" s="9"/>
      <c r="O111" s="21">
        <v>0.40862999999999999</v>
      </c>
      <c r="P111" s="21">
        <v>15.8522</v>
      </c>
      <c r="Q111" s="21">
        <v>-3.4442100000000003E-2</v>
      </c>
      <c r="R111" s="21">
        <v>101</v>
      </c>
      <c r="S111" s="21">
        <v>0.407501</v>
      </c>
      <c r="T111">
        <f t="shared" si="6"/>
        <v>34.442100000000003</v>
      </c>
      <c r="U111">
        <f t="shared" si="7"/>
        <v>14.074075323000001</v>
      </c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0.18646199999999999</v>
      </c>
      <c r="H112" s="21">
        <v>12.076700000000001</v>
      </c>
      <c r="I112" s="21">
        <v>-3.4573399999999997E-2</v>
      </c>
      <c r="J112" s="21">
        <v>102</v>
      </c>
      <c r="K112" s="21">
        <v>0.18542500000000001</v>
      </c>
      <c r="L112">
        <f t="shared" si="4"/>
        <v>34.573399999999999</v>
      </c>
      <c r="M112">
        <f t="shared" si="5"/>
        <v>6.4466253107999991</v>
      </c>
      <c r="N112" s="9"/>
      <c r="O112" s="21">
        <v>0.41366599999999998</v>
      </c>
      <c r="P112" s="21">
        <v>15.862299999999999</v>
      </c>
      <c r="Q112" s="21">
        <v>-3.4445200000000002E-2</v>
      </c>
      <c r="R112" s="21">
        <v>102</v>
      </c>
      <c r="S112" s="21">
        <v>0.41250599999999998</v>
      </c>
      <c r="T112">
        <f t="shared" si="6"/>
        <v>34.4452</v>
      </c>
      <c r="U112">
        <f t="shared" si="7"/>
        <v>14.2488081032</v>
      </c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0.181427</v>
      </c>
      <c r="H113" s="21">
        <v>12.0867</v>
      </c>
      <c r="I113" s="21">
        <v>-3.4564200000000003E-2</v>
      </c>
      <c r="J113" s="21">
        <v>103</v>
      </c>
      <c r="K113" s="21">
        <v>0.18035899999999999</v>
      </c>
      <c r="L113">
        <f t="shared" si="4"/>
        <v>34.564200000000007</v>
      </c>
      <c r="M113">
        <f t="shared" si="5"/>
        <v>6.2708791134000013</v>
      </c>
      <c r="N113" s="9"/>
      <c r="O113" s="21">
        <v>0.41870099999999999</v>
      </c>
      <c r="P113" s="21">
        <v>15.872299999999999</v>
      </c>
      <c r="Q113" s="21">
        <v>-3.4423799999999997E-2</v>
      </c>
      <c r="R113" s="21">
        <v>103</v>
      </c>
      <c r="S113" s="21">
        <v>0.417572</v>
      </c>
      <c r="T113">
        <f t="shared" si="6"/>
        <v>34.4238</v>
      </c>
      <c r="U113">
        <f t="shared" si="7"/>
        <v>14.4132794838</v>
      </c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0.17639199999999999</v>
      </c>
      <c r="H114" s="21">
        <v>12.0968</v>
      </c>
      <c r="I114" s="21">
        <v>-3.4545899999999997E-2</v>
      </c>
      <c r="J114" s="21">
        <v>104</v>
      </c>
      <c r="K114" s="21">
        <v>0.17532300000000001</v>
      </c>
      <c r="L114">
        <f t="shared" si="4"/>
        <v>34.545899999999996</v>
      </c>
      <c r="M114">
        <f t="shared" si="5"/>
        <v>6.0936203927999992</v>
      </c>
      <c r="N114" s="9"/>
      <c r="O114" s="21">
        <v>0.42373699999999997</v>
      </c>
      <c r="P114" s="21">
        <v>15.882400000000001</v>
      </c>
      <c r="Q114" s="21">
        <v>-3.4414699999999999E-2</v>
      </c>
      <c r="R114" s="21">
        <v>104</v>
      </c>
      <c r="S114" s="21">
        <v>0.42260700000000001</v>
      </c>
      <c r="T114">
        <f t="shared" si="6"/>
        <v>34.414699999999996</v>
      </c>
      <c r="U114">
        <f t="shared" si="7"/>
        <v>14.582781733899997</v>
      </c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0.17135600000000001</v>
      </c>
      <c r="H115" s="21">
        <v>12.1069</v>
      </c>
      <c r="I115" s="21">
        <v>-3.4542799999999999E-2</v>
      </c>
      <c r="J115" s="21">
        <v>105</v>
      </c>
      <c r="K115" s="21">
        <v>0.170349</v>
      </c>
      <c r="L115">
        <f t="shared" si="4"/>
        <v>34.5428</v>
      </c>
      <c r="M115">
        <f t="shared" si="5"/>
        <v>5.9191160368000002</v>
      </c>
      <c r="N115" s="9"/>
      <c r="O115" s="21">
        <v>0.42877199999999999</v>
      </c>
      <c r="P115" s="21">
        <v>15.8925</v>
      </c>
      <c r="Q115" s="21">
        <v>-3.4399399999999997E-2</v>
      </c>
      <c r="R115" s="21">
        <v>105</v>
      </c>
      <c r="S115" s="21">
        <v>0.427643</v>
      </c>
      <c r="T115">
        <f t="shared" si="6"/>
        <v>34.3994</v>
      </c>
      <c r="U115">
        <f t="shared" si="7"/>
        <v>14.7494995368</v>
      </c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0.166321</v>
      </c>
      <c r="H116" s="21">
        <v>12.117000000000001</v>
      </c>
      <c r="I116" s="21">
        <v>-3.4564200000000003E-2</v>
      </c>
      <c r="J116" s="21">
        <v>106</v>
      </c>
      <c r="K116" s="21">
        <v>0.165161</v>
      </c>
      <c r="L116">
        <f t="shared" si="4"/>
        <v>34.564200000000007</v>
      </c>
      <c r="M116">
        <f t="shared" si="5"/>
        <v>5.7487523082000012</v>
      </c>
      <c r="N116" s="9"/>
      <c r="O116" s="21">
        <v>0.433807</v>
      </c>
      <c r="P116" s="21">
        <v>15.9025</v>
      </c>
      <c r="Q116" s="21">
        <v>-3.4371899999999997E-2</v>
      </c>
      <c r="R116" s="21">
        <v>106</v>
      </c>
      <c r="S116" s="21">
        <v>0.43264799999999998</v>
      </c>
      <c r="T116">
        <f t="shared" si="6"/>
        <v>34.371899999999997</v>
      </c>
      <c r="U116">
        <f t="shared" si="7"/>
        <v>14.910770823299998</v>
      </c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0.16128500000000001</v>
      </c>
      <c r="H117" s="21">
        <v>12.127000000000001</v>
      </c>
      <c r="I117" s="21">
        <v>-3.45764E-2</v>
      </c>
      <c r="J117" s="21">
        <v>107</v>
      </c>
      <c r="K117" s="21">
        <v>0.160187</v>
      </c>
      <c r="L117">
        <f t="shared" si="4"/>
        <v>34.5764</v>
      </c>
      <c r="M117">
        <f t="shared" si="5"/>
        <v>5.5766546740000003</v>
      </c>
      <c r="N117" s="9"/>
      <c r="O117" s="21">
        <v>0.43884299999999998</v>
      </c>
      <c r="P117" s="21">
        <v>15.912599999999999</v>
      </c>
      <c r="Q117" s="21">
        <v>-3.43597E-2</v>
      </c>
      <c r="R117" s="21">
        <v>107</v>
      </c>
      <c r="S117" s="21">
        <v>0.43768299999999999</v>
      </c>
      <c r="T117">
        <f t="shared" si="6"/>
        <v>34.359699999999997</v>
      </c>
      <c r="U117">
        <f t="shared" si="7"/>
        <v>15.078513827099998</v>
      </c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0.15625</v>
      </c>
      <c r="H118" s="21">
        <v>12.1371</v>
      </c>
      <c r="I118" s="21">
        <v>-3.45764E-2</v>
      </c>
      <c r="J118" s="21">
        <v>108</v>
      </c>
      <c r="K118" s="21">
        <v>0.15521199999999999</v>
      </c>
      <c r="L118">
        <f t="shared" si="4"/>
        <v>34.5764</v>
      </c>
      <c r="M118">
        <f t="shared" si="5"/>
        <v>5.4025625000000002</v>
      </c>
      <c r="N118" s="9"/>
      <c r="O118" s="21">
        <v>0.44387799999999999</v>
      </c>
      <c r="P118" s="21">
        <v>15.922700000000001</v>
      </c>
      <c r="Q118" s="21">
        <v>-3.4341400000000001E-2</v>
      </c>
      <c r="R118" s="21">
        <v>108</v>
      </c>
      <c r="S118" s="21">
        <v>0.44278000000000001</v>
      </c>
      <c r="T118">
        <f t="shared" si="6"/>
        <v>34.3414</v>
      </c>
      <c r="U118">
        <f t="shared" si="7"/>
        <v>15.243391949199999</v>
      </c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0.15121499999999999</v>
      </c>
      <c r="H119" s="21">
        <v>12.1472</v>
      </c>
      <c r="I119" s="21">
        <v>-3.4582500000000002E-2</v>
      </c>
      <c r="J119" s="21">
        <v>109</v>
      </c>
      <c r="K119" s="21">
        <v>0.150146</v>
      </c>
      <c r="L119">
        <f t="shared" si="4"/>
        <v>34.582500000000003</v>
      </c>
      <c r="M119">
        <f t="shared" si="5"/>
        <v>5.2293927375000004</v>
      </c>
      <c r="N119" s="9"/>
      <c r="O119" s="21">
        <v>0.44891399999999998</v>
      </c>
      <c r="P119" s="21">
        <v>15.9328</v>
      </c>
      <c r="Q119" s="21">
        <v>-3.4326200000000001E-2</v>
      </c>
      <c r="R119" s="21">
        <v>109</v>
      </c>
      <c r="S119" s="21">
        <v>0.44781500000000002</v>
      </c>
      <c r="T119">
        <f t="shared" si="6"/>
        <v>34.3262</v>
      </c>
      <c r="U119">
        <f t="shared" si="7"/>
        <v>15.4095117468</v>
      </c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0.146179</v>
      </c>
      <c r="H120" s="21">
        <v>12.1572</v>
      </c>
      <c r="I120" s="21">
        <v>-3.4594699999999999E-2</v>
      </c>
      <c r="J120" s="21">
        <v>110</v>
      </c>
      <c r="K120" s="21">
        <v>0.14505000000000001</v>
      </c>
      <c r="L120">
        <f t="shared" si="4"/>
        <v>34.594699999999996</v>
      </c>
      <c r="M120">
        <f t="shared" si="5"/>
        <v>5.0570186512999999</v>
      </c>
      <c r="N120" s="9"/>
      <c r="O120" s="21">
        <v>0.45394899999999999</v>
      </c>
      <c r="P120" s="21">
        <v>15.9428</v>
      </c>
      <c r="Q120" s="21">
        <v>-3.4295699999999998E-2</v>
      </c>
      <c r="R120" s="21">
        <v>110</v>
      </c>
      <c r="S120" s="21">
        <v>0.45282</v>
      </c>
      <c r="T120">
        <f t="shared" si="6"/>
        <v>34.295699999999997</v>
      </c>
      <c r="U120">
        <f t="shared" si="7"/>
        <v>15.568498719299997</v>
      </c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0.14114399999999999</v>
      </c>
      <c r="H121" s="21">
        <v>12.167299999999999</v>
      </c>
      <c r="I121" s="21">
        <v>-3.4597799999999998E-2</v>
      </c>
      <c r="J121" s="21">
        <v>111</v>
      </c>
      <c r="K121" s="21">
        <v>0.14010600000000001</v>
      </c>
      <c r="L121">
        <f t="shared" si="4"/>
        <v>34.597799999999999</v>
      </c>
      <c r="M121">
        <f t="shared" si="5"/>
        <v>4.8832718831999999</v>
      </c>
      <c r="N121" s="9"/>
      <c r="O121" s="21">
        <v>0.458984</v>
      </c>
      <c r="P121" s="21">
        <v>15.9529</v>
      </c>
      <c r="Q121" s="21">
        <v>-3.42651E-2</v>
      </c>
      <c r="R121" s="21">
        <v>111</v>
      </c>
      <c r="S121" s="21">
        <v>0.45788600000000002</v>
      </c>
      <c r="T121">
        <f t="shared" si="6"/>
        <v>34.265099999999997</v>
      </c>
      <c r="U121">
        <f t="shared" si="7"/>
        <v>15.727132658399999</v>
      </c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0.13610800000000001</v>
      </c>
      <c r="H122" s="21">
        <v>12.1774</v>
      </c>
      <c r="I122" s="21">
        <v>-3.4600800000000001E-2</v>
      </c>
      <c r="J122" s="21">
        <v>112</v>
      </c>
      <c r="K122" s="21">
        <v>0.13503999999999999</v>
      </c>
      <c r="L122">
        <f t="shared" si="4"/>
        <v>34.6008</v>
      </c>
      <c r="M122">
        <f t="shared" si="5"/>
        <v>4.7094456864000005</v>
      </c>
      <c r="N122" s="9"/>
      <c r="O122" s="21">
        <v>0.46401999999999999</v>
      </c>
      <c r="P122" s="21">
        <v>15.962999999999999</v>
      </c>
      <c r="Q122" s="21">
        <v>-3.4237700000000003E-2</v>
      </c>
      <c r="R122" s="21">
        <v>112</v>
      </c>
      <c r="S122" s="21">
        <v>0.46292100000000003</v>
      </c>
      <c r="T122">
        <f t="shared" si="6"/>
        <v>34.237700000000004</v>
      </c>
      <c r="U122">
        <f t="shared" si="7"/>
        <v>15.886977554000001</v>
      </c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0.131073</v>
      </c>
      <c r="H123" s="21">
        <v>12.1875</v>
      </c>
      <c r="I123" s="21">
        <v>-3.46039E-2</v>
      </c>
      <c r="J123" s="21">
        <v>113</v>
      </c>
      <c r="K123" s="21">
        <v>0.13000500000000001</v>
      </c>
      <c r="L123">
        <f t="shared" si="4"/>
        <v>34.603900000000003</v>
      </c>
      <c r="M123">
        <f t="shared" si="5"/>
        <v>4.5356369847</v>
      </c>
      <c r="N123" s="9"/>
      <c r="O123" s="21">
        <v>0.469055</v>
      </c>
      <c r="P123" s="21">
        <v>15.973000000000001</v>
      </c>
      <c r="Q123" s="21">
        <v>-3.42072E-2</v>
      </c>
      <c r="R123" s="21">
        <v>113</v>
      </c>
      <c r="S123" s="21">
        <v>0.46795700000000001</v>
      </c>
      <c r="T123">
        <f t="shared" si="6"/>
        <v>34.2072</v>
      </c>
      <c r="U123">
        <f t="shared" si="7"/>
        <v>16.045058195999999</v>
      </c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0.12603800000000001</v>
      </c>
      <c r="H124" s="21">
        <v>12.1975</v>
      </c>
      <c r="I124" s="21">
        <v>-3.4594699999999999E-2</v>
      </c>
      <c r="J124" s="21">
        <v>114</v>
      </c>
      <c r="K124" s="21">
        <v>0.124969</v>
      </c>
      <c r="L124">
        <f t="shared" si="4"/>
        <v>34.594699999999996</v>
      </c>
      <c r="M124">
        <f t="shared" si="5"/>
        <v>4.3602467985999995</v>
      </c>
      <c r="N124" s="9"/>
      <c r="O124" s="21">
        <v>0.47409099999999998</v>
      </c>
      <c r="P124" s="21">
        <v>15.9831</v>
      </c>
      <c r="Q124" s="21">
        <v>-3.41797E-2</v>
      </c>
      <c r="R124" s="21">
        <v>114</v>
      </c>
      <c r="S124" s="21">
        <v>0.47293099999999999</v>
      </c>
      <c r="T124">
        <f t="shared" si="6"/>
        <v>34.179699999999997</v>
      </c>
      <c r="U124">
        <f t="shared" si="7"/>
        <v>16.204288152699998</v>
      </c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0.121002</v>
      </c>
      <c r="H125" s="21">
        <v>12.207599999999999</v>
      </c>
      <c r="I125" s="21">
        <v>-3.4600800000000001E-2</v>
      </c>
      <c r="J125" s="21">
        <v>115</v>
      </c>
      <c r="K125" s="21">
        <v>0.12002599999999999</v>
      </c>
      <c r="L125">
        <f t="shared" si="4"/>
        <v>34.6008</v>
      </c>
      <c r="M125">
        <f t="shared" si="5"/>
        <v>4.1867660015999997</v>
      </c>
      <c r="N125" s="9"/>
      <c r="O125" s="21">
        <v>0.479126</v>
      </c>
      <c r="P125" s="21">
        <v>15.9932</v>
      </c>
      <c r="Q125" s="21">
        <v>-3.4137000000000001E-2</v>
      </c>
      <c r="R125" s="21">
        <v>115</v>
      </c>
      <c r="S125" s="21">
        <v>0.47799700000000001</v>
      </c>
      <c r="T125">
        <f t="shared" si="6"/>
        <v>34.137</v>
      </c>
      <c r="U125">
        <f t="shared" si="7"/>
        <v>16.355924261999998</v>
      </c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0.115967</v>
      </c>
      <c r="H126" s="21">
        <v>12.217700000000001</v>
      </c>
      <c r="I126" s="21">
        <v>-3.4610000000000002E-2</v>
      </c>
      <c r="J126" s="21">
        <v>116</v>
      </c>
      <c r="K126" s="21">
        <v>0.114899</v>
      </c>
      <c r="L126">
        <f t="shared" si="4"/>
        <v>34.61</v>
      </c>
      <c r="M126">
        <f t="shared" si="5"/>
        <v>4.01361787</v>
      </c>
      <c r="N126" s="9"/>
      <c r="O126" s="21">
        <v>0.48416100000000001</v>
      </c>
      <c r="P126" s="21">
        <v>16.0032</v>
      </c>
      <c r="Q126" s="21">
        <v>-3.4106400000000002E-2</v>
      </c>
      <c r="R126" s="21">
        <v>116</v>
      </c>
      <c r="S126" s="21">
        <v>0.48315399999999997</v>
      </c>
      <c r="T126">
        <f t="shared" si="6"/>
        <v>34.106400000000001</v>
      </c>
      <c r="U126">
        <f t="shared" si="7"/>
        <v>16.5129887304</v>
      </c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0.110931</v>
      </c>
      <c r="H127" s="21">
        <v>12.2277</v>
      </c>
      <c r="I127" s="21">
        <v>-3.4622199999999999E-2</v>
      </c>
      <c r="J127" s="21">
        <v>117</v>
      </c>
      <c r="K127" s="21">
        <v>0.10989400000000001</v>
      </c>
      <c r="L127">
        <f t="shared" si="4"/>
        <v>34.622199999999999</v>
      </c>
      <c r="M127">
        <f t="shared" si="5"/>
        <v>3.8406752682</v>
      </c>
      <c r="N127" s="9"/>
      <c r="O127" s="21">
        <v>0.48919699999999999</v>
      </c>
      <c r="P127" s="21">
        <v>16.013300000000001</v>
      </c>
      <c r="Q127" s="21">
        <v>-3.4082000000000001E-2</v>
      </c>
      <c r="R127" s="21">
        <v>117</v>
      </c>
      <c r="S127" s="21">
        <v>0.48809799999999998</v>
      </c>
      <c r="T127">
        <f t="shared" si="6"/>
        <v>34.082000000000001</v>
      </c>
      <c r="U127">
        <f t="shared" si="7"/>
        <v>16.672812153999999</v>
      </c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0.105896</v>
      </c>
      <c r="H128" s="21">
        <v>12.2378</v>
      </c>
      <c r="I128" s="21">
        <v>-3.4625200000000002E-2</v>
      </c>
      <c r="J128" s="21">
        <v>118</v>
      </c>
      <c r="K128" s="21">
        <v>0.10485800000000001</v>
      </c>
      <c r="L128">
        <f t="shared" si="4"/>
        <v>34.6252</v>
      </c>
      <c r="M128">
        <f t="shared" si="5"/>
        <v>3.6666701792</v>
      </c>
      <c r="N128" s="9"/>
      <c r="O128" s="21">
        <v>0.494232</v>
      </c>
      <c r="P128" s="21">
        <v>16.023399999999999</v>
      </c>
      <c r="Q128" s="21">
        <v>-3.40576E-2</v>
      </c>
      <c r="R128" s="21">
        <v>118</v>
      </c>
      <c r="S128" s="21">
        <v>0.49310300000000001</v>
      </c>
      <c r="T128">
        <f t="shared" si="6"/>
        <v>34.057600000000001</v>
      </c>
      <c r="U128">
        <f t="shared" si="7"/>
        <v>16.832355763199999</v>
      </c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0.10086100000000001</v>
      </c>
      <c r="H129" s="21">
        <v>12.2479</v>
      </c>
      <c r="I129" s="21">
        <v>-3.4610000000000002E-2</v>
      </c>
      <c r="J129" s="21">
        <v>119</v>
      </c>
      <c r="K129" s="21">
        <v>9.9792500000000006E-2</v>
      </c>
      <c r="L129">
        <f t="shared" si="4"/>
        <v>34.61</v>
      </c>
      <c r="M129">
        <f t="shared" si="5"/>
        <v>3.49079921</v>
      </c>
      <c r="N129" s="9"/>
      <c r="O129" s="21">
        <v>0.49926799999999999</v>
      </c>
      <c r="P129" s="21">
        <v>16.0335</v>
      </c>
      <c r="Q129" s="21">
        <v>-3.4011800000000002E-2</v>
      </c>
      <c r="R129" s="21">
        <v>119</v>
      </c>
      <c r="S129" s="21">
        <v>0.49813800000000003</v>
      </c>
      <c r="T129">
        <f t="shared" si="6"/>
        <v>34.011800000000001</v>
      </c>
      <c r="U129">
        <f t="shared" si="7"/>
        <v>16.981003362399999</v>
      </c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9.5825199999999999E-2</v>
      </c>
      <c r="H130" s="21">
        <v>12.257899999999999</v>
      </c>
      <c r="I130" s="21">
        <v>-3.4600800000000001E-2</v>
      </c>
      <c r="J130" s="21">
        <v>120</v>
      </c>
      <c r="K130" s="21">
        <v>9.4848600000000005E-2</v>
      </c>
      <c r="L130">
        <f t="shared" si="4"/>
        <v>34.6008</v>
      </c>
      <c r="M130">
        <f t="shared" si="5"/>
        <v>3.3156285801599998</v>
      </c>
      <c r="N130" s="9"/>
      <c r="O130" s="21">
        <v>0.50430299999999995</v>
      </c>
      <c r="P130" s="21">
        <v>16.043500000000002</v>
      </c>
      <c r="Q130" s="21">
        <v>-3.3953900000000002E-2</v>
      </c>
      <c r="R130" s="21">
        <v>120</v>
      </c>
      <c r="S130" s="21">
        <v>0.50311300000000003</v>
      </c>
      <c r="T130">
        <f t="shared" si="6"/>
        <v>33.953900000000004</v>
      </c>
      <c r="U130">
        <f t="shared" si="7"/>
        <v>17.123053631699999</v>
      </c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9.0789800000000004E-2</v>
      </c>
      <c r="H131" s="21">
        <v>12.268000000000001</v>
      </c>
      <c r="I131" s="21">
        <v>-3.4588599999999997E-2</v>
      </c>
      <c r="J131" s="21">
        <v>121</v>
      </c>
      <c r="K131" s="21">
        <v>8.9752200000000004E-2</v>
      </c>
      <c r="L131">
        <f t="shared" si="4"/>
        <v>34.5886</v>
      </c>
      <c r="M131">
        <f t="shared" si="5"/>
        <v>3.1402920762800002</v>
      </c>
      <c r="N131" s="9"/>
      <c r="O131" s="21">
        <v>0.50933799999999996</v>
      </c>
      <c r="P131" s="21">
        <v>16.053599999999999</v>
      </c>
      <c r="Q131" s="21">
        <v>-3.3904999999999998E-2</v>
      </c>
      <c r="R131" s="21">
        <v>121</v>
      </c>
      <c r="S131" s="21">
        <v>0.50811799999999996</v>
      </c>
      <c r="T131">
        <f t="shared" si="6"/>
        <v>33.905000000000001</v>
      </c>
      <c r="U131">
        <f t="shared" si="7"/>
        <v>17.269104889999998</v>
      </c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8.5754399999999995E-2</v>
      </c>
      <c r="H132" s="21">
        <v>12.2781</v>
      </c>
      <c r="I132" s="21">
        <v>-3.4585600000000001E-2</v>
      </c>
      <c r="J132" s="21">
        <v>122</v>
      </c>
      <c r="K132" s="21">
        <v>8.47778E-2</v>
      </c>
      <c r="L132">
        <f t="shared" si="4"/>
        <v>34.585599999999999</v>
      </c>
      <c r="M132">
        <f t="shared" si="5"/>
        <v>2.9658673766399999</v>
      </c>
      <c r="N132" s="9"/>
      <c r="O132" s="21">
        <v>0.514374</v>
      </c>
      <c r="P132" s="21">
        <v>16.063700000000001</v>
      </c>
      <c r="Q132" s="21">
        <v>-3.3831800000000002E-2</v>
      </c>
      <c r="R132" s="21">
        <v>122</v>
      </c>
      <c r="S132" s="21">
        <v>0.51321399999999995</v>
      </c>
      <c r="T132">
        <f t="shared" si="6"/>
        <v>33.831800000000001</v>
      </c>
      <c r="U132">
        <f t="shared" si="7"/>
        <v>17.402198293200001</v>
      </c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8.0718999999999999E-2</v>
      </c>
      <c r="H133" s="21">
        <v>12.2882</v>
      </c>
      <c r="I133" s="21">
        <v>-3.4585600000000001E-2</v>
      </c>
      <c r="J133" s="21">
        <v>123</v>
      </c>
      <c r="K133" s="21">
        <v>7.9681399999999999E-2</v>
      </c>
      <c r="L133">
        <f t="shared" si="4"/>
        <v>34.585599999999999</v>
      </c>
      <c r="M133">
        <f t="shared" si="5"/>
        <v>2.7917150463999998</v>
      </c>
      <c r="N133" s="9"/>
      <c r="O133" s="21">
        <v>0.51940900000000001</v>
      </c>
      <c r="P133" s="21">
        <v>16.073699999999999</v>
      </c>
      <c r="Q133" s="21">
        <v>-3.3770799999999997E-2</v>
      </c>
      <c r="R133" s="21">
        <v>123</v>
      </c>
      <c r="S133" s="21">
        <v>0.51821899999999999</v>
      </c>
      <c r="T133">
        <f t="shared" si="6"/>
        <v>33.770799999999994</v>
      </c>
      <c r="U133">
        <f t="shared" si="7"/>
        <v>17.540857457199998</v>
      </c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7.5683600000000004E-2</v>
      </c>
      <c r="H134" s="21">
        <v>12.2982</v>
      </c>
      <c r="I134" s="21">
        <v>-3.4591700000000003E-2</v>
      </c>
      <c r="J134" s="21">
        <v>124</v>
      </c>
      <c r="K134" s="21">
        <v>7.4706999999999996E-2</v>
      </c>
      <c r="L134">
        <f t="shared" si="4"/>
        <v>34.591700000000003</v>
      </c>
      <c r="M134">
        <f t="shared" si="5"/>
        <v>2.6180243861200005</v>
      </c>
      <c r="N134" s="9"/>
      <c r="O134" s="21">
        <v>0.52444500000000005</v>
      </c>
      <c r="P134" s="21">
        <v>16.0838</v>
      </c>
      <c r="Q134" s="21">
        <v>-3.3691400000000003E-2</v>
      </c>
      <c r="R134" s="21">
        <v>124</v>
      </c>
      <c r="S134" s="21">
        <v>0.52331499999999997</v>
      </c>
      <c r="T134">
        <f t="shared" si="6"/>
        <v>33.691400000000002</v>
      </c>
      <c r="U134">
        <f t="shared" si="7"/>
        <v>17.669286273000001</v>
      </c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7.0648199999999994E-2</v>
      </c>
      <c r="H135" s="21">
        <v>12.308299999999999</v>
      </c>
      <c r="I135" s="21">
        <v>-3.4588599999999997E-2</v>
      </c>
      <c r="J135" s="21">
        <v>125</v>
      </c>
      <c r="K135" s="21">
        <v>6.9549600000000003E-2</v>
      </c>
      <c r="L135">
        <f t="shared" si="4"/>
        <v>34.5886</v>
      </c>
      <c r="M135">
        <f t="shared" si="5"/>
        <v>2.4436223305199998</v>
      </c>
      <c r="N135" s="9"/>
      <c r="O135" s="21">
        <v>0.52947999999999995</v>
      </c>
      <c r="P135" s="21">
        <v>16.093900000000001</v>
      </c>
      <c r="Q135" s="21">
        <v>-3.3587600000000002E-2</v>
      </c>
      <c r="R135" s="21">
        <v>125</v>
      </c>
      <c r="S135" s="21">
        <v>0.52829000000000004</v>
      </c>
      <c r="T135">
        <f t="shared" si="6"/>
        <v>33.587600000000002</v>
      </c>
      <c r="U135">
        <f t="shared" si="7"/>
        <v>17.783962448</v>
      </c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6.5612799999999999E-2</v>
      </c>
      <c r="H136" s="21">
        <v>12.3184</v>
      </c>
      <c r="I136" s="21">
        <v>-3.4591700000000003E-2</v>
      </c>
      <c r="J136" s="21">
        <v>126</v>
      </c>
      <c r="K136" s="21">
        <v>6.4544699999999997E-2</v>
      </c>
      <c r="L136">
        <f t="shared" si="4"/>
        <v>34.591700000000003</v>
      </c>
      <c r="M136">
        <f t="shared" si="5"/>
        <v>2.2696582937600001</v>
      </c>
      <c r="N136" s="9"/>
      <c r="O136" s="21">
        <v>0.53451499999999996</v>
      </c>
      <c r="P136" s="21">
        <v>16.103999999999999</v>
      </c>
      <c r="Q136" s="21">
        <v>-3.3468600000000001E-2</v>
      </c>
      <c r="R136" s="21">
        <v>126</v>
      </c>
      <c r="S136" s="21">
        <v>0.53335600000000005</v>
      </c>
      <c r="T136">
        <f t="shared" si="6"/>
        <v>33.468600000000002</v>
      </c>
      <c r="U136">
        <f t="shared" si="7"/>
        <v>17.889468729000001</v>
      </c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6.0577400000000003E-2</v>
      </c>
      <c r="H137" s="21">
        <v>12.3284</v>
      </c>
      <c r="I137" s="21">
        <v>-3.4610000000000002E-2</v>
      </c>
      <c r="J137" s="21">
        <v>127</v>
      </c>
      <c r="K137" s="21">
        <v>5.9478799999999998E-2</v>
      </c>
      <c r="L137">
        <f t="shared" si="4"/>
        <v>34.61</v>
      </c>
      <c r="M137">
        <f t="shared" si="5"/>
        <v>2.0965838140000002</v>
      </c>
      <c r="N137" s="9"/>
      <c r="O137" s="21">
        <v>0.539551</v>
      </c>
      <c r="P137" s="21">
        <v>16.114000000000001</v>
      </c>
      <c r="Q137" s="21">
        <v>-3.33344E-2</v>
      </c>
      <c r="R137" s="21">
        <v>127</v>
      </c>
      <c r="S137" s="21">
        <v>0.53839099999999995</v>
      </c>
      <c r="T137">
        <f t="shared" si="6"/>
        <v>33.334400000000002</v>
      </c>
      <c r="U137">
        <f t="shared" si="7"/>
        <v>17.985608854400002</v>
      </c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5.5542000000000001E-2</v>
      </c>
      <c r="H138" s="21">
        <v>12.3385</v>
      </c>
      <c r="I138" s="21">
        <v>-3.4612999999999998E-2</v>
      </c>
      <c r="J138" s="21">
        <v>128</v>
      </c>
      <c r="K138" s="21">
        <v>5.4504400000000001E-2</v>
      </c>
      <c r="L138">
        <f t="shared" si="4"/>
        <v>34.613</v>
      </c>
      <c r="M138">
        <f t="shared" si="5"/>
        <v>1.9224752460000001</v>
      </c>
      <c r="N138" s="9"/>
      <c r="O138" s="21">
        <v>0.54458600000000001</v>
      </c>
      <c r="P138" s="21">
        <v>16.124099999999999</v>
      </c>
      <c r="Q138" s="21">
        <v>-3.32123E-2</v>
      </c>
      <c r="R138" s="21">
        <v>128</v>
      </c>
      <c r="S138" s="21">
        <v>0.54342699999999999</v>
      </c>
      <c r="T138">
        <f t="shared" si="6"/>
        <v>33.212299999999999</v>
      </c>
      <c r="U138">
        <f t="shared" si="7"/>
        <v>18.086953607800002</v>
      </c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5.0506599999999999E-2</v>
      </c>
      <c r="H139" s="21">
        <v>12.348599999999999</v>
      </c>
      <c r="I139" s="21">
        <v>-3.4631299999999997E-2</v>
      </c>
      <c r="J139" s="21">
        <v>129</v>
      </c>
      <c r="K139" s="21">
        <v>5.0225800000000001E-2</v>
      </c>
      <c r="L139">
        <f t="shared" si="4"/>
        <v>34.631299999999996</v>
      </c>
      <c r="M139">
        <f t="shared" si="5"/>
        <v>1.7491092165799997</v>
      </c>
      <c r="N139" s="9"/>
      <c r="O139" s="21">
        <v>0.54962200000000005</v>
      </c>
      <c r="P139" s="21">
        <v>16.1342</v>
      </c>
      <c r="Q139" s="21">
        <v>-3.30475E-2</v>
      </c>
      <c r="R139" s="21">
        <v>129</v>
      </c>
      <c r="S139" s="21">
        <v>0.54846200000000001</v>
      </c>
      <c r="T139">
        <f t="shared" si="6"/>
        <v>33.047499999999999</v>
      </c>
      <c r="U139">
        <f t="shared" si="7"/>
        <v>18.163633045000001</v>
      </c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4.5471200000000003E-2</v>
      </c>
      <c r="H140" s="21">
        <v>12.358700000000001</v>
      </c>
      <c r="I140" s="21">
        <v>-3.4637500000000002E-2</v>
      </c>
      <c r="J140" s="21">
        <v>130</v>
      </c>
      <c r="K140" s="21">
        <v>4.5141599999999997E-2</v>
      </c>
      <c r="L140">
        <f t="shared" ref="L140:L169" si="8">-I140/$F$2*1000</f>
        <v>34.637500000000003</v>
      </c>
      <c r="M140">
        <f t="shared" ref="M140:M169" si="9">L140*G140</f>
        <v>1.5750086900000002</v>
      </c>
      <c r="N140" s="9"/>
      <c r="O140" s="21">
        <v>0.55465699999999996</v>
      </c>
      <c r="P140" s="21">
        <v>16.144200000000001</v>
      </c>
      <c r="Q140" s="21">
        <v>-3.2852199999999998E-2</v>
      </c>
      <c r="R140" s="21">
        <v>130</v>
      </c>
      <c r="S140" s="21">
        <v>0.55349700000000002</v>
      </c>
      <c r="T140">
        <f t="shared" ref="T140:T169" si="10">-Q140/$F$2*1000</f>
        <v>32.852199999999996</v>
      </c>
      <c r="U140">
        <f t="shared" ref="U140:U169" si="11">T140*O140</f>
        <v>18.221702695399998</v>
      </c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4.0435800000000001E-2</v>
      </c>
      <c r="H141" s="21">
        <v>12.3687</v>
      </c>
      <c r="I141" s="21">
        <v>-3.4658799999999997E-2</v>
      </c>
      <c r="J141" s="21">
        <v>131</v>
      </c>
      <c r="K141" s="21">
        <v>4.0173300000000002E-2</v>
      </c>
      <c r="L141">
        <f t="shared" si="8"/>
        <v>34.658799999999999</v>
      </c>
      <c r="M141">
        <f t="shared" si="9"/>
        <v>1.40145630504</v>
      </c>
      <c r="N141" s="9"/>
      <c r="O141" s="21">
        <v>0.55969199999999997</v>
      </c>
      <c r="P141" s="21">
        <v>16.154299999999999</v>
      </c>
      <c r="Q141" s="21">
        <v>-3.26141E-2</v>
      </c>
      <c r="R141" s="21">
        <v>131</v>
      </c>
      <c r="S141" s="21">
        <v>0.55853299999999995</v>
      </c>
      <c r="T141">
        <f t="shared" si="10"/>
        <v>32.614100000000001</v>
      </c>
      <c r="U141">
        <f t="shared" si="11"/>
        <v>18.2538508572</v>
      </c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3.5400399999999999E-2</v>
      </c>
      <c r="H142" s="21">
        <v>12.3788</v>
      </c>
      <c r="I142" s="21">
        <v>-3.4686300000000003E-2</v>
      </c>
      <c r="J142" s="21">
        <v>132</v>
      </c>
      <c r="K142" s="21">
        <v>3.5086100000000002E-2</v>
      </c>
      <c r="L142">
        <f t="shared" si="8"/>
        <v>34.686300000000003</v>
      </c>
      <c r="M142">
        <f t="shared" si="9"/>
        <v>1.2279088945200001</v>
      </c>
      <c r="N142" s="9"/>
      <c r="O142" s="21">
        <v>0.56472800000000001</v>
      </c>
      <c r="P142" s="21">
        <v>16.164400000000001</v>
      </c>
      <c r="Q142" s="21">
        <v>-3.2348599999999998E-2</v>
      </c>
      <c r="R142" s="21">
        <v>132</v>
      </c>
      <c r="S142" s="21">
        <v>0.56356799999999996</v>
      </c>
      <c r="T142">
        <f t="shared" si="10"/>
        <v>32.348599999999998</v>
      </c>
      <c r="U142">
        <f t="shared" si="11"/>
        <v>18.268160180799999</v>
      </c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3.0365E-2</v>
      </c>
      <c r="H143" s="21">
        <v>12.3889</v>
      </c>
      <c r="I143" s="21">
        <v>-3.4710699999999997E-2</v>
      </c>
      <c r="J143" s="21">
        <v>133</v>
      </c>
      <c r="K143" s="21">
        <v>3.0020100000000001E-2</v>
      </c>
      <c r="L143">
        <f t="shared" si="8"/>
        <v>34.710699999999996</v>
      </c>
      <c r="M143">
        <f t="shared" si="9"/>
        <v>1.0539904054999998</v>
      </c>
      <c r="N143" s="9"/>
      <c r="O143" s="21">
        <v>0.56976300000000002</v>
      </c>
      <c r="P143" s="21">
        <v>16.174499999999998</v>
      </c>
      <c r="Q143" s="21">
        <v>-3.2031299999999999E-2</v>
      </c>
      <c r="R143" s="21">
        <v>133</v>
      </c>
      <c r="S143" s="21">
        <v>0.56863399999999997</v>
      </c>
      <c r="T143">
        <f t="shared" si="10"/>
        <v>32.031300000000002</v>
      </c>
      <c r="U143">
        <f t="shared" si="11"/>
        <v>18.2502495819</v>
      </c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2.5329600000000001E-2</v>
      </c>
      <c r="H144" s="21">
        <v>12.398899999999999</v>
      </c>
      <c r="I144" s="21">
        <v>-3.4716799999999999E-2</v>
      </c>
      <c r="J144" s="21">
        <v>134</v>
      </c>
      <c r="K144" s="21">
        <v>2.5036599999999999E-2</v>
      </c>
      <c r="L144">
        <f t="shared" si="8"/>
        <v>34.716799999999999</v>
      </c>
      <c r="M144">
        <f t="shared" si="9"/>
        <v>0.87936265727999996</v>
      </c>
      <c r="N144" s="9"/>
      <c r="O144" s="21">
        <v>0.57479899999999995</v>
      </c>
      <c r="P144" s="21">
        <v>16.1845</v>
      </c>
      <c r="Q144" s="21">
        <v>-3.1707800000000001E-2</v>
      </c>
      <c r="R144" s="21">
        <v>134</v>
      </c>
      <c r="S144" s="21">
        <v>0.57360800000000001</v>
      </c>
      <c r="T144">
        <f t="shared" si="10"/>
        <v>31.707800000000002</v>
      </c>
      <c r="U144">
        <f t="shared" si="11"/>
        <v>18.225611732200001</v>
      </c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2.0294199999999998E-2</v>
      </c>
      <c r="H145" s="21">
        <v>12.409000000000001</v>
      </c>
      <c r="I145" s="21">
        <v>-3.4707599999999998E-2</v>
      </c>
      <c r="J145" s="21">
        <v>135</v>
      </c>
      <c r="K145" s="21">
        <v>1.9992099999999999E-2</v>
      </c>
      <c r="L145">
        <f t="shared" si="8"/>
        <v>34.707599999999999</v>
      </c>
      <c r="M145">
        <f t="shared" si="9"/>
        <v>0.70436297591999997</v>
      </c>
      <c r="N145" s="9"/>
      <c r="O145" s="21">
        <v>0.57983399999999996</v>
      </c>
      <c r="P145" s="21">
        <v>16.194600000000001</v>
      </c>
      <c r="Q145" s="21">
        <v>-3.1341599999999997E-2</v>
      </c>
      <c r="R145" s="21">
        <v>135</v>
      </c>
      <c r="S145" s="21">
        <v>0.578735</v>
      </c>
      <c r="T145">
        <f t="shared" si="10"/>
        <v>31.341599999999996</v>
      </c>
      <c r="U145">
        <f t="shared" si="11"/>
        <v>18.172925294399995</v>
      </c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1.5258799999999999E-2</v>
      </c>
      <c r="H146" s="21">
        <v>12.4191</v>
      </c>
      <c r="I146" s="21">
        <v>-3.47137E-2</v>
      </c>
      <c r="J146" s="21">
        <v>136</v>
      </c>
      <c r="K146" s="21">
        <v>1.48956E-2</v>
      </c>
      <c r="L146">
        <f t="shared" si="8"/>
        <v>34.713700000000003</v>
      </c>
      <c r="M146">
        <f t="shared" si="9"/>
        <v>0.52968940555999999</v>
      </c>
      <c r="N146" s="9"/>
      <c r="O146" s="21">
        <v>0.58486899999999997</v>
      </c>
      <c r="P146" s="21">
        <v>16.204699999999999</v>
      </c>
      <c r="Q146" s="21">
        <v>-3.0929600000000002E-2</v>
      </c>
      <c r="R146" s="21">
        <v>136</v>
      </c>
      <c r="S146" s="21">
        <v>0.58374000000000004</v>
      </c>
      <c r="T146">
        <f t="shared" si="10"/>
        <v>30.929600000000001</v>
      </c>
      <c r="U146">
        <f t="shared" si="11"/>
        <v>18.089764222399999</v>
      </c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1.0223400000000001E-2</v>
      </c>
      <c r="H147" s="21">
        <v>12.4292</v>
      </c>
      <c r="I147" s="21">
        <v>-3.4707599999999998E-2</v>
      </c>
      <c r="J147" s="21">
        <v>137</v>
      </c>
      <c r="K147" s="21">
        <v>9.9243200000000004E-3</v>
      </c>
      <c r="L147">
        <f t="shared" si="8"/>
        <v>34.707599999999999</v>
      </c>
      <c r="M147">
        <f t="shared" si="9"/>
        <v>0.35482967784000002</v>
      </c>
      <c r="N147" s="9"/>
      <c r="O147" s="21">
        <v>0.58990500000000001</v>
      </c>
      <c r="P147" s="21">
        <v>16.214700000000001</v>
      </c>
      <c r="Q147" s="21">
        <v>-3.0456500000000001E-2</v>
      </c>
      <c r="R147" s="21">
        <v>137</v>
      </c>
      <c r="S147" s="21">
        <v>0.58880600000000005</v>
      </c>
      <c r="T147">
        <f t="shared" si="10"/>
        <v>30.456500000000002</v>
      </c>
      <c r="U147">
        <f t="shared" si="11"/>
        <v>17.9664416325</v>
      </c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5.18799E-3</v>
      </c>
      <c r="H148" s="21">
        <v>12.4392</v>
      </c>
      <c r="I148" s="21">
        <v>-3.4704600000000002E-2</v>
      </c>
      <c r="J148" s="21">
        <v>138</v>
      </c>
      <c r="K148" s="21">
        <v>4.8217800000000003E-3</v>
      </c>
      <c r="L148">
        <f t="shared" si="8"/>
        <v>34.704599999999999</v>
      </c>
      <c r="M148">
        <f t="shared" si="9"/>
        <v>0.18004711775400001</v>
      </c>
      <c r="N148" s="9"/>
      <c r="O148" s="21">
        <v>0.59494000000000002</v>
      </c>
      <c r="P148" s="21">
        <v>16.224799999999998</v>
      </c>
      <c r="Q148" s="21">
        <v>-2.99408E-2</v>
      </c>
      <c r="R148" s="21">
        <v>138</v>
      </c>
      <c r="S148" s="21">
        <v>0.59390299999999996</v>
      </c>
      <c r="T148">
        <f t="shared" si="10"/>
        <v>29.940799999999999</v>
      </c>
      <c r="U148">
        <f t="shared" si="11"/>
        <v>17.812979552000002</v>
      </c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1.52588E-4</v>
      </c>
      <c r="H149" s="21">
        <v>12.449299999999999</v>
      </c>
      <c r="I149" s="21">
        <v>-3.4719800000000002E-2</v>
      </c>
      <c r="J149" s="21">
        <v>139</v>
      </c>
      <c r="K149" s="21">
        <v>-2.41089E-4</v>
      </c>
      <c r="L149">
        <f t="shared" si="8"/>
        <v>34.719799999999999</v>
      </c>
      <c r="M149">
        <f t="shared" si="9"/>
        <v>5.2978248424E-3</v>
      </c>
      <c r="N149" s="9"/>
      <c r="O149" s="21">
        <v>0.59997599999999995</v>
      </c>
      <c r="P149" s="21">
        <v>16.2349</v>
      </c>
      <c r="Q149" s="21">
        <v>-2.93549E-2</v>
      </c>
      <c r="R149" s="21">
        <v>139</v>
      </c>
      <c r="S149" s="21">
        <v>0.59896899999999997</v>
      </c>
      <c r="T149">
        <f t="shared" si="10"/>
        <v>29.354900000000001</v>
      </c>
      <c r="U149">
        <f t="shared" si="11"/>
        <v>17.612235482399999</v>
      </c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-4.8828099999999996E-3</v>
      </c>
      <c r="H150" s="21">
        <v>12.4594</v>
      </c>
      <c r="I150" s="21">
        <v>-3.4722900000000001E-2</v>
      </c>
      <c r="J150" s="21">
        <v>140</v>
      </c>
      <c r="K150" s="21">
        <v>-5.30701E-3</v>
      </c>
      <c r="L150">
        <f t="shared" si="8"/>
        <v>34.722900000000003</v>
      </c>
      <c r="M150">
        <f t="shared" si="9"/>
        <v>-0.16954532334899999</v>
      </c>
      <c r="N150" s="9"/>
      <c r="O150" s="21">
        <v>0.60501099999999997</v>
      </c>
      <c r="P150" s="21">
        <v>16.245000000000001</v>
      </c>
      <c r="Q150" s="21">
        <v>-2.8689599999999999E-2</v>
      </c>
      <c r="R150" s="21">
        <v>140</v>
      </c>
      <c r="S150" s="21">
        <v>0.60397299999999998</v>
      </c>
      <c r="T150">
        <f t="shared" si="10"/>
        <v>28.689599999999999</v>
      </c>
      <c r="U150">
        <f t="shared" si="11"/>
        <v>17.357523585599999</v>
      </c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-9.9182100000000002E-3</v>
      </c>
      <c r="H151" s="21">
        <v>12.4694</v>
      </c>
      <c r="I151" s="21">
        <v>-3.4732100000000002E-2</v>
      </c>
      <c r="J151" s="21">
        <v>141</v>
      </c>
      <c r="K151" s="21">
        <v>-1.0376E-2</v>
      </c>
      <c r="L151">
        <f t="shared" si="8"/>
        <v>34.732100000000003</v>
      </c>
      <c r="M151">
        <f t="shared" si="9"/>
        <v>-0.34448026154100003</v>
      </c>
      <c r="N151" s="9"/>
      <c r="O151" s="21">
        <v>0.61004599999999998</v>
      </c>
      <c r="P151" s="21">
        <v>16.254999999999999</v>
      </c>
      <c r="Q151" s="21">
        <v>-2.79388E-2</v>
      </c>
      <c r="R151" s="21">
        <v>141</v>
      </c>
      <c r="S151" s="21">
        <v>0.60897800000000002</v>
      </c>
      <c r="T151">
        <f t="shared" si="10"/>
        <v>27.938800000000001</v>
      </c>
      <c r="U151">
        <f t="shared" si="11"/>
        <v>17.043953184799999</v>
      </c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-1.4953599999999999E-2</v>
      </c>
      <c r="H152" s="21">
        <v>12.4795</v>
      </c>
      <c r="I152" s="21">
        <v>-3.4750400000000001E-2</v>
      </c>
      <c r="J152" s="21">
        <v>142</v>
      </c>
      <c r="K152" s="21">
        <v>-1.54205E-2</v>
      </c>
      <c r="L152">
        <f t="shared" si="8"/>
        <v>34.750399999999999</v>
      </c>
      <c r="M152">
        <f t="shared" si="9"/>
        <v>-0.51964358144</v>
      </c>
      <c r="N152" s="9"/>
      <c r="O152" s="21">
        <v>0.61508200000000002</v>
      </c>
      <c r="P152" s="21">
        <v>16.2651</v>
      </c>
      <c r="Q152" s="21">
        <v>-2.7123999999999999E-2</v>
      </c>
      <c r="R152" s="21">
        <v>142</v>
      </c>
      <c r="S152" s="21">
        <v>0.61410500000000001</v>
      </c>
      <c r="T152">
        <f t="shared" si="10"/>
        <v>27.123999999999999</v>
      </c>
      <c r="U152">
        <f t="shared" si="11"/>
        <v>16.683484168</v>
      </c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-1.9989E-2</v>
      </c>
      <c r="H153" s="21">
        <v>12.489599999999999</v>
      </c>
      <c r="I153" s="21">
        <v>-3.4732100000000002E-2</v>
      </c>
      <c r="J153" s="21">
        <v>143</v>
      </c>
      <c r="K153" s="21">
        <v>-2.04376E-2</v>
      </c>
      <c r="L153">
        <f t="shared" si="8"/>
        <v>34.732100000000003</v>
      </c>
      <c r="M153">
        <f t="shared" si="9"/>
        <v>-0.69425994690000004</v>
      </c>
      <c r="N153" s="9"/>
      <c r="O153" s="21">
        <v>0.62011700000000003</v>
      </c>
      <c r="P153" s="21">
        <v>16.275200000000002</v>
      </c>
      <c r="Q153" s="21">
        <v>-2.6211499999999999E-2</v>
      </c>
      <c r="R153" s="21">
        <v>143</v>
      </c>
      <c r="S153" s="21">
        <v>0.61907999999999996</v>
      </c>
      <c r="T153">
        <f t="shared" si="10"/>
        <v>26.211499999999997</v>
      </c>
      <c r="U153">
        <f t="shared" si="11"/>
        <v>16.2541967455</v>
      </c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-2.5024399999999999E-2</v>
      </c>
      <c r="H154" s="21">
        <v>12.499700000000001</v>
      </c>
      <c r="I154" s="21">
        <v>-3.4722900000000001E-2</v>
      </c>
      <c r="J154" s="21">
        <v>144</v>
      </c>
      <c r="K154" s="21">
        <v>-2.5463900000000001E-2</v>
      </c>
      <c r="L154">
        <f t="shared" si="8"/>
        <v>34.722900000000003</v>
      </c>
      <c r="M154">
        <f t="shared" si="9"/>
        <v>-0.86891973876000006</v>
      </c>
      <c r="N154" s="9"/>
      <c r="O154" s="21">
        <v>0.62515299999999996</v>
      </c>
      <c r="P154" s="21">
        <v>16.2852</v>
      </c>
      <c r="Q154" s="21">
        <v>-2.51953E-2</v>
      </c>
      <c r="R154" s="21">
        <v>144</v>
      </c>
      <c r="S154" s="21">
        <v>0.62414599999999998</v>
      </c>
      <c r="T154">
        <f t="shared" si="10"/>
        <v>25.1953</v>
      </c>
      <c r="U154">
        <f t="shared" si="11"/>
        <v>15.750917380899999</v>
      </c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-3.0059800000000001E-2</v>
      </c>
      <c r="H155" s="21">
        <v>12.5097</v>
      </c>
      <c r="I155" s="21">
        <v>-3.4719800000000002E-2</v>
      </c>
      <c r="J155" s="21">
        <v>145</v>
      </c>
      <c r="K155" s="21">
        <v>-3.05267E-2</v>
      </c>
      <c r="L155">
        <f t="shared" si="8"/>
        <v>34.719799999999999</v>
      </c>
      <c r="M155">
        <f t="shared" si="9"/>
        <v>-1.0436702440400001</v>
      </c>
      <c r="N155" s="9"/>
      <c r="O155" s="21">
        <v>0.63018799999999997</v>
      </c>
      <c r="P155" s="21">
        <v>16.295300000000001</v>
      </c>
      <c r="Q155" s="21">
        <v>-2.4084499999999998E-2</v>
      </c>
      <c r="R155" s="21">
        <v>145</v>
      </c>
      <c r="S155" s="21">
        <v>0.62924199999999997</v>
      </c>
      <c r="T155">
        <f t="shared" si="10"/>
        <v>24.084499999999998</v>
      </c>
      <c r="U155">
        <f t="shared" si="11"/>
        <v>15.177762885999998</v>
      </c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-3.50952E-2</v>
      </c>
      <c r="H156" s="21">
        <v>12.5198</v>
      </c>
      <c r="I156" s="21">
        <v>-3.47412E-2</v>
      </c>
      <c r="J156" s="21">
        <v>146</v>
      </c>
      <c r="K156" s="21">
        <v>-3.5516399999999997E-2</v>
      </c>
      <c r="L156">
        <f t="shared" si="8"/>
        <v>34.741199999999999</v>
      </c>
      <c r="M156">
        <f t="shared" si="9"/>
        <v>-1.21924936224</v>
      </c>
      <c r="N156" s="9"/>
      <c r="O156" s="21">
        <v>0.63522299999999998</v>
      </c>
      <c r="P156" s="21">
        <v>16.305399999999999</v>
      </c>
      <c r="Q156" s="21">
        <v>-2.2860700000000001E-2</v>
      </c>
      <c r="R156" s="21">
        <v>146</v>
      </c>
      <c r="S156" s="21">
        <v>0.63427699999999998</v>
      </c>
      <c r="T156">
        <f t="shared" si="10"/>
        <v>22.860700000000001</v>
      </c>
      <c r="U156">
        <f t="shared" si="11"/>
        <v>14.5216424361</v>
      </c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-4.0130600000000002E-2</v>
      </c>
      <c r="H157" s="21">
        <v>12.5299</v>
      </c>
      <c r="I157" s="21">
        <v>-3.4780899999999997E-2</v>
      </c>
      <c r="J157" s="21">
        <v>147</v>
      </c>
      <c r="K157" s="21">
        <v>-4.0652500000000001E-2</v>
      </c>
      <c r="L157">
        <f t="shared" si="8"/>
        <v>34.780899999999995</v>
      </c>
      <c r="M157">
        <f t="shared" si="9"/>
        <v>-1.3957783855399999</v>
      </c>
      <c r="N157" s="9"/>
      <c r="O157" s="21">
        <v>0.64025900000000002</v>
      </c>
      <c r="P157" s="21">
        <v>16.3154</v>
      </c>
      <c r="Q157" s="21">
        <v>-2.1533199999999999E-2</v>
      </c>
      <c r="R157" s="21">
        <v>147</v>
      </c>
      <c r="S157" s="21">
        <v>0.63934299999999999</v>
      </c>
      <c r="T157">
        <f t="shared" si="10"/>
        <v>21.533199999999997</v>
      </c>
      <c r="U157">
        <f t="shared" si="11"/>
        <v>13.786825098799998</v>
      </c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-4.5165999999999998E-2</v>
      </c>
      <c r="H158" s="21">
        <v>12.539899999999999</v>
      </c>
      <c r="I158" s="21">
        <v>-3.4799200000000002E-2</v>
      </c>
      <c r="J158" s="21">
        <v>148</v>
      </c>
      <c r="K158" s="21">
        <v>-4.5608500000000003E-2</v>
      </c>
      <c r="L158">
        <f t="shared" si="8"/>
        <v>34.799199999999999</v>
      </c>
      <c r="M158">
        <f t="shared" si="9"/>
        <v>-1.5717406671999998</v>
      </c>
      <c r="N158" s="9"/>
      <c r="O158" s="21">
        <v>0.64529400000000003</v>
      </c>
      <c r="P158" s="21">
        <v>16.325500000000002</v>
      </c>
      <c r="Q158" s="21">
        <v>-2.00714E-2</v>
      </c>
      <c r="R158" s="21">
        <v>148</v>
      </c>
      <c r="S158" s="21">
        <v>0.64434800000000003</v>
      </c>
      <c r="T158">
        <f t="shared" si="10"/>
        <v>20.071400000000001</v>
      </c>
      <c r="U158">
        <f t="shared" si="11"/>
        <v>12.951953991600002</v>
      </c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-5.02014E-2</v>
      </c>
      <c r="H159" s="21">
        <v>12.55</v>
      </c>
      <c r="I159" s="21">
        <v>-3.4811399999999999E-2</v>
      </c>
      <c r="J159" s="21">
        <v>149</v>
      </c>
      <c r="K159" s="21">
        <v>-5.1239E-2</v>
      </c>
      <c r="L159">
        <f t="shared" si="8"/>
        <v>34.811399999999999</v>
      </c>
      <c r="M159">
        <f t="shared" si="9"/>
        <v>-1.74758101596</v>
      </c>
      <c r="N159" s="9"/>
      <c r="O159" s="21">
        <v>0.65032999999999996</v>
      </c>
      <c r="P159" s="21">
        <v>16.335599999999999</v>
      </c>
      <c r="Q159" s="21">
        <v>-1.84479E-2</v>
      </c>
      <c r="R159" s="21">
        <v>149</v>
      </c>
      <c r="S159" s="21">
        <v>0.64941400000000005</v>
      </c>
      <c r="T159">
        <f t="shared" si="10"/>
        <v>18.447900000000001</v>
      </c>
      <c r="U159">
        <f t="shared" si="11"/>
        <v>11.997222807</v>
      </c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-5.5236800000000003E-2</v>
      </c>
      <c r="H160" s="21">
        <v>12.5601</v>
      </c>
      <c r="I160" s="21">
        <v>-3.4814499999999998E-2</v>
      </c>
      <c r="J160" s="21">
        <v>150</v>
      </c>
      <c r="K160" s="21">
        <v>-5.6274400000000002E-2</v>
      </c>
      <c r="L160">
        <f t="shared" si="8"/>
        <v>34.814499999999995</v>
      </c>
      <c r="M160">
        <f t="shared" si="9"/>
        <v>-1.9230415735999999</v>
      </c>
      <c r="N160" s="9"/>
      <c r="O160" s="21">
        <v>0.65536499999999998</v>
      </c>
      <c r="P160" s="21">
        <v>16.345700000000001</v>
      </c>
      <c r="Q160" s="21">
        <v>-1.66748E-2</v>
      </c>
      <c r="R160" s="21">
        <v>150</v>
      </c>
      <c r="S160" s="21">
        <v>0.65457200000000004</v>
      </c>
      <c r="T160">
        <f t="shared" si="10"/>
        <v>16.674800000000001</v>
      </c>
      <c r="U160">
        <f t="shared" si="11"/>
        <v>10.928080302</v>
      </c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-6.0272199999999998E-2</v>
      </c>
      <c r="H161" s="21">
        <v>12.5702</v>
      </c>
      <c r="I161" s="21">
        <v>-3.4802199999999998E-2</v>
      </c>
      <c r="J161" s="21">
        <v>151</v>
      </c>
      <c r="K161" s="21">
        <v>-6.1279300000000002E-2</v>
      </c>
      <c r="L161">
        <f t="shared" si="8"/>
        <v>34.802199999999999</v>
      </c>
      <c r="M161">
        <f t="shared" si="9"/>
        <v>-2.09760515884</v>
      </c>
      <c r="N161" s="9"/>
      <c r="O161" s="21">
        <v>0.66039999999999999</v>
      </c>
      <c r="P161" s="21">
        <v>16.355699999999999</v>
      </c>
      <c r="Q161" s="21">
        <v>-1.474E-2</v>
      </c>
      <c r="R161" s="21">
        <v>151</v>
      </c>
      <c r="S161" s="21">
        <v>0.65957600000000005</v>
      </c>
      <c r="T161">
        <f t="shared" si="10"/>
        <v>14.74</v>
      </c>
      <c r="U161">
        <f t="shared" si="11"/>
        <v>9.7342960000000005</v>
      </c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-6.5307599999999993E-2</v>
      </c>
      <c r="H162" s="21">
        <v>12.5802</v>
      </c>
      <c r="I162" s="21">
        <v>-3.4799200000000002E-2</v>
      </c>
      <c r="J162" s="21">
        <v>152</v>
      </c>
      <c r="K162" s="21">
        <v>-6.6253699999999999E-2</v>
      </c>
      <c r="L162">
        <f t="shared" si="8"/>
        <v>34.799199999999999</v>
      </c>
      <c r="M162">
        <f t="shared" si="9"/>
        <v>-2.2726522339199997</v>
      </c>
      <c r="N162" s="9"/>
      <c r="O162" s="21">
        <v>0.66543600000000003</v>
      </c>
      <c r="P162" s="21">
        <v>16.3658</v>
      </c>
      <c r="Q162" s="21">
        <v>-1.2637300000000001E-2</v>
      </c>
      <c r="R162" s="21">
        <v>152</v>
      </c>
      <c r="S162" s="21">
        <v>0.66467299999999996</v>
      </c>
      <c r="T162">
        <f t="shared" si="10"/>
        <v>12.6373</v>
      </c>
      <c r="U162">
        <f t="shared" si="11"/>
        <v>8.4093143628</v>
      </c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-7.0343000000000003E-2</v>
      </c>
      <c r="H163" s="21">
        <v>12.590299999999999</v>
      </c>
      <c r="I163" s="21">
        <v>-3.4796100000000003E-2</v>
      </c>
      <c r="J163" s="21">
        <v>153</v>
      </c>
      <c r="K163" s="21">
        <v>-7.1380600000000002E-2</v>
      </c>
      <c r="L163">
        <f t="shared" si="8"/>
        <v>34.796100000000003</v>
      </c>
      <c r="M163">
        <f t="shared" si="9"/>
        <v>-2.4476620623000005</v>
      </c>
      <c r="N163" s="9"/>
      <c r="O163" s="21">
        <v>0.67047100000000004</v>
      </c>
      <c r="P163" s="21">
        <v>16.375900000000001</v>
      </c>
      <c r="Q163" s="21">
        <v>-1.03546E-2</v>
      </c>
      <c r="R163" s="21">
        <v>153</v>
      </c>
      <c r="S163" s="21">
        <v>0.66970799999999997</v>
      </c>
      <c r="T163">
        <f t="shared" si="10"/>
        <v>10.3546</v>
      </c>
      <c r="U163">
        <f t="shared" si="11"/>
        <v>6.9424590166</v>
      </c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-7.5378399999999998E-2</v>
      </c>
      <c r="H164" s="21">
        <v>12.6004</v>
      </c>
      <c r="I164" s="21">
        <v>-3.4796100000000003E-2</v>
      </c>
      <c r="J164" s="21">
        <v>154</v>
      </c>
      <c r="K164" s="21">
        <v>-7.6355000000000006E-2</v>
      </c>
      <c r="L164">
        <f t="shared" si="8"/>
        <v>34.796100000000003</v>
      </c>
      <c r="M164">
        <f t="shared" si="9"/>
        <v>-2.62287434424</v>
      </c>
      <c r="N164" s="9"/>
      <c r="O164" s="21">
        <v>0.67550699999999997</v>
      </c>
      <c r="P164" s="21">
        <v>16.385899999999999</v>
      </c>
      <c r="Q164" s="21">
        <v>-7.8979500000000008E-3</v>
      </c>
      <c r="R164" s="21">
        <v>154</v>
      </c>
      <c r="S164" s="21">
        <v>0.67474400000000001</v>
      </c>
      <c r="T164">
        <f t="shared" si="10"/>
        <v>7.8979500000000007</v>
      </c>
      <c r="U164">
        <f t="shared" si="11"/>
        <v>5.3351205106500004</v>
      </c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-8.0413799999999994E-2</v>
      </c>
      <c r="H165" s="21">
        <v>12.6104</v>
      </c>
      <c r="I165" s="21">
        <v>-3.4780899999999997E-2</v>
      </c>
      <c r="J165" s="21">
        <v>155</v>
      </c>
      <c r="K165" s="21">
        <v>-8.1390400000000002E-2</v>
      </c>
      <c r="L165">
        <f t="shared" si="8"/>
        <v>34.780899999999995</v>
      </c>
      <c r="M165">
        <f t="shared" si="9"/>
        <v>-2.7968643364199992</v>
      </c>
      <c r="N165" s="9"/>
      <c r="O165" s="21">
        <v>0.68054199999999998</v>
      </c>
      <c r="P165" s="21">
        <v>16.396000000000001</v>
      </c>
      <c r="Q165" s="21">
        <v>-5.2368199999999997E-3</v>
      </c>
      <c r="R165" s="21">
        <v>155</v>
      </c>
      <c r="S165" s="21">
        <v>0.67984</v>
      </c>
      <c r="T165">
        <f t="shared" si="10"/>
        <v>5.2368199999999998</v>
      </c>
      <c r="U165">
        <f t="shared" si="11"/>
        <v>3.5638759564399995</v>
      </c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-8.5449200000000003E-2</v>
      </c>
      <c r="H166" s="21">
        <v>12.6205</v>
      </c>
      <c r="I166" s="21">
        <v>-3.4777799999999998E-2</v>
      </c>
      <c r="J166" s="21">
        <v>156</v>
      </c>
      <c r="K166" s="21">
        <v>-8.64563E-2</v>
      </c>
      <c r="L166">
        <f t="shared" si="8"/>
        <v>34.777799999999999</v>
      </c>
      <c r="M166">
        <f t="shared" si="9"/>
        <v>-2.9717351877600002</v>
      </c>
      <c r="N166" s="9"/>
      <c r="O166" s="21">
        <v>0.68557699999999999</v>
      </c>
      <c r="P166" s="21">
        <v>16.406099999999999</v>
      </c>
      <c r="Q166" s="21">
        <v>-2.3931899999999999E-3</v>
      </c>
      <c r="R166" s="21">
        <v>156</v>
      </c>
      <c r="S166" s="21">
        <v>0.68493700000000002</v>
      </c>
      <c r="T166">
        <f t="shared" si="10"/>
        <v>2.3931899999999997</v>
      </c>
      <c r="U166">
        <f t="shared" si="11"/>
        <v>1.6407160206299998</v>
      </c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-9.0484599999999998E-2</v>
      </c>
      <c r="H167" s="21">
        <v>12.630599999999999</v>
      </c>
      <c r="I167" s="21">
        <v>-3.4759499999999999E-2</v>
      </c>
      <c r="J167" s="21">
        <v>157</v>
      </c>
      <c r="K167" s="21">
        <v>-9.1522199999999998E-2</v>
      </c>
      <c r="L167">
        <f t="shared" si="8"/>
        <v>34.759499999999996</v>
      </c>
      <c r="M167">
        <f t="shared" si="9"/>
        <v>-3.1451994536999996</v>
      </c>
      <c r="N167" s="9"/>
      <c r="O167" s="21">
        <v>0.69061300000000003</v>
      </c>
      <c r="P167" s="21">
        <v>16.4162</v>
      </c>
      <c r="Q167" s="21">
        <v>6.6345200000000003E-4</v>
      </c>
      <c r="R167" s="21">
        <v>157</v>
      </c>
      <c r="S167" s="21">
        <v>0.69003300000000001</v>
      </c>
      <c r="T167">
        <f t="shared" si="10"/>
        <v>-0.66345200000000004</v>
      </c>
      <c r="U167">
        <f t="shared" si="11"/>
        <v>-0.45818857607600005</v>
      </c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-9.5519999999999994E-2</v>
      </c>
      <c r="H168" s="21">
        <v>12.640599999999999</v>
      </c>
      <c r="I168" s="21">
        <v>-3.4747300000000002E-2</v>
      </c>
      <c r="J168" s="21">
        <v>158</v>
      </c>
      <c r="K168" s="21">
        <v>-9.6588099999999996E-2</v>
      </c>
      <c r="L168">
        <f t="shared" si="8"/>
        <v>34.747300000000003</v>
      </c>
      <c r="M168">
        <f t="shared" si="9"/>
        <v>-3.3190620960000001</v>
      </c>
      <c r="N168" s="9"/>
      <c r="O168" s="21">
        <v>0.69564800000000004</v>
      </c>
      <c r="P168" s="21">
        <v>16.426200000000001</v>
      </c>
      <c r="Q168" s="21">
        <v>3.9077799999999996E-3</v>
      </c>
      <c r="R168" s="21">
        <v>158</v>
      </c>
      <c r="S168" s="21">
        <v>0.69509900000000002</v>
      </c>
      <c r="T168">
        <f t="shared" si="10"/>
        <v>-3.9077799999999998</v>
      </c>
      <c r="U168">
        <f t="shared" si="11"/>
        <v>-2.7184393414399999</v>
      </c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-0.10055500000000001</v>
      </c>
      <c r="H169" s="21">
        <v>12.650700000000001</v>
      </c>
      <c r="I169" s="21">
        <v>-3.4738199999999997E-2</v>
      </c>
      <c r="J169" s="21">
        <v>159</v>
      </c>
      <c r="K169" s="21">
        <v>-0.10147100000000001</v>
      </c>
      <c r="L169">
        <f t="shared" si="8"/>
        <v>34.738199999999999</v>
      </c>
      <c r="M169">
        <f t="shared" si="9"/>
        <v>-3.4930997010000002</v>
      </c>
      <c r="N169" s="9"/>
      <c r="O169" s="21">
        <v>0.70068399999999997</v>
      </c>
      <c r="P169" s="21">
        <v>16.436299999999999</v>
      </c>
      <c r="Q169" s="21">
        <v>7.3730499999999999E-3</v>
      </c>
      <c r="R169" s="21">
        <v>159</v>
      </c>
      <c r="S169" s="21">
        <v>0.70022600000000002</v>
      </c>
      <c r="T169">
        <f t="shared" si="10"/>
        <v>-7.3730500000000001</v>
      </c>
      <c r="U169">
        <f t="shared" si="11"/>
        <v>-5.1661781661999999</v>
      </c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A1:L5"/>
  <sheetViews>
    <sheetView tabSelected="1" workbookViewId="0">
      <selection activeCell="L13" sqref="L13"/>
    </sheetView>
  </sheetViews>
  <sheetFormatPr defaultRowHeight="14.4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20230221T210000</v>
      </c>
      <c r="B3">
        <f ca="1">INDEX(INDIRECT(A3&amp;"!A11"):INDIRECT(A3&amp;"!A21"),MATCH(E3,INDIRECT(A3&amp;"!D11"):INDIRECT(A3&amp;"!D21"),0))</f>
        <v>0.68566917286699813</v>
      </c>
      <c r="C3">
        <f ca="1">INDEX(INDIRECT(A3&amp;"!B11"):INDIRECT(A3&amp;"!B21"),MATCH(E3,INDIRECT(A3&amp;"!D11"):INDIRECT(A3&amp;"!D21"),0))</f>
        <v>36.037996902351466</v>
      </c>
      <c r="D3">
        <f ca="1">INDEX(INDIRECT(A3&amp;"!C11"):INDIRECT(A3&amp;"!C21"),MATCH(E3,INDIRECT(A3&amp;"!D11"):INDIRECT(A3&amp;"!D21"),0))</f>
        <v>0.76371781271340278</v>
      </c>
      <c r="E3">
        <f t="shared" ref="E3" ca="1" si="0">MAX(INDIRECT(A3&amp; "!D11"),INDIRECT(A3 &amp; "!D13"),INDIRECT(A3 &amp; "!D15"),INDIRECT(A3 &amp; "!D17"),INDIRECT(A3 &amp; "!D19"),INDIRECT(A3 &amp; "!D21"))</f>
        <v>18.871576766899999</v>
      </c>
      <c r="G3">
        <f ca="1">INDEX(INDIRECT(A3&amp;"!A12"):INDIRECT(A3&amp;"!A22"),MATCH(J3,INDIRECT(A3&amp;"!D12"):INDIRECT(A3&amp;"!D22"),0))</f>
        <v>0.68516393844720236</v>
      </c>
      <c r="H3">
        <f ca="1">INDEX(INDIRECT(A3&amp;"!B12"):INDIRECT(A3&amp;"!B22"),MATCH(J3,INDIRECT(A3&amp;"!D12"):INDIRECT(A3&amp;"!D22"),0))</f>
        <v>36.139097103383833</v>
      </c>
      <c r="I3">
        <f ca="1">INDEX(INDIRECT(A3&amp;"!C12"):INDIRECT(A3&amp;"!C22"),MATCH(J3,INDIRECT(A3&amp;"!D12"):INDIRECT(A3&amp;"!D22"),0))</f>
        <v>0.76102058003966067</v>
      </c>
      <c r="J3">
        <f t="shared" ref="J3" ca="1" si="1">MAX(INDIRECT(A3&amp; "!D12"),INDIRECT(A3 &amp; "!D14"),INDIRECT(A3 &amp; "!D16"),INDIRECT(A3 &amp; "!D18"),INDIRECT(A3 &amp; "!D20"),,INDIRECT(A3 &amp; "!D22"))</f>
        <v>18.843787431199999</v>
      </c>
      <c r="L3">
        <f ca="1">INDEX(INDIRECT(A3&amp;"!E11"):INDIRECT(A3&amp;"!E21"),MATCH(E3,INDIRECT(A3&amp;"!D11"):INDIRECT(A3&amp;"!D21"),0))</f>
        <v>0.14725497526386369</v>
      </c>
    </row>
    <row r="4" spans="1:12">
      <c r="A4" t="str" cm="1">
        <f t="array" aca="1" ref="A4" ca="1">IFERROR(INDEX(MID(sheetnames,FIND("]",sheetnames)+1,255),ROWS($A$2:A4)),"")</f>
        <v>20230227T150000</v>
      </c>
      <c r="B4">
        <f ca="1">INDEX(INDIRECT(A4&amp;"!A11"):INDIRECT(A4&amp;"!A21"),MATCH(E4,INDIRECT(A4&amp;"!D11"):INDIRECT(A4&amp;"!D21"),0))</f>
        <v>0.67983648231266269</v>
      </c>
      <c r="C4">
        <f ca="1">INDEX(INDIRECT(A4&amp;"!B11"):INDIRECT(A4&amp;"!B21"),MATCH(E4,INDIRECT(A4&amp;"!D11"):INDIRECT(A4&amp;"!D21"),0))</f>
        <v>35.531217184608359</v>
      </c>
      <c r="D4">
        <f ca="1">INDEX(INDIRECT(A4&amp;"!C11"):INDIRECT(A4&amp;"!C21"),MATCH(E4,INDIRECT(A4&amp;"!D11"):INDIRECT(A4&amp;"!D21"),0))</f>
        <v>0.74161000830559998</v>
      </c>
      <c r="E4">
        <f t="shared" ref="E4" ca="1" si="2">MAX(INDIRECT(A4&amp; "!D11"),INDIRECT(A4 &amp; "!D13"),INDIRECT(A4 &amp; "!D15"),INDIRECT(A4 &amp; "!D17"),INDIRECT(A4 &amp; "!D19"),INDIRECT(A4 &amp; "!D21"))</f>
        <v>17.913899523399998</v>
      </c>
      <c r="G4">
        <f ca="1">INDEX(INDIRECT(A4&amp;"!A12"):INDIRECT(A4&amp;"!A22"),MATCH(J4,INDIRECT(A4&amp;"!D12"):INDIRECT(A4&amp;"!D22"),0))</f>
        <v>0.67991773185953941</v>
      </c>
      <c r="H4">
        <f ca="1">INDEX(INDIRECT(A4&amp;"!B12"):INDIRECT(A4&amp;"!B22"),MATCH(J4,INDIRECT(A4&amp;"!D12"):INDIRECT(A4&amp;"!D22"),0))</f>
        <v>35.589587119119933</v>
      </c>
      <c r="I4">
        <f ca="1">INDEX(INDIRECT(A4&amp;"!C12"):INDIRECT(A4&amp;"!C22"),MATCH(J4,INDIRECT(A4&amp;"!D12"):INDIRECT(A4&amp;"!D22"),0))</f>
        <v>0.7415491443850154</v>
      </c>
      <c r="J4">
        <f t="shared" ref="J4" ca="1" si="3">MAX(INDIRECT(A4&amp; "!D12"),INDIRECT(A4 &amp; "!D14"),INDIRECT(A4 &amp; "!D16"),INDIRECT(A4 &amp; "!D18"),INDIRECT(A4 &amp; "!D20"),,INDIRECT(A4 &amp; "!D22"))</f>
        <v>17.943999782800002</v>
      </c>
      <c r="L4">
        <f ca="1">INDEX(INDIRECT(A4&amp;"!E11"):INDIRECT(A4&amp;"!E21"),MATCH(E4,INDIRECT(A4&amp;"!D11"):INDIRECT(A4&amp;"!D21"),0))</f>
        <v>0.12167088733879848</v>
      </c>
    </row>
    <row r="5" spans="1:12">
      <c r="A5" t="str" cm="1">
        <f t="array" aca="1" ref="A5" ca="1">IFERROR(INDEX(MID(sheetnames,FIND("]",sheetnames)+1,255),ROWS($A$2:A5)),"")</f>
        <v>20230302T090000</v>
      </c>
      <c r="B5">
        <f ca="1">INDEX(INDIRECT(A5&amp;"!A11"):INDIRECT(A5&amp;"!A21"),MATCH(E5,INDIRECT(A5&amp;"!D11"):INDIRECT(A5&amp;"!D21"),0))</f>
        <v>0.68932232544267658</v>
      </c>
      <c r="C5">
        <f ca="1">INDEX(INDIRECT(A5&amp;"!B11"):INDIRECT(A5&amp;"!B21"),MATCH(E5,INDIRECT(A5&amp;"!D11"):INDIRECT(A5&amp;"!D21"),0))</f>
        <v>34.719076190476187</v>
      </c>
      <c r="D5">
        <f ca="1">INDEX(INDIRECT(A5&amp;"!C11"):INDIRECT(A5&amp;"!C21"),MATCH(E5,INDIRECT(A5&amp;"!D11"):INDIRECT(A5&amp;"!D21"),0))</f>
        <v>0.76356958818652509</v>
      </c>
      <c r="E5">
        <f t="shared" ref="E5" ca="1" si="4">MAX(INDIRECT(A5&amp; "!D11"),INDIRECT(A5 &amp; "!D13"),INDIRECT(A5 &amp; "!D15"),INDIRECT(A5 &amp; "!D17"),INDIRECT(A5 &amp; "!D19"),INDIRECT(A5 &amp; "!D21"))</f>
        <v>18.274231744799998</v>
      </c>
      <c r="G5">
        <f ca="1">INDEX(INDIRECT(A5&amp;"!A12"):INDIRECT(A5&amp;"!A22"),MATCH(J5,INDIRECT(A5&amp;"!D12"):INDIRECT(A5&amp;"!D22"),0))</f>
        <v>0.68892690010606417</v>
      </c>
      <c r="H5">
        <f ca="1">INDEX(INDIRECT(A5&amp;"!B12"):INDIRECT(A5&amp;"!B22"),MATCH(J5,INDIRECT(A5&amp;"!D12"):INDIRECT(A5&amp;"!D22"),0))</f>
        <v>0</v>
      </c>
      <c r="I5">
        <f ca="1">INDEX(INDIRECT(A5&amp;"!C12"):INDIRECT(A5&amp;"!C22"),MATCH(J5,INDIRECT(A5&amp;"!D12"):INDIRECT(A5&amp;"!D22"),0))</f>
        <v>0</v>
      </c>
      <c r="J5">
        <f t="shared" ref="J5" ca="1" si="5">MAX(INDIRECT(A5&amp; "!D12"),INDIRECT(A5 &amp; "!D14"),INDIRECT(A5 &amp; "!D16"),INDIRECT(A5 &amp; "!D18"),INDIRECT(A5 &amp; "!D20"),,INDIRECT(A5 &amp; "!D22"))</f>
        <v>0</v>
      </c>
      <c r="L5">
        <f ca="1">INDEX(INDIRECT(A5&amp;"!E11"):INDIRECT(A5&amp;"!E21"),MATCH(E5,INDIRECT(A5&amp;"!D11"):INDIRECT(A5&amp;"!D21"),0))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NEW</vt:lpstr>
      <vt:lpstr>20230221T210000</vt:lpstr>
      <vt:lpstr>20230227T150000</vt:lpstr>
      <vt:lpstr>20230302T090000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2023-03-02T03:13:37Z</dcterms:modified>
</cp:coreProperties>
</file>