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3"/>
  </bookViews>
  <sheets>
    <sheet name="NEW" sheetId="64" r:id="rId1"/>
    <sheet name="20230201T210000" sheetId="65" r:id="rId2"/>
    <sheet name="20230202t210000" sheetId="66" r:id="rId3"/>
    <sheet name="Sheet2" sheetId="63" r:id="rId4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 s="1"/>
  <c r="AV107" i="66"/>
  <c r="AW107" i="66"/>
  <c r="AV108" i="66"/>
  <c r="AW108" i="66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/>
  <c r="AV371" i="66"/>
  <c r="AW371" i="66"/>
  <c r="AV372" i="66"/>
  <c r="AW372" i="66"/>
  <c r="AV373" i="66"/>
  <c r="AW373" i="66"/>
  <c r="AV374" i="66"/>
  <c r="AW374" i="66"/>
  <c r="AV375" i="66"/>
  <c r="AW375" i="66"/>
  <c r="AV376" i="66"/>
  <c r="AW376" i="66"/>
  <c r="AV377" i="66"/>
  <c r="AW377" i="66"/>
  <c r="AV378" i="66"/>
  <c r="AW378" i="66"/>
  <c r="AV379" i="66"/>
  <c r="AW379" i="66"/>
  <c r="AV380" i="66"/>
  <c r="AW380" i="66"/>
  <c r="AV381" i="66"/>
  <c r="AW381" i="66"/>
  <c r="AV382" i="66"/>
  <c r="AW382" i="66"/>
  <c r="AV383" i="66"/>
  <c r="AW383" i="66"/>
  <c r="AV384" i="66"/>
  <c r="AW384" i="66"/>
  <c r="AV385" i="66"/>
  <c r="AW385" i="66"/>
  <c r="AV386" i="66"/>
  <c r="AW386" i="66"/>
  <c r="AV387" i="66"/>
  <c r="AW387" i="66"/>
  <c r="AV388" i="66"/>
  <c r="AW388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 s="1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/>
  <c r="T98" i="66"/>
  <c r="U98" i="66"/>
  <c r="T99" i="66"/>
  <c r="U99" i="66"/>
  <c r="T100" i="66"/>
  <c r="U100" i="66"/>
  <c r="T101" i="66"/>
  <c r="U101" i="66"/>
  <c r="T102" i="66"/>
  <c r="U102" i="66" s="1"/>
  <c r="T103" i="66"/>
  <c r="U103" i="66"/>
  <c r="T104" i="66"/>
  <c r="U104" i="66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 s="1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/>
  <c r="T380" i="66"/>
  <c r="U380" i="66"/>
  <c r="T381" i="66"/>
  <c r="U381" i="66"/>
  <c r="T382" i="66"/>
  <c r="U382" i="66"/>
  <c r="T383" i="66"/>
  <c r="U383" i="66"/>
  <c r="T384" i="66"/>
  <c r="U384" i="66"/>
  <c r="T385" i="66"/>
  <c r="U385" i="66"/>
  <c r="T386" i="66"/>
  <c r="U386" i="66"/>
  <c r="T387" i="66"/>
  <c r="U387" i="66"/>
  <c r="T388" i="66"/>
  <c r="U388" i="66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/>
  <c r="L98" i="66"/>
  <c r="M98" i="66"/>
  <c r="L99" i="66"/>
  <c r="M99" i="66"/>
  <c r="L100" i="66"/>
  <c r="M100" i="66"/>
  <c r="L101" i="66"/>
  <c r="M101" i="66"/>
  <c r="L102" i="66"/>
  <c r="M102" i="66"/>
  <c r="L103" i="66"/>
  <c r="M103" i="66"/>
  <c r="L104" i="66"/>
  <c r="M104" i="66"/>
  <c r="L105" i="66"/>
  <c r="M105" i="66"/>
  <c r="L106" i="66"/>
  <c r="M106" i="66"/>
  <c r="L107" i="66"/>
  <c r="M107" i="66"/>
  <c r="L108" i="66"/>
  <c r="M108" i="66"/>
  <c r="L109" i="66"/>
  <c r="M109" i="66"/>
  <c r="L110" i="66"/>
  <c r="M110" i="66"/>
  <c r="L111" i="66"/>
  <c r="M111" i="66"/>
  <c r="L112" i="66"/>
  <c r="M112" i="66"/>
  <c r="L113" i="66"/>
  <c r="M113" i="66"/>
  <c r="L114" i="66"/>
  <c r="M114" i="66"/>
  <c r="L115" i="66"/>
  <c r="M115" i="66"/>
  <c r="L116" i="66"/>
  <c r="M116" i="66"/>
  <c r="L117" i="66"/>
  <c r="M117" i="66"/>
  <c r="L118" i="66"/>
  <c r="M118" i="66"/>
  <c r="L119" i="66"/>
  <c r="M119" i="66"/>
  <c r="L120" i="66"/>
  <c r="M120" i="66"/>
  <c r="L121" i="66"/>
  <c r="M121" i="66"/>
  <c r="L122" i="66"/>
  <c r="M122" i="66"/>
  <c r="L123" i="66"/>
  <c r="M123" i="66"/>
  <c r="L124" i="66"/>
  <c r="M124" i="66"/>
  <c r="L125" i="66"/>
  <c r="M125" i="66"/>
  <c r="L126" i="66"/>
  <c r="M126" i="66"/>
  <c r="L127" i="66"/>
  <c r="M127" i="66"/>
  <c r="L128" i="66"/>
  <c r="M128" i="66"/>
  <c r="L129" i="66"/>
  <c r="M129" i="66"/>
  <c r="L130" i="66"/>
  <c r="M130" i="66"/>
  <c r="L131" i="66"/>
  <c r="M131" i="66" s="1"/>
  <c r="L132" i="66"/>
  <c r="M132" i="66"/>
  <c r="L133" i="66"/>
  <c r="M133" i="66"/>
  <c r="L134" i="66"/>
  <c r="M134" i="66"/>
  <c r="L135" i="66"/>
  <c r="M135" i="66"/>
  <c r="L136" i="66"/>
  <c r="M136" i="66"/>
  <c r="L137" i="66"/>
  <c r="M137" i="66"/>
  <c r="L138" i="66"/>
  <c r="M138" i="66"/>
  <c r="L139" i="66"/>
  <c r="M139" i="66"/>
  <c r="L140" i="66"/>
  <c r="M140" i="66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/>
  <c r="L235" i="66"/>
  <c r="M235" i="66"/>
  <c r="L236" i="66"/>
  <c r="M236" i="66"/>
  <c r="L237" i="66"/>
  <c r="M237" i="66"/>
  <c r="L238" i="66"/>
  <c r="M238" i="66"/>
  <c r="L239" i="66"/>
  <c r="M239" i="66"/>
  <c r="L240" i="66"/>
  <c r="M240" i="66"/>
  <c r="L241" i="66"/>
  <c r="M241" i="66"/>
  <c r="L242" i="66"/>
  <c r="M242" i="66"/>
  <c r="L243" i="66"/>
  <c r="M243" i="66"/>
  <c r="L244" i="66"/>
  <c r="M244" i="66"/>
  <c r="L245" i="66"/>
  <c r="M245" i="66"/>
  <c r="L246" i="66"/>
  <c r="M246" i="66"/>
  <c r="L247" i="66"/>
  <c r="M247" i="66"/>
  <c r="L248" i="66"/>
  <c r="M248" i="66"/>
  <c r="L249" i="66"/>
  <c r="M249" i="66"/>
  <c r="L250" i="66"/>
  <c r="M250" i="66"/>
  <c r="L251" i="66"/>
  <c r="M251" i="66"/>
  <c r="L252" i="66"/>
  <c r="M252" i="66"/>
  <c r="L253" i="66"/>
  <c r="M253" i="66"/>
  <c r="L254" i="66"/>
  <c r="M254" i="66"/>
  <c r="L255" i="66"/>
  <c r="M255" i="66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FH11" i="66"/>
  <c r="FH9" i="66" s="1"/>
  <c r="FG11" i="66"/>
  <c r="EZ11" i="66"/>
  <c r="EZ9" i="66" s="1"/>
  <c r="EZ7" i="66" s="1"/>
  <c r="EY11" i="66"/>
  <c r="EQ11" i="66"/>
  <c r="EQ9" i="66" s="1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Y9" i="66" s="1"/>
  <c r="CX11" i="66"/>
  <c r="CO11" i="66"/>
  <c r="CO9" i="66" s="1"/>
  <c r="CO7" i="66" s="1"/>
  <c r="CN11" i="66"/>
  <c r="CG11" i="66"/>
  <c r="CG9" i="66" s="1"/>
  <c r="CG7" i="66" s="1"/>
  <c r="CF11" i="66"/>
  <c r="BW11" i="66"/>
  <c r="BW9" i="66" s="1"/>
  <c r="BV11" i="66"/>
  <c r="BO11" i="66"/>
  <c r="BN11" i="66"/>
  <c r="BD11" i="66"/>
  <c r="BE11" i="66" s="1"/>
  <c r="AV11" i="66"/>
  <c r="AW11" i="66" s="1"/>
  <c r="AL11" i="66"/>
  <c r="AM11" i="66" s="1"/>
  <c r="AD11" i="66"/>
  <c r="AE11" i="66" s="1"/>
  <c r="T11" i="66"/>
  <c r="U11" i="66" s="1"/>
  <c r="U9" i="66" s="1"/>
  <c r="M11" i="66"/>
  <c r="L11" i="66"/>
  <c r="EI9" i="66"/>
  <c r="EI7" i="66" s="1"/>
  <c r="DX9" i="66"/>
  <c r="DG9" i="66"/>
  <c r="DG7" i="66" s="1"/>
  <c r="BO9" i="66"/>
  <c r="BO7" i="66" s="1"/>
  <c r="FH7" i="66"/>
  <c r="FG7" i="66"/>
  <c r="FF7" i="66"/>
  <c r="EY7" i="66"/>
  <c r="EX7" i="66" s="1"/>
  <c r="EP7" i="66"/>
  <c r="EO7" i="66"/>
  <c r="EH7" i="66"/>
  <c r="EG7" i="66" s="1"/>
  <c r="DX7" i="66"/>
  <c r="DW7" i="66"/>
  <c r="DP7" i="66"/>
  <c r="DO7" i="66" s="1"/>
  <c r="DF7" i="66"/>
  <c r="DE7" i="66"/>
  <c r="CX7" i="66"/>
  <c r="CW7" i="66" s="1"/>
  <c r="CN7" i="66"/>
  <c r="CM7" i="66"/>
  <c r="CF7" i="66"/>
  <c r="CE7" i="66" s="1"/>
  <c r="BV7" i="66"/>
  <c r="BU7" i="66"/>
  <c r="BN7" i="66"/>
  <c r="BM7" i="66" s="1"/>
  <c r="BD7" i="66"/>
  <c r="BC7" i="66" s="1"/>
  <c r="AV7" i="66"/>
  <c r="AL7" i="66"/>
  <c r="AK7" i="66" s="1"/>
  <c r="AD7" i="66"/>
  <c r="AC7" i="66" s="1"/>
  <c r="T7" i="66"/>
  <c r="S7" i="66" s="1"/>
  <c r="L7" i="66"/>
  <c r="K7" i="66" s="1"/>
  <c r="FG6" i="66"/>
  <c r="FF6" i="66" s="1"/>
  <c r="EY6" i="66"/>
  <c r="EX6" i="66"/>
  <c r="EP6" i="66"/>
  <c r="EH6" i="66"/>
  <c r="EG6" i="66"/>
  <c r="DX6" i="66"/>
  <c r="DW6" i="66" s="1"/>
  <c r="DP6" i="66"/>
  <c r="DO6" i="66"/>
  <c r="DF6" i="66"/>
  <c r="CX6" i="66"/>
  <c r="CW6" i="66"/>
  <c r="CN6" i="66"/>
  <c r="CM6" i="66" s="1"/>
  <c r="CF6" i="66"/>
  <c r="CE6" i="66"/>
  <c r="BV6" i="66"/>
  <c r="BN6" i="66"/>
  <c r="BM6" i="66"/>
  <c r="BD6" i="66"/>
  <c r="BC6" i="66" s="1"/>
  <c r="AV6" i="66"/>
  <c r="AL6" i="66"/>
  <c r="AD6" i="66"/>
  <c r="AC6" i="66" s="1"/>
  <c r="Y2" i="66" s="1"/>
  <c r="T6" i="66"/>
  <c r="S6" i="66"/>
  <c r="L6" i="66"/>
  <c r="K6" i="66" s="1"/>
  <c r="FH5" i="66"/>
  <c r="EZ5" i="66"/>
  <c r="EI5" i="66"/>
  <c r="DY5" i="66"/>
  <c r="DQ5" i="66"/>
  <c r="DG5" i="66"/>
  <c r="CO5" i="66"/>
  <c r="CG5" i="66"/>
  <c r="BO5" i="66"/>
  <c r="FF4" i="66"/>
  <c r="FD4" i="66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U4" i="66"/>
  <c r="CW4" i="66" s="1"/>
  <c r="CM4" i="66"/>
  <c r="CK4" i="66"/>
  <c r="CC4" i="66"/>
  <c r="CE4" i="66" s="1"/>
  <c r="BU4" i="66"/>
  <c r="BS4" i="66"/>
  <c r="BK4" i="66"/>
  <c r="BM4" i="66" s="1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F3" i="66"/>
  <c r="FD3" i="66"/>
  <c r="FD6" i="66" s="1"/>
  <c r="EZ3" i="66"/>
  <c r="EV3" i="66"/>
  <c r="EO3" i="66"/>
  <c r="EM3" i="66"/>
  <c r="EM6" i="66" s="1"/>
  <c r="EI3" i="66"/>
  <c r="EE3" i="66"/>
  <c r="DY3" i="66"/>
  <c r="DW3" i="66"/>
  <c r="DU3" i="66"/>
  <c r="DU6" i="66" s="1"/>
  <c r="DQ3" i="66"/>
  <c r="DM3" i="66"/>
  <c r="DG3" i="66"/>
  <c r="DE3" i="66"/>
  <c r="DC3" i="66"/>
  <c r="DC6" i="66" s="1"/>
  <c r="A22" i="66" s="1"/>
  <c r="CU3" i="66"/>
  <c r="CO3" i="66"/>
  <c r="CM3" i="66"/>
  <c r="CK3" i="66"/>
  <c r="CK6" i="66" s="1"/>
  <c r="A20" i="66" s="1"/>
  <c r="CG3" i="66"/>
  <c r="CC3" i="66"/>
  <c r="BU3" i="66"/>
  <c r="BS3" i="66"/>
  <c r="BS6" i="66" s="1"/>
  <c r="A18" i="66" s="1"/>
  <c r="BO3" i="66"/>
  <c r="BK3" i="66"/>
  <c r="BA3" i="66"/>
  <c r="BC3" i="66" s="1"/>
  <c r="AS3" i="66"/>
  <c r="AI3" i="66"/>
  <c r="AA3" i="66"/>
  <c r="Q3" i="66"/>
  <c r="I3" i="66"/>
  <c r="K3" i="66" s="1"/>
  <c r="A4" i="63" a="1"/>
  <c r="A4" i="63" l="1"/>
  <c r="AY2" i="66"/>
  <c r="BE9" i="66"/>
  <c r="BE7" i="66" s="1"/>
  <c r="BE5" i="66"/>
  <c r="AY4" i="66"/>
  <c r="BA6" i="66"/>
  <c r="A16" i="66" s="1"/>
  <c r="AW9" i="66"/>
  <c r="AW7" i="66" s="1"/>
  <c r="AW3" i="66"/>
  <c r="AU6" i="66"/>
  <c r="AV9" i="66" s="1"/>
  <c r="B15" i="66" s="1"/>
  <c r="AU7" i="66"/>
  <c r="AM9" i="66"/>
  <c r="AM7" i="66" s="1"/>
  <c r="AM5" i="66"/>
  <c r="AK3" i="66"/>
  <c r="AG4" i="66" s="1"/>
  <c r="AE9" i="66"/>
  <c r="AE5" i="66" s="1"/>
  <c r="O2" i="66"/>
  <c r="U7" i="66"/>
  <c r="U5" i="66"/>
  <c r="U3" i="66"/>
  <c r="S3" i="66"/>
  <c r="O4" i="66" s="1"/>
  <c r="T9" i="66"/>
  <c r="B12" i="66" s="1"/>
  <c r="M9" i="66"/>
  <c r="G2" i="66"/>
  <c r="DX4" i="66"/>
  <c r="DX2" i="66" s="1"/>
  <c r="AE7" i="66"/>
  <c r="AE3" i="66"/>
  <c r="BW7" i="66"/>
  <c r="BW5" i="66"/>
  <c r="BW3" i="66"/>
  <c r="CY7" i="66"/>
  <c r="CY3" i="66"/>
  <c r="CY5" i="66"/>
  <c r="EQ7" i="66"/>
  <c r="EQ5" i="66"/>
  <c r="EQ3" i="66"/>
  <c r="I6" i="66"/>
  <c r="A11" i="66" s="1"/>
  <c r="L9" i="66"/>
  <c r="B11" i="66" s="1"/>
  <c r="BD9" i="66"/>
  <c r="B16" i="66" s="1"/>
  <c r="CF9" i="66"/>
  <c r="B19" i="66" s="1"/>
  <c r="EY9" i="66"/>
  <c r="G4" i="66"/>
  <c r="AC3" i="66"/>
  <c r="AA6" i="66" s="1"/>
  <c r="A13" i="66" s="1"/>
  <c r="AU3" i="66"/>
  <c r="AS6" i="66" s="1"/>
  <c r="BM3" i="66"/>
  <c r="BK6" i="66" s="1"/>
  <c r="CE3" i="66"/>
  <c r="CC6" i="66" s="1"/>
  <c r="CW3" i="66"/>
  <c r="CU6" i="66" s="1"/>
  <c r="A21" i="66" s="1"/>
  <c r="DO3" i="66"/>
  <c r="DM6" i="66" s="1"/>
  <c r="DP4" i="66" s="1"/>
  <c r="DP2" i="66" s="1"/>
  <c r="DM9" i="66" s="1"/>
  <c r="E23" i="66" s="1"/>
  <c r="EG3" i="66"/>
  <c r="EE6" i="66" s="1"/>
  <c r="EH4" i="66" s="1"/>
  <c r="EH2" i="66" s="1"/>
  <c r="EE9" i="66" s="1"/>
  <c r="E25" i="66" s="1"/>
  <c r="EX3" i="66"/>
  <c r="EV6" i="66" s="1"/>
  <c r="EY4" i="66" s="1"/>
  <c r="EY2" i="66" s="1"/>
  <c r="EV9" i="66" s="1"/>
  <c r="AD9" i="66"/>
  <c r="B13" i="66" s="1"/>
  <c r="AK6" i="66"/>
  <c r="AG2" i="66" s="1"/>
  <c r="BN9" i="66"/>
  <c r="B17" i="66" s="1"/>
  <c r="BU6" i="66"/>
  <c r="BV9" i="66" s="1"/>
  <c r="B18" i="66" s="1"/>
  <c r="CX9" i="66"/>
  <c r="B21" i="66" s="1"/>
  <c r="DF9" i="66"/>
  <c r="B22" i="66" s="1"/>
  <c r="DE6" i="66"/>
  <c r="EH9" i="66"/>
  <c r="EO6" i="66"/>
  <c r="EP9" i="66" s="1"/>
  <c r="CN9" i="66"/>
  <c r="B20" i="66" s="1"/>
  <c r="DP9" i="66"/>
  <c r="FG9" i="66"/>
  <c r="FG4" i="66" s="1"/>
  <c r="FG2" i="66" s="1"/>
  <c r="BD12" i="65"/>
  <c r="BE12" i="65"/>
  <c r="BD13" i="65"/>
  <c r="BE13" i="65"/>
  <c r="BD14" i="65"/>
  <c r="BE14" i="65"/>
  <c r="BD15" i="65"/>
  <c r="BE15" i="65"/>
  <c r="BD16" i="65"/>
  <c r="BE16" i="65"/>
  <c r="BD17" i="65"/>
  <c r="BE17" i="65"/>
  <c r="BD18" i="65"/>
  <c r="BE18" i="65"/>
  <c r="BD19" i="65"/>
  <c r="BE19" i="65"/>
  <c r="BD20" i="65"/>
  <c r="BE20" i="65"/>
  <c r="BD21" i="65"/>
  <c r="BE21" i="65"/>
  <c r="BD22" i="65"/>
  <c r="BE22" i="65"/>
  <c r="BD23" i="65"/>
  <c r="BE23" i="65"/>
  <c r="BD24" i="65"/>
  <c r="BE24" i="65"/>
  <c r="BD25" i="65"/>
  <c r="BE25" i="65"/>
  <c r="BD26" i="65"/>
  <c r="BE26" i="65"/>
  <c r="BD27" i="65"/>
  <c r="BE27" i="65"/>
  <c r="BD28" i="65"/>
  <c r="BE28" i="65"/>
  <c r="BD29" i="65"/>
  <c r="BE29" i="65"/>
  <c r="BD30" i="65"/>
  <c r="BE30" i="65"/>
  <c r="BD31" i="65"/>
  <c r="BE31" i="65"/>
  <c r="BD32" i="65"/>
  <c r="BE32" i="65"/>
  <c r="BD33" i="65"/>
  <c r="BE33" i="65"/>
  <c r="BD34" i="65"/>
  <c r="BE34" i="65"/>
  <c r="BD35" i="65"/>
  <c r="BE35" i="65"/>
  <c r="BD36" i="65"/>
  <c r="BE36" i="65"/>
  <c r="BD37" i="65"/>
  <c r="BE37" i="65"/>
  <c r="BD38" i="65"/>
  <c r="BE38" i="65"/>
  <c r="BD39" i="65"/>
  <c r="BE39" i="65"/>
  <c r="BD40" i="65"/>
  <c r="BE40" i="65"/>
  <c r="BD41" i="65"/>
  <c r="BE41" i="65"/>
  <c r="BD42" i="65"/>
  <c r="BE42" i="65"/>
  <c r="BD43" i="65"/>
  <c r="BE43" i="65"/>
  <c r="BD44" i="65"/>
  <c r="BE44" i="65"/>
  <c r="BD45" i="65"/>
  <c r="BE45" i="65"/>
  <c r="BD46" i="65"/>
  <c r="BE46" i="65"/>
  <c r="BD47" i="65"/>
  <c r="BE47" i="65"/>
  <c r="BD48" i="65"/>
  <c r="BE48" i="65"/>
  <c r="BD49" i="65"/>
  <c r="BE49" i="65"/>
  <c r="BD50" i="65"/>
  <c r="BE50" i="65"/>
  <c r="BD51" i="65"/>
  <c r="BE51" i="65"/>
  <c r="BD52" i="65"/>
  <c r="BE52" i="65"/>
  <c r="BD53" i="65"/>
  <c r="BE53" i="65"/>
  <c r="BD54" i="65"/>
  <c r="BE54" i="65"/>
  <c r="BD55" i="65"/>
  <c r="BE55" i="65"/>
  <c r="BD56" i="65"/>
  <c r="BE56" i="65"/>
  <c r="BD57" i="65"/>
  <c r="BE57" i="65"/>
  <c r="BD58" i="65"/>
  <c r="BE58" i="65"/>
  <c r="BD59" i="65"/>
  <c r="BE59" i="65"/>
  <c r="BD60" i="65"/>
  <c r="BE60" i="65"/>
  <c r="BD61" i="65"/>
  <c r="BE61" i="65"/>
  <c r="BD62" i="65"/>
  <c r="BE62" i="65"/>
  <c r="BD63" i="65"/>
  <c r="BE63" i="65"/>
  <c r="BD64" i="65"/>
  <c r="BE64" i="65"/>
  <c r="BD65" i="65"/>
  <c r="BE65" i="65"/>
  <c r="BD66" i="65"/>
  <c r="BE66" i="65"/>
  <c r="BD67" i="65"/>
  <c r="BE67" i="65"/>
  <c r="BD68" i="65"/>
  <c r="BE68" i="65"/>
  <c r="BD69" i="65"/>
  <c r="BE69" i="65"/>
  <c r="BD70" i="65"/>
  <c r="BE70" i="65"/>
  <c r="BD71" i="65"/>
  <c r="BE71" i="65"/>
  <c r="BD72" i="65"/>
  <c r="BE72" i="65"/>
  <c r="BD73" i="65"/>
  <c r="BE73" i="65"/>
  <c r="BD74" i="65"/>
  <c r="BE74" i="65"/>
  <c r="BD75" i="65"/>
  <c r="BE75" i="65"/>
  <c r="BD76" i="65"/>
  <c r="BE76" i="65"/>
  <c r="BD77" i="65"/>
  <c r="BE77" i="65"/>
  <c r="BD78" i="65"/>
  <c r="BE78" i="65"/>
  <c r="BD79" i="65"/>
  <c r="BE79" i="65"/>
  <c r="BD80" i="65"/>
  <c r="BE80" i="65"/>
  <c r="BD81" i="65"/>
  <c r="BE81" i="65"/>
  <c r="BD82" i="65"/>
  <c r="BE82" i="65"/>
  <c r="BD83" i="65"/>
  <c r="BE83" i="65"/>
  <c r="BD84" i="65"/>
  <c r="BE84" i="65"/>
  <c r="BD85" i="65"/>
  <c r="BE85" i="65"/>
  <c r="BD86" i="65"/>
  <c r="BE86" i="65"/>
  <c r="BD87" i="65"/>
  <c r="BE87" i="65"/>
  <c r="BD88" i="65"/>
  <c r="BE88" i="65"/>
  <c r="BD89" i="65"/>
  <c r="BE89" i="65"/>
  <c r="BD90" i="65"/>
  <c r="BE90" i="65"/>
  <c r="BD91" i="65"/>
  <c r="BE91" i="65"/>
  <c r="BD92" i="65"/>
  <c r="BE92" i="65"/>
  <c r="BD93" i="65"/>
  <c r="BE93" i="65"/>
  <c r="BD94" i="65"/>
  <c r="BE94" i="65"/>
  <c r="BD95" i="65"/>
  <c r="BE95" i="65"/>
  <c r="BD96" i="65"/>
  <c r="BE96" i="65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/>
  <c r="BD136" i="65"/>
  <c r="BE136" i="65"/>
  <c r="BD137" i="65"/>
  <c r="BE137" i="65"/>
  <c r="BD138" i="65"/>
  <c r="BE138" i="65"/>
  <c r="BD139" i="65"/>
  <c r="BE139" i="65"/>
  <c r="BD140" i="65"/>
  <c r="BE140" i="65"/>
  <c r="BD141" i="65"/>
  <c r="BE141" i="65"/>
  <c r="BD142" i="65"/>
  <c r="BE142" i="65"/>
  <c r="BD143" i="65"/>
  <c r="BE143" i="65"/>
  <c r="BD144" i="65"/>
  <c r="BE144" i="65"/>
  <c r="BD145" i="65"/>
  <c r="BE145" i="65"/>
  <c r="BD146" i="65"/>
  <c r="BE146" i="65"/>
  <c r="BD147" i="65"/>
  <c r="BE147" i="65"/>
  <c r="BD148" i="65"/>
  <c r="BE148" i="65"/>
  <c r="BD149" i="65"/>
  <c r="BE149" i="65"/>
  <c r="BD150" i="65"/>
  <c r="BE150" i="65"/>
  <c r="BD151" i="65"/>
  <c r="BE151" i="65"/>
  <c r="BD152" i="65"/>
  <c r="BE152" i="65"/>
  <c r="BD153" i="65"/>
  <c r="BE153" i="65"/>
  <c r="BD154" i="65"/>
  <c r="BE154" i="65"/>
  <c r="BD155" i="65"/>
  <c r="BE155" i="65"/>
  <c r="BD156" i="65"/>
  <c r="BE156" i="65"/>
  <c r="BD157" i="65"/>
  <c r="BE157" i="65"/>
  <c r="BD158" i="65"/>
  <c r="BE158" i="65"/>
  <c r="BD159" i="65"/>
  <c r="BE159" i="65"/>
  <c r="BD160" i="65"/>
  <c r="BE160" i="65"/>
  <c r="BD161" i="65"/>
  <c r="BE161" i="65"/>
  <c r="BD162" i="65"/>
  <c r="BE162" i="65"/>
  <c r="BD163" i="65"/>
  <c r="BE163" i="65"/>
  <c r="BD164" i="65"/>
  <c r="BE164" i="65"/>
  <c r="BD165" i="65"/>
  <c r="BE165" i="65"/>
  <c r="BD166" i="65"/>
  <c r="BE166" i="65"/>
  <c r="BD167" i="65"/>
  <c r="BE167" i="65"/>
  <c r="BD168" i="65"/>
  <c r="BE168" i="65"/>
  <c r="BD169" i="65"/>
  <c r="BE169" i="65"/>
  <c r="BD170" i="65"/>
  <c r="BE170" i="65"/>
  <c r="BD171" i="65"/>
  <c r="BE171" i="65"/>
  <c r="BD172" i="65"/>
  <c r="BE172" i="65"/>
  <c r="BD173" i="65"/>
  <c r="BE173" i="65"/>
  <c r="BD174" i="65"/>
  <c r="BE174" i="65"/>
  <c r="BD175" i="65"/>
  <c r="BE175" i="65"/>
  <c r="BD176" i="65"/>
  <c r="BE176" i="65"/>
  <c r="BD177" i="65"/>
  <c r="BE177" i="65"/>
  <c r="BD178" i="65"/>
  <c r="BE178" i="65"/>
  <c r="BD179" i="65"/>
  <c r="BE179" i="65"/>
  <c r="BD180" i="65"/>
  <c r="BE180" i="65"/>
  <c r="BD181" i="65"/>
  <c r="BE181" i="65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/>
  <c r="BD257" i="65"/>
  <c r="BE257" i="65"/>
  <c r="BD258" i="65"/>
  <c r="BE258" i="65"/>
  <c r="BD259" i="65"/>
  <c r="BE259" i="65"/>
  <c r="BD260" i="65"/>
  <c r="BE260" i="65"/>
  <c r="BD261" i="65"/>
  <c r="BE261" i="65"/>
  <c r="BD262" i="65"/>
  <c r="BE262" i="65"/>
  <c r="BD263" i="65"/>
  <c r="BE263" i="65"/>
  <c r="BD264" i="65"/>
  <c r="BE264" i="65"/>
  <c r="BD265" i="65"/>
  <c r="BE265" i="65"/>
  <c r="BD266" i="65"/>
  <c r="BE266" i="65"/>
  <c r="BD267" i="65"/>
  <c r="BE267" i="65"/>
  <c r="BD268" i="65"/>
  <c r="BE268" i="65"/>
  <c r="BD269" i="65"/>
  <c r="BE269" i="65"/>
  <c r="BD270" i="65"/>
  <c r="BE270" i="65"/>
  <c r="BD271" i="65"/>
  <c r="BE271" i="65"/>
  <c r="BD272" i="65"/>
  <c r="BE272" i="65"/>
  <c r="BD273" i="65"/>
  <c r="BE273" i="65"/>
  <c r="BD274" i="65"/>
  <c r="BE274" i="65"/>
  <c r="BD275" i="65"/>
  <c r="BE275" i="65"/>
  <c r="BD276" i="65"/>
  <c r="BE276" i="65"/>
  <c r="BD277" i="65"/>
  <c r="BE277" i="65"/>
  <c r="BD278" i="65"/>
  <c r="BE278" i="65"/>
  <c r="BD279" i="65"/>
  <c r="BE279" i="65"/>
  <c r="BD280" i="65"/>
  <c r="BE280" i="65"/>
  <c r="BD281" i="65"/>
  <c r="BE281" i="65"/>
  <c r="BD282" i="65"/>
  <c r="BE282" i="65"/>
  <c r="BD283" i="65"/>
  <c r="BE283" i="65"/>
  <c r="BD284" i="65"/>
  <c r="BE284" i="65"/>
  <c r="BD285" i="65"/>
  <c r="BE285" i="65"/>
  <c r="BD286" i="65"/>
  <c r="BE286" i="65"/>
  <c r="BD287" i="65"/>
  <c r="BE287" i="65"/>
  <c r="BD288" i="65"/>
  <c r="BE288" i="65"/>
  <c r="BD289" i="65"/>
  <c r="BE289" i="65"/>
  <c r="BD290" i="65"/>
  <c r="BE290" i="65"/>
  <c r="BD291" i="65"/>
  <c r="BE291" i="65"/>
  <c r="BD292" i="65"/>
  <c r="BE292" i="65"/>
  <c r="BD293" i="65"/>
  <c r="BE293" i="65"/>
  <c r="BD294" i="65"/>
  <c r="BE294" i="65"/>
  <c r="BD295" i="65"/>
  <c r="BE295" i="65"/>
  <c r="BD296" i="65"/>
  <c r="BE296" i="65"/>
  <c r="BD297" i="65"/>
  <c r="BE297" i="65"/>
  <c r="BD298" i="65"/>
  <c r="BE298" i="65"/>
  <c r="BD299" i="65"/>
  <c r="BE299" i="65"/>
  <c r="BD300" i="65"/>
  <c r="BE300" i="65"/>
  <c r="BD301" i="65"/>
  <c r="BE301" i="65"/>
  <c r="BD302" i="65"/>
  <c r="BE302" i="65"/>
  <c r="BD303" i="65"/>
  <c r="BE303" i="65"/>
  <c r="BD304" i="65"/>
  <c r="BE304" i="65"/>
  <c r="BD305" i="65"/>
  <c r="BE305" i="65"/>
  <c r="BD306" i="65"/>
  <c r="BE306" i="65"/>
  <c r="BD307" i="65"/>
  <c r="BE307" i="65"/>
  <c r="BD308" i="65"/>
  <c r="BE308" i="65"/>
  <c r="BD309" i="65"/>
  <c r="BE309" i="65"/>
  <c r="BD310" i="65"/>
  <c r="BE310" i="65"/>
  <c r="BD311" i="65"/>
  <c r="BE311" i="65"/>
  <c r="BD312" i="65"/>
  <c r="BE312" i="65"/>
  <c r="BD313" i="65"/>
  <c r="BE313" i="65"/>
  <c r="BD314" i="65"/>
  <c r="BE314" i="65"/>
  <c r="BD315" i="65"/>
  <c r="BE315" i="65"/>
  <c r="BD316" i="65"/>
  <c r="BE316" i="65"/>
  <c r="BD317" i="65"/>
  <c r="BE317" i="65"/>
  <c r="BD318" i="65"/>
  <c r="BE318" i="65"/>
  <c r="BD319" i="65"/>
  <c r="BE319" i="65"/>
  <c r="BD320" i="65"/>
  <c r="BE320" i="65"/>
  <c r="BD321" i="65"/>
  <c r="BE321" i="65"/>
  <c r="BD322" i="65"/>
  <c r="BE322" i="65"/>
  <c r="BD323" i="65"/>
  <c r="BE323" i="65"/>
  <c r="BD324" i="65"/>
  <c r="BE324" i="65"/>
  <c r="BD325" i="65"/>
  <c r="BE325" i="65"/>
  <c r="BD326" i="65"/>
  <c r="BE326" i="65"/>
  <c r="BD327" i="65"/>
  <c r="BE327" i="65"/>
  <c r="BD328" i="65"/>
  <c r="BE328" i="65"/>
  <c r="BD329" i="65"/>
  <c r="BE329" i="65"/>
  <c r="BD330" i="65"/>
  <c r="BE330" i="65"/>
  <c r="BD331" i="65"/>
  <c r="BE331" i="65"/>
  <c r="BD332" i="65"/>
  <c r="BE332" i="65"/>
  <c r="BD333" i="65"/>
  <c r="BE333" i="65"/>
  <c r="BD334" i="65"/>
  <c r="BE334" i="65"/>
  <c r="BD335" i="65"/>
  <c r="BE335" i="65"/>
  <c r="BD336" i="65"/>
  <c r="BE336" i="65"/>
  <c r="BD337" i="65"/>
  <c r="BE337" i="65"/>
  <c r="BD338" i="65"/>
  <c r="BE338" i="65"/>
  <c r="BD339" i="65"/>
  <c r="BE339" i="65"/>
  <c r="BD340" i="65"/>
  <c r="BE340" i="65"/>
  <c r="BD341" i="65"/>
  <c r="BE341" i="65"/>
  <c r="BD342" i="65"/>
  <c r="BE342" i="65"/>
  <c r="BD343" i="65"/>
  <c r="BE343" i="65"/>
  <c r="BD344" i="65"/>
  <c r="BE344" i="65"/>
  <c r="BD345" i="65"/>
  <c r="BE345" i="65"/>
  <c r="BD346" i="65"/>
  <c r="BE346" i="65"/>
  <c r="BD347" i="65"/>
  <c r="BE347" i="65"/>
  <c r="BD348" i="65"/>
  <c r="BE348" i="65"/>
  <c r="BD349" i="65"/>
  <c r="BE349" i="65"/>
  <c r="BD350" i="65"/>
  <c r="BE350" i="65"/>
  <c r="BD351" i="65"/>
  <c r="BE351" i="65"/>
  <c r="BD352" i="65"/>
  <c r="BE352" i="65"/>
  <c r="BD353" i="65"/>
  <c r="BE353" i="65"/>
  <c r="BD354" i="65"/>
  <c r="BE354" i="65"/>
  <c r="BD355" i="65"/>
  <c r="BE355" i="65"/>
  <c r="BD356" i="65"/>
  <c r="BE356" i="65"/>
  <c r="BD357" i="65"/>
  <c r="BE357" i="65"/>
  <c r="BD358" i="65"/>
  <c r="BE358" i="65"/>
  <c r="BD359" i="65"/>
  <c r="BE359" i="65"/>
  <c r="BD360" i="65"/>
  <c r="BE360" i="65"/>
  <c r="BD361" i="65"/>
  <c r="BE361" i="65"/>
  <c r="BD362" i="65"/>
  <c r="BE362" i="65"/>
  <c r="BD363" i="65"/>
  <c r="BE363" i="65"/>
  <c r="BD364" i="65"/>
  <c r="BE364" i="65"/>
  <c r="BD365" i="65"/>
  <c r="BE365" i="65"/>
  <c r="BD366" i="65"/>
  <c r="BE366" i="65"/>
  <c r="BD367" i="65"/>
  <c r="BE367" i="65"/>
  <c r="BD368" i="65"/>
  <c r="BE368" i="65"/>
  <c r="BD369" i="65"/>
  <c r="BE369" i="65"/>
  <c r="BD370" i="65"/>
  <c r="BE370" i="65"/>
  <c r="BD371" i="65"/>
  <c r="BE371" i="65"/>
  <c r="BD372" i="65"/>
  <c r="BE372" i="65"/>
  <c r="BD373" i="65"/>
  <c r="BE373" i="65"/>
  <c r="BD374" i="65"/>
  <c r="BE374" i="65"/>
  <c r="BD375" i="65"/>
  <c r="BE375" i="65"/>
  <c r="BD376" i="65"/>
  <c r="BE376" i="65"/>
  <c r="BD377" i="65"/>
  <c r="BE377" i="65"/>
  <c r="BD378" i="65"/>
  <c r="BE378" i="65"/>
  <c r="BD379" i="65"/>
  <c r="BE379" i="65"/>
  <c r="BD380" i="65"/>
  <c r="BE380" i="65"/>
  <c r="BD381" i="65"/>
  <c r="BE381" i="65"/>
  <c r="BD382" i="65"/>
  <c r="BE382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/>
  <c r="AV98" i="65"/>
  <c r="AW98" i="65"/>
  <c r="AV99" i="65"/>
  <c r="AW99" i="65"/>
  <c r="AV100" i="65"/>
  <c r="AW100" i="65"/>
  <c r="AV101" i="65"/>
  <c r="AW101" i="65"/>
  <c r="AV102" i="65"/>
  <c r="AW102" i="65"/>
  <c r="AV103" i="65"/>
  <c r="AW103" i="65"/>
  <c r="AV104" i="65"/>
  <c r="AW104" i="65"/>
  <c r="AV105" i="65"/>
  <c r="AW105" i="65"/>
  <c r="AV106" i="65"/>
  <c r="AW106" i="65"/>
  <c r="AV107" i="65"/>
  <c r="AW107" i="65"/>
  <c r="AV108" i="65"/>
  <c r="AW108" i="65"/>
  <c r="AV109" i="65"/>
  <c r="AW109" i="65"/>
  <c r="AV110" i="65"/>
  <c r="AW110" i="65"/>
  <c r="AV111" i="65"/>
  <c r="AW111" i="65"/>
  <c r="AV112" i="65"/>
  <c r="AW112" i="65"/>
  <c r="AV113" i="65"/>
  <c r="AW113" i="65"/>
  <c r="AV114" i="65"/>
  <c r="AW114" i="65"/>
  <c r="AV115" i="65"/>
  <c r="AW115" i="65"/>
  <c r="AV116" i="65"/>
  <c r="AW116" i="65"/>
  <c r="AV117" i="65"/>
  <c r="AW117" i="65"/>
  <c r="AV118" i="65"/>
  <c r="AW118" i="65"/>
  <c r="AV119" i="65"/>
  <c r="AW119" i="65"/>
  <c r="AV120" i="65"/>
  <c r="AW120" i="65"/>
  <c r="AV121" i="65"/>
  <c r="AW121" i="65"/>
  <c r="AV122" i="65"/>
  <c r="AW122" i="65"/>
  <c r="AV123" i="65"/>
  <c r="AW123" i="65"/>
  <c r="AV124" i="65"/>
  <c r="AW124" i="65"/>
  <c r="AV125" i="65"/>
  <c r="AW125" i="65"/>
  <c r="AV126" i="65"/>
  <c r="AW126" i="65" s="1"/>
  <c r="AV127" i="65"/>
  <c r="AW127" i="65"/>
  <c r="AV128" i="65"/>
  <c r="AW128" i="65"/>
  <c r="AV129" i="65"/>
  <c r="AW129" i="65"/>
  <c r="AV130" i="65"/>
  <c r="AW130" i="65"/>
  <c r="AV131" i="65"/>
  <c r="AW131" i="65"/>
  <c r="AV132" i="65"/>
  <c r="AW132" i="65"/>
  <c r="AV133" i="65"/>
  <c r="AW133" i="65"/>
  <c r="AV134" i="65"/>
  <c r="AW134" i="65"/>
  <c r="AV135" i="65"/>
  <c r="AW135" i="65"/>
  <c r="AV136" i="65"/>
  <c r="AW136" i="65"/>
  <c r="AV137" i="65"/>
  <c r="AW137" i="65"/>
  <c r="AV138" i="65"/>
  <c r="AW138" i="65"/>
  <c r="AV139" i="65"/>
  <c r="AW139" i="65"/>
  <c r="AV140" i="65"/>
  <c r="AW140" i="65"/>
  <c r="AV141" i="65"/>
  <c r="AW141" i="65"/>
  <c r="AV142" i="65"/>
  <c r="AW142" i="65"/>
  <c r="AV143" i="65"/>
  <c r="AW143" i="65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 s="1"/>
  <c r="AV183" i="65"/>
  <c r="AW183" i="65" s="1"/>
  <c r="AV184" i="65"/>
  <c r="AW184" i="65" s="1"/>
  <c r="AV185" i="65"/>
  <c r="AW185" i="65" s="1"/>
  <c r="AV186" i="65"/>
  <c r="AW186" i="65" s="1"/>
  <c r="AV187" i="65"/>
  <c r="AW187" i="65" s="1"/>
  <c r="AV188" i="65"/>
  <c r="AW188" i="65" s="1"/>
  <c r="AV189" i="65"/>
  <c r="AW189" i="65" s="1"/>
  <c r="AV190" i="65"/>
  <c r="AW190" i="65" s="1"/>
  <c r="AV191" i="65"/>
  <c r="AW191" i="65" s="1"/>
  <c r="AV192" i="65"/>
  <c r="AW192" i="65" s="1"/>
  <c r="AV193" i="65"/>
  <c r="AW193" i="65" s="1"/>
  <c r="AV194" i="65"/>
  <c r="AW194" i="65" s="1"/>
  <c r="AV195" i="65"/>
  <c r="AW195" i="65" s="1"/>
  <c r="AV196" i="65"/>
  <c r="AW196" i="65" s="1"/>
  <c r="AV197" i="65"/>
  <c r="AW197" i="65" s="1"/>
  <c r="AV198" i="65"/>
  <c r="AW198" i="65" s="1"/>
  <c r="AV199" i="65"/>
  <c r="AW199" i="65" s="1"/>
  <c r="AV200" i="65"/>
  <c r="AW200" i="65" s="1"/>
  <c r="AV201" i="65"/>
  <c r="AW201" i="65" s="1"/>
  <c r="AV202" i="65"/>
  <c r="AW202" i="65" s="1"/>
  <c r="AV203" i="65"/>
  <c r="AW203" i="65" s="1"/>
  <c r="AV204" i="65"/>
  <c r="AW204" i="65" s="1"/>
  <c r="AV205" i="65"/>
  <c r="AW205" i="65" s="1"/>
  <c r="AV206" i="65"/>
  <c r="AW206" i="65" s="1"/>
  <c r="AV207" i="65"/>
  <c r="AW207" i="65" s="1"/>
  <c r="AV208" i="65"/>
  <c r="AW208" i="65" s="1"/>
  <c r="AV209" i="65"/>
  <c r="AW209" i="65" s="1"/>
  <c r="AV210" i="65"/>
  <c r="AW210" i="65" s="1"/>
  <c r="AV211" i="65"/>
  <c r="AW211" i="65" s="1"/>
  <c r="AV212" i="65"/>
  <c r="AW212" i="65" s="1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/>
  <c r="AV252" i="65"/>
  <c r="AW252" i="65"/>
  <c r="AV253" i="65"/>
  <c r="AW253" i="65"/>
  <c r="AV254" i="65"/>
  <c r="AW254" i="65"/>
  <c r="AV255" i="65"/>
  <c r="AW255" i="65"/>
  <c r="AV256" i="65"/>
  <c r="AW256" i="65"/>
  <c r="AV257" i="65"/>
  <c r="AW257" i="65" s="1"/>
  <c r="AV258" i="65"/>
  <c r="AW258" i="65"/>
  <c r="AV259" i="65"/>
  <c r="AW259" i="65"/>
  <c r="AV260" i="65"/>
  <c r="AW260" i="65"/>
  <c r="AV261" i="65"/>
  <c r="AW261" i="65"/>
  <c r="AV262" i="65"/>
  <c r="AW262" i="65"/>
  <c r="AV263" i="65"/>
  <c r="AW263" i="65"/>
  <c r="AV264" i="65"/>
  <c r="AW264" i="65"/>
  <c r="AV265" i="65"/>
  <c r="AW265" i="65"/>
  <c r="AV266" i="65"/>
  <c r="AW266" i="65"/>
  <c r="AV267" i="65"/>
  <c r="AW267" i="65"/>
  <c r="AV268" i="65"/>
  <c r="AW268" i="65"/>
  <c r="AV269" i="65"/>
  <c r="AW269" i="65"/>
  <c r="AV270" i="65"/>
  <c r="AW270" i="65"/>
  <c r="AV271" i="65"/>
  <c r="AW271" i="65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 s="1"/>
  <c r="AL189" i="65"/>
  <c r="AM189" i="65" s="1"/>
  <c r="AL190" i="65"/>
  <c r="AM190" i="65" s="1"/>
  <c r="AL191" i="65"/>
  <c r="AM191" i="65" s="1"/>
  <c r="AL192" i="65"/>
  <c r="AM192" i="65" s="1"/>
  <c r="AL193" i="65"/>
  <c r="AM193" i="65" s="1"/>
  <c r="AL194" i="65"/>
  <c r="AM194" i="65" s="1"/>
  <c r="AL195" i="65"/>
  <c r="AM195" i="65" s="1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 s="1"/>
  <c r="AD110" i="65"/>
  <c r="AE110" i="65"/>
  <c r="AD111" i="65"/>
  <c r="AE111" i="65"/>
  <c r="AD112" i="65"/>
  <c r="AE112" i="65"/>
  <c r="AD113" i="65"/>
  <c r="AE113" i="65"/>
  <c r="AD114" i="65"/>
  <c r="AE114" i="65"/>
  <c r="AD115" i="65"/>
  <c r="AE115" i="65"/>
  <c r="AD116" i="65"/>
  <c r="AE116" i="65"/>
  <c r="AD117" i="65"/>
  <c r="AE117" i="65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 s="1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 s="1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/>
  <c r="T116" i="65"/>
  <c r="U116" i="65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 s="1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/>
  <c r="T237" i="65"/>
  <c r="U237" i="65"/>
  <c r="T238" i="65"/>
  <c r="U238" i="65"/>
  <c r="T239" i="65"/>
  <c r="U239" i="65"/>
  <c r="T240" i="65"/>
  <c r="U240" i="65"/>
  <c r="T241" i="65"/>
  <c r="U241" i="65"/>
  <c r="T242" i="65"/>
  <c r="U242" i="65"/>
  <c r="T243" i="65"/>
  <c r="U243" i="65"/>
  <c r="T244" i="65"/>
  <c r="U244" i="65"/>
  <c r="T245" i="65"/>
  <c r="U245" i="65"/>
  <c r="T246" i="65"/>
  <c r="U246" i="65"/>
  <c r="T247" i="65"/>
  <c r="U247" i="65"/>
  <c r="T248" i="65"/>
  <c r="U248" i="65"/>
  <c r="T249" i="65"/>
  <c r="U249" i="65"/>
  <c r="T250" i="65"/>
  <c r="U250" i="65"/>
  <c r="T251" i="65"/>
  <c r="U251" i="65"/>
  <c r="T252" i="65"/>
  <c r="U252" i="65"/>
  <c r="T253" i="65"/>
  <c r="U253" i="65"/>
  <c r="T254" i="65"/>
  <c r="U254" i="65"/>
  <c r="T255" i="65"/>
  <c r="U255" i="65"/>
  <c r="T256" i="65"/>
  <c r="U256" i="65"/>
  <c r="T257" i="65"/>
  <c r="U257" i="65"/>
  <c r="T258" i="65"/>
  <c r="U258" i="65"/>
  <c r="T259" i="65"/>
  <c r="U259" i="65"/>
  <c r="T260" i="65"/>
  <c r="U260" i="65"/>
  <c r="T261" i="65"/>
  <c r="U261" i="65"/>
  <c r="T262" i="65"/>
  <c r="U262" i="65"/>
  <c r="T263" i="65"/>
  <c r="U263" i="65"/>
  <c r="T264" i="65"/>
  <c r="U264" i="65"/>
  <c r="T265" i="65"/>
  <c r="U265" i="65"/>
  <c r="T266" i="65"/>
  <c r="U266" i="65"/>
  <c r="T267" i="65"/>
  <c r="U267" i="65"/>
  <c r="T268" i="65"/>
  <c r="U268" i="65"/>
  <c r="T269" i="65"/>
  <c r="U269" i="65"/>
  <c r="T270" i="65"/>
  <c r="U270" i="65"/>
  <c r="T271" i="65"/>
  <c r="U271" i="65" s="1"/>
  <c r="T272" i="65"/>
  <c r="U272" i="65"/>
  <c r="T273" i="65"/>
  <c r="U273" i="65"/>
  <c r="T274" i="65"/>
  <c r="U274" i="65"/>
  <c r="T275" i="65"/>
  <c r="U275" i="65"/>
  <c r="T276" i="65"/>
  <c r="U276" i="65"/>
  <c r="T277" i="65"/>
  <c r="U277" i="65"/>
  <c r="T278" i="65"/>
  <c r="U278" i="65"/>
  <c r="T279" i="65"/>
  <c r="U279" i="65"/>
  <c r="T280" i="65"/>
  <c r="U280" i="65"/>
  <c r="T281" i="65"/>
  <c r="U281" i="65"/>
  <c r="T282" i="65"/>
  <c r="U282" i="65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/>
  <c r="L99" i="65"/>
  <c r="M99" i="65"/>
  <c r="L100" i="65"/>
  <c r="M100" i="65"/>
  <c r="L101" i="65"/>
  <c r="M101" i="65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BE3" i="66" l="1"/>
  <c r="AQ2" i="66"/>
  <c r="AW5" i="66"/>
  <c r="AM3" i="66"/>
  <c r="AL9" i="66"/>
  <c r="B14" i="66" s="1"/>
  <c r="AI6" i="66"/>
  <c r="A14" i="66" s="1"/>
  <c r="Q6" i="66"/>
  <c r="M7" i="66"/>
  <c r="M3" i="66"/>
  <c r="M5" i="66"/>
  <c r="A19" i="66"/>
  <c r="CF4" i="66"/>
  <c r="CF2" i="66" s="1"/>
  <c r="A15" i="66"/>
  <c r="AV4" i="66"/>
  <c r="A17" i="66"/>
  <c r="BN4" i="66"/>
  <c r="AQ4" i="66"/>
  <c r="EP4" i="66"/>
  <c r="EP2" i="66" s="1"/>
  <c r="CX4" i="66"/>
  <c r="BV4" i="66"/>
  <c r="DF4" i="66"/>
  <c r="L4" i="66"/>
  <c r="AL4" i="66"/>
  <c r="Y4" i="66"/>
  <c r="AD4" i="66"/>
  <c r="BD4" i="66"/>
  <c r="CN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E4" i="63"/>
  <c r="J4" i="63"/>
  <c r="A12" i="66" l="1"/>
  <c r="T4" i="66"/>
  <c r="C16" i="66"/>
  <c r="BD2" i="66"/>
  <c r="D16" i="66" s="1"/>
  <c r="C11" i="66"/>
  <c r="L2" i="66"/>
  <c r="C18" i="66"/>
  <c r="BV2" i="66"/>
  <c r="D18" i="66" s="1"/>
  <c r="C17" i="66"/>
  <c r="C19" i="66"/>
  <c r="BN2" i="66"/>
  <c r="AV2" i="66"/>
  <c r="C15" i="66"/>
  <c r="D19" i="66"/>
  <c r="CC9" i="66"/>
  <c r="E19" i="66" s="1"/>
  <c r="C20" i="66"/>
  <c r="CN2" i="66"/>
  <c r="D20" i="66" s="1"/>
  <c r="C13" i="66"/>
  <c r="AD2" i="66"/>
  <c r="AL2" i="66"/>
  <c r="D14" i="66" s="1"/>
  <c r="C14" i="66"/>
  <c r="DF2" i="66"/>
  <c r="D22" i="66" s="1"/>
  <c r="C22" i="66"/>
  <c r="C21" i="66"/>
  <c r="CX2" i="66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H4" i="63"/>
  <c r="L4" i="63"/>
  <c r="C4" i="63"/>
  <c r="I4" i="63"/>
  <c r="B4" i="63"/>
  <c r="D4" i="63"/>
  <c r="A3" i="63" a="1"/>
  <c r="T2" i="66" l="1"/>
  <c r="D12" i="66" s="1"/>
  <c r="C12" i="66"/>
  <c r="D15" i="66"/>
  <c r="AS9" i="66"/>
  <c r="E15" i="66" s="1"/>
  <c r="D11" i="66"/>
  <c r="I9" i="66"/>
  <c r="E11" i="66" s="1"/>
  <c r="D21" i="66"/>
  <c r="CU9" i="66"/>
  <c r="E21" i="66" s="1"/>
  <c r="D13" i="66"/>
  <c r="AA9" i="66"/>
  <c r="E13" i="66" s="1"/>
  <c r="D17" i="66"/>
  <c r="BK9" i="66"/>
  <c r="E17" i="66" s="1"/>
  <c r="AI6" i="65"/>
  <c r="A14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T4" i="65" l="1"/>
  <c r="O4" i="65"/>
  <c r="BA6" i="65"/>
  <c r="A16" i="65" s="1"/>
  <c r="BQ4" i="65"/>
  <c r="CX4" i="65"/>
  <c r="BD4" i="65"/>
  <c r="BD2" i="65" s="1"/>
  <c r="D16" i="65" s="1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K3" i="64" l="1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D2" i="63"/>
  <c r="I2" i="63"/>
  <c r="H2" i="63"/>
  <c r="H3" i="63"/>
  <c r="C3" i="63"/>
  <c r="L3" i="63"/>
  <c r="D3" i="63"/>
  <c r="C2" i="63"/>
  <c r="L2" i="63"/>
  <c r="G2" i="63"/>
  <c r="G3" i="63"/>
  <c r="I3" i="63"/>
  <c r="B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<sst xmlns="http://schemas.openxmlformats.org/spreadsheetml/2006/main" count="1240" uniqueCount="46">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</sst>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4" t="e">
        <f>(Q3-Q4)/(S3-S4)*(-S4)+Q4</f>
        <v>#N/A</v>
      </c>
      <c r="R6" s="34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W1" workbookViewId="0">
      <selection activeCell="BD11" sqref="BD11:BE38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14234.828947368325</v>
      </c>
      <c r="H2" s="2"/>
      <c r="I2" s="6" t="s">
        <v>12</v>
      </c>
      <c r="J2" s="2"/>
      <c r="K2" s="7" t="s">
        <v>13</v>
      </c>
      <c r="L2" s="3">
        <f>L4*I6*L9/100*100</f>
        <v>22.911818106000002</v>
      </c>
      <c r="M2" s="8" t="s">
        <v>14</v>
      </c>
      <c r="N2" s="9"/>
      <c r="O2" s="2">
        <f>ABS(S7-S6)/ABS(T7-T6)*1000</f>
        <v>828.47704918032855</v>
      </c>
      <c r="P2" s="2"/>
      <c r="Q2" s="6" t="s">
        <v>15</v>
      </c>
      <c r="R2" s="2"/>
      <c r="S2" s="7" t="s">
        <v>13</v>
      </c>
      <c r="T2" s="3">
        <f>T4*Q6*T9/100*100</f>
        <v>21.808616445000006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22.610689950000001</v>
      </c>
      <c r="AE2" s="8" t="s">
        <v>14</v>
      </c>
      <c r="AF2" s="9"/>
      <c r="AG2" s="2">
        <f>ABS(AK7-AK6)/ABS(AL7-AL6)*1000</f>
        <v>547.32608695652914</v>
      </c>
      <c r="AH2" s="2"/>
      <c r="AI2" s="6" t="s">
        <v>15</v>
      </c>
      <c r="AJ2" s="2"/>
      <c r="AK2" s="7" t="s">
        <v>13</v>
      </c>
      <c r="AL2" s="3">
        <f>AL4*AI6*AL9/100*100</f>
        <v>21.370170216000002</v>
      </c>
      <c r="AM2" s="8" t="s">
        <v>14</v>
      </c>
      <c r="AP2" s="9"/>
      <c r="AQ2" s="2">
        <f>ABS(AU7-AU6)/ABS(AV7-AV6)*1000</f>
        <v>3596.569398907805</v>
      </c>
      <c r="AR2" s="2"/>
      <c r="AS2" s="6" t="s">
        <v>12</v>
      </c>
      <c r="AT2" s="2"/>
      <c r="AU2" s="7" t="s">
        <v>13</v>
      </c>
      <c r="AV2" s="3">
        <f>AV4*AS6*AV9/100*100</f>
        <v>22.133873991000002</v>
      </c>
      <c r="AW2" s="8" t="s">
        <v>14</v>
      </c>
      <c r="AX2" s="9"/>
      <c r="AY2" s="2">
        <f>ABS(BC7-BC6)/ABS(BD7-BD6)*1000</f>
        <v>3455.6073333372942</v>
      </c>
      <c r="AZ2" s="2"/>
      <c r="BA2" s="6" t="s">
        <v>15</v>
      </c>
      <c r="BB2" s="2"/>
      <c r="BC2" s="7" t="s">
        <v>13</v>
      </c>
      <c r="BD2" s="3">
        <f>BD4*BA6*BD9/100*100</f>
        <v>21.217760250000001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1.7089799999999999</v>
      </c>
      <c r="J3" s="2"/>
      <c r="K3" s="10">
        <f>INDEX(L11:L1056,MATCH(I3,K11:K1056,0))</f>
        <v>-1.3436900000000001</v>
      </c>
      <c r="L3" s="31" t="s">
        <v>16</v>
      </c>
      <c r="M3" s="11">
        <f>M9</f>
        <v>22.911818106000002</v>
      </c>
      <c r="N3" s="9"/>
      <c r="O3" s="2" t="s">
        <v>44</v>
      </c>
      <c r="P3" s="2"/>
      <c r="Q3" s="2">
        <f>INDEX(S11:S1056,MATCH(0,T11:T1056,-1))</f>
        <v>1.71173</v>
      </c>
      <c r="R3" s="2"/>
      <c r="S3" s="10">
        <f>INDEX(T11:T1056,MATCH(Q3,S11:S1056,0))</f>
        <v>3.2473799999999997</v>
      </c>
      <c r="T3" s="31" t="s">
        <v>16</v>
      </c>
      <c r="U3" s="11">
        <f>U9</f>
        <v>21.808616445000002</v>
      </c>
      <c r="X3" s="9"/>
      <c r="Y3" s="2" t="s">
        <v>44</v>
      </c>
      <c r="Z3" s="2"/>
      <c r="AA3" s="2">
        <f>INDEX(AC11:AC856,MATCH(0,AD11:AD856,1))</f>
        <v>1.70868</v>
      </c>
      <c r="AB3" s="2"/>
      <c r="AC3" s="10">
        <f>INDEX(AD11:AD1056,MATCH(AA3,AC11:AC1056,0))</f>
        <v>-4.7186300000000001</v>
      </c>
      <c r="AD3" s="31" t="s">
        <v>16</v>
      </c>
      <c r="AE3" s="11">
        <f>AE9</f>
        <v>22.610689950000001</v>
      </c>
      <c r="AF3" s="9"/>
      <c r="AG3" s="2" t="s">
        <v>44</v>
      </c>
      <c r="AH3" s="2"/>
      <c r="AI3" s="2">
        <f>INDEX(AK11:AK1056,MATCH(0,AL11:AL1056,-1))</f>
        <v>1.71204</v>
      </c>
      <c r="AJ3" s="2"/>
      <c r="AK3" s="10">
        <f>INDEX(AL11:AL1056,MATCH(AI3,AK11:AK1056,0))</f>
        <v>2.4591099999999999</v>
      </c>
      <c r="AL3" s="31" t="s">
        <v>16</v>
      </c>
      <c r="AM3" s="11">
        <f>AM9</f>
        <v>21.370170216000002</v>
      </c>
      <c r="AP3" s="9"/>
      <c r="AQ3" s="2" t="s">
        <v>44</v>
      </c>
      <c r="AR3" s="2"/>
      <c r="AS3" s="2">
        <f>INDEX(AU11:AU856,MATCH(0,AV11:AV856,1))</f>
        <v>1.7038</v>
      </c>
      <c r="AT3" s="2"/>
      <c r="AU3" s="10">
        <f>INDEX(AV11:AV1056,MATCH(AS3,AU11:AU1056,0))</f>
        <v>-0.14566000000000001</v>
      </c>
      <c r="AV3" s="31" t="s">
        <v>16</v>
      </c>
      <c r="AW3" s="11">
        <f>AW9</f>
        <v>22.133873991000002</v>
      </c>
      <c r="AX3" s="9"/>
      <c r="AY3" s="2" t="s">
        <v>44</v>
      </c>
      <c r="AZ3" s="2"/>
      <c r="BA3" s="2">
        <f>INDEX(BC11:BC1056,MATCH(0,BD11:BD1056,-1))</f>
        <v>1.71661</v>
      </c>
      <c r="BB3" s="2"/>
      <c r="BC3" s="10">
        <f>INDEX(BD11:BD1056,MATCH(BA3,BC11:BC1056,0))</f>
        <v>1.55609</v>
      </c>
      <c r="BD3" s="31" t="s">
        <v>16</v>
      </c>
      <c r="BE3" s="11">
        <f>BE9</f>
        <v>21.217760250000001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1.0725281642168913</v>
      </c>
      <c r="H4" s="2"/>
      <c r="I4" s="2">
        <f>INDEX(K11:K1000,1+MATCH(0,L11:L856,1))</f>
        <v>1.7038</v>
      </c>
      <c r="J4" s="2"/>
      <c r="K4" s="10">
        <f>INDEX(L11:L1056,MATCH(I4,K11:K1056,0))</f>
        <v>3.4860199999999999</v>
      </c>
      <c r="L4" s="30">
        <f>M3/(I6*L9)</f>
        <v>0.79568396025516197</v>
      </c>
      <c r="M4" s="8" t="s">
        <v>17</v>
      </c>
      <c r="N4" s="9"/>
      <c r="O4" s="2">
        <f>ABS(Q3-Q4)/ABS(S3-S4)*1000</f>
        <v>1.5786036804756618</v>
      </c>
      <c r="P4" s="2"/>
      <c r="Q4" s="2">
        <f>INDEX(S11:S856,1+MATCH(0,T11:T856,-1))</f>
        <v>1.71722</v>
      </c>
      <c r="R4" s="2"/>
      <c r="S4" s="10">
        <f>INDEX(T11:T856,MATCH(Q4,S11:S856,0))</f>
        <v>-0.230377</v>
      </c>
      <c r="T4" s="30">
        <f>U3/(Q6*T9)</f>
        <v>0.74806320318551645</v>
      </c>
      <c r="U4" s="8" t="s">
        <v>17</v>
      </c>
      <c r="X4" s="9"/>
      <c r="Y4" s="2">
        <f>ABS(AA3-AA4)/ABS(AC3-AC4)*1000</f>
        <v>0.69803452984783898</v>
      </c>
      <c r="Z4" s="2"/>
      <c r="AA4" s="2">
        <f>INDEX(AC11:AC1000,1+MATCH(0,AD11:AD856,1))</f>
        <v>1.7040999999999999</v>
      </c>
      <c r="AB4" s="2"/>
      <c r="AC4" s="10">
        <f>INDEX(AD11:AD1056,MATCH(AA4,AC11:AC1056,0))</f>
        <v>1.8426499999999999</v>
      </c>
      <c r="AD4" s="30">
        <f>AE3/(AA6*AD9)</f>
        <v>0.78776489612563061</v>
      </c>
      <c r="AE4" s="8" t="s">
        <v>17</v>
      </c>
      <c r="AF4" s="9"/>
      <c r="AG4" s="2">
        <f>ABS(AI3-AI4)/ABS(AK3-AK4)*1000</f>
        <v>0.99060335764682106</v>
      </c>
      <c r="AH4" s="2"/>
      <c r="AI4" s="2">
        <f>INDEX(AK11:AK856,1+MATCH(0,AL11:AL856,-1))</f>
        <v>1.71661</v>
      </c>
      <c r="AJ4" s="2"/>
      <c r="AK4" s="10">
        <f>INDEX(AL11:AL856,MATCH(AI4,AK11:AK856,0))</f>
        <v>-2.1542400000000002</v>
      </c>
      <c r="AL4" s="30">
        <f>AM3/(AI6*AL9)</f>
        <v>0.73562489520939389</v>
      </c>
      <c r="AM4" s="8" t="s">
        <v>17</v>
      </c>
      <c r="AP4" s="9"/>
      <c r="AQ4" s="2">
        <f>ABS(AS3-AS4)/ABS(AU3-AU4)*1000</f>
        <v>1.1550753633527093</v>
      </c>
      <c r="AR4" s="2"/>
      <c r="AS4" s="2">
        <f>INDEX(AU11:AU1000,1+MATCH(0,AV11:AV856,1))</f>
        <v>1.6989099999999999</v>
      </c>
      <c r="AT4" s="2"/>
      <c r="AU4" s="10">
        <f>INDEX(AV11:AV1056,MATCH(AS4,AU11:AU1056,0))</f>
        <v>4.0878299999999994</v>
      </c>
      <c r="AV4" s="30">
        <f>AW3/(AS6*AV9)</f>
        <v>0.77143054073719974</v>
      </c>
      <c r="AW4" s="8" t="s">
        <v>17</v>
      </c>
      <c r="AX4" s="9"/>
      <c r="AY4" s="2">
        <f>ABS(BA3-BA4)/ABS(BC3-BC4)*1000</f>
        <v>0.83369744011514779</v>
      </c>
      <c r="AZ4" s="2"/>
      <c r="BA4" s="2">
        <f>INDEX(BC11:BC856,1+MATCH(0,BD11:BD856,-1))</f>
        <v>1.7218</v>
      </c>
      <c r="BB4" s="2"/>
      <c r="BC4" s="10">
        <f>INDEX(BD11:BD856,MATCH(BA4,BC11:BC856,0))</f>
        <v>-4.6691900000000004</v>
      </c>
      <c r="BD4" s="30">
        <f>BE3/(BA6*BD9)</f>
        <v>0.72909310735723998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15.191700000000001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14.334100000000001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14.8926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14.2822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14.6271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14.324999999999999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1.7075388546310233</v>
      </c>
      <c r="J6" s="30"/>
      <c r="K6" s="13">
        <f>INDEX(K11:K1056,MATCH(L6,L11:L1056,0))</f>
        <v>0.12277200000000001</v>
      </c>
      <c r="L6" s="10">
        <f>INDEX(L11:L1056,MATCH(0,K11:K1056,-1))</f>
        <v>16.854900000000001</v>
      </c>
      <c r="M6" s="8" t="s">
        <v>22</v>
      </c>
      <c r="N6" s="9"/>
      <c r="O6" s="2"/>
      <c r="P6" s="2"/>
      <c r="Q6" s="34">
        <f>(Q3-Q4)/(S3-S4)*(-S4)+Q4</f>
        <v>1.716856326019903</v>
      </c>
      <c r="R6" s="34"/>
      <c r="S6" s="13">
        <f>INDEX(S11:S1056,MATCH(T6,T11:T1056,0))</f>
        <v>-4.4647200000000001E-3</v>
      </c>
      <c r="T6" s="10">
        <f>INDEX(T11:T1056,MATCH(0,S11:S1056,1))</f>
        <v>16.9861</v>
      </c>
      <c r="U6" s="8" t="s">
        <v>22</v>
      </c>
      <c r="X6" s="9"/>
      <c r="Y6" s="2"/>
      <c r="Z6" s="2"/>
      <c r="AA6" s="30">
        <f>(AA3-AA4)/(AC3-AC4)*(-AC4)+AA4</f>
        <v>1.705386233326424</v>
      </c>
      <c r="AB6" s="30"/>
      <c r="AC6" s="13">
        <f>INDEX(AC11:AC1056,MATCH(AD6,AD11:AD1056,0))</f>
        <v>2.3071300000000001E-3</v>
      </c>
      <c r="AD6" s="10">
        <f>INDEX(AD11:AD1056,MATCH(0,AC11:AC1056,-1))</f>
        <v>16.830399999999997</v>
      </c>
      <c r="AE6" s="8" t="s">
        <v>22</v>
      </c>
      <c r="AF6" s="9"/>
      <c r="AG6" s="2"/>
      <c r="AH6" s="2"/>
      <c r="AI6" s="34">
        <f>(AI3-AI4)/(AK3-AK4)*(-AK4)+AI4</f>
        <v>1.714476002622823</v>
      </c>
      <c r="AJ6" s="34"/>
      <c r="AK6" s="13">
        <f>INDEX(AK11:AK1056,MATCH(AL6,AL11:AL1056,0))</f>
        <v>-4.5623800000000004E-3</v>
      </c>
      <c r="AL6" s="10">
        <f>INDEX(AL11:AL1056,MATCH(0,AK11:AK1056,1))</f>
        <v>16.952500000000001</v>
      </c>
      <c r="AM6" s="8" t="s">
        <v>22</v>
      </c>
      <c r="AP6" s="9"/>
      <c r="AQ6" s="2"/>
      <c r="AR6" s="2"/>
      <c r="AS6" s="30">
        <f>(AS3-AS4)/(AU3-AU4)*(-AU4)+AS4</f>
        <v>1.7036317517225741</v>
      </c>
      <c r="AT6" s="30"/>
      <c r="AU6" s="13">
        <f>INDEX(AU11:AU1056,MATCH(AV6,AV11:AV1056,0))</f>
        <v>7.40662E-3</v>
      </c>
      <c r="AV6" s="10">
        <f>INDEX(AV11:AV1056,MATCH(0,AU11:AU1056,-1))</f>
        <v>16.839600000000001</v>
      </c>
      <c r="AW6" s="8" t="s">
        <v>22</v>
      </c>
      <c r="AX6" s="9"/>
      <c r="AY6" s="2"/>
      <c r="AZ6" s="2"/>
      <c r="BA6" s="34">
        <f>(BA3-BA4)/(BC3-BC4)*(-BC4)+BA4</f>
        <v>1.7179073082495888</v>
      </c>
      <c r="BB6" s="34"/>
      <c r="BC6" s="13">
        <f>INDEX(BC11:BC1056,MATCH(BD6,BD11:BD1056,0))</f>
        <v>-9.7900399999999999E-3</v>
      </c>
      <c r="BD6" s="10">
        <f>INDEX(BD11:BD1056,MATCH(0,BC11:BC1056,1))</f>
        <v>16.9373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-9.3597399999999997E-2</v>
      </c>
      <c r="L7" s="10">
        <f>INDEX(L11:L856,1+MATCH(0,K11:K856,-1))</f>
        <v>16.870100000000001</v>
      </c>
      <c r="M7" s="12">
        <f>INDEX(K11:K1056,MATCH(M9,M11:M1056,0))</f>
        <v>1.50726</v>
      </c>
      <c r="N7" s="9"/>
      <c r="O7" s="2"/>
      <c r="P7" s="2"/>
      <c r="Q7" s="2"/>
      <c r="R7" s="2"/>
      <c r="S7" s="13">
        <f>INDEX(S11:S1056,MATCH(T7,T11:T1056,0))</f>
        <v>-9.5184299999999996E-3</v>
      </c>
      <c r="T7" s="10">
        <f>INDEX(T11:T1056,1+MATCH(0,S11:S1056,1))</f>
        <v>16.9922</v>
      </c>
      <c r="U7" s="12">
        <f>INDEX(S11:S1056,MATCH(U9,U11:U1056,0))</f>
        <v>1.5206900000000001</v>
      </c>
      <c r="X7" s="9"/>
      <c r="Y7" s="2"/>
      <c r="Z7" s="2"/>
      <c r="AA7" s="2"/>
      <c r="AB7" s="2"/>
      <c r="AC7" s="13">
        <f>INDEX(AC11:AC856,MATCH(AD7,AD11:AD856,1))</f>
        <v>6.7413299999999995E-2</v>
      </c>
      <c r="AD7" s="10">
        <f>INDEX(AD11:AD856,1+MATCH(0,AC11:AC856,-1))</f>
        <v>16.830399999999997</v>
      </c>
      <c r="AE7" s="12">
        <f>INDEX(AC11:AC1056,MATCH(AE9,AE11:AE1056,0))</f>
        <v>1.5176400000000001</v>
      </c>
      <c r="AF7" s="9"/>
      <c r="AG7" s="2"/>
      <c r="AH7" s="2"/>
      <c r="AI7" s="2"/>
      <c r="AJ7" s="2"/>
      <c r="AK7" s="13">
        <f>INDEX(AK11:AK1056,MATCH(AL7,AL11:AL1056,0))</f>
        <v>-9.5977800000000002E-3</v>
      </c>
      <c r="AL7" s="10">
        <f>INDEX(AL11:AL1056,1+MATCH(0,AK11:AK1056,1))</f>
        <v>16.9617</v>
      </c>
      <c r="AM7" s="12">
        <f>INDEX(AK11:AK1056,MATCH(AM9,AM11:AM1056,0))</f>
        <v>1.49536</v>
      </c>
      <c r="AP7" s="9"/>
      <c r="AQ7" s="2"/>
      <c r="AR7" s="2"/>
      <c r="AS7" s="2"/>
      <c r="AT7" s="2"/>
      <c r="AU7" s="13">
        <f>INDEX(AU11:AU856,MATCH(AV7,AV11:AV856,1))</f>
        <v>-5.84106E-2</v>
      </c>
      <c r="AV7" s="10">
        <f>INDEX(AV11:AV856,1+MATCH(0,AU11:AU856,-1))</f>
        <v>16.857899999999997</v>
      </c>
      <c r="AW7" s="12">
        <f>INDEX(AU11:AU1056,MATCH(AW9,AW11:AW1056,0))</f>
        <v>1.5127600000000001</v>
      </c>
      <c r="AX7" s="9"/>
      <c r="AY7" s="2"/>
      <c r="AZ7" s="2"/>
      <c r="BA7" s="2"/>
      <c r="BB7" s="2"/>
      <c r="BC7" s="13">
        <f>INDEX(BC11:BC1056,MATCH(BD7,BD11:BD1056,0))</f>
        <v>5.7678199999999997E-4</v>
      </c>
      <c r="BD7" s="10">
        <f>INDEX(BD11:BD1056,1+MATCH(0,BC11:BC1056,1))</f>
        <v>16.940299999999997</v>
      </c>
      <c r="BE7" s="12">
        <f>INDEX(BC11:BC1056,MATCH(BE9,BE11:BE1056,0))</f>
        <v>1.4801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4.8149896088390163</v>
      </c>
      <c r="J9" s="2"/>
      <c r="K9" s="2"/>
      <c r="L9" s="3">
        <f>(L6-L7)/(K6-K7)*(-K7)+L7</f>
        <v>16.863524761172329</v>
      </c>
      <c r="M9" s="16">
        <f>MAX(M11:M1056)</f>
        <v>22.911818106000002</v>
      </c>
      <c r="N9" s="9"/>
      <c r="O9" s="2"/>
      <c r="P9" s="2"/>
      <c r="Q9" s="2"/>
      <c r="R9" s="2"/>
      <c r="S9" s="2"/>
      <c r="T9" s="3">
        <f>(T6-T7)/(S6-S7)*(-S7)+T7</f>
        <v>16.98071093097942</v>
      </c>
      <c r="U9" s="16">
        <f>MAX(U11:U1056)</f>
        <v>21.808616445000002</v>
      </c>
      <c r="X9" s="9"/>
      <c r="Y9" s="2"/>
      <c r="Z9" s="2"/>
      <c r="AA9" s="15">
        <f>(MAX(AD2,AL2)-MIN(AD2,AL2))/MAX(AD2,AL2)%</f>
        <v>5.4864302537570255</v>
      </c>
      <c r="AB9" s="2"/>
      <c r="AC9" s="2"/>
      <c r="AD9" s="3">
        <f>(AD6-AD7)/(AC6-AC7)*(-AC7)+AD7</f>
        <v>16.830399999999997</v>
      </c>
      <c r="AE9" s="16">
        <f>MAX(AE11:AE1056)</f>
        <v>22.610689950000001</v>
      </c>
      <c r="AF9" s="9"/>
      <c r="AG9" s="2"/>
      <c r="AH9" s="2"/>
      <c r="AI9" s="2"/>
      <c r="AJ9" s="2"/>
      <c r="AK9" s="2"/>
      <c r="AL9" s="3">
        <f>(AL6-AL7)/(AK6-AK7)*(-AK7)+AL7</f>
        <v>16.944164237994997</v>
      </c>
      <c r="AM9" s="16">
        <f>MAX(AM11:AM1056)</f>
        <v>21.370170216000002</v>
      </c>
      <c r="AP9" s="9"/>
      <c r="AQ9" s="2"/>
      <c r="AR9" s="2"/>
      <c r="AS9" s="15">
        <f>(MAX(AV2,BD2)-MIN(AV2,BD2))/MAX(AV2,BD2)%</f>
        <v>4.1389670031215822</v>
      </c>
      <c r="AT9" s="2"/>
      <c r="AU9" s="2"/>
      <c r="AV9" s="3">
        <f>(AV6-AV7)/(AU6-AU7)*(-AU7)+AV7</f>
        <v>16.841659356897786</v>
      </c>
      <c r="AW9" s="16">
        <f>MAX(AW11:AW1056)</f>
        <v>22.133873991000002</v>
      </c>
      <c r="AX9" s="9"/>
      <c r="AY9" s="2"/>
      <c r="AZ9" s="2"/>
      <c r="BA9" s="2"/>
      <c r="BB9" s="2"/>
      <c r="BC9" s="2"/>
      <c r="BD9" s="3">
        <f>(BD6-BD7)/(BC6-BC7)*(-BC7)+BD7</f>
        <v>16.940133088095848</v>
      </c>
      <c r="BE9" s="16">
        <f>MAX(BE11:BE1056)</f>
        <v>21.217760250000001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1.7075388546310233</v>
      </c>
      <c r="B11" s="19">
        <f>IFERROR(L9,0)</f>
        <v>16.863524761172329</v>
      </c>
      <c r="C11" s="20">
        <f>IFERROR(L4,0)</f>
        <v>0.79568396025516197</v>
      </c>
      <c r="D11" s="21">
        <f>IFERROR(L2,0)</f>
        <v>22.911818106000002</v>
      </c>
      <c r="E11" s="21">
        <f>IFERROR(I9,0)</f>
        <v>4.8149896088390163</v>
      </c>
      <c r="F11" s="9"/>
      <c r="G11" s="22">
        <v>1.76498</v>
      </c>
      <c r="H11" s="22">
        <v>39.468299999999999</v>
      </c>
      <c r="I11" s="22">
        <v>0.1</v>
      </c>
      <c r="J11" s="22">
        <v>1</v>
      </c>
      <c r="K11" s="22">
        <v>1.7645299999999999</v>
      </c>
      <c r="L11">
        <f>-I11/$F$2*1000</f>
        <v>-100</v>
      </c>
      <c r="M11">
        <f>L11*G11</f>
        <v>-176.49799999999999</v>
      </c>
      <c r="N11" s="9"/>
      <c r="O11" s="22">
        <v>-9.49097E-2</v>
      </c>
      <c r="P11" s="22">
        <v>103.79</v>
      </c>
      <c r="Q11" s="22">
        <v>-1.70837E-2</v>
      </c>
      <c r="R11" s="22">
        <v>1</v>
      </c>
      <c r="S11" s="22">
        <v>-9.5581100000000002E-2</v>
      </c>
      <c r="T11">
        <f>-Q11/$F$2*1000</f>
        <v>17.0837</v>
      </c>
      <c r="U11">
        <f>T11*O11</f>
        <v>-1.6214088418900001</v>
      </c>
      <c r="V11" s="23"/>
      <c r="W11" s="24"/>
      <c r="X11" s="9"/>
      <c r="Y11" s="22">
        <v>1.76498</v>
      </c>
      <c r="Z11" s="22">
        <v>173.923</v>
      </c>
      <c r="AA11" s="22">
        <v>0.12579299999999999</v>
      </c>
      <c r="AB11" s="22">
        <v>1</v>
      </c>
      <c r="AC11" s="22">
        <v>1.7639199999999999</v>
      </c>
      <c r="AD11">
        <f>-AA11/$F$2*1000</f>
        <v>-125.79299999999999</v>
      </c>
      <c r="AE11">
        <f>AD11*Y11</f>
        <v>-222.02212913999998</v>
      </c>
      <c r="AF11" s="9"/>
      <c r="AG11" s="22">
        <v>-9.49097E-2</v>
      </c>
      <c r="AH11" s="22">
        <v>231.452</v>
      </c>
      <c r="AI11" s="22">
        <v>-1.7041000000000001E-2</v>
      </c>
      <c r="AJ11" s="22">
        <v>1</v>
      </c>
      <c r="AK11" s="22">
        <v>-9.5245399999999994E-2</v>
      </c>
      <c r="AL11">
        <f>-AI11/$F$2*1000</f>
        <v>17.041</v>
      </c>
      <c r="AM11">
        <f>AL11*AG11</f>
        <v>-1.6173561976999999</v>
      </c>
      <c r="AP11" s="9"/>
      <c r="AQ11" s="22">
        <v>1.76498</v>
      </c>
      <c r="AR11" s="22">
        <v>310.30700000000002</v>
      </c>
      <c r="AS11" s="22">
        <v>0.11496000000000001</v>
      </c>
      <c r="AT11" s="22">
        <v>1</v>
      </c>
      <c r="AU11" s="22">
        <v>1.7642199999999999</v>
      </c>
      <c r="AV11">
        <f>-AS11/$F$2*1000</f>
        <v>-114.96000000000001</v>
      </c>
      <c r="AW11">
        <f>AV11*AQ11</f>
        <v>-202.9021008</v>
      </c>
      <c r="AX11" s="9"/>
      <c r="AY11" s="22">
        <v>-9.49097E-2</v>
      </c>
      <c r="AZ11" s="22">
        <v>368.61799999999999</v>
      </c>
      <c r="BA11" s="22">
        <v>-1.7053200000000001E-2</v>
      </c>
      <c r="BB11" s="22">
        <v>1</v>
      </c>
      <c r="BC11" s="22">
        <v>-9.5519999999999994E-2</v>
      </c>
      <c r="BD11">
        <f>-BA11/$F$2*1000</f>
        <v>17.0532</v>
      </c>
      <c r="BE11">
        <f>BD11*AY11</f>
        <v>-1.61851409604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1.716856326019903</v>
      </c>
      <c r="B12" s="19">
        <f>IFERROR(T9,0)</f>
        <v>16.98071093097942</v>
      </c>
      <c r="C12" s="20">
        <f>IFERROR(T4,0)</f>
        <v>0.74806320318551645</v>
      </c>
      <c r="D12" s="21">
        <f>IFERROR(T2,0)</f>
        <v>21.808616445000006</v>
      </c>
      <c r="E12" s="21"/>
      <c r="F12" s="9"/>
      <c r="G12" s="22">
        <v>1.7599499999999999</v>
      </c>
      <c r="H12" s="22">
        <v>39.569000000000003</v>
      </c>
      <c r="I12" s="22">
        <v>9.9734500000000004E-2</v>
      </c>
      <c r="J12" s="22">
        <v>2</v>
      </c>
      <c r="K12" s="22">
        <v>1.7596400000000001</v>
      </c>
      <c r="L12">
        <f t="shared" ref="L12:L75" si="0">-I12/$F$2*1000</f>
        <v>-99.734499999999997</v>
      </c>
      <c r="M12">
        <f t="shared" ref="M12:M75" si="1">L12*G12</f>
        <v>-175.52773327499997</v>
      </c>
      <c r="N12" s="9"/>
      <c r="O12" s="22">
        <v>-8.9874300000000004E-2</v>
      </c>
      <c r="P12" s="22">
        <v>103.89100000000001</v>
      </c>
      <c r="Q12" s="22">
        <v>-1.70685E-2</v>
      </c>
      <c r="R12" s="22">
        <v>2</v>
      </c>
      <c r="S12" s="22">
        <v>-9.0484599999999998E-2</v>
      </c>
      <c r="T12">
        <f t="shared" ref="T12:T75" si="2">-Q12/$F$2*1000</f>
        <v>17.0685</v>
      </c>
      <c r="U12">
        <f t="shared" ref="U12:U75" si="3">T12*O12</f>
        <v>-1.5340194895500001</v>
      </c>
      <c r="V12" s="23"/>
      <c r="W12" s="24"/>
      <c r="X12" s="9"/>
      <c r="Y12" s="22">
        <v>1.7599499999999999</v>
      </c>
      <c r="Z12" s="22">
        <v>174.024</v>
      </c>
      <c r="AA12" s="22">
        <v>0.114929</v>
      </c>
      <c r="AB12" s="22">
        <v>2</v>
      </c>
      <c r="AC12" s="22">
        <v>1.7590300000000001</v>
      </c>
      <c r="AD12">
        <f t="shared" ref="AD12:AD75" si="4">-AA12/$F$2*1000</f>
        <v>-114.929</v>
      </c>
      <c r="AE12">
        <f t="shared" ref="AE12:AE75" si="5">AD12*Y12</f>
        <v>-202.26929354999999</v>
      </c>
      <c r="AF12" s="9"/>
      <c r="AG12" s="22">
        <v>-8.9874300000000004E-2</v>
      </c>
      <c r="AH12" s="22">
        <v>231.553</v>
      </c>
      <c r="AI12" s="22">
        <v>-1.70288E-2</v>
      </c>
      <c r="AJ12" s="22">
        <v>2</v>
      </c>
      <c r="AK12" s="22">
        <v>-9.0301500000000007E-2</v>
      </c>
      <c r="AL12">
        <f t="shared" ref="AL12:AL75" si="6">-AI12/$F$2*1000</f>
        <v>17.0288</v>
      </c>
      <c r="AM12">
        <f t="shared" ref="AM12:AM75" si="7">AL12*AG12</f>
        <v>-1.5304514798400002</v>
      </c>
      <c r="AP12" s="9"/>
      <c r="AQ12" s="22">
        <v>1.7599499999999999</v>
      </c>
      <c r="AR12" s="22">
        <v>310.40699999999998</v>
      </c>
      <c r="AS12" s="22">
        <v>0.10553</v>
      </c>
      <c r="AT12" s="22">
        <v>2</v>
      </c>
      <c r="AU12" s="22">
        <v>1.7593399999999999</v>
      </c>
      <c r="AV12">
        <f t="shared" ref="AV12:AV75" si="8">-AS12/$F$2*1000</f>
        <v>-105.53</v>
      </c>
      <c r="AW12">
        <f t="shared" ref="AW12:AW75" si="9">AV12*AQ12</f>
        <v>-185.72752349999999</v>
      </c>
      <c r="AX12" s="9"/>
      <c r="AY12" s="22">
        <v>-8.9874300000000004E-2</v>
      </c>
      <c r="AZ12" s="22">
        <v>368.71800000000002</v>
      </c>
      <c r="BA12" s="22">
        <v>-1.7041000000000001E-2</v>
      </c>
      <c r="BB12" s="22">
        <v>2</v>
      </c>
      <c r="BC12" s="22">
        <v>-9.0637200000000001E-2</v>
      </c>
      <c r="BD12">
        <f t="shared" ref="BD12:BD75" si="10">-BA12/$F$2*1000</f>
        <v>17.041</v>
      </c>
      <c r="BE12">
        <f t="shared" ref="BE12:BE75" si="11">BD12*AY12</f>
        <v>-1.5315479463000001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1.705386233326424</v>
      </c>
      <c r="B13" s="19">
        <f>IFERROR(AD9,0)</f>
        <v>16.830399999999997</v>
      </c>
      <c r="C13" s="20">
        <f>IFERROR(AD4,0)</f>
        <v>0.78776489612563061</v>
      </c>
      <c r="D13" s="21">
        <f>IFERROR(AD2,0)</f>
        <v>22.610689950000001</v>
      </c>
      <c r="E13" s="21">
        <f>IFERROR(AA9,0)</f>
        <v>5.4864302537570255</v>
      </c>
      <c r="F13" s="9"/>
      <c r="G13" s="22">
        <v>1.75491</v>
      </c>
      <c r="H13" s="22">
        <v>39.669699999999999</v>
      </c>
      <c r="I13" s="22">
        <v>8.9443999999999996E-2</v>
      </c>
      <c r="J13" s="22">
        <v>3</v>
      </c>
      <c r="K13" s="22">
        <v>1.7547600000000001</v>
      </c>
      <c r="L13">
        <f t="shared" si="0"/>
        <v>-89.444000000000003</v>
      </c>
      <c r="M13">
        <f t="shared" si="1"/>
        <v>-156.96617004000001</v>
      </c>
      <c r="N13" s="9"/>
      <c r="O13" s="22">
        <v>-8.4838899999999995E-2</v>
      </c>
      <c r="P13" s="22">
        <v>103.992</v>
      </c>
      <c r="Q13" s="22">
        <v>-1.7047099999999999E-2</v>
      </c>
      <c r="R13" s="22">
        <v>3</v>
      </c>
      <c r="S13" s="22">
        <v>-8.5357699999999995E-2</v>
      </c>
      <c r="T13">
        <f t="shared" si="2"/>
        <v>17.0471</v>
      </c>
      <c r="U13">
        <f t="shared" si="3"/>
        <v>-1.4462572121899999</v>
      </c>
      <c r="V13" s="23"/>
      <c r="W13" s="24"/>
      <c r="X13" s="9"/>
      <c r="Y13" s="22">
        <v>1.75491</v>
      </c>
      <c r="Z13" s="22">
        <v>174.125</v>
      </c>
      <c r="AA13" s="22">
        <v>0.10394299999999999</v>
      </c>
      <c r="AB13" s="22">
        <v>3</v>
      </c>
      <c r="AC13" s="22">
        <v>1.7541500000000001</v>
      </c>
      <c r="AD13">
        <f t="shared" si="4"/>
        <v>-103.943</v>
      </c>
      <c r="AE13">
        <f t="shared" si="5"/>
        <v>-182.41061012999998</v>
      </c>
      <c r="AF13" s="9"/>
      <c r="AG13" s="22">
        <v>-8.4838899999999995E-2</v>
      </c>
      <c r="AH13" s="22">
        <v>231.654</v>
      </c>
      <c r="AI13" s="22">
        <v>-1.7019699999999999E-2</v>
      </c>
      <c r="AJ13" s="22">
        <v>3</v>
      </c>
      <c r="AK13" s="22">
        <v>-8.5479700000000006E-2</v>
      </c>
      <c r="AL13">
        <f t="shared" si="6"/>
        <v>17.0197</v>
      </c>
      <c r="AM13">
        <f t="shared" si="7"/>
        <v>-1.4439326263299999</v>
      </c>
      <c r="AP13" s="9"/>
      <c r="AQ13" s="22">
        <v>1.75491</v>
      </c>
      <c r="AR13" s="22">
        <v>310.50799999999998</v>
      </c>
      <c r="AS13" s="22">
        <v>9.5733600000000002E-2</v>
      </c>
      <c r="AT13" s="22">
        <v>3</v>
      </c>
      <c r="AU13" s="22">
        <v>1.7538499999999999</v>
      </c>
      <c r="AV13">
        <f t="shared" si="8"/>
        <v>-95.733599999999996</v>
      </c>
      <c r="AW13">
        <f t="shared" si="9"/>
        <v>-168.00385197599999</v>
      </c>
      <c r="AX13" s="9"/>
      <c r="AY13" s="22">
        <v>-8.4838899999999995E-2</v>
      </c>
      <c r="AZ13" s="22">
        <v>368.81900000000002</v>
      </c>
      <c r="BA13" s="22">
        <v>-1.7041000000000001E-2</v>
      </c>
      <c r="BB13" s="22">
        <v>3</v>
      </c>
      <c r="BC13" s="22">
        <v>-8.5662799999999997E-2</v>
      </c>
      <c r="BD13">
        <f t="shared" si="10"/>
        <v>17.041</v>
      </c>
      <c r="BE13">
        <f t="shared" si="11"/>
        <v>-1.4457396948999999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1.714476002622823</v>
      </c>
      <c r="B14" s="19">
        <f>IFERROR(AL9,0)</f>
        <v>16.944164237994997</v>
      </c>
      <c r="C14" s="20">
        <f>IFERROR(AL4,0)</f>
        <v>0.73562489520939389</v>
      </c>
      <c r="D14" s="21">
        <f>IFERROR(AL2,0)</f>
        <v>21.370170216000002</v>
      </c>
      <c r="E14" s="21"/>
      <c r="F14" s="9"/>
      <c r="G14" s="22">
        <v>1.7498800000000001</v>
      </c>
      <c r="H14" s="22">
        <v>39.770400000000002</v>
      </c>
      <c r="I14" s="22">
        <v>7.8576699999999999E-2</v>
      </c>
      <c r="J14" s="22">
        <v>4</v>
      </c>
      <c r="K14" s="22">
        <v>1.7492700000000001</v>
      </c>
      <c r="L14">
        <f t="shared" si="0"/>
        <v>-78.576700000000002</v>
      </c>
      <c r="M14">
        <f t="shared" si="1"/>
        <v>-137.499795796</v>
      </c>
      <c r="N14" s="9"/>
      <c r="O14" s="22">
        <v>-7.9803499999999999E-2</v>
      </c>
      <c r="P14" s="22">
        <v>104.092</v>
      </c>
      <c r="Q14" s="22">
        <v>-1.7050200000000001E-2</v>
      </c>
      <c r="R14" s="22">
        <v>4</v>
      </c>
      <c r="S14" s="22">
        <v>-8.0322299999999999E-2</v>
      </c>
      <c r="T14">
        <f t="shared" si="2"/>
        <v>17.0502</v>
      </c>
      <c r="U14">
        <f t="shared" si="3"/>
        <v>-1.3606656357</v>
      </c>
      <c r="V14" s="23"/>
      <c r="W14" s="24"/>
      <c r="X14" s="9"/>
      <c r="Y14" s="22">
        <v>1.7498800000000001</v>
      </c>
      <c r="Z14" s="22">
        <v>174.226</v>
      </c>
      <c r="AA14" s="22">
        <v>9.2224100000000003E-2</v>
      </c>
      <c r="AB14" s="22">
        <v>4</v>
      </c>
      <c r="AC14" s="22">
        <v>1.7489600000000001</v>
      </c>
      <c r="AD14">
        <f t="shared" si="4"/>
        <v>-92.224100000000007</v>
      </c>
      <c r="AE14">
        <f t="shared" si="5"/>
        <v>-161.38110810800003</v>
      </c>
      <c r="AF14" s="9"/>
      <c r="AG14" s="22">
        <v>-7.9803499999999999E-2</v>
      </c>
      <c r="AH14" s="22">
        <v>231.75399999999999</v>
      </c>
      <c r="AI14" s="22">
        <v>-1.7022700000000002E-2</v>
      </c>
      <c r="AJ14" s="22">
        <v>4</v>
      </c>
      <c r="AK14" s="22">
        <v>-8.0383300000000005E-2</v>
      </c>
      <c r="AL14">
        <f t="shared" si="6"/>
        <v>17.0227</v>
      </c>
      <c r="AM14">
        <f t="shared" si="7"/>
        <v>-1.3584710394499999</v>
      </c>
      <c r="AP14" s="9"/>
      <c r="AQ14" s="22">
        <v>1.7498800000000001</v>
      </c>
      <c r="AR14" s="22">
        <v>310.60899999999998</v>
      </c>
      <c r="AS14" s="22">
        <v>8.5754399999999995E-2</v>
      </c>
      <c r="AT14" s="22">
        <v>4</v>
      </c>
      <c r="AU14" s="22">
        <v>1.7492700000000001</v>
      </c>
      <c r="AV14">
        <f t="shared" si="8"/>
        <v>-85.75439999999999</v>
      </c>
      <c r="AW14">
        <f t="shared" si="9"/>
        <v>-150.05990947199999</v>
      </c>
      <c r="AX14" s="9"/>
      <c r="AY14" s="22">
        <v>-7.9803499999999999E-2</v>
      </c>
      <c r="AZ14" s="22">
        <v>368.92</v>
      </c>
      <c r="BA14" s="22">
        <v>-1.7025800000000001E-2</v>
      </c>
      <c r="BB14" s="22">
        <v>4</v>
      </c>
      <c r="BC14" s="22">
        <v>-8.0413799999999994E-2</v>
      </c>
      <c r="BD14">
        <f t="shared" si="10"/>
        <v>17.0258</v>
      </c>
      <c r="BE14">
        <f t="shared" si="11"/>
        <v>-1.3587184302999999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1.7036317517225741</v>
      </c>
      <c r="B15" s="19">
        <f>IFERROR(AV9,0)</f>
        <v>16.841659356897786</v>
      </c>
      <c r="C15" s="20">
        <f>IFERROR(AV4,0)</f>
        <v>0.77143054073719974</v>
      </c>
      <c r="D15" s="21">
        <f>IFERROR(AV2,0)</f>
        <v>22.133873991000002</v>
      </c>
      <c r="E15" s="21">
        <f>IFERROR(AS9,0)</f>
        <v>4.1389670031215822</v>
      </c>
      <c r="F15" s="9"/>
      <c r="G15" s="22">
        <v>1.7448399999999999</v>
      </c>
      <c r="H15" s="22">
        <v>39.871099999999998</v>
      </c>
      <c r="I15" s="22">
        <v>6.8771399999999996E-2</v>
      </c>
      <c r="J15" s="22">
        <v>5</v>
      </c>
      <c r="K15" s="22">
        <v>1.74438</v>
      </c>
      <c r="L15">
        <f t="shared" si="0"/>
        <v>-68.7714</v>
      </c>
      <c r="M15">
        <f t="shared" si="1"/>
        <v>-119.995089576</v>
      </c>
      <c r="N15" s="9"/>
      <c r="O15" s="22">
        <v>-7.4768100000000004E-2</v>
      </c>
      <c r="P15" s="22">
        <v>104.193</v>
      </c>
      <c r="Q15" s="22">
        <v>-1.7050200000000001E-2</v>
      </c>
      <c r="R15" s="22">
        <v>5</v>
      </c>
      <c r="S15" s="22">
        <v>-7.5225799999999995E-2</v>
      </c>
      <c r="T15">
        <f t="shared" si="2"/>
        <v>17.0502</v>
      </c>
      <c r="U15">
        <f t="shared" si="3"/>
        <v>-1.2748110586200001</v>
      </c>
      <c r="V15" s="23"/>
      <c r="W15" s="24"/>
      <c r="X15" s="9"/>
      <c r="Y15" s="22">
        <v>1.7448399999999999</v>
      </c>
      <c r="Z15" s="22">
        <v>174.32599999999999</v>
      </c>
      <c r="AA15" s="22">
        <v>8.1176799999999993E-2</v>
      </c>
      <c r="AB15" s="22">
        <v>5</v>
      </c>
      <c r="AC15" s="22">
        <v>1.74438</v>
      </c>
      <c r="AD15">
        <f t="shared" si="4"/>
        <v>-81.1768</v>
      </c>
      <c r="AE15">
        <f t="shared" si="5"/>
        <v>-141.64052771199999</v>
      </c>
      <c r="AF15" s="9"/>
      <c r="AG15" s="22">
        <v>-7.4768100000000004E-2</v>
      </c>
      <c r="AH15" s="22">
        <v>231.85499999999999</v>
      </c>
      <c r="AI15" s="22">
        <v>-1.7019699999999999E-2</v>
      </c>
      <c r="AJ15" s="22">
        <v>5</v>
      </c>
      <c r="AK15" s="22">
        <v>-7.5378399999999998E-2</v>
      </c>
      <c r="AL15">
        <f t="shared" si="6"/>
        <v>17.0197</v>
      </c>
      <c r="AM15">
        <f t="shared" si="7"/>
        <v>-1.27253063157</v>
      </c>
      <c r="AP15" s="9"/>
      <c r="AQ15" s="22">
        <v>1.7448399999999999</v>
      </c>
      <c r="AR15" s="22">
        <v>310.709</v>
      </c>
      <c r="AS15" s="22">
        <v>7.5927700000000001E-2</v>
      </c>
      <c r="AT15" s="22">
        <v>5</v>
      </c>
      <c r="AU15" s="22">
        <v>1.74377</v>
      </c>
      <c r="AV15">
        <f t="shared" si="8"/>
        <v>-75.927700000000002</v>
      </c>
      <c r="AW15">
        <f t="shared" si="9"/>
        <v>-132.48168806800001</v>
      </c>
      <c r="AX15" s="9"/>
      <c r="AY15" s="22">
        <v>-7.4768100000000004E-2</v>
      </c>
      <c r="AZ15" s="22">
        <v>369.02</v>
      </c>
      <c r="BA15" s="22">
        <v>-1.7004399999999999E-2</v>
      </c>
      <c r="BB15" s="22">
        <v>5</v>
      </c>
      <c r="BC15" s="22">
        <v>-7.5286900000000004E-2</v>
      </c>
      <c r="BD15">
        <f t="shared" si="10"/>
        <v>17.0044</v>
      </c>
      <c r="BE15">
        <f t="shared" si="11"/>
        <v>-1.2713866796400002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1.7179073082495888</v>
      </c>
      <c r="B16" s="19">
        <f>IFERROR(BD9,0)</f>
        <v>16.940133088095848</v>
      </c>
      <c r="C16" s="20">
        <f>IFERROR(BD4,0)</f>
        <v>0.72909310735723998</v>
      </c>
      <c r="D16" s="21">
        <f>IFERROR(BD2,0)</f>
        <v>21.217760250000001</v>
      </c>
      <c r="E16" s="21"/>
      <c r="F16" s="9"/>
      <c r="G16" s="22">
        <v>1.7398100000000001</v>
      </c>
      <c r="H16" s="22">
        <v>39.971800000000002</v>
      </c>
      <c r="I16" s="22">
        <v>5.8740199999999999E-2</v>
      </c>
      <c r="J16" s="22">
        <v>6</v>
      </c>
      <c r="K16" s="22">
        <v>1.73889</v>
      </c>
      <c r="L16">
        <f t="shared" si="0"/>
        <v>-58.740200000000002</v>
      </c>
      <c r="M16">
        <f t="shared" si="1"/>
        <v>-102.19678736200001</v>
      </c>
      <c r="N16" s="9"/>
      <c r="O16" s="22">
        <v>-6.9732699999999995E-2</v>
      </c>
      <c r="P16" s="22">
        <v>104.294</v>
      </c>
      <c r="Q16" s="22">
        <v>-1.7047099999999999E-2</v>
      </c>
      <c r="R16" s="22">
        <v>6</v>
      </c>
      <c r="S16" s="22">
        <v>-7.0343000000000003E-2</v>
      </c>
      <c r="T16">
        <f t="shared" si="2"/>
        <v>17.0471</v>
      </c>
      <c r="U16">
        <f t="shared" si="3"/>
        <v>-1.18874031017</v>
      </c>
      <c r="V16" s="23"/>
      <c r="W16" s="24"/>
      <c r="X16" s="9"/>
      <c r="Y16" s="22">
        <v>1.7398100000000001</v>
      </c>
      <c r="Z16" s="22">
        <v>174.42699999999999</v>
      </c>
      <c r="AA16" s="22">
        <v>6.9641099999999997E-2</v>
      </c>
      <c r="AB16" s="22">
        <v>6</v>
      </c>
      <c r="AC16" s="22">
        <v>1.73889</v>
      </c>
      <c r="AD16">
        <f t="shared" si="4"/>
        <v>-69.641099999999994</v>
      </c>
      <c r="AE16">
        <f t="shared" si="5"/>
        <v>-121.162282191</v>
      </c>
      <c r="AF16" s="9"/>
      <c r="AG16" s="22">
        <v>-6.9732699999999995E-2</v>
      </c>
      <c r="AH16" s="22">
        <v>231.95599999999999</v>
      </c>
      <c r="AI16" s="22">
        <v>-1.7019699999999999E-2</v>
      </c>
      <c r="AJ16" s="22">
        <v>6</v>
      </c>
      <c r="AK16" s="22">
        <v>-7.03125E-2</v>
      </c>
      <c r="AL16">
        <f t="shared" si="6"/>
        <v>17.0197</v>
      </c>
      <c r="AM16">
        <f t="shared" si="7"/>
        <v>-1.18682963419</v>
      </c>
      <c r="AP16" s="9"/>
      <c r="AQ16" s="22">
        <v>1.7398100000000001</v>
      </c>
      <c r="AR16" s="22">
        <v>310.81</v>
      </c>
      <c r="AS16" s="22">
        <v>6.5612799999999999E-2</v>
      </c>
      <c r="AT16" s="22">
        <v>6</v>
      </c>
      <c r="AU16" s="22">
        <v>1.73828</v>
      </c>
      <c r="AV16">
        <f t="shared" si="8"/>
        <v>-65.612799999999993</v>
      </c>
      <c r="AW16">
        <f t="shared" si="9"/>
        <v>-114.153805568</v>
      </c>
      <c r="AX16" s="9"/>
      <c r="AY16" s="22">
        <v>-6.9732699999999995E-2</v>
      </c>
      <c r="AZ16" s="22">
        <v>369.12099999999998</v>
      </c>
      <c r="BA16" s="22">
        <v>-1.7010500000000001E-2</v>
      </c>
      <c r="BB16" s="22">
        <v>6</v>
      </c>
      <c r="BC16" s="22">
        <v>-7.0404099999999997E-2</v>
      </c>
      <c r="BD16">
        <f t="shared" si="10"/>
        <v>17.0105</v>
      </c>
      <c r="BE16">
        <f t="shared" si="11"/>
        <v>-1.18618809335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1.7347699999999999</v>
      </c>
      <c r="H17" s="22">
        <v>40.072499999999998</v>
      </c>
      <c r="I17" s="22">
        <v>4.7759999999999997E-2</v>
      </c>
      <c r="J17" s="22">
        <v>7</v>
      </c>
      <c r="K17" s="22">
        <v>1.73431</v>
      </c>
      <c r="L17">
        <f t="shared" si="0"/>
        <v>-47.76</v>
      </c>
      <c r="M17">
        <f t="shared" si="1"/>
        <v>-82.852615199999988</v>
      </c>
      <c r="N17" s="9"/>
      <c r="O17" s="22">
        <v>-6.4697299999999999E-2</v>
      </c>
      <c r="P17" s="22">
        <v>104.395</v>
      </c>
      <c r="Q17" s="22">
        <v>-1.70441E-2</v>
      </c>
      <c r="R17" s="22">
        <v>7</v>
      </c>
      <c r="S17" s="22">
        <v>-6.5277100000000005E-2</v>
      </c>
      <c r="T17">
        <f t="shared" si="2"/>
        <v>17.0441</v>
      </c>
      <c r="U17">
        <f t="shared" si="3"/>
        <v>-1.10270725093</v>
      </c>
      <c r="V17" s="23"/>
      <c r="W17" s="24"/>
      <c r="X17" s="9"/>
      <c r="Y17" s="22">
        <v>1.7347699999999999</v>
      </c>
      <c r="Z17" s="22">
        <v>174.52799999999999</v>
      </c>
      <c r="AA17" s="22">
        <v>5.8288600000000003E-2</v>
      </c>
      <c r="AB17" s="22">
        <v>7</v>
      </c>
      <c r="AC17" s="22">
        <v>1.7340100000000001</v>
      </c>
      <c r="AD17">
        <f t="shared" si="4"/>
        <v>-58.288600000000002</v>
      </c>
      <c r="AE17">
        <f t="shared" si="5"/>
        <v>-101.11731462199999</v>
      </c>
      <c r="AF17" s="9"/>
      <c r="AG17" s="22">
        <v>-6.4697299999999999E-2</v>
      </c>
      <c r="AH17" s="22">
        <v>232.05699999999999</v>
      </c>
      <c r="AI17" s="22">
        <v>-1.70013E-2</v>
      </c>
      <c r="AJ17" s="22">
        <v>7</v>
      </c>
      <c r="AK17" s="22">
        <v>-6.5246600000000002E-2</v>
      </c>
      <c r="AL17">
        <f t="shared" si="6"/>
        <v>17.001300000000001</v>
      </c>
      <c r="AM17">
        <f t="shared" si="7"/>
        <v>-1.0999382064900001</v>
      </c>
      <c r="AP17" s="9"/>
      <c r="AQ17" s="22">
        <v>1.7347699999999999</v>
      </c>
      <c r="AR17" s="22">
        <v>310.911</v>
      </c>
      <c r="AS17" s="22">
        <v>5.5603E-2</v>
      </c>
      <c r="AT17" s="22">
        <v>7</v>
      </c>
      <c r="AU17" s="22">
        <v>1.7340100000000001</v>
      </c>
      <c r="AV17">
        <f t="shared" si="8"/>
        <v>-55.603000000000002</v>
      </c>
      <c r="AW17">
        <f t="shared" si="9"/>
        <v>-96.458416310000004</v>
      </c>
      <c r="AX17" s="9"/>
      <c r="AY17" s="22">
        <v>-6.4697299999999999E-2</v>
      </c>
      <c r="AZ17" s="22">
        <v>369.22199999999998</v>
      </c>
      <c r="BA17" s="22">
        <v>-1.7019699999999999E-2</v>
      </c>
      <c r="BB17" s="22">
        <v>7</v>
      </c>
      <c r="BC17" s="22">
        <v>-6.5246600000000002E-2</v>
      </c>
      <c r="BD17">
        <f t="shared" si="10"/>
        <v>17.0197</v>
      </c>
      <c r="BE17">
        <f t="shared" si="11"/>
        <v>-1.1011286368099999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1.7297400000000001</v>
      </c>
      <c r="H18" s="22">
        <v>40.173299999999998</v>
      </c>
      <c r="I18" s="22">
        <v>3.7597699999999998E-2</v>
      </c>
      <c r="J18" s="22">
        <v>8</v>
      </c>
      <c r="K18" s="22">
        <v>1.72882</v>
      </c>
      <c r="L18">
        <f t="shared" si="0"/>
        <v>-37.597699999999996</v>
      </c>
      <c r="M18">
        <f t="shared" si="1"/>
        <v>-65.034245597999998</v>
      </c>
      <c r="N18" s="9"/>
      <c r="O18" s="22">
        <v>-5.9661899999999997E-2</v>
      </c>
      <c r="P18" s="22">
        <v>104.495</v>
      </c>
      <c r="Q18" s="22">
        <v>-1.7041000000000001E-2</v>
      </c>
      <c r="R18" s="22">
        <v>8</v>
      </c>
      <c r="S18" s="22">
        <v>-6.0241700000000002E-2</v>
      </c>
      <c r="T18">
        <f t="shared" si="2"/>
        <v>17.041</v>
      </c>
      <c r="U18">
        <f t="shared" si="3"/>
        <v>-1.0166984378999999</v>
      </c>
      <c r="V18" s="23"/>
      <c r="W18" s="24"/>
      <c r="X18" s="9"/>
      <c r="Y18" s="22">
        <v>1.7297400000000001</v>
      </c>
      <c r="Z18" s="22">
        <v>174.62799999999999</v>
      </c>
      <c r="AA18" s="22">
        <v>4.7424300000000003E-2</v>
      </c>
      <c r="AB18" s="22">
        <v>8</v>
      </c>
      <c r="AC18" s="22">
        <v>1.7285200000000001</v>
      </c>
      <c r="AD18">
        <f t="shared" si="4"/>
        <v>-47.424300000000002</v>
      </c>
      <c r="AE18">
        <f t="shared" si="5"/>
        <v>-82.031708682000001</v>
      </c>
      <c r="AF18" s="9"/>
      <c r="AG18" s="22">
        <v>-5.9661899999999997E-2</v>
      </c>
      <c r="AH18" s="22">
        <v>232.15700000000001</v>
      </c>
      <c r="AI18" s="22">
        <v>-1.70013E-2</v>
      </c>
      <c r="AJ18" s="22">
        <v>8</v>
      </c>
      <c r="AK18" s="22">
        <v>-6.0119600000000002E-2</v>
      </c>
      <c r="AL18">
        <f t="shared" si="6"/>
        <v>17.001300000000001</v>
      </c>
      <c r="AM18">
        <f t="shared" si="7"/>
        <v>-1.01432986047</v>
      </c>
      <c r="AP18" s="9"/>
      <c r="AQ18" s="22">
        <v>1.7297400000000001</v>
      </c>
      <c r="AR18" s="22">
        <v>311.012</v>
      </c>
      <c r="AS18" s="22">
        <v>4.5288099999999998E-2</v>
      </c>
      <c r="AT18" s="22">
        <v>8</v>
      </c>
      <c r="AU18" s="22">
        <v>1.7285200000000001</v>
      </c>
      <c r="AV18">
        <f t="shared" si="8"/>
        <v>-45.2881</v>
      </c>
      <c r="AW18">
        <f t="shared" si="9"/>
        <v>-78.336638094000008</v>
      </c>
      <c r="AX18" s="9"/>
      <c r="AY18" s="22">
        <v>-5.9661899999999997E-2</v>
      </c>
      <c r="AZ18" s="22">
        <v>369.322</v>
      </c>
      <c r="BA18" s="22">
        <v>-1.6998300000000001E-2</v>
      </c>
      <c r="BB18" s="22">
        <v>8</v>
      </c>
      <c r="BC18" s="22">
        <v>-6.0546900000000001E-2</v>
      </c>
      <c r="BD18">
        <f t="shared" si="10"/>
        <v>16.9983</v>
      </c>
      <c r="BE18">
        <f t="shared" si="11"/>
        <v>-1.0141508747699999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1.7246999999999999</v>
      </c>
      <c r="H19" s="22">
        <v>40.274000000000001</v>
      </c>
      <c r="I19" s="22">
        <v>2.7917500000000001E-2</v>
      </c>
      <c r="J19" s="22">
        <v>9</v>
      </c>
      <c r="K19" s="22">
        <v>1.72363</v>
      </c>
      <c r="L19">
        <f t="shared" si="0"/>
        <v>-27.9175</v>
      </c>
      <c r="M19">
        <f t="shared" si="1"/>
        <v>-48.149312250000001</v>
      </c>
      <c r="N19" s="9"/>
      <c r="O19" s="22">
        <v>-5.4626500000000001E-2</v>
      </c>
      <c r="P19" s="22">
        <v>104.596</v>
      </c>
      <c r="Q19" s="22">
        <v>-1.7034899999999999E-2</v>
      </c>
      <c r="R19" s="22">
        <v>9</v>
      </c>
      <c r="S19" s="22">
        <v>-5.53284E-2</v>
      </c>
      <c r="T19">
        <f t="shared" si="2"/>
        <v>17.0349</v>
      </c>
      <c r="U19">
        <f t="shared" si="3"/>
        <v>-0.93055696485000006</v>
      </c>
      <c r="V19" s="23"/>
      <c r="W19" s="24"/>
      <c r="X19" s="9"/>
      <c r="Y19" s="22">
        <v>1.7246999999999999</v>
      </c>
      <c r="Z19" s="22">
        <v>174.72900000000001</v>
      </c>
      <c r="AA19" s="22">
        <v>3.5562099999999999E-2</v>
      </c>
      <c r="AB19" s="22">
        <v>9</v>
      </c>
      <c r="AC19" s="22">
        <v>1.72394</v>
      </c>
      <c r="AD19">
        <f t="shared" si="4"/>
        <v>-35.562100000000001</v>
      </c>
      <c r="AE19">
        <f t="shared" si="5"/>
        <v>-61.333953869999995</v>
      </c>
      <c r="AF19" s="9"/>
      <c r="AG19" s="22">
        <v>-5.4626500000000001E-2</v>
      </c>
      <c r="AH19" s="22">
        <v>232.25800000000001</v>
      </c>
      <c r="AI19" s="22">
        <v>-1.69769E-2</v>
      </c>
      <c r="AJ19" s="22">
        <v>9</v>
      </c>
      <c r="AK19" s="22">
        <v>-5.5236800000000003E-2</v>
      </c>
      <c r="AL19">
        <f t="shared" si="6"/>
        <v>16.976900000000001</v>
      </c>
      <c r="AM19">
        <f t="shared" si="7"/>
        <v>-0.92738862785000009</v>
      </c>
      <c r="AP19" s="9"/>
      <c r="AQ19" s="22">
        <v>1.7246999999999999</v>
      </c>
      <c r="AR19" s="22">
        <v>311.11200000000002</v>
      </c>
      <c r="AS19" s="22">
        <v>3.5388200000000002E-2</v>
      </c>
      <c r="AT19" s="22">
        <v>9</v>
      </c>
      <c r="AU19" s="22">
        <v>1.72424</v>
      </c>
      <c r="AV19">
        <f t="shared" si="8"/>
        <v>-35.388200000000005</v>
      </c>
      <c r="AW19">
        <f t="shared" si="9"/>
        <v>-61.034028540000001</v>
      </c>
      <c r="AX19" s="9"/>
      <c r="AY19" s="22">
        <v>-5.4626500000000001E-2</v>
      </c>
      <c r="AZ19" s="22">
        <v>369.423</v>
      </c>
      <c r="BA19" s="22">
        <v>-1.6979999999999999E-2</v>
      </c>
      <c r="BB19" s="22">
        <v>9</v>
      </c>
      <c r="BC19" s="22">
        <v>-5.5236800000000003E-2</v>
      </c>
      <c r="BD19">
        <f t="shared" si="10"/>
        <v>16.979999999999997</v>
      </c>
      <c r="BE19">
        <f t="shared" si="11"/>
        <v>-0.92755796999999984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1.71967</v>
      </c>
      <c r="H20" s="22">
        <v>40.374699999999997</v>
      </c>
      <c r="I20" s="22">
        <v>1.80389E-2</v>
      </c>
      <c r="J20" s="22">
        <v>10</v>
      </c>
      <c r="K20" s="22">
        <v>1.71814</v>
      </c>
      <c r="L20">
        <f t="shared" si="0"/>
        <v>-18.038900000000002</v>
      </c>
      <c r="M20">
        <f t="shared" si="1"/>
        <v>-31.020955163000004</v>
      </c>
      <c r="N20" s="9"/>
      <c r="O20" s="22">
        <v>-4.9591099999999999E-2</v>
      </c>
      <c r="P20" s="22">
        <v>104.697</v>
      </c>
      <c r="Q20" s="22">
        <v>-1.7013500000000001E-2</v>
      </c>
      <c r="R20" s="22">
        <v>10</v>
      </c>
      <c r="S20" s="22">
        <v>-5.0140400000000002E-2</v>
      </c>
      <c r="T20">
        <f t="shared" si="2"/>
        <v>17.013500000000001</v>
      </c>
      <c r="U20">
        <f t="shared" si="3"/>
        <v>-0.84371817984999997</v>
      </c>
      <c r="V20" s="23"/>
      <c r="W20" s="24"/>
      <c r="X20" s="9"/>
      <c r="Y20" s="22">
        <v>1.71967</v>
      </c>
      <c r="Z20" s="22">
        <v>174.83</v>
      </c>
      <c r="AA20" s="22">
        <v>2.4884E-2</v>
      </c>
      <c r="AB20" s="22">
        <v>10</v>
      </c>
      <c r="AC20" s="22">
        <v>1.71875</v>
      </c>
      <c r="AD20">
        <f t="shared" si="4"/>
        <v>-24.884</v>
      </c>
      <c r="AE20">
        <f t="shared" si="5"/>
        <v>-42.792268280000002</v>
      </c>
      <c r="AF20" s="9"/>
      <c r="AG20" s="22">
        <v>-4.9591099999999999E-2</v>
      </c>
      <c r="AH20" s="22">
        <v>232.35900000000001</v>
      </c>
      <c r="AI20" s="22">
        <v>-1.69891E-2</v>
      </c>
      <c r="AJ20" s="22">
        <v>10</v>
      </c>
      <c r="AK20" s="22">
        <v>-5.0231900000000003E-2</v>
      </c>
      <c r="AL20">
        <f t="shared" si="6"/>
        <v>16.989100000000001</v>
      </c>
      <c r="AM20">
        <f t="shared" si="7"/>
        <v>-0.84250815701000004</v>
      </c>
      <c r="AP20" s="9"/>
      <c r="AQ20" s="22">
        <v>1.71967</v>
      </c>
      <c r="AR20" s="22">
        <v>311.21300000000002</v>
      </c>
      <c r="AS20" s="22">
        <v>2.5601200000000001E-2</v>
      </c>
      <c r="AT20" s="22">
        <v>10</v>
      </c>
      <c r="AU20" s="22">
        <v>1.71906</v>
      </c>
      <c r="AV20">
        <f t="shared" si="8"/>
        <v>-25.601200000000002</v>
      </c>
      <c r="AW20">
        <f t="shared" si="9"/>
        <v>-44.025615604000002</v>
      </c>
      <c r="AX20" s="9"/>
      <c r="AY20" s="22">
        <v>-4.9591099999999999E-2</v>
      </c>
      <c r="AZ20" s="22">
        <v>369.524</v>
      </c>
      <c r="BA20" s="22">
        <v>-1.69891E-2</v>
      </c>
      <c r="BB20" s="22">
        <v>10</v>
      </c>
      <c r="BC20" s="22">
        <v>-5.02014E-2</v>
      </c>
      <c r="BD20">
        <f t="shared" si="10"/>
        <v>16.989100000000001</v>
      </c>
      <c r="BE20">
        <f t="shared" si="11"/>
        <v>-0.84250815701000004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1.7146300000000001</v>
      </c>
      <c r="H21" s="22">
        <v>40.4754</v>
      </c>
      <c r="I21" s="22">
        <v>9.2437700000000001E-3</v>
      </c>
      <c r="J21" s="22">
        <v>11</v>
      </c>
      <c r="K21" s="22">
        <v>1.71387</v>
      </c>
      <c r="L21">
        <f t="shared" si="0"/>
        <v>-9.2437699999999996</v>
      </c>
      <c r="M21">
        <f t="shared" si="1"/>
        <v>-15.8496453551</v>
      </c>
      <c r="N21" s="9"/>
      <c r="O21" s="22">
        <v>-4.4555699999999997E-2</v>
      </c>
      <c r="P21" s="22">
        <v>104.797</v>
      </c>
      <c r="Q21" s="22">
        <v>-1.7019699999999999E-2</v>
      </c>
      <c r="R21" s="22">
        <v>11</v>
      </c>
      <c r="S21" s="22">
        <v>-4.5068400000000002E-2</v>
      </c>
      <c r="T21">
        <f t="shared" si="2"/>
        <v>17.0197</v>
      </c>
      <c r="U21">
        <f t="shared" si="3"/>
        <v>-0.75832464728999993</v>
      </c>
      <c r="V21" s="23"/>
      <c r="W21" s="24"/>
      <c r="X21" s="9"/>
      <c r="Y21" s="22">
        <v>1.7146300000000001</v>
      </c>
      <c r="Z21" s="22">
        <v>174.93100000000001</v>
      </c>
      <c r="AA21" s="22">
        <v>1.4218099999999999E-2</v>
      </c>
      <c r="AB21" s="22">
        <v>11</v>
      </c>
      <c r="AC21" s="22">
        <v>1.71326</v>
      </c>
      <c r="AD21">
        <f t="shared" si="4"/>
        <v>-14.2181</v>
      </c>
      <c r="AE21">
        <f t="shared" si="5"/>
        <v>-24.378780803000001</v>
      </c>
      <c r="AF21" s="9"/>
      <c r="AG21" s="22">
        <v>-4.4555699999999997E-2</v>
      </c>
      <c r="AH21" s="22">
        <v>232.459</v>
      </c>
      <c r="AI21" s="22">
        <v>-1.6979999999999999E-2</v>
      </c>
      <c r="AJ21" s="22">
        <v>11</v>
      </c>
      <c r="AK21" s="22">
        <v>-4.5159900000000003E-2</v>
      </c>
      <c r="AL21">
        <f t="shared" si="6"/>
        <v>16.979999999999997</v>
      </c>
      <c r="AM21">
        <f t="shared" si="7"/>
        <v>-0.75655578599999984</v>
      </c>
      <c r="AP21" s="9"/>
      <c r="AQ21" s="22">
        <v>1.7146300000000001</v>
      </c>
      <c r="AR21" s="22">
        <v>311.31400000000002</v>
      </c>
      <c r="AS21" s="22">
        <v>1.5862999999999999E-2</v>
      </c>
      <c r="AT21" s="22">
        <v>11</v>
      </c>
      <c r="AU21" s="22">
        <v>1.71326</v>
      </c>
      <c r="AV21">
        <f t="shared" si="8"/>
        <v>-15.862999999999998</v>
      </c>
      <c r="AW21">
        <f t="shared" si="9"/>
        <v>-27.199175689999997</v>
      </c>
      <c r="AX21" s="9"/>
      <c r="AY21" s="22">
        <v>-4.4555699999999997E-2</v>
      </c>
      <c r="AZ21" s="22">
        <v>369.625</v>
      </c>
      <c r="BA21" s="22">
        <v>-1.69891E-2</v>
      </c>
      <c r="BB21" s="22">
        <v>11</v>
      </c>
      <c r="BC21" s="22">
        <v>-4.4961500000000001E-2</v>
      </c>
      <c r="BD21">
        <f t="shared" si="10"/>
        <v>16.989100000000001</v>
      </c>
      <c r="BE21">
        <f t="shared" si="11"/>
        <v>-0.75696124287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1.7095899999999999</v>
      </c>
      <c r="H22" s="22">
        <v>40.576099999999997</v>
      </c>
      <c r="I22" s="22">
        <v>1.34369E-3</v>
      </c>
      <c r="J22" s="22">
        <v>12</v>
      </c>
      <c r="K22" s="22">
        <v>1.7089799999999999</v>
      </c>
      <c r="L22">
        <f t="shared" si="0"/>
        <v>-1.3436900000000001</v>
      </c>
      <c r="M22">
        <f t="shared" si="1"/>
        <v>-2.2971589871</v>
      </c>
      <c r="N22" s="9"/>
      <c r="O22" s="22">
        <v>-3.9520300000000001E-2</v>
      </c>
      <c r="P22" s="22">
        <v>104.898</v>
      </c>
      <c r="Q22" s="22">
        <v>-1.7025800000000001E-2</v>
      </c>
      <c r="R22" s="22">
        <v>12</v>
      </c>
      <c r="S22" s="22">
        <v>-3.9904799999999997E-2</v>
      </c>
      <c r="T22">
        <f t="shared" si="2"/>
        <v>17.0258</v>
      </c>
      <c r="U22">
        <f t="shared" si="3"/>
        <v>-0.67286472374000006</v>
      </c>
      <c r="V22" s="23"/>
      <c r="W22" s="24"/>
      <c r="X22" s="9"/>
      <c r="Y22" s="22">
        <v>1.7095899999999999</v>
      </c>
      <c r="Z22" s="22">
        <v>175.03100000000001</v>
      </c>
      <c r="AA22" s="22">
        <v>4.7186299999999997E-3</v>
      </c>
      <c r="AB22" s="22">
        <v>12</v>
      </c>
      <c r="AC22" s="22">
        <v>1.70868</v>
      </c>
      <c r="AD22">
        <f t="shared" si="4"/>
        <v>-4.7186300000000001</v>
      </c>
      <c r="AE22">
        <f t="shared" si="5"/>
        <v>-8.0669226616999996</v>
      </c>
      <c r="AF22" s="9"/>
      <c r="AG22" s="22">
        <v>-3.9520300000000001E-2</v>
      </c>
      <c r="AH22" s="22">
        <v>232.56</v>
      </c>
      <c r="AI22" s="22">
        <v>-1.69739E-2</v>
      </c>
      <c r="AJ22" s="22">
        <v>12</v>
      </c>
      <c r="AK22" s="22">
        <v>-3.9904799999999997E-2</v>
      </c>
      <c r="AL22">
        <f t="shared" si="6"/>
        <v>16.9739</v>
      </c>
      <c r="AM22">
        <f t="shared" si="7"/>
        <v>-0.67081362017000001</v>
      </c>
      <c r="AP22" s="9"/>
      <c r="AQ22" s="22">
        <v>1.7095899999999999</v>
      </c>
      <c r="AR22" s="22">
        <v>311.41399999999999</v>
      </c>
      <c r="AS22" s="22">
        <v>7.2204599999999997E-3</v>
      </c>
      <c r="AT22" s="22">
        <v>12</v>
      </c>
      <c r="AU22" s="22">
        <v>1.70868</v>
      </c>
      <c r="AV22">
        <f t="shared" si="8"/>
        <v>-7.2204600000000001</v>
      </c>
      <c r="AW22">
        <f t="shared" si="9"/>
        <v>-12.344026211399999</v>
      </c>
      <c r="AX22" s="9"/>
      <c r="AY22" s="22">
        <v>-3.9520300000000001E-2</v>
      </c>
      <c r="AZ22" s="22">
        <v>369.72500000000002</v>
      </c>
      <c r="BA22" s="22">
        <v>-1.6983000000000002E-2</v>
      </c>
      <c r="BB22" s="22">
        <v>12</v>
      </c>
      <c r="BC22" s="22">
        <v>-3.9569100000000003E-2</v>
      </c>
      <c r="BD22">
        <f t="shared" si="10"/>
        <v>16.983000000000001</v>
      </c>
      <c r="BE22">
        <f t="shared" si="11"/>
        <v>-0.67117325490000002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1.7045600000000001</v>
      </c>
      <c r="H23" s="22">
        <v>40.6768</v>
      </c>
      <c r="I23" s="22">
        <v>-3.4860199999999998E-3</v>
      </c>
      <c r="J23" s="22">
        <v>13</v>
      </c>
      <c r="K23" s="22">
        <v>1.7038</v>
      </c>
      <c r="L23">
        <f t="shared" si="0"/>
        <v>3.4860199999999999</v>
      </c>
      <c r="M23">
        <f t="shared" si="1"/>
        <v>5.9421302512</v>
      </c>
      <c r="N23" s="9"/>
      <c r="O23" s="22">
        <v>-3.4484899999999999E-2</v>
      </c>
      <c r="P23" s="22">
        <v>104.999</v>
      </c>
      <c r="Q23" s="22">
        <v>-1.70288E-2</v>
      </c>
      <c r="R23" s="22">
        <v>13</v>
      </c>
      <c r="S23" s="22">
        <v>-3.4884600000000002E-2</v>
      </c>
      <c r="T23">
        <f t="shared" si="2"/>
        <v>17.0288</v>
      </c>
      <c r="U23">
        <f t="shared" si="3"/>
        <v>-0.58723646511999994</v>
      </c>
      <c r="V23" s="23"/>
      <c r="W23" s="24"/>
      <c r="X23" s="9"/>
      <c r="Y23" s="22">
        <v>1.7045600000000001</v>
      </c>
      <c r="Z23" s="22">
        <v>175.13200000000001</v>
      </c>
      <c r="AA23" s="22">
        <v>-1.8426499999999999E-3</v>
      </c>
      <c r="AB23" s="22">
        <v>13</v>
      </c>
      <c r="AC23" s="22">
        <v>1.7040999999999999</v>
      </c>
      <c r="AD23">
        <f t="shared" si="4"/>
        <v>1.8426499999999999</v>
      </c>
      <c r="AE23">
        <f t="shared" si="5"/>
        <v>3.140907484</v>
      </c>
      <c r="AF23" s="9"/>
      <c r="AG23" s="22">
        <v>-3.4484899999999999E-2</v>
      </c>
      <c r="AH23" s="22">
        <v>232.661</v>
      </c>
      <c r="AI23" s="22">
        <v>-1.69769E-2</v>
      </c>
      <c r="AJ23" s="22">
        <v>13</v>
      </c>
      <c r="AK23" s="22">
        <v>-3.4936500000000002E-2</v>
      </c>
      <c r="AL23">
        <f t="shared" si="6"/>
        <v>16.976900000000001</v>
      </c>
      <c r="AM23">
        <f t="shared" si="7"/>
        <v>-0.58544669881</v>
      </c>
      <c r="AP23" s="9"/>
      <c r="AQ23" s="22">
        <v>1.7045600000000001</v>
      </c>
      <c r="AR23" s="22">
        <v>311.51499999999999</v>
      </c>
      <c r="AS23" s="22">
        <v>1.4566000000000001E-4</v>
      </c>
      <c r="AT23" s="22">
        <v>13</v>
      </c>
      <c r="AU23" s="22">
        <v>1.7038</v>
      </c>
      <c r="AV23">
        <f t="shared" si="8"/>
        <v>-0.14566000000000001</v>
      </c>
      <c r="AW23">
        <f t="shared" si="9"/>
        <v>-0.24828620960000003</v>
      </c>
      <c r="AX23" s="9"/>
      <c r="AY23" s="22">
        <v>-3.4484899999999999E-2</v>
      </c>
      <c r="AZ23" s="22">
        <v>369.82600000000002</v>
      </c>
      <c r="BA23" s="22">
        <v>-1.6958600000000001E-2</v>
      </c>
      <c r="BB23" s="22">
        <v>13</v>
      </c>
      <c r="BC23" s="22">
        <v>-3.4814499999999998E-2</v>
      </c>
      <c r="BD23">
        <f t="shared" si="10"/>
        <v>16.958600000000001</v>
      </c>
      <c r="BE23">
        <f t="shared" si="11"/>
        <v>-0.58481562513999996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1.6995199999999999</v>
      </c>
      <c r="H24" s="22">
        <v>40.777500000000003</v>
      </c>
      <c r="I24" s="22">
        <v>-6.0424800000000002E-3</v>
      </c>
      <c r="J24" s="22">
        <v>14</v>
      </c>
      <c r="K24" s="22">
        <v>1.6982999999999999</v>
      </c>
      <c r="L24">
        <f t="shared" si="0"/>
        <v>6.0424800000000003</v>
      </c>
      <c r="M24">
        <f t="shared" si="1"/>
        <v>10.2693156096</v>
      </c>
      <c r="N24" s="9"/>
      <c r="O24" s="22">
        <v>-2.94495E-2</v>
      </c>
      <c r="P24" s="22">
        <v>105.1</v>
      </c>
      <c r="Q24" s="22">
        <v>-1.7013500000000001E-2</v>
      </c>
      <c r="R24" s="22">
        <v>14</v>
      </c>
      <c r="S24" s="22">
        <v>-2.9797400000000002E-2</v>
      </c>
      <c r="T24">
        <f t="shared" si="2"/>
        <v>17.013500000000001</v>
      </c>
      <c r="U24">
        <f t="shared" si="3"/>
        <v>-0.50103906825</v>
      </c>
      <c r="V24" s="23"/>
      <c r="W24" s="24"/>
      <c r="X24" s="9"/>
      <c r="Y24" s="22">
        <v>1.6995199999999999</v>
      </c>
      <c r="Z24" s="22">
        <v>175.233</v>
      </c>
      <c r="AA24" s="22">
        <v>-5.0018299999999996E-3</v>
      </c>
      <c r="AB24" s="22">
        <v>14</v>
      </c>
      <c r="AC24" s="22">
        <v>1.69861</v>
      </c>
      <c r="AD24">
        <f t="shared" si="4"/>
        <v>5.00183</v>
      </c>
      <c r="AE24">
        <f t="shared" si="5"/>
        <v>8.5007101215999992</v>
      </c>
      <c r="AF24" s="9"/>
      <c r="AG24" s="22">
        <v>-2.94495E-2</v>
      </c>
      <c r="AH24" s="22">
        <v>232.762</v>
      </c>
      <c r="AI24" s="22">
        <v>-1.6970800000000001E-2</v>
      </c>
      <c r="AJ24" s="22">
        <v>14</v>
      </c>
      <c r="AK24" s="22">
        <v>-2.9861499999999999E-2</v>
      </c>
      <c r="AL24">
        <f t="shared" si="6"/>
        <v>16.970800000000001</v>
      </c>
      <c r="AM24">
        <f t="shared" si="7"/>
        <v>-0.4997815746</v>
      </c>
      <c r="AP24" s="9"/>
      <c r="AQ24" s="22">
        <v>1.6995199999999999</v>
      </c>
      <c r="AR24" s="22">
        <v>311.61599999999999</v>
      </c>
      <c r="AS24" s="22">
        <v>-4.0878299999999998E-3</v>
      </c>
      <c r="AT24" s="22">
        <v>14</v>
      </c>
      <c r="AU24" s="22">
        <v>1.6989099999999999</v>
      </c>
      <c r="AV24">
        <f t="shared" si="8"/>
        <v>4.0878299999999994</v>
      </c>
      <c r="AW24">
        <f t="shared" si="9"/>
        <v>6.9473488415999984</v>
      </c>
      <c r="AX24" s="9"/>
      <c r="AY24" s="22">
        <v>-2.94495E-2</v>
      </c>
      <c r="AZ24" s="22">
        <v>369.92700000000002</v>
      </c>
      <c r="BA24" s="22">
        <v>-1.6964699999999999E-2</v>
      </c>
      <c r="BB24" s="22">
        <v>14</v>
      </c>
      <c r="BC24" s="22">
        <v>-2.9815700000000001E-2</v>
      </c>
      <c r="BD24">
        <f t="shared" si="10"/>
        <v>16.964700000000001</v>
      </c>
      <c r="BE24">
        <f t="shared" si="11"/>
        <v>-0.49960193265000002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1.6944900000000001</v>
      </c>
      <c r="H25" s="22">
        <v>40.8782</v>
      </c>
      <c r="I25" s="22">
        <v>-7.5683599999999997E-3</v>
      </c>
      <c r="J25" s="22">
        <v>15</v>
      </c>
      <c r="K25" s="22">
        <v>1.6934199999999999</v>
      </c>
      <c r="L25">
        <f t="shared" si="0"/>
        <v>7.5683599999999993</v>
      </c>
      <c r="M25">
        <f t="shared" si="1"/>
        <v>12.824510336399999</v>
      </c>
      <c r="N25" s="9"/>
      <c r="O25" s="22">
        <v>-2.4414100000000001E-2</v>
      </c>
      <c r="P25" s="22">
        <v>105.2</v>
      </c>
      <c r="Q25" s="22">
        <v>-1.70013E-2</v>
      </c>
      <c r="R25" s="22">
        <v>15</v>
      </c>
      <c r="S25" s="22">
        <v>-2.4823000000000001E-2</v>
      </c>
      <c r="T25">
        <f t="shared" si="2"/>
        <v>17.001300000000001</v>
      </c>
      <c r="U25">
        <f t="shared" si="3"/>
        <v>-0.41507143833000004</v>
      </c>
      <c r="V25" s="23"/>
      <c r="W25" s="24"/>
      <c r="X25" s="9"/>
      <c r="Y25" s="22">
        <v>1.6944900000000001</v>
      </c>
      <c r="Z25" s="22">
        <v>175.333</v>
      </c>
      <c r="AA25" s="22">
        <v>-6.9244399999999996E-3</v>
      </c>
      <c r="AB25" s="22">
        <v>15</v>
      </c>
      <c r="AC25" s="22">
        <v>1.69373</v>
      </c>
      <c r="AD25">
        <f t="shared" si="4"/>
        <v>6.9244399999999997</v>
      </c>
      <c r="AE25">
        <f t="shared" si="5"/>
        <v>11.7333943356</v>
      </c>
      <c r="AF25" s="9"/>
      <c r="AG25" s="22">
        <v>-2.4414100000000001E-2</v>
      </c>
      <c r="AH25" s="22">
        <v>232.86199999999999</v>
      </c>
      <c r="AI25" s="22">
        <v>-1.6964699999999999E-2</v>
      </c>
      <c r="AJ25" s="22">
        <v>15</v>
      </c>
      <c r="AK25" s="22">
        <v>-2.4469000000000001E-2</v>
      </c>
      <c r="AL25">
        <f t="shared" si="6"/>
        <v>16.964700000000001</v>
      </c>
      <c r="AM25">
        <f t="shared" si="7"/>
        <v>-0.41417788227000002</v>
      </c>
      <c r="AP25" s="9"/>
      <c r="AQ25" s="22">
        <v>1.6944900000000001</v>
      </c>
      <c r="AR25" s="22">
        <v>311.71699999999998</v>
      </c>
      <c r="AS25" s="22">
        <v>-6.1523400000000001E-3</v>
      </c>
      <c r="AT25" s="22">
        <v>15</v>
      </c>
      <c r="AU25" s="22">
        <v>1.69373</v>
      </c>
      <c r="AV25">
        <f t="shared" si="8"/>
        <v>6.1523399999999997</v>
      </c>
      <c r="AW25">
        <f t="shared" si="9"/>
        <v>10.4250786066</v>
      </c>
      <c r="AX25" s="9"/>
      <c r="AY25" s="22">
        <v>-2.4414100000000001E-2</v>
      </c>
      <c r="AZ25" s="22">
        <v>370.02699999999999</v>
      </c>
      <c r="BA25" s="22">
        <v>-1.6970800000000001E-2</v>
      </c>
      <c r="BB25" s="22">
        <v>15</v>
      </c>
      <c r="BC25" s="22">
        <v>-2.4710099999999999E-2</v>
      </c>
      <c r="BD25">
        <f t="shared" si="10"/>
        <v>16.970800000000001</v>
      </c>
      <c r="BE25">
        <f t="shared" si="11"/>
        <v>-0.41432680828000001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1.6894499999999999</v>
      </c>
      <c r="H26" s="22">
        <v>40.978900000000003</v>
      </c>
      <c r="I26" s="22">
        <v>-8.6547900000000007E-3</v>
      </c>
      <c r="J26" s="22">
        <v>16</v>
      </c>
      <c r="K26" s="22">
        <v>1.6888399999999999</v>
      </c>
      <c r="L26">
        <f t="shared" si="0"/>
        <v>8.6547900000000002</v>
      </c>
      <c r="M26">
        <f t="shared" si="1"/>
        <v>14.6218349655</v>
      </c>
      <c r="N26" s="9"/>
      <c r="O26" s="22">
        <v>-1.9378699999999999E-2</v>
      </c>
      <c r="P26" s="22">
        <v>105.301</v>
      </c>
      <c r="Q26" s="22">
        <v>-1.7013500000000001E-2</v>
      </c>
      <c r="R26" s="22">
        <v>16</v>
      </c>
      <c r="S26" s="22">
        <v>-1.9705199999999999E-2</v>
      </c>
      <c r="T26">
        <f t="shared" si="2"/>
        <v>17.013500000000001</v>
      </c>
      <c r="U26">
        <f t="shared" si="3"/>
        <v>-0.32969951245000001</v>
      </c>
      <c r="V26" s="23"/>
      <c r="W26" s="24"/>
      <c r="X26" s="9"/>
      <c r="Y26" s="22">
        <v>1.6894499999999999</v>
      </c>
      <c r="Z26" s="22">
        <v>175.434</v>
      </c>
      <c r="AA26" s="22">
        <v>-8.1207299999999996E-3</v>
      </c>
      <c r="AB26" s="22">
        <v>16</v>
      </c>
      <c r="AC26" s="22">
        <v>1.6885399999999999</v>
      </c>
      <c r="AD26">
        <f t="shared" si="4"/>
        <v>8.12073</v>
      </c>
      <c r="AE26">
        <f t="shared" si="5"/>
        <v>13.719567298499999</v>
      </c>
      <c r="AF26" s="9"/>
      <c r="AG26" s="22">
        <v>-1.9378699999999999E-2</v>
      </c>
      <c r="AH26" s="22">
        <v>232.96299999999999</v>
      </c>
      <c r="AI26" s="22">
        <v>-1.6955600000000001E-2</v>
      </c>
      <c r="AJ26" s="22">
        <v>16</v>
      </c>
      <c r="AK26" s="22">
        <v>-1.97571E-2</v>
      </c>
      <c r="AL26">
        <f t="shared" si="6"/>
        <v>16.9556</v>
      </c>
      <c r="AM26">
        <f t="shared" si="7"/>
        <v>-0.32857748572000001</v>
      </c>
      <c r="AP26" s="9"/>
      <c r="AQ26" s="22">
        <v>1.6894499999999999</v>
      </c>
      <c r="AR26" s="22">
        <v>311.81700000000001</v>
      </c>
      <c r="AS26" s="22">
        <v>-7.5653099999999996E-3</v>
      </c>
      <c r="AT26" s="22">
        <v>16</v>
      </c>
      <c r="AU26" s="22">
        <v>1.6885399999999999</v>
      </c>
      <c r="AV26">
        <f t="shared" si="8"/>
        <v>7.5653099999999993</v>
      </c>
      <c r="AW26">
        <f t="shared" si="9"/>
        <v>12.781212979499998</v>
      </c>
      <c r="AX26" s="9"/>
      <c r="AY26" s="22">
        <v>-1.9378699999999999E-2</v>
      </c>
      <c r="AZ26" s="22">
        <v>370.12799999999999</v>
      </c>
      <c r="BA26" s="22">
        <v>-1.6955600000000001E-2</v>
      </c>
      <c r="BB26" s="22">
        <v>16</v>
      </c>
      <c r="BC26" s="22">
        <v>-1.9708300000000002E-2</v>
      </c>
      <c r="BD26">
        <f t="shared" si="10"/>
        <v>16.9556</v>
      </c>
      <c r="BE26">
        <f t="shared" si="11"/>
        <v>-0.32857748572000001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1.68442</v>
      </c>
      <c r="H27" s="22">
        <v>41.079599999999999</v>
      </c>
      <c r="I27" s="22">
        <v>-9.5245399999999997E-3</v>
      </c>
      <c r="J27" s="22">
        <v>17</v>
      </c>
      <c r="K27" s="22">
        <v>1.6839599999999999</v>
      </c>
      <c r="L27">
        <f t="shared" si="0"/>
        <v>9.52454</v>
      </c>
      <c r="M27">
        <f t="shared" si="1"/>
        <v>16.043325666800001</v>
      </c>
      <c r="N27" s="9"/>
      <c r="O27" s="22">
        <v>-1.43433E-2</v>
      </c>
      <c r="P27" s="22">
        <v>105.402</v>
      </c>
      <c r="Q27" s="22">
        <v>-1.6995199999999999E-2</v>
      </c>
      <c r="R27" s="22">
        <v>17</v>
      </c>
      <c r="S27" s="22">
        <v>-1.4645399999999999E-2</v>
      </c>
      <c r="T27">
        <f t="shared" si="2"/>
        <v>16.995199999999997</v>
      </c>
      <c r="U27">
        <f t="shared" si="3"/>
        <v>-0.24376725215999995</v>
      </c>
      <c r="X27" s="9"/>
      <c r="Y27" s="22">
        <v>1.68442</v>
      </c>
      <c r="Z27" s="22">
        <v>175.535</v>
      </c>
      <c r="AA27" s="22">
        <v>-9.0484599999999995E-3</v>
      </c>
      <c r="AB27" s="22">
        <v>17</v>
      </c>
      <c r="AC27" s="22">
        <v>1.6833499999999999</v>
      </c>
      <c r="AD27">
        <f t="shared" si="4"/>
        <v>9.0484599999999986</v>
      </c>
      <c r="AE27">
        <f t="shared" si="5"/>
        <v>15.241406993199998</v>
      </c>
      <c r="AF27" s="9"/>
      <c r="AG27" s="22">
        <v>-1.43433E-2</v>
      </c>
      <c r="AH27" s="22">
        <v>233.06399999999999</v>
      </c>
      <c r="AI27" s="22">
        <v>-1.6949499999999999E-2</v>
      </c>
      <c r="AJ27" s="22">
        <v>17</v>
      </c>
      <c r="AK27" s="22">
        <v>-1.4645399999999999E-2</v>
      </c>
      <c r="AL27">
        <f t="shared" si="6"/>
        <v>16.9495</v>
      </c>
      <c r="AM27">
        <f t="shared" si="7"/>
        <v>-0.24311176335000001</v>
      </c>
      <c r="AP27" s="9"/>
      <c r="AQ27" s="22">
        <v>1.68442</v>
      </c>
      <c r="AR27" s="22">
        <v>311.91800000000001</v>
      </c>
      <c r="AS27" s="22">
        <v>-8.5754400000000001E-3</v>
      </c>
      <c r="AT27" s="22">
        <v>17</v>
      </c>
      <c r="AU27" s="22">
        <v>1.6836500000000001</v>
      </c>
      <c r="AV27">
        <f t="shared" si="8"/>
        <v>8.5754400000000004</v>
      </c>
      <c r="AW27">
        <f t="shared" si="9"/>
        <v>14.4446426448</v>
      </c>
      <c r="AX27" s="9"/>
      <c r="AY27" s="22">
        <v>-1.43433E-2</v>
      </c>
      <c r="AZ27" s="22">
        <v>370.22899999999998</v>
      </c>
      <c r="BA27" s="22">
        <v>-1.6964699999999999E-2</v>
      </c>
      <c r="BB27" s="22">
        <v>17</v>
      </c>
      <c r="BC27" s="22">
        <v>-1.4767499999999999E-2</v>
      </c>
      <c r="BD27">
        <f t="shared" si="10"/>
        <v>16.964700000000001</v>
      </c>
      <c r="BE27">
        <f t="shared" si="11"/>
        <v>-0.24332978151000001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1.6793800000000001</v>
      </c>
      <c r="H28" s="22">
        <v>41.180300000000003</v>
      </c>
      <c r="I28" s="22">
        <v>-1.01563E-2</v>
      </c>
      <c r="J28" s="22">
        <v>18</v>
      </c>
      <c r="K28" s="22">
        <v>1.6787700000000001</v>
      </c>
      <c r="L28">
        <f t="shared" si="0"/>
        <v>10.1563</v>
      </c>
      <c r="M28">
        <f t="shared" si="1"/>
        <v>17.056287094000002</v>
      </c>
      <c r="N28" s="9"/>
      <c r="O28" s="22">
        <v>-9.3078599999999994E-3</v>
      </c>
      <c r="P28" s="22">
        <v>105.502</v>
      </c>
      <c r="Q28" s="22">
        <v>-1.6992199999999999E-2</v>
      </c>
      <c r="R28" s="22">
        <v>18</v>
      </c>
      <c r="S28" s="22">
        <v>-9.5184299999999996E-3</v>
      </c>
      <c r="T28">
        <f t="shared" si="2"/>
        <v>16.9922</v>
      </c>
      <c r="U28">
        <f t="shared" si="3"/>
        <v>-0.158161018692</v>
      </c>
      <c r="X28" s="9"/>
      <c r="Y28" s="22">
        <v>1.6793800000000001</v>
      </c>
      <c r="Z28" s="22">
        <v>175.63499999999999</v>
      </c>
      <c r="AA28" s="22">
        <v>-9.7412100000000001E-3</v>
      </c>
      <c r="AB28" s="22">
        <v>18</v>
      </c>
      <c r="AC28" s="22">
        <v>1.6787700000000001</v>
      </c>
      <c r="AD28">
        <f t="shared" si="4"/>
        <v>9.7412100000000006</v>
      </c>
      <c r="AE28">
        <f t="shared" si="5"/>
        <v>16.359193249800001</v>
      </c>
      <c r="AF28" s="9"/>
      <c r="AG28" s="22">
        <v>-9.3078599999999994E-3</v>
      </c>
      <c r="AH28" s="22">
        <v>233.16399999999999</v>
      </c>
      <c r="AI28" s="22">
        <v>-1.69617E-2</v>
      </c>
      <c r="AJ28" s="22">
        <v>18</v>
      </c>
      <c r="AK28" s="22">
        <v>-9.5977800000000002E-3</v>
      </c>
      <c r="AL28">
        <f t="shared" si="6"/>
        <v>16.9617</v>
      </c>
      <c r="AM28">
        <f t="shared" si="7"/>
        <v>-0.15787712896199999</v>
      </c>
      <c r="AP28" s="9"/>
      <c r="AQ28" s="22">
        <v>1.6793800000000001</v>
      </c>
      <c r="AR28" s="22">
        <v>312.01900000000001</v>
      </c>
      <c r="AS28" s="22">
        <v>-9.2590299999999997E-3</v>
      </c>
      <c r="AT28" s="22">
        <v>18</v>
      </c>
      <c r="AU28" s="22">
        <v>1.6781600000000001</v>
      </c>
      <c r="AV28">
        <f t="shared" si="8"/>
        <v>9.2590299999999992</v>
      </c>
      <c r="AW28">
        <f t="shared" si="9"/>
        <v>15.549429801399999</v>
      </c>
      <c r="AX28" s="9"/>
      <c r="AY28" s="22">
        <v>-9.3078599999999994E-3</v>
      </c>
      <c r="AZ28" s="22">
        <v>370.33</v>
      </c>
      <c r="BA28" s="22">
        <v>-1.6937299999999999E-2</v>
      </c>
      <c r="BB28" s="22">
        <v>18</v>
      </c>
      <c r="BC28" s="22">
        <v>-9.7900399999999999E-3</v>
      </c>
      <c r="BD28">
        <f t="shared" si="10"/>
        <v>16.9373</v>
      </c>
      <c r="BE28">
        <f t="shared" si="11"/>
        <v>-0.15765001717800001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1.67435</v>
      </c>
      <c r="H29" s="22">
        <v>41.280999999999999</v>
      </c>
      <c r="I29" s="22">
        <v>-1.0659800000000001E-2</v>
      </c>
      <c r="J29" s="22">
        <v>19</v>
      </c>
      <c r="K29" s="22">
        <v>1.6729700000000001</v>
      </c>
      <c r="L29">
        <f t="shared" si="0"/>
        <v>10.659800000000001</v>
      </c>
      <c r="M29">
        <f t="shared" si="1"/>
        <v>17.84823613</v>
      </c>
      <c r="N29" s="9"/>
      <c r="O29" s="22">
        <v>-4.2724599999999996E-3</v>
      </c>
      <c r="P29" s="22">
        <v>105.60299999999999</v>
      </c>
      <c r="Q29" s="22">
        <v>-1.6986100000000001E-2</v>
      </c>
      <c r="R29" s="22">
        <v>19</v>
      </c>
      <c r="S29" s="22">
        <v>-4.4647200000000001E-3</v>
      </c>
      <c r="T29">
        <f t="shared" si="2"/>
        <v>16.9861</v>
      </c>
      <c r="U29">
        <f t="shared" si="3"/>
        <v>-7.2572432805999995E-2</v>
      </c>
      <c r="X29" s="9"/>
      <c r="Y29" s="22">
        <v>1.67435</v>
      </c>
      <c r="Z29" s="22">
        <v>175.73599999999999</v>
      </c>
      <c r="AA29" s="22">
        <v>-1.0269199999999999E-2</v>
      </c>
      <c r="AB29" s="22">
        <v>19</v>
      </c>
      <c r="AC29" s="22">
        <v>1.6735800000000001</v>
      </c>
      <c r="AD29">
        <f t="shared" si="4"/>
        <v>10.2692</v>
      </c>
      <c r="AE29">
        <f t="shared" si="5"/>
        <v>17.194235020000001</v>
      </c>
      <c r="AF29" s="9"/>
      <c r="AG29" s="22">
        <v>-4.2724599999999996E-3</v>
      </c>
      <c r="AH29" s="22">
        <v>233.26499999999999</v>
      </c>
      <c r="AI29" s="22">
        <v>-1.6952499999999999E-2</v>
      </c>
      <c r="AJ29" s="22">
        <v>19</v>
      </c>
      <c r="AK29" s="22">
        <v>-4.5623800000000004E-3</v>
      </c>
      <c r="AL29">
        <f t="shared" si="6"/>
        <v>16.952500000000001</v>
      </c>
      <c r="AM29">
        <f t="shared" si="7"/>
        <v>-7.2428878150000001E-2</v>
      </c>
      <c r="AP29" s="9"/>
      <c r="AQ29" s="22">
        <v>1.67435</v>
      </c>
      <c r="AR29" s="22">
        <v>312.11900000000003</v>
      </c>
      <c r="AS29" s="22">
        <v>-9.8754900000000007E-3</v>
      </c>
      <c r="AT29" s="22">
        <v>19</v>
      </c>
      <c r="AU29" s="22">
        <v>1.6732800000000001</v>
      </c>
      <c r="AV29">
        <f t="shared" si="8"/>
        <v>9.875490000000001</v>
      </c>
      <c r="AW29">
        <f t="shared" si="9"/>
        <v>16.535026681500003</v>
      </c>
      <c r="AX29" s="9"/>
      <c r="AY29" s="22">
        <v>-4.2724599999999996E-3</v>
      </c>
      <c r="AZ29" s="22">
        <v>370.43</v>
      </c>
      <c r="BA29" s="22">
        <v>-1.6937299999999999E-2</v>
      </c>
      <c r="BB29" s="22">
        <v>19</v>
      </c>
      <c r="BC29" s="22">
        <v>-4.3853800000000004E-3</v>
      </c>
      <c r="BD29">
        <f t="shared" si="10"/>
        <v>16.9373</v>
      </c>
      <c r="BE29">
        <f t="shared" si="11"/>
        <v>-7.2363936758E-2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1.6693100000000001</v>
      </c>
      <c r="H30" s="22">
        <v>41.381799999999998</v>
      </c>
      <c r="I30" s="22">
        <v>-1.10352E-2</v>
      </c>
      <c r="J30" s="22">
        <v>20</v>
      </c>
      <c r="K30" s="22">
        <v>1.6680900000000001</v>
      </c>
      <c r="L30">
        <f t="shared" si="0"/>
        <v>11.0352</v>
      </c>
      <c r="M30">
        <f t="shared" si="1"/>
        <v>18.421169712000001</v>
      </c>
      <c r="N30" s="9"/>
      <c r="O30" s="22">
        <v>7.6293900000000002E-4</v>
      </c>
      <c r="P30" s="22">
        <v>105.70399999999999</v>
      </c>
      <c r="Q30" s="22">
        <v>-1.6992199999999999E-2</v>
      </c>
      <c r="R30" s="22">
        <v>20</v>
      </c>
      <c r="S30" s="22">
        <v>5.5236800000000002E-4</v>
      </c>
      <c r="T30">
        <f t="shared" si="2"/>
        <v>16.9922</v>
      </c>
      <c r="U30">
        <f t="shared" si="3"/>
        <v>1.29640120758E-2</v>
      </c>
      <c r="X30" s="9"/>
      <c r="Y30" s="22">
        <v>1.6693100000000001</v>
      </c>
      <c r="Z30" s="22">
        <v>175.83699999999999</v>
      </c>
      <c r="AA30" s="22">
        <v>-1.06873E-2</v>
      </c>
      <c r="AB30" s="22">
        <v>20</v>
      </c>
      <c r="AC30" s="22">
        <v>1.6690100000000001</v>
      </c>
      <c r="AD30">
        <f t="shared" si="4"/>
        <v>10.6873</v>
      </c>
      <c r="AE30">
        <f t="shared" si="5"/>
        <v>17.840416763</v>
      </c>
      <c r="AF30" s="9"/>
      <c r="AG30" s="22">
        <v>7.6293900000000002E-4</v>
      </c>
      <c r="AH30" s="22">
        <v>233.36600000000001</v>
      </c>
      <c r="AI30" s="22">
        <v>-1.69617E-2</v>
      </c>
      <c r="AJ30" s="22">
        <v>20</v>
      </c>
      <c r="AK30" s="22">
        <v>5.0354000000000002E-4</v>
      </c>
      <c r="AL30">
        <f t="shared" si="6"/>
        <v>16.9617</v>
      </c>
      <c r="AM30">
        <f t="shared" si="7"/>
        <v>1.2940742436300001E-2</v>
      </c>
      <c r="AP30" s="9"/>
      <c r="AQ30" s="22">
        <v>1.6693100000000001</v>
      </c>
      <c r="AR30" s="22">
        <v>312.22000000000003</v>
      </c>
      <c r="AS30" s="22">
        <v>-1.03973E-2</v>
      </c>
      <c r="AT30" s="22">
        <v>20</v>
      </c>
      <c r="AU30" s="22">
        <v>1.6680900000000001</v>
      </c>
      <c r="AV30">
        <f t="shared" si="8"/>
        <v>10.3973</v>
      </c>
      <c r="AW30">
        <f t="shared" si="9"/>
        <v>17.356316863</v>
      </c>
      <c r="AX30" s="9"/>
      <c r="AY30" s="22">
        <v>7.6293900000000002E-4</v>
      </c>
      <c r="AZ30" s="22">
        <v>370.53100000000001</v>
      </c>
      <c r="BA30" s="22">
        <v>-1.6940299999999998E-2</v>
      </c>
      <c r="BB30" s="22">
        <v>20</v>
      </c>
      <c r="BC30" s="22">
        <v>5.7678199999999997E-4</v>
      </c>
      <c r="BD30">
        <f t="shared" si="10"/>
        <v>16.940299999999997</v>
      </c>
      <c r="BE30">
        <f t="shared" si="11"/>
        <v>1.2924415541699999E-2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1.66428</v>
      </c>
      <c r="H31" s="22">
        <v>41.482500000000002</v>
      </c>
      <c r="I31" s="22">
        <v>-1.14258E-2</v>
      </c>
      <c r="J31" s="22">
        <v>21</v>
      </c>
      <c r="K31" s="22">
        <v>1.6632100000000001</v>
      </c>
      <c r="L31">
        <f t="shared" si="0"/>
        <v>11.425800000000001</v>
      </c>
      <c r="M31">
        <f t="shared" si="1"/>
        <v>19.015730424000001</v>
      </c>
      <c r="N31" s="9"/>
      <c r="O31" s="22">
        <v>5.7983399999999999E-3</v>
      </c>
      <c r="P31" s="22">
        <v>105.804</v>
      </c>
      <c r="Q31" s="22">
        <v>-1.6992199999999999E-2</v>
      </c>
      <c r="R31" s="22">
        <v>21</v>
      </c>
      <c r="S31" s="22">
        <v>5.71289E-3</v>
      </c>
      <c r="T31">
        <f t="shared" si="2"/>
        <v>16.9922</v>
      </c>
      <c r="U31">
        <f t="shared" si="3"/>
        <v>9.8526552948000001E-2</v>
      </c>
      <c r="X31" s="9"/>
      <c r="Y31" s="22">
        <v>1.66428</v>
      </c>
      <c r="Z31" s="22">
        <v>175.93799999999999</v>
      </c>
      <c r="AA31" s="22">
        <v>-1.1108399999999999E-2</v>
      </c>
      <c r="AB31" s="22">
        <v>21</v>
      </c>
      <c r="AC31" s="22">
        <v>1.6626000000000001</v>
      </c>
      <c r="AD31">
        <f t="shared" si="4"/>
        <v>11.1084</v>
      </c>
      <c r="AE31">
        <f t="shared" si="5"/>
        <v>18.487487951999999</v>
      </c>
      <c r="AF31" s="9"/>
      <c r="AG31" s="22">
        <v>5.7983399999999999E-3</v>
      </c>
      <c r="AH31" s="22">
        <v>233.46600000000001</v>
      </c>
      <c r="AI31" s="22">
        <v>-1.69464E-2</v>
      </c>
      <c r="AJ31" s="22">
        <v>21</v>
      </c>
      <c r="AK31" s="22">
        <v>5.5145300000000001E-3</v>
      </c>
      <c r="AL31">
        <f t="shared" si="6"/>
        <v>16.946400000000001</v>
      </c>
      <c r="AM31">
        <f t="shared" si="7"/>
        <v>9.8260988975999997E-2</v>
      </c>
      <c r="AP31" s="9"/>
      <c r="AQ31" s="22">
        <v>1.66428</v>
      </c>
      <c r="AR31" s="22">
        <v>312.32100000000003</v>
      </c>
      <c r="AS31" s="22">
        <v>-1.0791E-2</v>
      </c>
      <c r="AT31" s="22">
        <v>21</v>
      </c>
      <c r="AU31" s="22">
        <v>1.66351</v>
      </c>
      <c r="AV31">
        <f t="shared" si="8"/>
        <v>10.791</v>
      </c>
      <c r="AW31">
        <f t="shared" si="9"/>
        <v>17.95924548</v>
      </c>
      <c r="AX31" s="9"/>
      <c r="AY31" s="22">
        <v>5.7983399999999999E-3</v>
      </c>
      <c r="AZ31" s="22">
        <v>370.63200000000001</v>
      </c>
      <c r="BA31" s="22">
        <v>-1.69312E-2</v>
      </c>
      <c r="BB31" s="22">
        <v>21</v>
      </c>
      <c r="BC31" s="22">
        <v>5.5328399999999998E-3</v>
      </c>
      <c r="BD31">
        <f t="shared" si="10"/>
        <v>16.9312</v>
      </c>
      <c r="BE31">
        <f t="shared" si="11"/>
        <v>9.8172854207999996E-2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1.65924</v>
      </c>
      <c r="H32" s="22">
        <v>41.583199999999998</v>
      </c>
      <c r="I32" s="22">
        <v>-1.17737E-2</v>
      </c>
      <c r="J32" s="22">
        <v>22</v>
      </c>
      <c r="K32" s="22">
        <v>1.6589400000000001</v>
      </c>
      <c r="L32">
        <f t="shared" si="0"/>
        <v>11.7737</v>
      </c>
      <c r="M32">
        <f t="shared" si="1"/>
        <v>19.535393987999999</v>
      </c>
      <c r="N32" s="9"/>
      <c r="O32" s="22">
        <v>1.08337E-2</v>
      </c>
      <c r="P32" s="22">
        <v>105.905</v>
      </c>
      <c r="Q32" s="22">
        <v>-1.69891E-2</v>
      </c>
      <c r="R32" s="22">
        <v>22</v>
      </c>
      <c r="S32" s="22">
        <v>1.05713E-2</v>
      </c>
      <c r="T32">
        <f t="shared" si="2"/>
        <v>16.989100000000001</v>
      </c>
      <c r="U32">
        <f t="shared" si="3"/>
        <v>0.18405481267000001</v>
      </c>
      <c r="X32" s="9"/>
      <c r="Y32" s="22">
        <v>1.65924</v>
      </c>
      <c r="Z32" s="22">
        <v>176.03800000000001</v>
      </c>
      <c r="AA32" s="22">
        <v>-1.14532E-2</v>
      </c>
      <c r="AB32" s="22">
        <v>22</v>
      </c>
      <c r="AC32" s="22">
        <v>1.6583300000000001</v>
      </c>
      <c r="AD32">
        <f t="shared" si="4"/>
        <v>11.453200000000001</v>
      </c>
      <c r="AE32">
        <f t="shared" si="5"/>
        <v>19.003607568000003</v>
      </c>
      <c r="AF32" s="9"/>
      <c r="AG32" s="22">
        <v>1.08337E-2</v>
      </c>
      <c r="AH32" s="22">
        <v>233.56700000000001</v>
      </c>
      <c r="AI32" s="22">
        <v>-1.6943400000000001E-2</v>
      </c>
      <c r="AJ32" s="22">
        <v>22</v>
      </c>
      <c r="AK32" s="22">
        <v>1.06049E-2</v>
      </c>
      <c r="AL32">
        <f t="shared" si="6"/>
        <v>16.9434</v>
      </c>
      <c r="AM32">
        <f t="shared" si="7"/>
        <v>0.18355971258000001</v>
      </c>
      <c r="AP32" s="9"/>
      <c r="AQ32" s="22">
        <v>1.65924</v>
      </c>
      <c r="AR32" s="22">
        <v>312.42099999999999</v>
      </c>
      <c r="AS32" s="22">
        <v>-1.1148099999999999E-2</v>
      </c>
      <c r="AT32" s="22">
        <v>22</v>
      </c>
      <c r="AU32" s="22">
        <v>1.6583300000000001</v>
      </c>
      <c r="AV32">
        <f t="shared" si="8"/>
        <v>11.148099999999999</v>
      </c>
      <c r="AW32">
        <f t="shared" si="9"/>
        <v>18.497373444000001</v>
      </c>
      <c r="AX32" s="9"/>
      <c r="AY32" s="22">
        <v>1.08337E-2</v>
      </c>
      <c r="AZ32" s="22">
        <v>370.73200000000003</v>
      </c>
      <c r="BA32" s="22">
        <v>-1.69342E-2</v>
      </c>
      <c r="BB32" s="22">
        <v>22</v>
      </c>
      <c r="BC32" s="22">
        <v>1.0540799999999999E-2</v>
      </c>
      <c r="BD32">
        <f t="shared" si="10"/>
        <v>16.934200000000001</v>
      </c>
      <c r="BE32">
        <f t="shared" si="11"/>
        <v>0.18346004254000001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1.65421</v>
      </c>
      <c r="H33" s="22">
        <v>41.683900000000001</v>
      </c>
      <c r="I33" s="22">
        <v>-1.2118500000000001E-2</v>
      </c>
      <c r="J33" s="22">
        <v>23</v>
      </c>
      <c r="K33" s="22">
        <v>1.65344</v>
      </c>
      <c r="L33">
        <f t="shared" si="0"/>
        <v>12.118500000000001</v>
      </c>
      <c r="M33">
        <f t="shared" si="1"/>
        <v>20.046543885000002</v>
      </c>
      <c r="N33" s="9"/>
      <c r="O33" s="22">
        <v>1.5869100000000001E-2</v>
      </c>
      <c r="P33" s="22">
        <v>106.006</v>
      </c>
      <c r="Q33" s="22">
        <v>-1.6979999999999999E-2</v>
      </c>
      <c r="R33" s="22">
        <v>23</v>
      </c>
      <c r="S33" s="22">
        <v>1.56647E-2</v>
      </c>
      <c r="T33">
        <f t="shared" si="2"/>
        <v>16.979999999999997</v>
      </c>
      <c r="U33">
        <f t="shared" si="3"/>
        <v>0.26945731799999995</v>
      </c>
      <c r="X33" s="9"/>
      <c r="Y33" s="22">
        <v>1.65421</v>
      </c>
      <c r="Z33" s="22">
        <v>176.13900000000001</v>
      </c>
      <c r="AA33" s="22">
        <v>-1.1764500000000001E-2</v>
      </c>
      <c r="AB33" s="22">
        <v>23</v>
      </c>
      <c r="AC33" s="22">
        <v>1.6531400000000001</v>
      </c>
      <c r="AD33">
        <f t="shared" si="4"/>
        <v>11.7645</v>
      </c>
      <c r="AE33">
        <f t="shared" si="5"/>
        <v>19.460953544999999</v>
      </c>
      <c r="AF33" s="9"/>
      <c r="AG33" s="22">
        <v>1.5869100000000001E-2</v>
      </c>
      <c r="AH33" s="22">
        <v>233.66800000000001</v>
      </c>
      <c r="AI33" s="22">
        <v>-1.6937299999999999E-2</v>
      </c>
      <c r="AJ33" s="22">
        <v>23</v>
      </c>
      <c r="AK33" s="22">
        <v>1.5631099999999998E-2</v>
      </c>
      <c r="AL33">
        <f t="shared" si="6"/>
        <v>16.9373</v>
      </c>
      <c r="AM33">
        <f t="shared" si="7"/>
        <v>0.26877970743000001</v>
      </c>
      <c r="AP33" s="9"/>
      <c r="AQ33" s="22">
        <v>1.65421</v>
      </c>
      <c r="AR33" s="22">
        <v>312.52199999999999</v>
      </c>
      <c r="AS33" s="22">
        <v>-1.14532E-2</v>
      </c>
      <c r="AT33" s="22">
        <v>23</v>
      </c>
      <c r="AU33" s="22">
        <v>1.6531400000000001</v>
      </c>
      <c r="AV33">
        <f t="shared" si="8"/>
        <v>11.453200000000001</v>
      </c>
      <c r="AW33">
        <f t="shared" si="9"/>
        <v>18.945997972000001</v>
      </c>
      <c r="AX33" s="9"/>
      <c r="AY33" s="22">
        <v>1.5869100000000001E-2</v>
      </c>
      <c r="AZ33" s="22">
        <v>370.83300000000003</v>
      </c>
      <c r="BA33" s="22">
        <v>-1.6924999999999999E-2</v>
      </c>
      <c r="BB33" s="22">
        <v>23</v>
      </c>
      <c r="BC33" s="22">
        <v>1.5676900000000001E-2</v>
      </c>
      <c r="BD33">
        <f t="shared" si="10"/>
        <v>16.925000000000001</v>
      </c>
      <c r="BE33">
        <f t="shared" si="11"/>
        <v>0.26858451750000001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1.64917</v>
      </c>
      <c r="H34" s="22">
        <v>41.784599999999998</v>
      </c>
      <c r="I34" s="22">
        <v>-1.2362700000000001E-2</v>
      </c>
      <c r="J34" s="22">
        <v>24</v>
      </c>
      <c r="K34" s="22">
        <v>1.64764</v>
      </c>
      <c r="L34">
        <f t="shared" si="0"/>
        <v>12.3627</v>
      </c>
      <c r="M34">
        <f t="shared" si="1"/>
        <v>20.388193959000002</v>
      </c>
      <c r="N34" s="9"/>
      <c r="O34" s="22">
        <v>2.0904499999999999E-2</v>
      </c>
      <c r="P34" s="22">
        <v>106.107</v>
      </c>
      <c r="Q34" s="22">
        <v>-1.6979999999999999E-2</v>
      </c>
      <c r="R34" s="22">
        <v>24</v>
      </c>
      <c r="S34" s="22">
        <v>2.0730599999999998E-2</v>
      </c>
      <c r="T34">
        <f t="shared" si="2"/>
        <v>16.979999999999997</v>
      </c>
      <c r="U34">
        <f t="shared" si="3"/>
        <v>0.35495840999999995</v>
      </c>
      <c r="X34" s="9"/>
      <c r="Y34" s="22">
        <v>1.64917</v>
      </c>
      <c r="Z34" s="22">
        <v>176.24</v>
      </c>
      <c r="AA34" s="22">
        <v>-1.2020899999999999E-2</v>
      </c>
      <c r="AB34" s="22">
        <v>24</v>
      </c>
      <c r="AC34" s="22">
        <v>1.64825</v>
      </c>
      <c r="AD34">
        <f t="shared" si="4"/>
        <v>12.020899999999999</v>
      </c>
      <c r="AE34">
        <f t="shared" si="5"/>
        <v>19.824507652999998</v>
      </c>
      <c r="AF34" s="9"/>
      <c r="AG34" s="22">
        <v>2.0904499999999999E-2</v>
      </c>
      <c r="AH34" s="22">
        <v>233.76900000000001</v>
      </c>
      <c r="AI34" s="22">
        <v>-1.69342E-2</v>
      </c>
      <c r="AJ34" s="22">
        <v>24</v>
      </c>
      <c r="AK34" s="22">
        <v>2.05627E-2</v>
      </c>
      <c r="AL34">
        <f t="shared" si="6"/>
        <v>16.934200000000001</v>
      </c>
      <c r="AM34">
        <f t="shared" si="7"/>
        <v>0.35400098390000001</v>
      </c>
      <c r="AP34" s="9"/>
      <c r="AQ34" s="22">
        <v>1.64917</v>
      </c>
      <c r="AR34" s="22">
        <v>312.62299999999999</v>
      </c>
      <c r="AS34" s="22">
        <v>-1.17188E-2</v>
      </c>
      <c r="AT34" s="22">
        <v>24</v>
      </c>
      <c r="AU34" s="22">
        <v>1.64795</v>
      </c>
      <c r="AV34">
        <f t="shared" si="8"/>
        <v>11.7188</v>
      </c>
      <c r="AW34">
        <f t="shared" si="9"/>
        <v>19.326293396000001</v>
      </c>
      <c r="AX34" s="9"/>
      <c r="AY34" s="22">
        <v>2.0904499999999999E-2</v>
      </c>
      <c r="AZ34" s="22">
        <v>370.93400000000003</v>
      </c>
      <c r="BA34" s="22">
        <v>-1.69312E-2</v>
      </c>
      <c r="BB34" s="22">
        <v>24</v>
      </c>
      <c r="BC34" s="22">
        <v>2.0694000000000001E-2</v>
      </c>
      <c r="BD34">
        <f t="shared" si="10"/>
        <v>16.9312</v>
      </c>
      <c r="BE34">
        <f t="shared" si="11"/>
        <v>0.35393827039999998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1.6441300000000001</v>
      </c>
      <c r="H35" s="22">
        <v>41.885300000000001</v>
      </c>
      <c r="I35" s="22">
        <v>-1.2588500000000001E-2</v>
      </c>
      <c r="J35" s="22">
        <v>25</v>
      </c>
      <c r="K35" s="22">
        <v>1.64307</v>
      </c>
      <c r="L35">
        <f t="shared" si="0"/>
        <v>12.588500000000002</v>
      </c>
      <c r="M35">
        <f t="shared" si="1"/>
        <v>20.697130505000004</v>
      </c>
      <c r="N35" s="9"/>
      <c r="O35" s="22">
        <v>2.5939899999999998E-2</v>
      </c>
      <c r="P35" s="22">
        <v>106.20699999999999</v>
      </c>
      <c r="Q35" s="22">
        <v>-1.6992199999999999E-2</v>
      </c>
      <c r="R35" s="22">
        <v>25</v>
      </c>
      <c r="S35" s="22">
        <v>2.5640900000000001E-2</v>
      </c>
      <c r="T35">
        <f t="shared" si="2"/>
        <v>16.9922</v>
      </c>
      <c r="U35">
        <f t="shared" si="3"/>
        <v>0.44077596877999997</v>
      </c>
      <c r="X35" s="9"/>
      <c r="Y35" s="22">
        <v>1.6441300000000001</v>
      </c>
      <c r="Z35" s="22">
        <v>176.34</v>
      </c>
      <c r="AA35" s="22">
        <v>-1.22192E-2</v>
      </c>
      <c r="AB35" s="22">
        <v>25</v>
      </c>
      <c r="AC35" s="22">
        <v>1.64307</v>
      </c>
      <c r="AD35">
        <f t="shared" si="4"/>
        <v>12.219199999999999</v>
      </c>
      <c r="AE35">
        <f t="shared" si="5"/>
        <v>20.089953296000001</v>
      </c>
      <c r="AF35" s="9"/>
      <c r="AG35" s="22">
        <v>2.5939899999999998E-2</v>
      </c>
      <c r="AH35" s="22">
        <v>233.869</v>
      </c>
      <c r="AI35" s="22">
        <v>-1.6922E-2</v>
      </c>
      <c r="AJ35" s="22">
        <v>25</v>
      </c>
      <c r="AK35" s="22">
        <v>2.5726300000000001E-2</v>
      </c>
      <c r="AL35">
        <f t="shared" si="6"/>
        <v>16.922000000000001</v>
      </c>
      <c r="AM35">
        <f t="shared" si="7"/>
        <v>0.43895498779999997</v>
      </c>
      <c r="AP35" s="9"/>
      <c r="AQ35" s="22">
        <v>1.6441300000000001</v>
      </c>
      <c r="AR35" s="22">
        <v>312.72399999999999</v>
      </c>
      <c r="AS35" s="22">
        <v>-1.19629E-2</v>
      </c>
      <c r="AT35" s="22">
        <v>25</v>
      </c>
      <c r="AU35" s="22">
        <v>1.64307</v>
      </c>
      <c r="AV35">
        <f t="shared" si="8"/>
        <v>11.962899999999999</v>
      </c>
      <c r="AW35">
        <f t="shared" si="9"/>
        <v>19.668562777000002</v>
      </c>
      <c r="AX35" s="9"/>
      <c r="AY35" s="22">
        <v>2.5939899999999998E-2</v>
      </c>
      <c r="AZ35" s="22">
        <v>371.03500000000003</v>
      </c>
      <c r="BA35" s="22">
        <v>-1.69312E-2</v>
      </c>
      <c r="BB35" s="22">
        <v>25</v>
      </c>
      <c r="BC35" s="22">
        <v>2.56866E-2</v>
      </c>
      <c r="BD35">
        <f t="shared" si="10"/>
        <v>16.9312</v>
      </c>
      <c r="BE35">
        <f t="shared" si="11"/>
        <v>0.43919363487999996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1.6391</v>
      </c>
      <c r="H36" s="22">
        <v>41.985999999999997</v>
      </c>
      <c r="I36" s="22">
        <v>-1.27869E-2</v>
      </c>
      <c r="J36" s="22">
        <v>26</v>
      </c>
      <c r="K36" s="22">
        <v>1.63818</v>
      </c>
      <c r="L36">
        <f t="shared" si="0"/>
        <v>12.786900000000001</v>
      </c>
      <c r="M36">
        <f t="shared" si="1"/>
        <v>20.959007790000001</v>
      </c>
      <c r="N36" s="9"/>
      <c r="O36" s="22">
        <v>3.0975300000000001E-2</v>
      </c>
      <c r="P36" s="22">
        <v>106.30800000000001</v>
      </c>
      <c r="Q36" s="22">
        <v>-1.69769E-2</v>
      </c>
      <c r="R36" s="22">
        <v>26</v>
      </c>
      <c r="S36" s="22">
        <v>3.07739E-2</v>
      </c>
      <c r="T36">
        <f t="shared" si="2"/>
        <v>16.976900000000001</v>
      </c>
      <c r="U36">
        <f t="shared" si="3"/>
        <v>0.52586457057000002</v>
      </c>
      <c r="X36" s="9"/>
      <c r="Y36" s="22">
        <v>1.6391</v>
      </c>
      <c r="Z36" s="22">
        <v>176.441</v>
      </c>
      <c r="AA36" s="22">
        <v>-1.2460300000000001E-2</v>
      </c>
      <c r="AB36" s="22">
        <v>26</v>
      </c>
      <c r="AC36" s="22">
        <v>1.63849</v>
      </c>
      <c r="AD36">
        <f t="shared" si="4"/>
        <v>12.4603</v>
      </c>
      <c r="AE36">
        <f t="shared" si="5"/>
        <v>20.423677730000001</v>
      </c>
      <c r="AF36" s="9"/>
      <c r="AG36" s="22">
        <v>3.0975300000000001E-2</v>
      </c>
      <c r="AH36" s="22">
        <v>233.97</v>
      </c>
      <c r="AI36" s="22">
        <v>-1.6928100000000001E-2</v>
      </c>
      <c r="AJ36" s="22">
        <v>26</v>
      </c>
      <c r="AK36" s="22">
        <v>3.0844099999999999E-2</v>
      </c>
      <c r="AL36">
        <f t="shared" si="6"/>
        <v>16.928100000000001</v>
      </c>
      <c r="AM36">
        <f t="shared" si="7"/>
        <v>0.52435297593000008</v>
      </c>
      <c r="AP36" s="9"/>
      <c r="AQ36" s="22">
        <v>1.6391</v>
      </c>
      <c r="AR36" s="22">
        <v>312.82400000000001</v>
      </c>
      <c r="AS36" s="22">
        <v>-1.21948E-2</v>
      </c>
      <c r="AT36" s="22">
        <v>26</v>
      </c>
      <c r="AU36" s="22">
        <v>1.63788</v>
      </c>
      <c r="AV36">
        <f t="shared" si="8"/>
        <v>12.194800000000001</v>
      </c>
      <c r="AW36">
        <f t="shared" si="9"/>
        <v>19.988496680000001</v>
      </c>
      <c r="AX36" s="9"/>
      <c r="AY36" s="22">
        <v>3.0975300000000001E-2</v>
      </c>
      <c r="AZ36" s="22">
        <v>371.13499999999999</v>
      </c>
      <c r="BA36" s="22">
        <v>-1.6922E-2</v>
      </c>
      <c r="BB36" s="22">
        <v>26</v>
      </c>
      <c r="BC36" s="22">
        <v>3.0810500000000001E-2</v>
      </c>
      <c r="BD36">
        <f t="shared" si="10"/>
        <v>16.922000000000001</v>
      </c>
      <c r="BE36">
        <f t="shared" si="11"/>
        <v>0.52416402660000005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1.6340600000000001</v>
      </c>
      <c r="H37" s="22">
        <v>42.0867</v>
      </c>
      <c r="I37" s="22">
        <v>-1.3003499999999999E-2</v>
      </c>
      <c r="J37" s="22">
        <v>27</v>
      </c>
      <c r="K37" s="22">
        <v>1.63361</v>
      </c>
      <c r="L37">
        <f t="shared" si="0"/>
        <v>13.003499999999999</v>
      </c>
      <c r="M37">
        <f t="shared" si="1"/>
        <v>21.248499209999999</v>
      </c>
      <c r="N37" s="9"/>
      <c r="O37" s="22">
        <v>3.60107E-2</v>
      </c>
      <c r="P37" s="22">
        <v>106.40900000000001</v>
      </c>
      <c r="Q37" s="22">
        <v>-1.6964699999999999E-2</v>
      </c>
      <c r="R37" s="22">
        <v>27</v>
      </c>
      <c r="S37" s="22">
        <v>3.5806299999999999E-2</v>
      </c>
      <c r="T37">
        <f t="shared" si="2"/>
        <v>16.964700000000001</v>
      </c>
      <c r="U37">
        <f t="shared" si="3"/>
        <v>0.61091072228999999</v>
      </c>
      <c r="X37" s="9"/>
      <c r="Y37" s="22">
        <v>1.6340600000000001</v>
      </c>
      <c r="Z37" s="22">
        <v>176.542</v>
      </c>
      <c r="AA37" s="22">
        <v>-1.2649499999999999E-2</v>
      </c>
      <c r="AB37" s="22">
        <v>27</v>
      </c>
      <c r="AC37" s="22">
        <v>1.63269</v>
      </c>
      <c r="AD37">
        <f t="shared" si="4"/>
        <v>12.6495</v>
      </c>
      <c r="AE37">
        <f t="shared" si="5"/>
        <v>20.67004197</v>
      </c>
      <c r="AF37" s="9"/>
      <c r="AG37" s="22">
        <v>3.60107E-2</v>
      </c>
      <c r="AH37" s="22">
        <v>234.071</v>
      </c>
      <c r="AI37" s="22">
        <v>-1.6937299999999999E-2</v>
      </c>
      <c r="AJ37" s="22">
        <v>27</v>
      </c>
      <c r="AK37" s="22">
        <v>3.5940600000000003E-2</v>
      </c>
      <c r="AL37">
        <f t="shared" si="6"/>
        <v>16.9373</v>
      </c>
      <c r="AM37">
        <f t="shared" si="7"/>
        <v>0.60992402910999999</v>
      </c>
      <c r="AP37" s="9"/>
      <c r="AQ37" s="22">
        <v>1.6340600000000001</v>
      </c>
      <c r="AR37" s="22">
        <v>312.92500000000001</v>
      </c>
      <c r="AS37" s="22">
        <v>-1.2383999999999999E-2</v>
      </c>
      <c r="AT37" s="22">
        <v>27</v>
      </c>
      <c r="AU37" s="22">
        <v>1.6333</v>
      </c>
      <c r="AV37">
        <f t="shared" si="8"/>
        <v>12.383999999999999</v>
      </c>
      <c r="AW37">
        <f t="shared" si="9"/>
        <v>20.236199039999999</v>
      </c>
      <c r="AX37" s="9"/>
      <c r="AY37" s="22">
        <v>3.60107E-2</v>
      </c>
      <c r="AZ37" s="22">
        <v>371.23599999999999</v>
      </c>
      <c r="BA37" s="22">
        <v>-1.6922E-2</v>
      </c>
      <c r="BB37" s="22">
        <v>27</v>
      </c>
      <c r="BC37" s="22">
        <v>3.5848999999999999E-2</v>
      </c>
      <c r="BD37">
        <f t="shared" si="10"/>
        <v>16.922000000000001</v>
      </c>
      <c r="BE37">
        <f t="shared" si="11"/>
        <v>0.60937306540000002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1.62903</v>
      </c>
      <c r="H38" s="22">
        <v>42.187399999999997</v>
      </c>
      <c r="I38" s="22">
        <v>-1.3168300000000001E-2</v>
      </c>
      <c r="J38" s="22">
        <v>28</v>
      </c>
      <c r="K38" s="22">
        <v>1.6281099999999999</v>
      </c>
      <c r="L38">
        <f t="shared" si="0"/>
        <v>13.1683</v>
      </c>
      <c r="M38">
        <f t="shared" si="1"/>
        <v>21.451555749000001</v>
      </c>
      <c r="N38" s="9"/>
      <c r="O38" s="22">
        <v>4.1046100000000002E-2</v>
      </c>
      <c r="P38" s="22">
        <v>106.509</v>
      </c>
      <c r="Q38" s="22">
        <v>-1.69769E-2</v>
      </c>
      <c r="R38" s="22">
        <v>28</v>
      </c>
      <c r="S38" s="22">
        <v>4.0826399999999999E-2</v>
      </c>
      <c r="T38">
        <f t="shared" si="2"/>
        <v>16.976900000000001</v>
      </c>
      <c r="U38">
        <f t="shared" si="3"/>
        <v>0.69683553509000007</v>
      </c>
      <c r="X38" s="9"/>
      <c r="Y38" s="22">
        <v>1.62903</v>
      </c>
      <c r="Z38" s="22">
        <v>176.643</v>
      </c>
      <c r="AA38" s="22">
        <v>-1.28326E-2</v>
      </c>
      <c r="AB38" s="22">
        <v>28</v>
      </c>
      <c r="AC38" s="22">
        <v>1.62781</v>
      </c>
      <c r="AD38">
        <f t="shared" si="4"/>
        <v>12.832599999999999</v>
      </c>
      <c r="AE38">
        <f t="shared" si="5"/>
        <v>20.904690377999998</v>
      </c>
      <c r="AF38" s="9"/>
      <c r="AG38" s="22">
        <v>4.1046100000000002E-2</v>
      </c>
      <c r="AH38" s="22">
        <v>234.17099999999999</v>
      </c>
      <c r="AI38" s="22">
        <v>-1.6924999999999999E-2</v>
      </c>
      <c r="AJ38" s="22">
        <v>28</v>
      </c>
      <c r="AK38" s="22">
        <v>4.1052199999999997E-2</v>
      </c>
      <c r="AL38">
        <f t="shared" si="6"/>
        <v>16.925000000000001</v>
      </c>
      <c r="AM38">
        <f t="shared" si="7"/>
        <v>0.6947052425000001</v>
      </c>
      <c r="AP38" s="9"/>
      <c r="AQ38" s="22">
        <v>1.62903</v>
      </c>
      <c r="AR38" s="22">
        <v>313.02600000000001</v>
      </c>
      <c r="AS38" s="22">
        <v>-1.25732E-2</v>
      </c>
      <c r="AT38" s="22">
        <v>28</v>
      </c>
      <c r="AU38" s="22">
        <v>1.62842</v>
      </c>
      <c r="AV38">
        <f t="shared" si="8"/>
        <v>12.5732</v>
      </c>
      <c r="AW38">
        <f t="shared" si="9"/>
        <v>20.482119995999998</v>
      </c>
      <c r="AX38" s="9"/>
      <c r="AY38" s="22">
        <v>4.1046100000000002E-2</v>
      </c>
      <c r="AZ38" s="22">
        <v>371.33699999999999</v>
      </c>
      <c r="BA38" s="22">
        <v>-1.6918900000000001E-2</v>
      </c>
      <c r="BB38" s="22">
        <v>28</v>
      </c>
      <c r="BC38" s="22">
        <v>4.0725699999999997E-2</v>
      </c>
      <c r="BD38">
        <f t="shared" si="10"/>
        <v>16.918900000000001</v>
      </c>
      <c r="BE38">
        <f t="shared" si="11"/>
        <v>0.69445486129000011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1.62399</v>
      </c>
      <c r="H39" s="22">
        <v>42.2881</v>
      </c>
      <c r="I39" s="22">
        <v>-1.33087E-2</v>
      </c>
      <c r="J39" s="22">
        <v>29</v>
      </c>
      <c r="K39" s="22">
        <v>1.6229199999999999</v>
      </c>
      <c r="L39">
        <f t="shared" si="0"/>
        <v>13.3087</v>
      </c>
      <c r="M39">
        <f t="shared" si="1"/>
        <v>21.613195713</v>
      </c>
      <c r="N39" s="9"/>
      <c r="O39" s="22">
        <v>4.6081499999999997E-2</v>
      </c>
      <c r="P39" s="22">
        <v>106.61</v>
      </c>
      <c r="Q39" s="22">
        <v>-1.6983000000000002E-2</v>
      </c>
      <c r="R39" s="22">
        <v>29</v>
      </c>
      <c r="S39" s="22">
        <v>4.6087599999999999E-2</v>
      </c>
      <c r="T39">
        <f t="shared" si="2"/>
        <v>16.983000000000001</v>
      </c>
      <c r="U39">
        <f t="shared" si="3"/>
        <v>0.78260211449999995</v>
      </c>
      <c r="X39" s="9"/>
      <c r="Y39" s="22">
        <v>1.62399</v>
      </c>
      <c r="Z39" s="22">
        <v>176.74299999999999</v>
      </c>
      <c r="AA39" s="22">
        <v>-1.30463E-2</v>
      </c>
      <c r="AB39" s="22">
        <v>29</v>
      </c>
      <c r="AC39" s="22">
        <v>1.62323</v>
      </c>
      <c r="AD39">
        <f t="shared" si="4"/>
        <v>13.0463</v>
      </c>
      <c r="AE39">
        <f t="shared" si="5"/>
        <v>21.187060737000003</v>
      </c>
      <c r="AF39" s="9"/>
      <c r="AG39" s="22">
        <v>4.6081499999999997E-2</v>
      </c>
      <c r="AH39" s="22">
        <v>234.27199999999999</v>
      </c>
      <c r="AI39" s="22">
        <v>-1.6912799999999999E-2</v>
      </c>
      <c r="AJ39" s="22">
        <v>29</v>
      </c>
      <c r="AK39" s="22">
        <v>4.5953399999999998E-2</v>
      </c>
      <c r="AL39">
        <f t="shared" si="6"/>
        <v>16.912799999999997</v>
      </c>
      <c r="AM39">
        <f t="shared" si="7"/>
        <v>0.77936719319999981</v>
      </c>
      <c r="AP39" s="9"/>
      <c r="AQ39" s="22">
        <v>1.62399</v>
      </c>
      <c r="AR39" s="22">
        <v>313.12599999999998</v>
      </c>
      <c r="AS39" s="22">
        <v>-1.2799100000000001E-2</v>
      </c>
      <c r="AT39" s="22">
        <v>29</v>
      </c>
      <c r="AU39" s="22">
        <v>1.62323</v>
      </c>
      <c r="AV39">
        <f t="shared" si="8"/>
        <v>12.799100000000001</v>
      </c>
      <c r="AW39">
        <f t="shared" si="9"/>
        <v>20.785610409000004</v>
      </c>
      <c r="AX39" s="9"/>
      <c r="AY39" s="22">
        <v>4.6081499999999997E-2</v>
      </c>
      <c r="AZ39" s="22">
        <v>371.43700000000001</v>
      </c>
      <c r="BA39" s="22">
        <v>-1.6909799999999999E-2</v>
      </c>
      <c r="BB39" s="22">
        <v>29</v>
      </c>
      <c r="BC39" s="22">
        <v>4.5962500000000003E-2</v>
      </c>
      <c r="BD39">
        <f t="shared" si="10"/>
        <v>16.909800000000001</v>
      </c>
      <c r="BE39">
        <f t="shared" si="11"/>
        <v>0.77922894870000003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1.61896</v>
      </c>
      <c r="H40" s="22">
        <v>42.388800000000003</v>
      </c>
      <c r="I40" s="22">
        <v>-1.3458299999999999E-2</v>
      </c>
      <c r="J40" s="22">
        <v>30</v>
      </c>
      <c r="K40" s="22">
        <v>1.61835</v>
      </c>
      <c r="L40">
        <f t="shared" si="0"/>
        <v>13.458299999999999</v>
      </c>
      <c r="M40">
        <f t="shared" si="1"/>
        <v>21.788449367999998</v>
      </c>
      <c r="N40" s="9"/>
      <c r="O40" s="22">
        <v>5.11169E-2</v>
      </c>
      <c r="P40" s="22">
        <v>106.711</v>
      </c>
      <c r="Q40" s="22">
        <v>-1.6964699999999999E-2</v>
      </c>
      <c r="R40" s="22">
        <v>30</v>
      </c>
      <c r="S40" s="22">
        <v>5.1095599999999998E-2</v>
      </c>
      <c r="T40">
        <f t="shared" si="2"/>
        <v>16.964700000000001</v>
      </c>
      <c r="U40">
        <f t="shared" si="3"/>
        <v>0.86718287343</v>
      </c>
      <c r="X40" s="9"/>
      <c r="Y40" s="22">
        <v>1.61896</v>
      </c>
      <c r="Z40" s="22">
        <v>176.84399999999999</v>
      </c>
      <c r="AA40" s="22">
        <v>-1.31805E-2</v>
      </c>
      <c r="AB40" s="22">
        <v>30</v>
      </c>
      <c r="AC40" s="22">
        <v>1.61835</v>
      </c>
      <c r="AD40">
        <f t="shared" si="4"/>
        <v>13.1805</v>
      </c>
      <c r="AE40">
        <f t="shared" si="5"/>
        <v>21.33870228</v>
      </c>
      <c r="AF40" s="9"/>
      <c r="AG40" s="22">
        <v>5.11169E-2</v>
      </c>
      <c r="AH40" s="22">
        <v>234.37299999999999</v>
      </c>
      <c r="AI40" s="22">
        <v>-1.6915900000000001E-2</v>
      </c>
      <c r="AJ40" s="22">
        <v>30</v>
      </c>
      <c r="AK40" s="22">
        <v>5.1071199999999997E-2</v>
      </c>
      <c r="AL40">
        <f t="shared" si="6"/>
        <v>16.915900000000001</v>
      </c>
      <c r="AM40">
        <f t="shared" si="7"/>
        <v>0.86468836870999999</v>
      </c>
      <c r="AP40" s="9"/>
      <c r="AQ40" s="22">
        <v>1.61896</v>
      </c>
      <c r="AR40" s="22">
        <v>313.22699999999998</v>
      </c>
      <c r="AS40" s="22">
        <v>-1.29059E-2</v>
      </c>
      <c r="AT40" s="22">
        <v>30</v>
      </c>
      <c r="AU40" s="22">
        <v>1.6180399999999999</v>
      </c>
      <c r="AV40">
        <f t="shared" si="8"/>
        <v>12.905899999999999</v>
      </c>
      <c r="AW40">
        <f t="shared" si="9"/>
        <v>20.894135863999999</v>
      </c>
      <c r="AX40" s="9"/>
      <c r="AY40" s="22">
        <v>5.11169E-2</v>
      </c>
      <c r="AZ40" s="22">
        <v>371.53800000000001</v>
      </c>
      <c r="BA40" s="22">
        <v>-1.6912799999999999E-2</v>
      </c>
      <c r="BB40" s="22">
        <v>30</v>
      </c>
      <c r="BC40" s="22">
        <v>5.0860599999999999E-2</v>
      </c>
      <c r="BD40">
        <f t="shared" si="10"/>
        <v>16.912799999999997</v>
      </c>
      <c r="BE40">
        <f t="shared" si="11"/>
        <v>0.86452990631999982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1.61392</v>
      </c>
      <c r="H41" s="22">
        <v>42.4895</v>
      </c>
      <c r="I41" s="22">
        <v>-1.3555899999999999E-2</v>
      </c>
      <c r="J41" s="22">
        <v>31</v>
      </c>
      <c r="K41" s="22">
        <v>1.6134599999999999</v>
      </c>
      <c r="L41">
        <f t="shared" si="0"/>
        <v>13.555899999999999</v>
      </c>
      <c r="M41">
        <f t="shared" si="1"/>
        <v>21.878138128</v>
      </c>
      <c r="N41" s="9"/>
      <c r="O41" s="22">
        <v>5.6152300000000002E-2</v>
      </c>
      <c r="P41" s="22">
        <v>106.812</v>
      </c>
      <c r="Q41" s="22">
        <v>-1.6955600000000001E-2</v>
      </c>
      <c r="R41" s="22">
        <v>31</v>
      </c>
      <c r="S41" s="22">
        <v>5.5267299999999998E-2</v>
      </c>
      <c r="T41">
        <f t="shared" si="2"/>
        <v>16.9556</v>
      </c>
      <c r="U41">
        <f t="shared" si="3"/>
        <v>0.95209593788000002</v>
      </c>
      <c r="X41" s="9"/>
      <c r="Y41" s="22">
        <v>1.61392</v>
      </c>
      <c r="Z41" s="22">
        <v>176.94499999999999</v>
      </c>
      <c r="AA41" s="22">
        <v>-1.3345299999999999E-2</v>
      </c>
      <c r="AB41" s="22">
        <v>31</v>
      </c>
      <c r="AC41" s="22">
        <v>1.6128499999999999</v>
      </c>
      <c r="AD41">
        <f t="shared" si="4"/>
        <v>13.3453</v>
      </c>
      <c r="AE41">
        <f t="shared" si="5"/>
        <v>21.538246575999999</v>
      </c>
      <c r="AF41" s="9"/>
      <c r="AG41" s="22">
        <v>5.6152300000000002E-2</v>
      </c>
      <c r="AH41" s="22">
        <v>234.47399999999999</v>
      </c>
      <c r="AI41" s="22">
        <v>-1.6900600000000002E-2</v>
      </c>
      <c r="AJ41" s="22">
        <v>31</v>
      </c>
      <c r="AK41" s="22">
        <v>5.5450399999999997E-2</v>
      </c>
      <c r="AL41">
        <f t="shared" si="6"/>
        <v>16.900600000000001</v>
      </c>
      <c r="AM41">
        <f t="shared" si="7"/>
        <v>0.94900756138000009</v>
      </c>
      <c r="AP41" s="9"/>
      <c r="AQ41" s="22">
        <v>1.61392</v>
      </c>
      <c r="AR41" s="22">
        <v>313.32799999999997</v>
      </c>
      <c r="AS41" s="22">
        <v>-1.30554E-2</v>
      </c>
      <c r="AT41" s="22">
        <v>31</v>
      </c>
      <c r="AU41" s="22">
        <v>1.6134599999999999</v>
      </c>
      <c r="AV41">
        <f t="shared" si="8"/>
        <v>13.055400000000001</v>
      </c>
      <c r="AW41">
        <f t="shared" si="9"/>
        <v>21.070371168000001</v>
      </c>
      <c r="AX41" s="9"/>
      <c r="AY41" s="22">
        <v>5.6152300000000002E-2</v>
      </c>
      <c r="AZ41" s="22">
        <v>371.63900000000001</v>
      </c>
      <c r="BA41" s="22">
        <v>-1.69067E-2</v>
      </c>
      <c r="BB41" s="22">
        <v>31</v>
      </c>
      <c r="BC41" s="22">
        <v>5.5542000000000001E-2</v>
      </c>
      <c r="BD41">
        <f t="shared" si="10"/>
        <v>16.906700000000001</v>
      </c>
      <c r="BE41">
        <f t="shared" si="11"/>
        <v>0.94935009041000007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1.6088899999999999</v>
      </c>
      <c r="H42" s="22">
        <v>42.590200000000003</v>
      </c>
      <c r="I42" s="22">
        <v>-1.3720700000000001E-2</v>
      </c>
      <c r="J42" s="22">
        <v>32</v>
      </c>
      <c r="K42" s="22">
        <v>1.6082799999999999</v>
      </c>
      <c r="L42">
        <f t="shared" si="0"/>
        <v>13.720700000000001</v>
      </c>
      <c r="M42">
        <f t="shared" si="1"/>
        <v>22.075097023000001</v>
      </c>
      <c r="N42" s="9"/>
      <c r="O42" s="22">
        <v>6.1187699999999998E-2</v>
      </c>
      <c r="P42" s="22">
        <v>106.91200000000001</v>
      </c>
      <c r="Q42" s="22">
        <v>-1.6964699999999999E-2</v>
      </c>
      <c r="R42" s="22">
        <v>32</v>
      </c>
      <c r="S42" s="22">
        <v>6.0607899999999999E-2</v>
      </c>
      <c r="T42">
        <f t="shared" si="2"/>
        <v>16.964700000000001</v>
      </c>
      <c r="U42">
        <f t="shared" si="3"/>
        <v>1.03803097419</v>
      </c>
      <c r="X42" s="9"/>
      <c r="Y42" s="22">
        <v>1.6088899999999999</v>
      </c>
      <c r="Z42" s="22">
        <v>177.04499999999999</v>
      </c>
      <c r="AA42" s="22">
        <v>-1.34827E-2</v>
      </c>
      <c r="AB42" s="22">
        <v>32</v>
      </c>
      <c r="AC42" s="22">
        <v>1.6079699999999999</v>
      </c>
      <c r="AD42">
        <f t="shared" si="4"/>
        <v>13.482699999999999</v>
      </c>
      <c r="AE42">
        <f t="shared" si="5"/>
        <v>21.692181202999997</v>
      </c>
      <c r="AF42" s="9"/>
      <c r="AG42" s="22">
        <v>6.1187699999999998E-2</v>
      </c>
      <c r="AH42" s="22">
        <v>234.57400000000001</v>
      </c>
      <c r="AI42" s="22">
        <v>-1.6912799999999999E-2</v>
      </c>
      <c r="AJ42" s="22">
        <v>32</v>
      </c>
      <c r="AK42" s="22">
        <v>6.0638400000000002E-2</v>
      </c>
      <c r="AL42">
        <f t="shared" si="6"/>
        <v>16.912799999999997</v>
      </c>
      <c r="AM42">
        <f t="shared" si="7"/>
        <v>1.0348553325599998</v>
      </c>
      <c r="AP42" s="9"/>
      <c r="AQ42" s="22">
        <v>1.6088899999999999</v>
      </c>
      <c r="AR42" s="22">
        <v>313.42899999999997</v>
      </c>
      <c r="AS42" s="22">
        <v>-1.31226E-2</v>
      </c>
      <c r="AT42" s="22">
        <v>32</v>
      </c>
      <c r="AU42" s="22">
        <v>1.6082799999999999</v>
      </c>
      <c r="AV42">
        <f t="shared" si="8"/>
        <v>13.1226</v>
      </c>
      <c r="AW42">
        <f t="shared" si="9"/>
        <v>21.112819913999999</v>
      </c>
      <c r="AX42" s="9"/>
      <c r="AY42" s="22">
        <v>6.1187699999999998E-2</v>
      </c>
      <c r="AZ42" s="22">
        <v>371.73899999999998</v>
      </c>
      <c r="BA42" s="22">
        <v>-1.69067E-2</v>
      </c>
      <c r="BB42" s="22">
        <v>32</v>
      </c>
      <c r="BC42" s="22">
        <v>6.0516399999999998E-2</v>
      </c>
      <c r="BD42">
        <f t="shared" si="10"/>
        <v>16.906700000000001</v>
      </c>
      <c r="BE42">
        <f t="shared" si="11"/>
        <v>1.03448208759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1.60385</v>
      </c>
      <c r="H43" s="22">
        <v>42.691000000000003</v>
      </c>
      <c r="I43" s="22">
        <v>-1.38824E-2</v>
      </c>
      <c r="J43" s="22">
        <v>33</v>
      </c>
      <c r="K43" s="22">
        <v>1.6030899999999999</v>
      </c>
      <c r="L43">
        <f t="shared" si="0"/>
        <v>13.882399999999999</v>
      </c>
      <c r="M43">
        <f t="shared" si="1"/>
        <v>22.265287239999999</v>
      </c>
      <c r="N43" s="9"/>
      <c r="O43" s="22">
        <v>6.6223099999999993E-2</v>
      </c>
      <c r="P43" s="22">
        <v>107.01300000000001</v>
      </c>
      <c r="Q43" s="22">
        <v>-1.69769E-2</v>
      </c>
      <c r="R43" s="22">
        <v>33</v>
      </c>
      <c r="S43" s="22">
        <v>6.5612799999999999E-2</v>
      </c>
      <c r="T43">
        <f t="shared" si="2"/>
        <v>16.976900000000001</v>
      </c>
      <c r="U43">
        <f t="shared" si="3"/>
        <v>1.12426294639</v>
      </c>
      <c r="X43" s="9"/>
      <c r="Y43" s="22">
        <v>1.60385</v>
      </c>
      <c r="Z43" s="22">
        <v>177.14599999999999</v>
      </c>
      <c r="AA43" s="22">
        <v>-1.3616899999999999E-2</v>
      </c>
      <c r="AB43" s="22">
        <v>33</v>
      </c>
      <c r="AC43" s="22">
        <v>1.6030899999999999</v>
      </c>
      <c r="AD43">
        <f t="shared" si="4"/>
        <v>13.616899999999999</v>
      </c>
      <c r="AE43">
        <f t="shared" si="5"/>
        <v>21.839465064999999</v>
      </c>
      <c r="AF43" s="9"/>
      <c r="AG43" s="22">
        <v>6.6223099999999993E-2</v>
      </c>
      <c r="AH43" s="22">
        <v>234.67500000000001</v>
      </c>
      <c r="AI43" s="22">
        <v>-1.6912799999999999E-2</v>
      </c>
      <c r="AJ43" s="22">
        <v>33</v>
      </c>
      <c r="AK43" s="22">
        <v>6.5551799999999993E-2</v>
      </c>
      <c r="AL43">
        <f t="shared" si="6"/>
        <v>16.912799999999997</v>
      </c>
      <c r="AM43">
        <f t="shared" si="7"/>
        <v>1.1200180456799997</v>
      </c>
      <c r="AP43" s="9"/>
      <c r="AQ43" s="22">
        <v>1.60385</v>
      </c>
      <c r="AR43" s="22">
        <v>313.529</v>
      </c>
      <c r="AS43" s="22">
        <v>-1.3250700000000001E-2</v>
      </c>
      <c r="AT43" s="22">
        <v>33</v>
      </c>
      <c r="AU43" s="22">
        <v>1.6027800000000001</v>
      </c>
      <c r="AV43">
        <f t="shared" si="8"/>
        <v>13.2507</v>
      </c>
      <c r="AW43">
        <f t="shared" si="9"/>
        <v>21.252135195000001</v>
      </c>
      <c r="AX43" s="9"/>
      <c r="AY43" s="22">
        <v>6.6223099999999993E-2</v>
      </c>
      <c r="AZ43" s="22">
        <v>371.84</v>
      </c>
      <c r="BA43" s="22">
        <v>-1.6903700000000001E-2</v>
      </c>
      <c r="BB43" s="22">
        <v>33</v>
      </c>
      <c r="BC43" s="22">
        <v>6.5551799999999993E-2</v>
      </c>
      <c r="BD43">
        <f t="shared" si="10"/>
        <v>16.903700000000001</v>
      </c>
      <c r="BE43">
        <f t="shared" si="11"/>
        <v>1.11941541547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1.5988199999999999</v>
      </c>
      <c r="H44" s="22">
        <v>42.791699999999999</v>
      </c>
      <c r="I44" s="22">
        <v>-1.40045E-2</v>
      </c>
      <c r="J44" s="22">
        <v>34</v>
      </c>
      <c r="K44" s="22">
        <v>1.5979000000000001</v>
      </c>
      <c r="L44">
        <f t="shared" si="0"/>
        <v>14.0045</v>
      </c>
      <c r="M44">
        <f t="shared" si="1"/>
        <v>22.390674689999997</v>
      </c>
      <c r="N44" s="9"/>
      <c r="O44" s="22">
        <v>7.1258500000000002E-2</v>
      </c>
      <c r="P44" s="22">
        <v>107.114</v>
      </c>
      <c r="Q44" s="22">
        <v>-1.6940299999999998E-2</v>
      </c>
      <c r="R44" s="22">
        <v>34</v>
      </c>
      <c r="S44" s="22">
        <v>7.0556599999999997E-2</v>
      </c>
      <c r="T44">
        <f t="shared" si="2"/>
        <v>16.940299999999997</v>
      </c>
      <c r="U44">
        <f t="shared" si="3"/>
        <v>1.2071403675499999</v>
      </c>
      <c r="X44" s="9"/>
      <c r="Y44" s="22">
        <v>1.5988199999999999</v>
      </c>
      <c r="Z44" s="22">
        <v>177.24700000000001</v>
      </c>
      <c r="AA44" s="22">
        <v>-1.36963E-2</v>
      </c>
      <c r="AB44" s="22">
        <v>34</v>
      </c>
      <c r="AC44" s="22">
        <v>1.5975999999999999</v>
      </c>
      <c r="AD44">
        <f t="shared" si="4"/>
        <v>13.696299999999999</v>
      </c>
      <c r="AE44">
        <f t="shared" si="5"/>
        <v>21.897918365999995</v>
      </c>
      <c r="AF44" s="9"/>
      <c r="AG44" s="22">
        <v>7.1258500000000002E-2</v>
      </c>
      <c r="AH44" s="22">
        <v>234.77600000000001</v>
      </c>
      <c r="AI44" s="22">
        <v>-1.68945E-2</v>
      </c>
      <c r="AJ44" s="22">
        <v>34</v>
      </c>
      <c r="AK44" s="22">
        <v>7.0556599999999997E-2</v>
      </c>
      <c r="AL44">
        <f t="shared" si="6"/>
        <v>16.894500000000001</v>
      </c>
      <c r="AM44">
        <f t="shared" si="7"/>
        <v>1.20387672825</v>
      </c>
      <c r="AP44" s="9"/>
      <c r="AQ44" s="22">
        <v>1.5988199999999999</v>
      </c>
      <c r="AR44" s="22">
        <v>313.63</v>
      </c>
      <c r="AS44" s="22">
        <v>-1.33606E-2</v>
      </c>
      <c r="AT44" s="22">
        <v>34</v>
      </c>
      <c r="AU44" s="22">
        <v>1.5979000000000001</v>
      </c>
      <c r="AV44">
        <f t="shared" si="8"/>
        <v>13.3606</v>
      </c>
      <c r="AW44">
        <f t="shared" si="9"/>
        <v>21.361194491999999</v>
      </c>
      <c r="AX44" s="9"/>
      <c r="AY44" s="22">
        <v>7.1258500000000002E-2</v>
      </c>
      <c r="AZ44" s="22">
        <v>371.94099999999997</v>
      </c>
      <c r="BA44" s="22">
        <v>-1.6900600000000002E-2</v>
      </c>
      <c r="BB44" s="22">
        <v>34</v>
      </c>
      <c r="BC44" s="22">
        <v>7.0404099999999997E-2</v>
      </c>
      <c r="BD44">
        <f t="shared" si="10"/>
        <v>16.900600000000001</v>
      </c>
      <c r="BE44">
        <f t="shared" si="11"/>
        <v>1.2043114051000001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1.59378</v>
      </c>
      <c r="H45" s="22">
        <v>42.892400000000002</v>
      </c>
      <c r="I45" s="22">
        <v>-1.40625E-2</v>
      </c>
      <c r="J45" s="22">
        <v>35</v>
      </c>
      <c r="K45" s="22">
        <v>1.5936300000000001</v>
      </c>
      <c r="L45">
        <f t="shared" si="0"/>
        <v>14.0625</v>
      </c>
      <c r="M45">
        <f t="shared" si="1"/>
        <v>22.412531250000001</v>
      </c>
      <c r="N45" s="9"/>
      <c r="O45" s="22">
        <v>7.6293899999999998E-2</v>
      </c>
      <c r="P45" s="22">
        <v>107.214</v>
      </c>
      <c r="Q45" s="22">
        <v>-1.69312E-2</v>
      </c>
      <c r="R45" s="22">
        <v>35</v>
      </c>
      <c r="S45" s="22">
        <v>7.5469999999999995E-2</v>
      </c>
      <c r="T45">
        <f t="shared" si="2"/>
        <v>16.9312</v>
      </c>
      <c r="U45">
        <f t="shared" si="3"/>
        <v>1.29174727968</v>
      </c>
      <c r="X45" s="9"/>
      <c r="Y45" s="22">
        <v>1.59378</v>
      </c>
      <c r="Z45" s="22">
        <v>177.34700000000001</v>
      </c>
      <c r="AA45" s="22">
        <v>-1.38E-2</v>
      </c>
      <c r="AB45" s="22">
        <v>35</v>
      </c>
      <c r="AC45" s="22">
        <v>1.5933200000000001</v>
      </c>
      <c r="AD45">
        <f t="shared" si="4"/>
        <v>13.799999999999999</v>
      </c>
      <c r="AE45">
        <f t="shared" si="5"/>
        <v>21.994163999999998</v>
      </c>
      <c r="AF45" s="9"/>
      <c r="AG45" s="22">
        <v>7.6293899999999998E-2</v>
      </c>
      <c r="AH45" s="22">
        <v>234.876</v>
      </c>
      <c r="AI45" s="22">
        <v>-1.6903700000000001E-2</v>
      </c>
      <c r="AJ45" s="22">
        <v>35</v>
      </c>
      <c r="AK45" s="22">
        <v>7.5592000000000006E-2</v>
      </c>
      <c r="AL45">
        <f t="shared" si="6"/>
        <v>16.903700000000001</v>
      </c>
      <c r="AM45">
        <f t="shared" si="7"/>
        <v>1.2896491974299999</v>
      </c>
      <c r="AP45" s="9"/>
      <c r="AQ45" s="22">
        <v>1.59378</v>
      </c>
      <c r="AR45" s="22">
        <v>313.73099999999999</v>
      </c>
      <c r="AS45" s="22">
        <v>-1.3467399999999999E-2</v>
      </c>
      <c r="AT45" s="22">
        <v>35</v>
      </c>
      <c r="AU45" s="22">
        <v>1.5927100000000001</v>
      </c>
      <c r="AV45">
        <f t="shared" si="8"/>
        <v>13.4674</v>
      </c>
      <c r="AW45">
        <f t="shared" si="9"/>
        <v>21.464072771999998</v>
      </c>
      <c r="AX45" s="9"/>
      <c r="AY45" s="22">
        <v>7.6293899999999998E-2</v>
      </c>
      <c r="AZ45" s="22">
        <v>372.04199999999997</v>
      </c>
      <c r="BA45" s="22">
        <v>-1.68915E-2</v>
      </c>
      <c r="BB45" s="22">
        <v>35</v>
      </c>
      <c r="BC45" s="22">
        <v>7.5683600000000004E-2</v>
      </c>
      <c r="BD45">
        <f t="shared" si="10"/>
        <v>16.891500000000001</v>
      </c>
      <c r="BE45">
        <f t="shared" si="11"/>
        <v>1.2887184118499999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1.5887500000000001</v>
      </c>
      <c r="H46" s="22">
        <v>42.993099999999998</v>
      </c>
      <c r="I46" s="22">
        <v>-1.4169299999999999E-2</v>
      </c>
      <c r="J46" s="22">
        <v>36</v>
      </c>
      <c r="K46" s="22">
        <v>1.58752</v>
      </c>
      <c r="L46">
        <f t="shared" si="0"/>
        <v>14.1693</v>
      </c>
      <c r="M46">
        <f t="shared" si="1"/>
        <v>22.511475375</v>
      </c>
      <c r="N46" s="9"/>
      <c r="O46" s="22">
        <v>8.1329299999999993E-2</v>
      </c>
      <c r="P46" s="22">
        <v>107.315</v>
      </c>
      <c r="Q46" s="22">
        <v>-1.6940299999999998E-2</v>
      </c>
      <c r="R46" s="22">
        <v>36</v>
      </c>
      <c r="S46" s="22">
        <v>8.0505400000000005E-2</v>
      </c>
      <c r="T46">
        <f t="shared" si="2"/>
        <v>16.940299999999997</v>
      </c>
      <c r="U46">
        <f t="shared" si="3"/>
        <v>1.3777427407899996</v>
      </c>
      <c r="X46" s="9"/>
      <c r="Y46" s="22">
        <v>1.5887500000000001</v>
      </c>
      <c r="Z46" s="22">
        <v>177.44800000000001</v>
      </c>
      <c r="AA46" s="22">
        <v>-1.38824E-2</v>
      </c>
      <c r="AB46" s="22">
        <v>36</v>
      </c>
      <c r="AC46" s="22">
        <v>1.5878300000000001</v>
      </c>
      <c r="AD46">
        <f t="shared" si="4"/>
        <v>13.882399999999999</v>
      </c>
      <c r="AE46">
        <f t="shared" si="5"/>
        <v>22.055662999999999</v>
      </c>
      <c r="AF46" s="9"/>
      <c r="AG46" s="22">
        <v>8.1329299999999993E-2</v>
      </c>
      <c r="AH46" s="22">
        <v>234.977</v>
      </c>
      <c r="AI46" s="22">
        <v>-1.68793E-2</v>
      </c>
      <c r="AJ46" s="22">
        <v>36</v>
      </c>
      <c r="AK46" s="22">
        <v>8.0749500000000002E-2</v>
      </c>
      <c r="AL46">
        <f t="shared" si="6"/>
        <v>16.879300000000001</v>
      </c>
      <c r="AM46">
        <f t="shared" si="7"/>
        <v>1.3727816534899999</v>
      </c>
      <c r="AP46" s="9"/>
      <c r="AQ46" s="22">
        <v>1.5887500000000001</v>
      </c>
      <c r="AR46" s="22">
        <v>313.83100000000002</v>
      </c>
      <c r="AS46" s="22">
        <v>-1.35803E-2</v>
      </c>
      <c r="AT46" s="22">
        <v>36</v>
      </c>
      <c r="AU46" s="22">
        <v>1.58752</v>
      </c>
      <c r="AV46">
        <f t="shared" si="8"/>
        <v>13.580299999999999</v>
      </c>
      <c r="AW46">
        <f t="shared" si="9"/>
        <v>21.575701625000001</v>
      </c>
      <c r="AX46" s="9"/>
      <c r="AY46" s="22">
        <v>8.1329299999999993E-2</v>
      </c>
      <c r="AZ46" s="22">
        <v>372.142</v>
      </c>
      <c r="BA46" s="22">
        <v>-1.68945E-2</v>
      </c>
      <c r="BB46" s="22">
        <v>36</v>
      </c>
      <c r="BC46" s="22">
        <v>8.0596899999999999E-2</v>
      </c>
      <c r="BD46">
        <f t="shared" si="10"/>
        <v>16.894500000000001</v>
      </c>
      <c r="BE46">
        <f t="shared" si="11"/>
        <v>1.3740178588500001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1.58371</v>
      </c>
      <c r="H47" s="22">
        <v>43.093800000000002</v>
      </c>
      <c r="I47" s="22">
        <v>-1.427E-2</v>
      </c>
      <c r="J47" s="22">
        <v>37</v>
      </c>
      <c r="K47" s="22">
        <v>1.58264</v>
      </c>
      <c r="L47">
        <f t="shared" si="0"/>
        <v>14.27</v>
      </c>
      <c r="M47">
        <f t="shared" si="1"/>
        <v>22.5995417</v>
      </c>
      <c r="N47" s="9"/>
      <c r="O47" s="22">
        <v>8.6364700000000003E-2</v>
      </c>
      <c r="P47" s="22">
        <v>107.416</v>
      </c>
      <c r="Q47" s="22">
        <v>-1.6952499999999999E-2</v>
      </c>
      <c r="R47" s="22">
        <v>37</v>
      </c>
      <c r="S47" s="22">
        <v>8.5571300000000003E-2</v>
      </c>
      <c r="T47">
        <f t="shared" si="2"/>
        <v>16.952500000000001</v>
      </c>
      <c r="U47">
        <f t="shared" si="3"/>
        <v>1.4640975767500002</v>
      </c>
      <c r="X47" s="9"/>
      <c r="Y47" s="22">
        <v>1.58371</v>
      </c>
      <c r="Z47" s="22">
        <v>177.54900000000001</v>
      </c>
      <c r="AA47" s="22">
        <v>-1.3958699999999999E-2</v>
      </c>
      <c r="AB47" s="22">
        <v>37</v>
      </c>
      <c r="AC47" s="22">
        <v>1.5829500000000001</v>
      </c>
      <c r="AD47">
        <f t="shared" si="4"/>
        <v>13.958699999999999</v>
      </c>
      <c r="AE47">
        <f t="shared" si="5"/>
        <v>22.106532776999998</v>
      </c>
      <c r="AF47" s="9"/>
      <c r="AG47" s="22">
        <v>8.6364700000000003E-2</v>
      </c>
      <c r="AH47" s="22">
        <v>235.078</v>
      </c>
      <c r="AI47" s="22">
        <v>-1.6888400000000001E-2</v>
      </c>
      <c r="AJ47" s="22">
        <v>37</v>
      </c>
      <c r="AK47" s="22">
        <v>8.5784899999999997E-2</v>
      </c>
      <c r="AL47">
        <f t="shared" si="6"/>
        <v>16.888400000000001</v>
      </c>
      <c r="AM47">
        <f t="shared" si="7"/>
        <v>1.4585615994800001</v>
      </c>
      <c r="AP47" s="9"/>
      <c r="AQ47" s="22">
        <v>1.58371</v>
      </c>
      <c r="AR47" s="22">
        <v>313.93200000000002</v>
      </c>
      <c r="AS47" s="22">
        <v>-1.3677999999999999E-2</v>
      </c>
      <c r="AT47" s="22">
        <v>37</v>
      </c>
      <c r="AU47" s="22">
        <v>1.5823400000000001</v>
      </c>
      <c r="AV47">
        <f t="shared" si="8"/>
        <v>13.677999999999999</v>
      </c>
      <c r="AW47">
        <f t="shared" si="9"/>
        <v>21.661985379999997</v>
      </c>
      <c r="AX47" s="9"/>
      <c r="AY47" s="22">
        <v>8.6364700000000003E-2</v>
      </c>
      <c r="AZ47" s="22">
        <v>372.24299999999999</v>
      </c>
      <c r="BA47" s="22">
        <v>-1.6897599999999999E-2</v>
      </c>
      <c r="BB47" s="22">
        <v>37</v>
      </c>
      <c r="BC47" s="22">
        <v>8.5723900000000006E-2</v>
      </c>
      <c r="BD47">
        <f t="shared" si="10"/>
        <v>16.897599999999997</v>
      </c>
      <c r="BE47">
        <f t="shared" si="11"/>
        <v>1.4593561547199998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1.57867</v>
      </c>
      <c r="H48" s="22">
        <v>43.194499999999998</v>
      </c>
      <c r="I48" s="22">
        <v>-1.4334100000000001E-2</v>
      </c>
      <c r="J48" s="22">
        <v>38</v>
      </c>
      <c r="K48" s="22">
        <v>1.5777600000000001</v>
      </c>
      <c r="L48">
        <f t="shared" si="0"/>
        <v>14.334100000000001</v>
      </c>
      <c r="M48">
        <f t="shared" si="1"/>
        <v>22.628813647000001</v>
      </c>
      <c r="N48" s="9"/>
      <c r="O48" s="22">
        <v>9.1400099999999998E-2</v>
      </c>
      <c r="P48" s="22">
        <v>107.517</v>
      </c>
      <c r="Q48" s="22">
        <v>-1.6952499999999999E-2</v>
      </c>
      <c r="R48" s="22">
        <v>38</v>
      </c>
      <c r="S48" s="22">
        <v>9.0637200000000001E-2</v>
      </c>
      <c r="T48">
        <f t="shared" si="2"/>
        <v>16.952500000000001</v>
      </c>
      <c r="U48">
        <f t="shared" si="3"/>
        <v>1.54946019525</v>
      </c>
      <c r="X48" s="9"/>
      <c r="Y48" s="22">
        <v>1.57867</v>
      </c>
      <c r="Z48" s="22">
        <v>177.65</v>
      </c>
      <c r="AA48" s="22">
        <v>-1.409E-2</v>
      </c>
      <c r="AB48" s="22">
        <v>38</v>
      </c>
      <c r="AC48" s="22">
        <v>1.57745</v>
      </c>
      <c r="AD48">
        <f t="shared" si="4"/>
        <v>14.09</v>
      </c>
      <c r="AE48">
        <f t="shared" si="5"/>
        <v>22.243460299999999</v>
      </c>
      <c r="AF48" s="9"/>
      <c r="AG48" s="22">
        <v>9.1400099999999998E-2</v>
      </c>
      <c r="AH48" s="22">
        <v>235.179</v>
      </c>
      <c r="AI48" s="22">
        <v>-1.6888400000000001E-2</v>
      </c>
      <c r="AJ48" s="22">
        <v>38</v>
      </c>
      <c r="AK48" s="22">
        <v>9.0789800000000004E-2</v>
      </c>
      <c r="AL48">
        <f t="shared" si="6"/>
        <v>16.888400000000001</v>
      </c>
      <c r="AM48">
        <f t="shared" si="7"/>
        <v>1.5436014488400001</v>
      </c>
      <c r="AP48" s="9"/>
      <c r="AQ48" s="22">
        <v>1.57867</v>
      </c>
      <c r="AR48" s="22">
        <v>314.03300000000002</v>
      </c>
      <c r="AS48" s="22">
        <v>-1.3775600000000001E-2</v>
      </c>
      <c r="AT48" s="22">
        <v>38</v>
      </c>
      <c r="AU48" s="22">
        <v>1.57806</v>
      </c>
      <c r="AV48">
        <f t="shared" si="8"/>
        <v>13.775600000000001</v>
      </c>
      <c r="AW48">
        <f t="shared" si="9"/>
        <v>21.747126452</v>
      </c>
      <c r="AX48" s="9"/>
      <c r="AY48" s="22">
        <v>9.1400099999999998E-2</v>
      </c>
      <c r="AZ48" s="22">
        <v>372.34399999999999</v>
      </c>
      <c r="BA48" s="22">
        <v>-1.68793E-2</v>
      </c>
      <c r="BB48" s="22">
        <v>38</v>
      </c>
      <c r="BC48" s="22">
        <v>9.0911900000000004E-2</v>
      </c>
      <c r="BD48">
        <f t="shared" si="10"/>
        <v>16.879300000000001</v>
      </c>
      <c r="BE48">
        <f t="shared" si="11"/>
        <v>1.54276970793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1.5736399999999999</v>
      </c>
      <c r="H49" s="22">
        <v>43.295200000000001</v>
      </c>
      <c r="I49" s="22">
        <v>-1.44165E-2</v>
      </c>
      <c r="J49" s="22">
        <v>39</v>
      </c>
      <c r="K49" s="22">
        <v>1.5728800000000001</v>
      </c>
      <c r="L49">
        <f t="shared" si="0"/>
        <v>14.416500000000001</v>
      </c>
      <c r="M49">
        <f t="shared" si="1"/>
        <v>22.686381060000002</v>
      </c>
      <c r="N49" s="9"/>
      <c r="O49" s="22">
        <v>9.6435499999999993E-2</v>
      </c>
      <c r="P49" s="22">
        <v>107.617</v>
      </c>
      <c r="Q49" s="22">
        <v>-1.69342E-2</v>
      </c>
      <c r="R49" s="22">
        <v>39</v>
      </c>
      <c r="S49" s="22">
        <v>9.5733600000000002E-2</v>
      </c>
      <c r="T49">
        <f t="shared" si="2"/>
        <v>16.934200000000001</v>
      </c>
      <c r="U49">
        <f t="shared" si="3"/>
        <v>1.6330580441</v>
      </c>
      <c r="X49" s="9"/>
      <c r="Y49" s="22">
        <v>1.5736399999999999</v>
      </c>
      <c r="Z49" s="22">
        <v>177.75</v>
      </c>
      <c r="AA49" s="22">
        <v>-1.4190700000000001E-2</v>
      </c>
      <c r="AB49" s="22">
        <v>39</v>
      </c>
      <c r="AC49" s="22">
        <v>1.5728800000000001</v>
      </c>
      <c r="AD49">
        <f t="shared" si="4"/>
        <v>14.1907</v>
      </c>
      <c r="AE49">
        <f t="shared" si="5"/>
        <v>22.331053147999999</v>
      </c>
      <c r="AF49" s="9"/>
      <c r="AG49" s="22">
        <v>9.6435499999999993E-2</v>
      </c>
      <c r="AH49" s="22">
        <v>235.279</v>
      </c>
      <c r="AI49" s="22">
        <v>-1.68915E-2</v>
      </c>
      <c r="AJ49" s="22">
        <v>39</v>
      </c>
      <c r="AK49" s="22">
        <v>9.5886200000000005E-2</v>
      </c>
      <c r="AL49">
        <f t="shared" si="6"/>
        <v>16.891500000000001</v>
      </c>
      <c r="AM49">
        <f t="shared" si="7"/>
        <v>1.6289402482499999</v>
      </c>
      <c r="AP49" s="9"/>
      <c r="AQ49" s="22">
        <v>1.5736399999999999</v>
      </c>
      <c r="AR49" s="22">
        <v>314.13400000000001</v>
      </c>
      <c r="AS49" s="22">
        <v>-1.38672E-2</v>
      </c>
      <c r="AT49" s="22">
        <v>39</v>
      </c>
      <c r="AU49" s="22">
        <v>1.57318</v>
      </c>
      <c r="AV49">
        <f t="shared" si="8"/>
        <v>13.8672</v>
      </c>
      <c r="AW49">
        <f t="shared" si="9"/>
        <v>21.821980608000001</v>
      </c>
      <c r="AX49" s="9"/>
      <c r="AY49" s="22">
        <v>9.6435499999999993E-2</v>
      </c>
      <c r="AZ49" s="22">
        <v>372.44400000000002</v>
      </c>
      <c r="BA49" s="22">
        <v>-1.68793E-2</v>
      </c>
      <c r="BB49" s="22">
        <v>39</v>
      </c>
      <c r="BC49" s="22">
        <v>9.5947299999999999E-2</v>
      </c>
      <c r="BD49">
        <f t="shared" si="10"/>
        <v>16.879300000000001</v>
      </c>
      <c r="BE49">
        <f t="shared" si="11"/>
        <v>1.6277637351500001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1.5686</v>
      </c>
      <c r="H50" s="22">
        <v>43.395899999999997</v>
      </c>
      <c r="I50" s="22">
        <v>-1.45142E-2</v>
      </c>
      <c r="J50" s="22">
        <v>40</v>
      </c>
      <c r="K50" s="22">
        <v>1.56769</v>
      </c>
      <c r="L50">
        <f t="shared" si="0"/>
        <v>14.514199999999999</v>
      </c>
      <c r="M50">
        <f t="shared" si="1"/>
        <v>22.766974119999997</v>
      </c>
      <c r="N50" s="9"/>
      <c r="O50" s="22">
        <v>0.10147100000000001</v>
      </c>
      <c r="P50" s="22">
        <v>107.718</v>
      </c>
      <c r="Q50" s="22">
        <v>-1.6940299999999998E-2</v>
      </c>
      <c r="R50" s="22">
        <v>40</v>
      </c>
      <c r="S50" s="22">
        <v>0.1008</v>
      </c>
      <c r="T50">
        <f t="shared" si="2"/>
        <v>16.940299999999997</v>
      </c>
      <c r="U50">
        <f t="shared" si="3"/>
        <v>1.7189491812999997</v>
      </c>
      <c r="X50" s="9"/>
      <c r="Y50" s="22">
        <v>1.5686</v>
      </c>
      <c r="Z50" s="22">
        <v>177.851</v>
      </c>
      <c r="AA50" s="22">
        <v>-1.42303E-2</v>
      </c>
      <c r="AB50" s="22">
        <v>40</v>
      </c>
      <c r="AC50" s="22">
        <v>1.56769</v>
      </c>
      <c r="AD50">
        <f t="shared" si="4"/>
        <v>14.2303</v>
      </c>
      <c r="AE50">
        <f t="shared" si="5"/>
        <v>22.321648579999998</v>
      </c>
      <c r="AF50" s="9"/>
      <c r="AG50" s="22">
        <v>0.10147100000000001</v>
      </c>
      <c r="AH50" s="22">
        <v>235.38</v>
      </c>
      <c r="AI50" s="22">
        <v>-1.6876200000000001E-2</v>
      </c>
      <c r="AJ50" s="22">
        <v>40</v>
      </c>
      <c r="AK50" s="22">
        <v>0.100769</v>
      </c>
      <c r="AL50">
        <f t="shared" si="6"/>
        <v>16.876200000000001</v>
      </c>
      <c r="AM50">
        <f t="shared" si="7"/>
        <v>1.7124448902000002</v>
      </c>
      <c r="AP50" s="9"/>
      <c r="AQ50" s="22">
        <v>1.5686</v>
      </c>
      <c r="AR50" s="22">
        <v>314.23399999999998</v>
      </c>
      <c r="AS50" s="22">
        <v>-1.3943499999999999E-2</v>
      </c>
      <c r="AT50" s="22">
        <v>40</v>
      </c>
      <c r="AU50" s="22">
        <v>1.5683</v>
      </c>
      <c r="AV50">
        <f t="shared" si="8"/>
        <v>13.943499999999998</v>
      </c>
      <c r="AW50">
        <f t="shared" si="9"/>
        <v>21.871774099999996</v>
      </c>
      <c r="AX50" s="9"/>
      <c r="AY50" s="22">
        <v>0.10147100000000001</v>
      </c>
      <c r="AZ50" s="22">
        <v>372.54500000000002</v>
      </c>
      <c r="BA50" s="22">
        <v>-1.68793E-2</v>
      </c>
      <c r="BB50" s="22">
        <v>40</v>
      </c>
      <c r="BC50" s="22">
        <v>0.10083</v>
      </c>
      <c r="BD50">
        <f t="shared" si="10"/>
        <v>16.879300000000001</v>
      </c>
      <c r="BE50">
        <f t="shared" si="11"/>
        <v>1.7127594503000001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1.5635699999999999</v>
      </c>
      <c r="H51" s="22">
        <v>43.496600000000001</v>
      </c>
      <c r="I51" s="22">
        <v>-1.4523299999999999E-2</v>
      </c>
      <c r="J51" s="22">
        <v>41</v>
      </c>
      <c r="K51" s="22">
        <v>1.56281</v>
      </c>
      <c r="L51">
        <f t="shared" si="0"/>
        <v>14.523299999999999</v>
      </c>
      <c r="M51">
        <f t="shared" si="1"/>
        <v>22.708196180999998</v>
      </c>
      <c r="N51" s="9"/>
      <c r="O51" s="22">
        <v>0.106506</v>
      </c>
      <c r="P51" s="22">
        <v>107.819</v>
      </c>
      <c r="Q51" s="22">
        <v>-1.69312E-2</v>
      </c>
      <c r="R51" s="22">
        <v>41</v>
      </c>
      <c r="S51" s="22">
        <v>0.10592699999999999</v>
      </c>
      <c r="T51">
        <f t="shared" si="2"/>
        <v>16.9312</v>
      </c>
      <c r="U51">
        <f t="shared" si="3"/>
        <v>1.8032743872000001</v>
      </c>
      <c r="X51" s="9"/>
      <c r="Y51" s="22">
        <v>1.5635699999999999</v>
      </c>
      <c r="Z51" s="22">
        <v>177.952</v>
      </c>
      <c r="AA51" s="22">
        <v>-1.43219E-2</v>
      </c>
      <c r="AB51" s="22">
        <v>41</v>
      </c>
      <c r="AC51" s="22">
        <v>1.56281</v>
      </c>
      <c r="AD51">
        <f t="shared" si="4"/>
        <v>14.321899999999999</v>
      </c>
      <c r="AE51">
        <f t="shared" si="5"/>
        <v>22.393293182999997</v>
      </c>
      <c r="AF51" s="9"/>
      <c r="AG51" s="22">
        <v>0.106506</v>
      </c>
      <c r="AH51" s="22">
        <v>235.48099999999999</v>
      </c>
      <c r="AI51" s="22">
        <v>-1.6870099999999999E-2</v>
      </c>
      <c r="AJ51" s="22">
        <v>41</v>
      </c>
      <c r="AK51" s="22">
        <v>0.10592699999999999</v>
      </c>
      <c r="AL51">
        <f t="shared" si="6"/>
        <v>16.870100000000001</v>
      </c>
      <c r="AM51">
        <f t="shared" si="7"/>
        <v>1.7967668706000002</v>
      </c>
      <c r="AP51" s="9"/>
      <c r="AQ51" s="22">
        <v>1.5635699999999999</v>
      </c>
      <c r="AR51" s="22">
        <v>314.33499999999998</v>
      </c>
      <c r="AS51" s="22">
        <v>-1.4019800000000001E-2</v>
      </c>
      <c r="AT51" s="22">
        <v>41</v>
      </c>
      <c r="AU51" s="22">
        <v>1.5625</v>
      </c>
      <c r="AV51">
        <f t="shared" si="8"/>
        <v>14.0198</v>
      </c>
      <c r="AW51">
        <f t="shared" si="9"/>
        <v>21.920938686</v>
      </c>
      <c r="AX51" s="9"/>
      <c r="AY51" s="22">
        <v>0.106506</v>
      </c>
      <c r="AZ51" s="22">
        <v>372.64600000000002</v>
      </c>
      <c r="BA51" s="22">
        <v>-1.68793E-2</v>
      </c>
      <c r="BB51" s="22">
        <v>41</v>
      </c>
      <c r="BC51" s="22">
        <v>0.105682</v>
      </c>
      <c r="BD51">
        <f t="shared" si="10"/>
        <v>16.879300000000001</v>
      </c>
      <c r="BE51">
        <f t="shared" si="11"/>
        <v>1.7977467258000002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1.55853</v>
      </c>
      <c r="H52" s="22">
        <v>43.597299999999997</v>
      </c>
      <c r="I52" s="22">
        <v>-1.4584400000000001E-2</v>
      </c>
      <c r="J52" s="22">
        <v>42</v>
      </c>
      <c r="K52" s="22">
        <v>1.55792</v>
      </c>
      <c r="L52">
        <f t="shared" si="0"/>
        <v>14.5844</v>
      </c>
      <c r="M52">
        <f t="shared" si="1"/>
        <v>22.730224931999999</v>
      </c>
      <c r="N52" s="9"/>
      <c r="O52" s="22">
        <v>0.111542</v>
      </c>
      <c r="P52" s="22">
        <v>107.919</v>
      </c>
      <c r="Q52" s="22">
        <v>-1.6924999999999999E-2</v>
      </c>
      <c r="R52" s="22">
        <v>42</v>
      </c>
      <c r="S52" s="22">
        <v>0.11096200000000001</v>
      </c>
      <c r="T52">
        <f t="shared" si="2"/>
        <v>16.925000000000001</v>
      </c>
      <c r="U52">
        <f t="shared" si="3"/>
        <v>1.8878483500000001</v>
      </c>
      <c r="X52" s="9"/>
      <c r="Y52" s="22">
        <v>1.55853</v>
      </c>
      <c r="Z52" s="22">
        <v>178.05199999999999</v>
      </c>
      <c r="AA52" s="22">
        <v>-1.4401199999999999E-2</v>
      </c>
      <c r="AB52" s="22">
        <v>42</v>
      </c>
      <c r="AC52" s="22">
        <v>1.55731</v>
      </c>
      <c r="AD52">
        <f t="shared" si="4"/>
        <v>14.401199999999999</v>
      </c>
      <c r="AE52">
        <f t="shared" si="5"/>
        <v>22.444702235999998</v>
      </c>
      <c r="AF52" s="9"/>
      <c r="AG52" s="22">
        <v>0.111542</v>
      </c>
      <c r="AH52" s="22">
        <v>235.58099999999999</v>
      </c>
      <c r="AI52" s="22">
        <v>-1.68793E-2</v>
      </c>
      <c r="AJ52" s="22">
        <v>42</v>
      </c>
      <c r="AK52" s="22">
        <v>0.11065700000000001</v>
      </c>
      <c r="AL52">
        <f t="shared" si="6"/>
        <v>16.879300000000001</v>
      </c>
      <c r="AM52">
        <f t="shared" si="7"/>
        <v>1.8827508806000002</v>
      </c>
      <c r="AP52" s="9"/>
      <c r="AQ52" s="22">
        <v>1.55853</v>
      </c>
      <c r="AR52" s="22">
        <v>314.43599999999998</v>
      </c>
      <c r="AS52" s="22">
        <v>-1.4108300000000001E-2</v>
      </c>
      <c r="AT52" s="22">
        <v>42</v>
      </c>
      <c r="AU52" s="22">
        <v>1.55792</v>
      </c>
      <c r="AV52">
        <f t="shared" si="8"/>
        <v>14.1083</v>
      </c>
      <c r="AW52">
        <f t="shared" si="9"/>
        <v>21.988208798999999</v>
      </c>
      <c r="AX52" s="9"/>
      <c r="AY52" s="22">
        <v>0.111542</v>
      </c>
      <c r="AZ52" s="22">
        <v>372.74700000000001</v>
      </c>
      <c r="BA52" s="22">
        <v>-1.6873200000000001E-2</v>
      </c>
      <c r="BB52" s="22">
        <v>42</v>
      </c>
      <c r="BC52" s="22">
        <v>0.11083999999999999</v>
      </c>
      <c r="BD52">
        <f t="shared" si="10"/>
        <v>16.873200000000001</v>
      </c>
      <c r="BE52">
        <f t="shared" si="11"/>
        <v>1.8820704744000001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1.5535000000000001</v>
      </c>
      <c r="H53" s="22">
        <v>43.698</v>
      </c>
      <c r="I53" s="22">
        <v>-1.4678999999999999E-2</v>
      </c>
      <c r="J53" s="22">
        <v>43</v>
      </c>
      <c r="K53" s="22">
        <v>1.55243</v>
      </c>
      <c r="L53">
        <f t="shared" si="0"/>
        <v>14.678999999999998</v>
      </c>
      <c r="M53">
        <f t="shared" si="1"/>
        <v>22.8038265</v>
      </c>
      <c r="N53" s="9"/>
      <c r="O53" s="22">
        <v>0.116577</v>
      </c>
      <c r="P53" s="22">
        <v>108.02</v>
      </c>
      <c r="Q53" s="22">
        <v>-1.6915900000000001E-2</v>
      </c>
      <c r="R53" s="22">
        <v>43</v>
      </c>
      <c r="S53" s="22">
        <v>0.115906</v>
      </c>
      <c r="T53">
        <f t="shared" si="2"/>
        <v>16.915900000000001</v>
      </c>
      <c r="U53">
        <f t="shared" si="3"/>
        <v>1.9720048743</v>
      </c>
      <c r="X53" s="9"/>
      <c r="Y53" s="22">
        <v>1.5535000000000001</v>
      </c>
      <c r="Z53" s="22">
        <v>178.15299999999999</v>
      </c>
      <c r="AA53" s="22">
        <v>-1.4477500000000001E-2</v>
      </c>
      <c r="AB53" s="22">
        <v>43</v>
      </c>
      <c r="AC53" s="22">
        <v>1.5527299999999999</v>
      </c>
      <c r="AD53">
        <f t="shared" si="4"/>
        <v>14.477500000000001</v>
      </c>
      <c r="AE53">
        <f t="shared" si="5"/>
        <v>22.490796250000002</v>
      </c>
      <c r="AF53" s="9"/>
      <c r="AG53" s="22">
        <v>0.116577</v>
      </c>
      <c r="AH53" s="22">
        <v>235.68199999999999</v>
      </c>
      <c r="AI53" s="22">
        <v>-1.6864000000000001E-2</v>
      </c>
      <c r="AJ53" s="22">
        <v>43</v>
      </c>
      <c r="AK53" s="22">
        <v>0.11575299999999999</v>
      </c>
      <c r="AL53">
        <f t="shared" si="6"/>
        <v>16.864000000000001</v>
      </c>
      <c r="AM53">
        <f t="shared" si="7"/>
        <v>1.9659545280000001</v>
      </c>
      <c r="AP53" s="9"/>
      <c r="AQ53" s="22">
        <v>1.5535000000000001</v>
      </c>
      <c r="AR53" s="22">
        <v>314.536</v>
      </c>
      <c r="AS53" s="22">
        <v>-1.4169299999999999E-2</v>
      </c>
      <c r="AT53" s="22">
        <v>43</v>
      </c>
      <c r="AU53" s="22">
        <v>1.5521199999999999</v>
      </c>
      <c r="AV53">
        <f t="shared" si="8"/>
        <v>14.1693</v>
      </c>
      <c r="AW53">
        <f t="shared" si="9"/>
        <v>22.01200755</v>
      </c>
      <c r="AX53" s="9"/>
      <c r="AY53" s="22">
        <v>0.116577</v>
      </c>
      <c r="AZ53" s="22">
        <v>372.84699999999998</v>
      </c>
      <c r="BA53" s="22">
        <v>-1.6864000000000001E-2</v>
      </c>
      <c r="BB53" s="22">
        <v>43</v>
      </c>
      <c r="BC53" s="22">
        <v>0.11572300000000001</v>
      </c>
      <c r="BD53">
        <f t="shared" si="10"/>
        <v>16.864000000000001</v>
      </c>
      <c r="BE53">
        <f t="shared" si="11"/>
        <v>1.9659545280000001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1.5484599999999999</v>
      </c>
      <c r="H54" s="22">
        <v>43.798699999999997</v>
      </c>
      <c r="I54" s="22">
        <v>-1.4749099999999999E-2</v>
      </c>
      <c r="J54" s="22">
        <v>44</v>
      </c>
      <c r="K54" s="22">
        <v>1.5472399999999999</v>
      </c>
      <c r="L54">
        <f t="shared" si="0"/>
        <v>14.749099999999999</v>
      </c>
      <c r="M54">
        <f t="shared" si="1"/>
        <v>22.838391385999998</v>
      </c>
      <c r="N54" s="9"/>
      <c r="O54" s="22">
        <v>0.121613</v>
      </c>
      <c r="P54" s="22">
        <v>108.121</v>
      </c>
      <c r="Q54" s="22">
        <v>-1.69312E-2</v>
      </c>
      <c r="R54" s="22">
        <v>44</v>
      </c>
      <c r="S54" s="22">
        <v>0.12088</v>
      </c>
      <c r="T54">
        <f t="shared" si="2"/>
        <v>16.9312</v>
      </c>
      <c r="U54">
        <f t="shared" si="3"/>
        <v>2.0590540256000001</v>
      </c>
      <c r="X54" s="9"/>
      <c r="Y54" s="22">
        <v>1.5484599999999999</v>
      </c>
      <c r="Z54" s="22">
        <v>178.25399999999999</v>
      </c>
      <c r="AA54" s="22">
        <v>-1.45386E-2</v>
      </c>
      <c r="AB54" s="22">
        <v>44</v>
      </c>
      <c r="AC54" s="22">
        <v>1.54816</v>
      </c>
      <c r="AD54">
        <f t="shared" si="4"/>
        <v>14.538600000000001</v>
      </c>
      <c r="AE54">
        <f t="shared" si="5"/>
        <v>22.512440556000001</v>
      </c>
      <c r="AF54" s="9"/>
      <c r="AG54" s="22">
        <v>0.121613</v>
      </c>
      <c r="AH54" s="22">
        <v>235.78299999999999</v>
      </c>
      <c r="AI54" s="22">
        <v>-1.6857899999999999E-2</v>
      </c>
      <c r="AJ54" s="22">
        <v>44</v>
      </c>
      <c r="AK54" s="22">
        <v>0.121033</v>
      </c>
      <c r="AL54">
        <f t="shared" si="6"/>
        <v>16.857899999999997</v>
      </c>
      <c r="AM54">
        <f t="shared" si="7"/>
        <v>2.0501397926999996</v>
      </c>
      <c r="AP54" s="9"/>
      <c r="AQ54" s="22">
        <v>1.5484599999999999</v>
      </c>
      <c r="AR54" s="22">
        <v>314.637</v>
      </c>
      <c r="AS54" s="22">
        <v>-1.4224199999999999E-2</v>
      </c>
      <c r="AT54" s="22">
        <v>44</v>
      </c>
      <c r="AU54" s="22">
        <v>1.5478499999999999</v>
      </c>
      <c r="AV54">
        <f t="shared" si="8"/>
        <v>14.2242</v>
      </c>
      <c r="AW54">
        <f t="shared" si="9"/>
        <v>22.025604731999998</v>
      </c>
      <c r="AX54" s="9"/>
      <c r="AY54" s="22">
        <v>0.121613</v>
      </c>
      <c r="AZ54" s="22">
        <v>372.94799999999998</v>
      </c>
      <c r="BA54" s="22">
        <v>-1.6857899999999999E-2</v>
      </c>
      <c r="BB54" s="22">
        <v>44</v>
      </c>
      <c r="BC54" s="22">
        <v>0.121063</v>
      </c>
      <c r="BD54">
        <f t="shared" si="10"/>
        <v>16.857899999999997</v>
      </c>
      <c r="BE54">
        <f t="shared" si="11"/>
        <v>2.0501397926999996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1.5434300000000001</v>
      </c>
      <c r="H55" s="22">
        <v>43.899500000000003</v>
      </c>
      <c r="I55" s="22">
        <v>-1.48407E-2</v>
      </c>
      <c r="J55" s="22">
        <v>45</v>
      </c>
      <c r="K55" s="22">
        <v>1.54297</v>
      </c>
      <c r="L55">
        <f t="shared" si="0"/>
        <v>14.8407</v>
      </c>
      <c r="M55">
        <f t="shared" si="1"/>
        <v>22.905581601000002</v>
      </c>
      <c r="N55" s="9"/>
      <c r="O55" s="22">
        <v>0.12664800000000001</v>
      </c>
      <c r="P55" s="22">
        <v>108.221</v>
      </c>
      <c r="Q55" s="22">
        <v>-1.6915900000000001E-2</v>
      </c>
      <c r="R55" s="22">
        <v>45</v>
      </c>
      <c r="S55" s="22">
        <v>0.12585399999999999</v>
      </c>
      <c r="T55">
        <f t="shared" si="2"/>
        <v>16.915900000000001</v>
      </c>
      <c r="U55">
        <f t="shared" si="3"/>
        <v>2.1423649032000003</v>
      </c>
      <c r="X55" s="9"/>
      <c r="Y55" s="22">
        <v>1.5434300000000001</v>
      </c>
      <c r="Z55" s="22">
        <v>178.35499999999999</v>
      </c>
      <c r="AA55" s="22">
        <v>-1.45355E-2</v>
      </c>
      <c r="AB55" s="22">
        <v>45</v>
      </c>
      <c r="AC55" s="22">
        <v>1.5420499999999999</v>
      </c>
      <c r="AD55">
        <f t="shared" si="4"/>
        <v>14.535499999999999</v>
      </c>
      <c r="AE55">
        <f t="shared" si="5"/>
        <v>22.434526765000001</v>
      </c>
      <c r="AF55" s="9"/>
      <c r="AG55" s="22">
        <v>0.12664800000000001</v>
      </c>
      <c r="AH55" s="22">
        <v>235.88300000000001</v>
      </c>
      <c r="AI55" s="22">
        <v>-1.6876200000000001E-2</v>
      </c>
      <c r="AJ55" s="22">
        <v>45</v>
      </c>
      <c r="AK55" s="22">
        <v>0.125641</v>
      </c>
      <c r="AL55">
        <f t="shared" si="6"/>
        <v>16.876200000000001</v>
      </c>
      <c r="AM55">
        <f t="shared" si="7"/>
        <v>2.1373369776000004</v>
      </c>
      <c r="AP55" s="9"/>
      <c r="AQ55" s="22">
        <v>1.5434300000000001</v>
      </c>
      <c r="AR55" s="22">
        <v>314.738</v>
      </c>
      <c r="AS55" s="22">
        <v>-1.4294400000000001E-2</v>
      </c>
      <c r="AT55" s="22">
        <v>45</v>
      </c>
      <c r="AU55" s="22">
        <v>1.5426599999999999</v>
      </c>
      <c r="AV55">
        <f t="shared" si="8"/>
        <v>14.294400000000001</v>
      </c>
      <c r="AW55">
        <f t="shared" si="9"/>
        <v>22.062405792000003</v>
      </c>
      <c r="AX55" s="9"/>
      <c r="AY55" s="22">
        <v>0.12664800000000001</v>
      </c>
      <c r="AZ55" s="22">
        <v>373.04899999999998</v>
      </c>
      <c r="BA55" s="22">
        <v>-1.6854899999999999E-2</v>
      </c>
      <c r="BB55" s="22">
        <v>45</v>
      </c>
      <c r="BC55" s="22">
        <v>0.12606800000000001</v>
      </c>
      <c r="BD55">
        <f t="shared" si="10"/>
        <v>16.854900000000001</v>
      </c>
      <c r="BE55">
        <f t="shared" si="11"/>
        <v>2.1346393752000004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1.5383899999999999</v>
      </c>
      <c r="H56" s="22">
        <v>44.0002</v>
      </c>
      <c r="I56" s="22">
        <v>-1.4871199999999999E-2</v>
      </c>
      <c r="J56" s="22">
        <v>46</v>
      </c>
      <c r="K56" s="22">
        <v>1.53748</v>
      </c>
      <c r="L56">
        <f t="shared" si="0"/>
        <v>14.8712</v>
      </c>
      <c r="M56">
        <f t="shared" si="1"/>
        <v>22.877705367999997</v>
      </c>
      <c r="N56" s="9"/>
      <c r="O56" s="22">
        <v>0.13168299999999999</v>
      </c>
      <c r="P56" s="22">
        <v>108.322</v>
      </c>
      <c r="Q56" s="22">
        <v>-1.6912799999999999E-2</v>
      </c>
      <c r="R56" s="22">
        <v>46</v>
      </c>
      <c r="S56" s="22">
        <v>0.13089000000000001</v>
      </c>
      <c r="T56">
        <f t="shared" si="2"/>
        <v>16.912799999999997</v>
      </c>
      <c r="U56">
        <f t="shared" si="3"/>
        <v>2.2271282423999996</v>
      </c>
      <c r="X56" s="9"/>
      <c r="Y56" s="22">
        <v>1.5383899999999999</v>
      </c>
      <c r="Z56" s="22">
        <v>178.45500000000001</v>
      </c>
      <c r="AA56" s="22">
        <v>-1.46088E-2</v>
      </c>
      <c r="AB56" s="22">
        <v>46</v>
      </c>
      <c r="AC56" s="22">
        <v>1.53748</v>
      </c>
      <c r="AD56">
        <f t="shared" si="4"/>
        <v>14.6088</v>
      </c>
      <c r="AE56">
        <f t="shared" si="5"/>
        <v>22.474031831999998</v>
      </c>
      <c r="AF56" s="9"/>
      <c r="AG56" s="22">
        <v>0.13168299999999999</v>
      </c>
      <c r="AH56" s="22">
        <v>235.98400000000001</v>
      </c>
      <c r="AI56" s="22">
        <v>-1.6870099999999999E-2</v>
      </c>
      <c r="AJ56" s="22">
        <v>46</v>
      </c>
      <c r="AK56" s="22">
        <v>0.13101199999999999</v>
      </c>
      <c r="AL56">
        <f t="shared" si="6"/>
        <v>16.870100000000001</v>
      </c>
      <c r="AM56">
        <f t="shared" si="7"/>
        <v>2.2215053782999998</v>
      </c>
      <c r="AP56" s="9"/>
      <c r="AQ56" s="22">
        <v>1.5383899999999999</v>
      </c>
      <c r="AR56" s="22">
        <v>314.83800000000002</v>
      </c>
      <c r="AS56" s="22">
        <v>-1.43524E-2</v>
      </c>
      <c r="AT56" s="22">
        <v>46</v>
      </c>
      <c r="AU56" s="22">
        <v>1.5377799999999999</v>
      </c>
      <c r="AV56">
        <f t="shared" si="8"/>
        <v>14.352399999999999</v>
      </c>
      <c r="AW56">
        <f t="shared" si="9"/>
        <v>22.079588635999997</v>
      </c>
      <c r="AX56" s="9"/>
      <c r="AY56" s="22">
        <v>0.13168299999999999</v>
      </c>
      <c r="AZ56" s="22">
        <v>373.149</v>
      </c>
      <c r="BA56" s="22">
        <v>-1.6861000000000001E-2</v>
      </c>
      <c r="BB56" s="22">
        <v>46</v>
      </c>
      <c r="BC56" s="22">
        <v>0.131104</v>
      </c>
      <c r="BD56">
        <f t="shared" si="10"/>
        <v>16.861000000000001</v>
      </c>
      <c r="BE56">
        <f t="shared" si="11"/>
        <v>2.2203070629999999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1.5333600000000001</v>
      </c>
      <c r="H57" s="22">
        <v>44.100900000000003</v>
      </c>
      <c r="I57" s="22">
        <v>-1.4907800000000001E-2</v>
      </c>
      <c r="J57" s="22">
        <v>47</v>
      </c>
      <c r="K57" s="22">
        <v>1.5322899999999999</v>
      </c>
      <c r="L57">
        <f t="shared" si="0"/>
        <v>14.9078</v>
      </c>
      <c r="M57">
        <f t="shared" si="1"/>
        <v>22.859024208000001</v>
      </c>
      <c r="N57" s="9"/>
      <c r="O57" s="22">
        <v>0.13671900000000001</v>
      </c>
      <c r="P57" s="22">
        <v>108.423</v>
      </c>
      <c r="Q57" s="22">
        <v>-1.69067E-2</v>
      </c>
      <c r="R57" s="22">
        <v>47</v>
      </c>
      <c r="S57" s="22">
        <v>0.136047</v>
      </c>
      <c r="T57">
        <f t="shared" si="2"/>
        <v>16.906700000000001</v>
      </c>
      <c r="U57">
        <f t="shared" si="3"/>
        <v>2.3114671173000003</v>
      </c>
      <c r="X57" s="9"/>
      <c r="Y57" s="22">
        <v>1.5333600000000001</v>
      </c>
      <c r="Z57" s="22">
        <v>178.55600000000001</v>
      </c>
      <c r="AA57" s="22">
        <v>-1.46698E-2</v>
      </c>
      <c r="AB57" s="22">
        <v>47</v>
      </c>
      <c r="AC57" s="22">
        <v>1.5322899999999999</v>
      </c>
      <c r="AD57">
        <f t="shared" si="4"/>
        <v>14.6698</v>
      </c>
      <c r="AE57">
        <f t="shared" si="5"/>
        <v>22.494084528000002</v>
      </c>
      <c r="AF57" s="9"/>
      <c r="AG57" s="22">
        <v>0.13671900000000001</v>
      </c>
      <c r="AH57" s="22">
        <v>236.08500000000001</v>
      </c>
      <c r="AI57" s="22">
        <v>-1.68518E-2</v>
      </c>
      <c r="AJ57" s="22">
        <v>47</v>
      </c>
      <c r="AK57" s="22">
        <v>0.13613900000000001</v>
      </c>
      <c r="AL57">
        <f t="shared" si="6"/>
        <v>16.851800000000001</v>
      </c>
      <c r="AM57">
        <f t="shared" si="7"/>
        <v>2.3039612442000004</v>
      </c>
      <c r="AP57" s="9"/>
      <c r="AQ57" s="22">
        <v>1.5333600000000001</v>
      </c>
      <c r="AR57" s="22">
        <v>314.93900000000002</v>
      </c>
      <c r="AS57" s="22">
        <v>-1.44165E-2</v>
      </c>
      <c r="AT57" s="22">
        <v>47</v>
      </c>
      <c r="AU57" s="22">
        <v>1.5319799999999999</v>
      </c>
      <c r="AV57">
        <f t="shared" si="8"/>
        <v>14.416500000000001</v>
      </c>
      <c r="AW57">
        <f t="shared" si="9"/>
        <v>22.105684440000001</v>
      </c>
      <c r="AX57" s="9"/>
      <c r="AY57" s="22">
        <v>0.13671900000000001</v>
      </c>
      <c r="AZ57" s="22">
        <v>373.25</v>
      </c>
      <c r="BA57" s="22">
        <v>-1.6861000000000001E-2</v>
      </c>
      <c r="BB57" s="22">
        <v>47</v>
      </c>
      <c r="BC57" s="22">
        <v>0.13613900000000001</v>
      </c>
      <c r="BD57">
        <f t="shared" si="10"/>
        <v>16.861000000000001</v>
      </c>
      <c r="BE57">
        <f t="shared" si="11"/>
        <v>2.3052190590000001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1.5283199999999999</v>
      </c>
      <c r="H58" s="22">
        <v>44.201599999999999</v>
      </c>
      <c r="I58" s="22">
        <v>-1.4981100000000001E-2</v>
      </c>
      <c r="J58" s="22">
        <v>48</v>
      </c>
      <c r="K58" s="22">
        <v>1.5283199999999999</v>
      </c>
      <c r="L58">
        <f t="shared" si="0"/>
        <v>14.981100000000001</v>
      </c>
      <c r="M58">
        <f t="shared" si="1"/>
        <v>22.895914751999999</v>
      </c>
      <c r="N58" s="9"/>
      <c r="O58" s="22">
        <v>0.14175399999999999</v>
      </c>
      <c r="P58" s="22">
        <v>108.524</v>
      </c>
      <c r="Q58" s="22">
        <v>-1.6909799999999999E-2</v>
      </c>
      <c r="R58" s="22">
        <v>48</v>
      </c>
      <c r="S58" s="22">
        <v>0.141205</v>
      </c>
      <c r="T58">
        <f t="shared" si="2"/>
        <v>16.909800000000001</v>
      </c>
      <c r="U58">
        <f t="shared" si="3"/>
        <v>2.3970317892000002</v>
      </c>
      <c r="X58" s="9"/>
      <c r="Y58" s="22">
        <v>1.5283199999999999</v>
      </c>
      <c r="Z58" s="22">
        <v>178.65700000000001</v>
      </c>
      <c r="AA58" s="22">
        <v>-1.4727799999999999E-2</v>
      </c>
      <c r="AB58" s="22">
        <v>48</v>
      </c>
      <c r="AC58" s="22">
        <v>1.5277099999999999</v>
      </c>
      <c r="AD58">
        <f t="shared" si="4"/>
        <v>14.727799999999998</v>
      </c>
      <c r="AE58">
        <f t="shared" si="5"/>
        <v>22.508791295999995</v>
      </c>
      <c r="AF58" s="9"/>
      <c r="AG58" s="22">
        <v>0.14175399999999999</v>
      </c>
      <c r="AH58" s="22">
        <v>236.18600000000001</v>
      </c>
      <c r="AI58" s="22">
        <v>-1.6857899999999999E-2</v>
      </c>
      <c r="AJ58" s="22">
        <v>48</v>
      </c>
      <c r="AK58" s="22">
        <v>0.14086899999999999</v>
      </c>
      <c r="AL58">
        <f t="shared" si="6"/>
        <v>16.857899999999997</v>
      </c>
      <c r="AM58">
        <f t="shared" si="7"/>
        <v>2.3896747565999994</v>
      </c>
      <c r="AP58" s="9"/>
      <c r="AQ58" s="22">
        <v>1.5283199999999999</v>
      </c>
      <c r="AR58" s="22">
        <v>315.04000000000002</v>
      </c>
      <c r="AS58" s="22">
        <v>-1.4447E-2</v>
      </c>
      <c r="AT58" s="22">
        <v>48</v>
      </c>
      <c r="AU58" s="22">
        <v>1.5277099999999999</v>
      </c>
      <c r="AV58">
        <f t="shared" si="8"/>
        <v>14.446999999999999</v>
      </c>
      <c r="AW58">
        <f t="shared" si="9"/>
        <v>22.079639039999996</v>
      </c>
      <c r="AX58" s="9"/>
      <c r="AY58" s="22">
        <v>0.14175399999999999</v>
      </c>
      <c r="AZ58" s="22">
        <v>373.351</v>
      </c>
      <c r="BA58" s="22">
        <v>-1.6848800000000001E-2</v>
      </c>
      <c r="BB58" s="22">
        <v>48</v>
      </c>
      <c r="BC58" s="22">
        <v>0.14108299999999999</v>
      </c>
      <c r="BD58">
        <f t="shared" si="10"/>
        <v>16.848800000000001</v>
      </c>
      <c r="BE58">
        <f t="shared" si="11"/>
        <v>2.3883847951999999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1.52328</v>
      </c>
      <c r="H59" s="22">
        <v>44.302300000000002</v>
      </c>
      <c r="I59" s="22">
        <v>-1.50116E-2</v>
      </c>
      <c r="J59" s="22">
        <v>49</v>
      </c>
      <c r="K59" s="22">
        <v>1.5219100000000001</v>
      </c>
      <c r="L59">
        <f t="shared" si="0"/>
        <v>15.0116</v>
      </c>
      <c r="M59">
        <f t="shared" si="1"/>
        <v>22.866870047999999</v>
      </c>
      <c r="N59" s="9"/>
      <c r="O59" s="22">
        <v>0.14679</v>
      </c>
      <c r="P59" s="22">
        <v>108.624</v>
      </c>
      <c r="Q59" s="22">
        <v>-1.6903700000000001E-2</v>
      </c>
      <c r="R59" s="22">
        <v>49</v>
      </c>
      <c r="S59" s="22">
        <v>0.146149</v>
      </c>
      <c r="T59">
        <f t="shared" si="2"/>
        <v>16.903700000000001</v>
      </c>
      <c r="U59">
        <f t="shared" si="3"/>
        <v>2.4812941230000001</v>
      </c>
      <c r="X59" s="9"/>
      <c r="Y59" s="22">
        <v>1.52328</v>
      </c>
      <c r="Z59" s="22">
        <v>178.75700000000001</v>
      </c>
      <c r="AA59" s="22">
        <v>-1.4837599999999999E-2</v>
      </c>
      <c r="AB59" s="22">
        <v>49</v>
      </c>
      <c r="AC59" s="22">
        <v>1.5222199999999999</v>
      </c>
      <c r="AD59">
        <f t="shared" si="4"/>
        <v>14.8376</v>
      </c>
      <c r="AE59">
        <f t="shared" si="5"/>
        <v>22.601819328000001</v>
      </c>
      <c r="AF59" s="9"/>
      <c r="AG59" s="22">
        <v>0.14679</v>
      </c>
      <c r="AH59" s="22">
        <v>236.286</v>
      </c>
      <c r="AI59" s="22">
        <v>-1.68518E-2</v>
      </c>
      <c r="AJ59" s="22">
        <v>49</v>
      </c>
      <c r="AK59" s="22">
        <v>0.146149</v>
      </c>
      <c r="AL59">
        <f t="shared" si="6"/>
        <v>16.851800000000001</v>
      </c>
      <c r="AM59">
        <f t="shared" si="7"/>
        <v>2.4736757220000003</v>
      </c>
      <c r="AP59" s="9"/>
      <c r="AQ59" s="22">
        <v>1.52328</v>
      </c>
      <c r="AR59" s="22">
        <v>315.14100000000002</v>
      </c>
      <c r="AS59" s="22">
        <v>-1.4523299999999999E-2</v>
      </c>
      <c r="AT59" s="22">
        <v>49</v>
      </c>
      <c r="AU59" s="22">
        <v>1.5222199999999999</v>
      </c>
      <c r="AV59">
        <f t="shared" si="8"/>
        <v>14.523299999999999</v>
      </c>
      <c r="AW59">
        <f t="shared" si="9"/>
        <v>22.123052423999997</v>
      </c>
      <c r="AX59" s="9"/>
      <c r="AY59" s="22">
        <v>0.14679</v>
      </c>
      <c r="AZ59" s="22">
        <v>373.452</v>
      </c>
      <c r="BA59" s="22">
        <v>-1.6836500000000001E-2</v>
      </c>
      <c r="BB59" s="22">
        <v>49</v>
      </c>
      <c r="BC59" s="22">
        <v>0.145844</v>
      </c>
      <c r="BD59">
        <f t="shared" si="10"/>
        <v>16.836500000000001</v>
      </c>
      <c r="BE59">
        <f t="shared" si="11"/>
        <v>2.4714298350000004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1.5182500000000001</v>
      </c>
      <c r="H60" s="22">
        <v>44.402999999999999</v>
      </c>
      <c r="I60" s="22">
        <v>-1.5029900000000001E-2</v>
      </c>
      <c r="J60" s="22">
        <v>50</v>
      </c>
      <c r="K60" s="22">
        <v>1.5176400000000001</v>
      </c>
      <c r="L60">
        <f t="shared" si="0"/>
        <v>15.029900000000001</v>
      </c>
      <c r="M60">
        <f t="shared" si="1"/>
        <v>22.819145675000005</v>
      </c>
      <c r="N60" s="9"/>
      <c r="O60" s="22">
        <v>0.15182499999999999</v>
      </c>
      <c r="P60" s="22">
        <v>108.72499999999999</v>
      </c>
      <c r="Q60" s="22">
        <v>-1.6897599999999999E-2</v>
      </c>
      <c r="R60" s="22">
        <v>50</v>
      </c>
      <c r="S60" s="22">
        <v>0.15093999999999999</v>
      </c>
      <c r="T60">
        <f t="shared" si="2"/>
        <v>16.897599999999997</v>
      </c>
      <c r="U60">
        <f t="shared" si="3"/>
        <v>2.5654781199999994</v>
      </c>
      <c r="X60" s="9"/>
      <c r="Y60" s="22">
        <v>1.5182500000000001</v>
      </c>
      <c r="Z60" s="22">
        <v>178.858</v>
      </c>
      <c r="AA60" s="22">
        <v>-1.4892600000000001E-2</v>
      </c>
      <c r="AB60" s="22">
        <v>50</v>
      </c>
      <c r="AC60" s="22">
        <v>1.5176400000000001</v>
      </c>
      <c r="AD60">
        <f t="shared" si="4"/>
        <v>14.8926</v>
      </c>
      <c r="AE60">
        <f t="shared" si="5"/>
        <v>22.610689950000001</v>
      </c>
      <c r="AF60" s="9"/>
      <c r="AG60" s="22">
        <v>0.15182499999999999</v>
      </c>
      <c r="AH60" s="22">
        <v>236.387</v>
      </c>
      <c r="AI60" s="22">
        <v>-1.68518E-2</v>
      </c>
      <c r="AJ60" s="22">
        <v>50</v>
      </c>
      <c r="AK60" s="22">
        <v>0.15096999999999999</v>
      </c>
      <c r="AL60">
        <f t="shared" si="6"/>
        <v>16.851800000000001</v>
      </c>
      <c r="AM60">
        <f t="shared" si="7"/>
        <v>2.5585245350000001</v>
      </c>
      <c r="AP60" s="9"/>
      <c r="AQ60" s="22">
        <v>1.5182500000000001</v>
      </c>
      <c r="AR60" s="22">
        <v>315.24099999999999</v>
      </c>
      <c r="AS60" s="22">
        <v>-1.4559900000000001E-2</v>
      </c>
      <c r="AT60" s="22">
        <v>50</v>
      </c>
      <c r="AU60" s="22">
        <v>1.5173300000000001</v>
      </c>
      <c r="AV60">
        <f t="shared" si="8"/>
        <v>14.559900000000001</v>
      </c>
      <c r="AW60">
        <f t="shared" si="9"/>
        <v>22.105568175000002</v>
      </c>
      <c r="AX60" s="9"/>
      <c r="AY60" s="22">
        <v>0.15182499999999999</v>
      </c>
      <c r="AZ60" s="22">
        <v>373.55200000000002</v>
      </c>
      <c r="BA60" s="22">
        <v>-1.6845700000000002E-2</v>
      </c>
      <c r="BB60" s="22">
        <v>50</v>
      </c>
      <c r="BC60" s="22">
        <v>0.151062</v>
      </c>
      <c r="BD60">
        <f t="shared" si="10"/>
        <v>16.845700000000001</v>
      </c>
      <c r="BE60">
        <f t="shared" si="11"/>
        <v>2.5575984025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1.5132099999999999</v>
      </c>
      <c r="H61" s="22">
        <v>44.503700000000002</v>
      </c>
      <c r="I61" s="22">
        <v>-1.5118400000000001E-2</v>
      </c>
      <c r="J61" s="22">
        <v>51</v>
      </c>
      <c r="K61" s="22">
        <v>1.5121500000000001</v>
      </c>
      <c r="L61">
        <f t="shared" si="0"/>
        <v>15.118400000000001</v>
      </c>
      <c r="M61">
        <f t="shared" si="1"/>
        <v>22.877314064</v>
      </c>
      <c r="N61" s="9"/>
      <c r="O61" s="22">
        <v>0.15686</v>
      </c>
      <c r="P61" s="22">
        <v>108.82599999999999</v>
      </c>
      <c r="Q61" s="22">
        <v>-1.68915E-2</v>
      </c>
      <c r="R61" s="22">
        <v>51</v>
      </c>
      <c r="S61" s="22">
        <v>0.156219</v>
      </c>
      <c r="T61">
        <f t="shared" si="2"/>
        <v>16.891500000000001</v>
      </c>
      <c r="U61">
        <f t="shared" si="3"/>
        <v>2.6496006900000002</v>
      </c>
      <c r="X61" s="9"/>
      <c r="Y61" s="22">
        <v>1.5132099999999999</v>
      </c>
      <c r="Z61" s="22">
        <v>178.959</v>
      </c>
      <c r="AA61" s="22">
        <v>-1.48895E-2</v>
      </c>
      <c r="AB61" s="22">
        <v>51</v>
      </c>
      <c r="AC61" s="22">
        <v>1.5121500000000001</v>
      </c>
      <c r="AD61">
        <f t="shared" si="4"/>
        <v>14.8895</v>
      </c>
      <c r="AE61">
        <f t="shared" si="5"/>
        <v>22.530940295000001</v>
      </c>
      <c r="AF61" s="9"/>
      <c r="AG61" s="22">
        <v>0.15686</v>
      </c>
      <c r="AH61" s="22">
        <v>236.488</v>
      </c>
      <c r="AI61" s="22">
        <v>-1.6864000000000001E-2</v>
      </c>
      <c r="AJ61" s="22">
        <v>51</v>
      </c>
      <c r="AK61" s="22">
        <v>0.15612799999999999</v>
      </c>
      <c r="AL61">
        <f t="shared" si="6"/>
        <v>16.864000000000001</v>
      </c>
      <c r="AM61">
        <f t="shared" si="7"/>
        <v>2.6452870399999999</v>
      </c>
      <c r="AP61" s="9"/>
      <c r="AQ61" s="22">
        <v>1.5132099999999999</v>
      </c>
      <c r="AR61" s="22">
        <v>315.34199999999998</v>
      </c>
      <c r="AS61" s="22">
        <v>-1.4627100000000001E-2</v>
      </c>
      <c r="AT61" s="22">
        <v>51</v>
      </c>
      <c r="AU61" s="22">
        <v>1.5127600000000001</v>
      </c>
      <c r="AV61">
        <f t="shared" si="8"/>
        <v>14.6271</v>
      </c>
      <c r="AW61">
        <f t="shared" si="9"/>
        <v>22.133873991000002</v>
      </c>
      <c r="AX61" s="9"/>
      <c r="AY61" s="22">
        <v>0.15686</v>
      </c>
      <c r="AZ61" s="22">
        <v>373.65300000000002</v>
      </c>
      <c r="BA61" s="22">
        <v>-1.68396E-2</v>
      </c>
      <c r="BB61" s="22">
        <v>51</v>
      </c>
      <c r="BC61" s="22">
        <v>0.15612799999999999</v>
      </c>
      <c r="BD61">
        <f t="shared" si="10"/>
        <v>16.839600000000001</v>
      </c>
      <c r="BE61">
        <f t="shared" si="11"/>
        <v>2.6414596560000003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1.5081800000000001</v>
      </c>
      <c r="H62" s="22">
        <v>44.604399999999998</v>
      </c>
      <c r="I62" s="22">
        <v>-1.5191700000000001E-2</v>
      </c>
      <c r="J62" s="22">
        <v>52</v>
      </c>
      <c r="K62" s="22">
        <v>1.50726</v>
      </c>
      <c r="L62">
        <f t="shared" si="0"/>
        <v>15.191700000000001</v>
      </c>
      <c r="M62">
        <f t="shared" si="1"/>
        <v>22.911818106000002</v>
      </c>
      <c r="N62" s="9"/>
      <c r="O62" s="22">
        <v>0.16189600000000001</v>
      </c>
      <c r="P62" s="22">
        <v>108.926</v>
      </c>
      <c r="Q62" s="22">
        <v>-1.6873200000000001E-2</v>
      </c>
      <c r="R62" s="22">
        <v>52</v>
      </c>
      <c r="S62" s="22">
        <v>0.16122400000000001</v>
      </c>
      <c r="T62">
        <f t="shared" si="2"/>
        <v>16.873200000000001</v>
      </c>
      <c r="U62">
        <f t="shared" si="3"/>
        <v>2.7317035872000002</v>
      </c>
      <c r="X62" s="9"/>
      <c r="Y62" s="22">
        <v>1.5081800000000001</v>
      </c>
      <c r="Z62" s="22">
        <v>179.06</v>
      </c>
      <c r="AA62" s="22">
        <v>-1.49231E-2</v>
      </c>
      <c r="AB62" s="22">
        <v>52</v>
      </c>
      <c r="AC62" s="22">
        <v>1.5081800000000001</v>
      </c>
      <c r="AD62">
        <f t="shared" si="4"/>
        <v>14.9231</v>
      </c>
      <c r="AE62">
        <f t="shared" si="5"/>
        <v>22.506720958000002</v>
      </c>
      <c r="AF62" s="9"/>
      <c r="AG62" s="22">
        <v>0.16189600000000001</v>
      </c>
      <c r="AH62" s="22">
        <v>236.58799999999999</v>
      </c>
      <c r="AI62" s="22">
        <v>-1.6861000000000001E-2</v>
      </c>
      <c r="AJ62" s="22">
        <v>52</v>
      </c>
      <c r="AK62" s="22">
        <v>0.16128500000000001</v>
      </c>
      <c r="AL62">
        <f t="shared" si="6"/>
        <v>16.861000000000001</v>
      </c>
      <c r="AM62">
        <f t="shared" si="7"/>
        <v>2.7297284560000001</v>
      </c>
      <c r="AP62" s="9"/>
      <c r="AQ62" s="22">
        <v>1.5081800000000001</v>
      </c>
      <c r="AR62" s="22">
        <v>315.44299999999998</v>
      </c>
      <c r="AS62" s="22">
        <v>-1.46362E-2</v>
      </c>
      <c r="AT62" s="22">
        <v>52</v>
      </c>
      <c r="AU62" s="22">
        <v>1.50726</v>
      </c>
      <c r="AV62">
        <f t="shared" si="8"/>
        <v>14.636200000000001</v>
      </c>
      <c r="AW62">
        <f t="shared" si="9"/>
        <v>22.074024116</v>
      </c>
      <c r="AX62" s="9"/>
      <c r="AY62" s="22">
        <v>0.16189600000000001</v>
      </c>
      <c r="AZ62" s="22">
        <v>373.75400000000002</v>
      </c>
      <c r="BA62" s="22">
        <v>-1.6842699999999999E-2</v>
      </c>
      <c r="BB62" s="22">
        <v>52</v>
      </c>
      <c r="BC62" s="22">
        <v>0.161194</v>
      </c>
      <c r="BD62">
        <f t="shared" si="10"/>
        <v>16.842699999999997</v>
      </c>
      <c r="BE62">
        <f t="shared" si="11"/>
        <v>2.7267657591999996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1.5031399999999999</v>
      </c>
      <c r="H63" s="22">
        <v>44.705100000000002</v>
      </c>
      <c r="I63" s="22">
        <v>-1.5206900000000001E-2</v>
      </c>
      <c r="J63" s="22">
        <v>53</v>
      </c>
      <c r="K63" s="22">
        <v>1.5020800000000001</v>
      </c>
      <c r="L63">
        <f t="shared" si="0"/>
        <v>15.206900000000001</v>
      </c>
      <c r="M63">
        <f t="shared" si="1"/>
        <v>22.858099666000001</v>
      </c>
      <c r="N63" s="9"/>
      <c r="O63" s="22">
        <v>0.166931</v>
      </c>
      <c r="P63" s="22">
        <v>109.027</v>
      </c>
      <c r="Q63" s="22">
        <v>-1.6867099999999999E-2</v>
      </c>
      <c r="R63" s="22">
        <v>53</v>
      </c>
      <c r="S63" s="22">
        <v>0.16625999999999999</v>
      </c>
      <c r="T63">
        <f t="shared" si="2"/>
        <v>16.867100000000001</v>
      </c>
      <c r="U63">
        <f t="shared" si="3"/>
        <v>2.8156418700999999</v>
      </c>
      <c r="X63" s="9"/>
      <c r="Y63" s="22">
        <v>1.5031399999999999</v>
      </c>
      <c r="Z63" s="22">
        <v>179.16</v>
      </c>
      <c r="AA63" s="22">
        <v>-1.49658E-2</v>
      </c>
      <c r="AB63" s="22">
        <v>53</v>
      </c>
      <c r="AC63" s="22">
        <v>1.50238</v>
      </c>
      <c r="AD63">
        <f t="shared" si="4"/>
        <v>14.9658</v>
      </c>
      <c r="AE63">
        <f t="shared" si="5"/>
        <v>22.495692611999999</v>
      </c>
      <c r="AF63" s="9"/>
      <c r="AG63" s="22">
        <v>0.166931</v>
      </c>
      <c r="AH63" s="22">
        <v>236.68899999999999</v>
      </c>
      <c r="AI63" s="22">
        <v>-1.6864000000000001E-2</v>
      </c>
      <c r="AJ63" s="22">
        <v>53</v>
      </c>
      <c r="AK63" s="22">
        <v>0.16625999999999999</v>
      </c>
      <c r="AL63">
        <f t="shared" si="6"/>
        <v>16.864000000000001</v>
      </c>
      <c r="AM63">
        <f t="shared" si="7"/>
        <v>2.8151243840000002</v>
      </c>
      <c r="AP63" s="9"/>
      <c r="AQ63" s="22">
        <v>1.5031399999999999</v>
      </c>
      <c r="AR63" s="22">
        <v>315.54300000000001</v>
      </c>
      <c r="AS63" s="22">
        <v>-1.46851E-2</v>
      </c>
      <c r="AT63" s="22">
        <v>53</v>
      </c>
      <c r="AU63" s="22">
        <v>1.5020800000000001</v>
      </c>
      <c r="AV63">
        <f t="shared" si="8"/>
        <v>14.6851</v>
      </c>
      <c r="AW63">
        <f t="shared" si="9"/>
        <v>22.073761213999997</v>
      </c>
      <c r="AX63" s="9"/>
      <c r="AY63" s="22">
        <v>0.166931</v>
      </c>
      <c r="AZ63" s="22">
        <v>373.85399999999998</v>
      </c>
      <c r="BA63" s="22">
        <v>-1.6830399999999999E-2</v>
      </c>
      <c r="BB63" s="22">
        <v>53</v>
      </c>
      <c r="BC63" s="22">
        <v>0.16625999999999999</v>
      </c>
      <c r="BD63">
        <f t="shared" si="10"/>
        <v>16.830399999999997</v>
      </c>
      <c r="BE63">
        <f t="shared" si="11"/>
        <v>2.8095155023999996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1.4981100000000001</v>
      </c>
      <c r="H64" s="22">
        <v>44.805799999999998</v>
      </c>
      <c r="I64" s="22">
        <v>-1.5246600000000001E-2</v>
      </c>
      <c r="J64" s="22">
        <v>54</v>
      </c>
      <c r="K64" s="22">
        <v>1.49719</v>
      </c>
      <c r="L64">
        <f t="shared" si="0"/>
        <v>15.246600000000001</v>
      </c>
      <c r="M64">
        <f t="shared" si="1"/>
        <v>22.841083926000003</v>
      </c>
      <c r="N64" s="9"/>
      <c r="O64" s="22">
        <v>0.17196700000000001</v>
      </c>
      <c r="P64" s="22">
        <v>109.128</v>
      </c>
      <c r="Q64" s="22">
        <v>-1.6861000000000001E-2</v>
      </c>
      <c r="R64" s="22">
        <v>54</v>
      </c>
      <c r="S64" s="22">
        <v>0.17132600000000001</v>
      </c>
      <c r="T64">
        <f t="shared" si="2"/>
        <v>16.861000000000001</v>
      </c>
      <c r="U64">
        <f t="shared" si="3"/>
        <v>2.8995355870000004</v>
      </c>
      <c r="X64" s="9"/>
      <c r="Y64" s="22">
        <v>1.4981100000000001</v>
      </c>
      <c r="Z64" s="22">
        <v>179.261</v>
      </c>
      <c r="AA64" s="22">
        <v>-1.5026899999999999E-2</v>
      </c>
      <c r="AB64" s="22">
        <v>54</v>
      </c>
      <c r="AC64" s="22">
        <v>1.49719</v>
      </c>
      <c r="AD64">
        <f t="shared" si="4"/>
        <v>15.026899999999999</v>
      </c>
      <c r="AE64">
        <f t="shared" si="5"/>
        <v>22.511949159</v>
      </c>
      <c r="AF64" s="9"/>
      <c r="AG64" s="22">
        <v>0.17196700000000001</v>
      </c>
      <c r="AH64" s="22">
        <v>236.79</v>
      </c>
      <c r="AI64" s="22">
        <v>-1.6861000000000001E-2</v>
      </c>
      <c r="AJ64" s="22">
        <v>54</v>
      </c>
      <c r="AK64" s="22">
        <v>0.171265</v>
      </c>
      <c r="AL64">
        <f t="shared" si="6"/>
        <v>16.861000000000001</v>
      </c>
      <c r="AM64">
        <f t="shared" si="7"/>
        <v>2.8995355870000004</v>
      </c>
      <c r="AP64" s="9"/>
      <c r="AQ64" s="22">
        <v>1.4981100000000001</v>
      </c>
      <c r="AR64" s="22">
        <v>315.64400000000001</v>
      </c>
      <c r="AS64" s="22">
        <v>-1.4736900000000001E-2</v>
      </c>
      <c r="AT64" s="22">
        <v>54</v>
      </c>
      <c r="AU64" s="22">
        <v>1.49719</v>
      </c>
      <c r="AV64">
        <f t="shared" si="8"/>
        <v>14.7369</v>
      </c>
      <c r="AW64">
        <f t="shared" si="9"/>
        <v>22.077497259000001</v>
      </c>
      <c r="AX64" s="9"/>
      <c r="AY64" s="22">
        <v>0.17196700000000001</v>
      </c>
      <c r="AZ64" s="22">
        <v>373.95499999999998</v>
      </c>
      <c r="BA64" s="22">
        <v>-1.68396E-2</v>
      </c>
      <c r="BB64" s="22">
        <v>54</v>
      </c>
      <c r="BC64" s="22">
        <v>0.171295</v>
      </c>
      <c r="BD64">
        <f t="shared" si="10"/>
        <v>16.839600000000001</v>
      </c>
      <c r="BE64">
        <f t="shared" si="11"/>
        <v>2.8958554932000005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1.4930699999999999</v>
      </c>
      <c r="H65" s="22">
        <v>44.906500000000001</v>
      </c>
      <c r="I65" s="22">
        <v>-1.53259E-2</v>
      </c>
      <c r="J65" s="22">
        <v>55</v>
      </c>
      <c r="K65" s="22">
        <v>1.492</v>
      </c>
      <c r="L65">
        <f t="shared" si="0"/>
        <v>15.325900000000001</v>
      </c>
      <c r="M65">
        <f t="shared" si="1"/>
        <v>22.882641512999999</v>
      </c>
      <c r="N65" s="9"/>
      <c r="O65" s="22">
        <v>0.17700199999999999</v>
      </c>
      <c r="P65" s="22">
        <v>109.229</v>
      </c>
      <c r="Q65" s="22">
        <v>-1.6867099999999999E-2</v>
      </c>
      <c r="R65" s="22">
        <v>55</v>
      </c>
      <c r="S65" s="22">
        <v>0.17608599999999999</v>
      </c>
      <c r="T65">
        <f t="shared" si="2"/>
        <v>16.867100000000001</v>
      </c>
      <c r="U65">
        <f t="shared" si="3"/>
        <v>2.9855104342000001</v>
      </c>
      <c r="X65" s="9"/>
      <c r="Y65" s="22">
        <v>1.4930699999999999</v>
      </c>
      <c r="Z65" s="22">
        <v>179.36199999999999</v>
      </c>
      <c r="AA65" s="22">
        <v>-1.5063500000000001E-2</v>
      </c>
      <c r="AB65" s="22">
        <v>55</v>
      </c>
      <c r="AC65" s="22">
        <v>1.49231</v>
      </c>
      <c r="AD65">
        <f t="shared" si="4"/>
        <v>15.063500000000001</v>
      </c>
      <c r="AE65">
        <f t="shared" si="5"/>
        <v>22.490859945</v>
      </c>
      <c r="AF65" s="9"/>
      <c r="AG65" s="22">
        <v>0.17700199999999999</v>
      </c>
      <c r="AH65" s="22">
        <v>236.89099999999999</v>
      </c>
      <c r="AI65" s="22">
        <v>-1.6854899999999999E-2</v>
      </c>
      <c r="AJ65" s="22">
        <v>55</v>
      </c>
      <c r="AK65" s="22">
        <v>0.17636099999999999</v>
      </c>
      <c r="AL65">
        <f t="shared" si="6"/>
        <v>16.854900000000001</v>
      </c>
      <c r="AM65">
        <f t="shared" si="7"/>
        <v>2.9833510097999998</v>
      </c>
      <c r="AP65" s="9"/>
      <c r="AQ65" s="22">
        <v>1.4930699999999999</v>
      </c>
      <c r="AR65" s="22">
        <v>315.745</v>
      </c>
      <c r="AS65" s="22">
        <v>-1.4810200000000001E-2</v>
      </c>
      <c r="AT65" s="22">
        <v>55</v>
      </c>
      <c r="AU65" s="22">
        <v>1.49261</v>
      </c>
      <c r="AV65">
        <f t="shared" si="8"/>
        <v>14.8102</v>
      </c>
      <c r="AW65">
        <f t="shared" si="9"/>
        <v>22.112665313999997</v>
      </c>
      <c r="AX65" s="9"/>
      <c r="AY65" s="22">
        <v>0.17700199999999999</v>
      </c>
      <c r="AZ65" s="22">
        <v>374.05599999999998</v>
      </c>
      <c r="BA65" s="22">
        <v>-1.6827399999999999E-2</v>
      </c>
      <c r="BB65" s="22">
        <v>55</v>
      </c>
      <c r="BC65" s="22">
        <v>0.17639199999999999</v>
      </c>
      <c r="BD65">
        <f t="shared" si="10"/>
        <v>16.827400000000001</v>
      </c>
      <c r="BE65">
        <f t="shared" si="11"/>
        <v>2.9784834548000001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1.48804</v>
      </c>
      <c r="H66" s="22">
        <v>45.007199999999997</v>
      </c>
      <c r="I66" s="22">
        <v>-1.5307599999999999E-2</v>
      </c>
      <c r="J66" s="22">
        <v>56</v>
      </c>
      <c r="K66" s="22">
        <v>1.48712</v>
      </c>
      <c r="L66">
        <f t="shared" si="0"/>
        <v>15.307599999999999</v>
      </c>
      <c r="M66">
        <f t="shared" si="1"/>
        <v>22.778321104</v>
      </c>
      <c r="N66" s="9"/>
      <c r="O66" s="22">
        <v>0.182037</v>
      </c>
      <c r="P66" s="22">
        <v>109.32899999999999</v>
      </c>
      <c r="Q66" s="22">
        <v>-1.6864000000000001E-2</v>
      </c>
      <c r="R66" s="22">
        <v>56</v>
      </c>
      <c r="S66" s="22">
        <v>0.18130499999999999</v>
      </c>
      <c r="T66">
        <f t="shared" si="2"/>
        <v>16.864000000000001</v>
      </c>
      <c r="U66">
        <f t="shared" si="3"/>
        <v>3.0698719680000002</v>
      </c>
      <c r="X66" s="9"/>
      <c r="Y66" s="22">
        <v>1.48804</v>
      </c>
      <c r="Z66" s="22">
        <v>179.46199999999999</v>
      </c>
      <c r="AA66" s="22">
        <v>-1.51001E-2</v>
      </c>
      <c r="AB66" s="22">
        <v>56</v>
      </c>
      <c r="AC66" s="22">
        <v>1.48712</v>
      </c>
      <c r="AD66">
        <f t="shared" si="4"/>
        <v>15.100099999999999</v>
      </c>
      <c r="AE66">
        <f t="shared" si="5"/>
        <v>22.469552803999999</v>
      </c>
      <c r="AF66" s="9"/>
      <c r="AG66" s="22">
        <v>0.182037</v>
      </c>
      <c r="AH66" s="22">
        <v>236.99100000000001</v>
      </c>
      <c r="AI66" s="22">
        <v>-1.6842699999999999E-2</v>
      </c>
      <c r="AJ66" s="22">
        <v>56</v>
      </c>
      <c r="AK66" s="22">
        <v>0.181335</v>
      </c>
      <c r="AL66">
        <f t="shared" si="6"/>
        <v>16.842699999999997</v>
      </c>
      <c r="AM66">
        <f t="shared" si="7"/>
        <v>3.0659945798999995</v>
      </c>
      <c r="AP66" s="9"/>
      <c r="AQ66" s="22">
        <v>1.48804</v>
      </c>
      <c r="AR66" s="22">
        <v>315.846</v>
      </c>
      <c r="AS66" s="22">
        <v>-1.4810200000000001E-2</v>
      </c>
      <c r="AT66" s="22">
        <v>56</v>
      </c>
      <c r="AU66" s="22">
        <v>1.48682</v>
      </c>
      <c r="AV66">
        <f t="shared" si="8"/>
        <v>14.8102</v>
      </c>
      <c r="AW66">
        <f t="shared" si="9"/>
        <v>22.038170008000002</v>
      </c>
      <c r="AX66" s="9"/>
      <c r="AY66" s="22">
        <v>0.182037</v>
      </c>
      <c r="AZ66" s="22">
        <v>374.15600000000001</v>
      </c>
      <c r="BA66" s="22">
        <v>-1.6818199999999998E-2</v>
      </c>
      <c r="BB66" s="22">
        <v>56</v>
      </c>
      <c r="BC66" s="22">
        <v>0.18127399999999999</v>
      </c>
      <c r="BD66">
        <f t="shared" si="10"/>
        <v>16.818199999999997</v>
      </c>
      <c r="BE66">
        <f t="shared" si="11"/>
        <v>3.0615346733999997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1.4830000000000001</v>
      </c>
      <c r="H67" s="22">
        <v>45.107900000000001</v>
      </c>
      <c r="I67" s="22">
        <v>-1.5368700000000001E-2</v>
      </c>
      <c r="J67" s="22">
        <v>57</v>
      </c>
      <c r="K67" s="22">
        <v>1.48193</v>
      </c>
      <c r="L67">
        <f t="shared" si="0"/>
        <v>15.3687</v>
      </c>
      <c r="M67">
        <f t="shared" si="1"/>
        <v>22.791782100000002</v>
      </c>
      <c r="N67" s="9"/>
      <c r="O67" s="22">
        <v>0.18707299999999999</v>
      </c>
      <c r="P67" s="22">
        <v>109.43</v>
      </c>
      <c r="Q67" s="22">
        <v>-1.6882299999999999E-2</v>
      </c>
      <c r="R67" s="22">
        <v>57</v>
      </c>
      <c r="S67" s="22">
        <v>0.18637100000000001</v>
      </c>
      <c r="T67">
        <f t="shared" si="2"/>
        <v>16.882300000000001</v>
      </c>
      <c r="U67">
        <f t="shared" si="3"/>
        <v>3.1582225079000001</v>
      </c>
      <c r="X67" s="9"/>
      <c r="Y67" s="22">
        <v>1.4830000000000001</v>
      </c>
      <c r="Z67" s="22">
        <v>179.56299999999999</v>
      </c>
      <c r="AA67" s="22">
        <v>-1.51337E-2</v>
      </c>
      <c r="AB67" s="22">
        <v>57</v>
      </c>
      <c r="AC67" s="22">
        <v>1.48193</v>
      </c>
      <c r="AD67">
        <f t="shared" si="4"/>
        <v>15.133699999999999</v>
      </c>
      <c r="AE67">
        <f t="shared" si="5"/>
        <v>22.4432771</v>
      </c>
      <c r="AF67" s="9"/>
      <c r="AG67" s="22">
        <v>0.18707299999999999</v>
      </c>
      <c r="AH67" s="22">
        <v>237.09200000000001</v>
      </c>
      <c r="AI67" s="22">
        <v>-1.6848800000000001E-2</v>
      </c>
      <c r="AJ67" s="22">
        <v>57</v>
      </c>
      <c r="AK67" s="22">
        <v>0.186584</v>
      </c>
      <c r="AL67">
        <f t="shared" si="6"/>
        <v>16.848800000000001</v>
      </c>
      <c r="AM67">
        <f t="shared" si="7"/>
        <v>3.1519555624</v>
      </c>
      <c r="AP67" s="9"/>
      <c r="AQ67" s="22">
        <v>1.4830000000000001</v>
      </c>
      <c r="AR67" s="22">
        <v>315.94600000000003</v>
      </c>
      <c r="AS67" s="22">
        <v>-1.4855999999999999E-2</v>
      </c>
      <c r="AT67" s="22">
        <v>57</v>
      </c>
      <c r="AU67" s="22">
        <v>1.48193</v>
      </c>
      <c r="AV67">
        <f t="shared" si="8"/>
        <v>14.856</v>
      </c>
      <c r="AW67">
        <f t="shared" si="9"/>
        <v>22.031448000000001</v>
      </c>
      <c r="AX67" s="9"/>
      <c r="AY67" s="22">
        <v>0.18707299999999999</v>
      </c>
      <c r="AZ67" s="22">
        <v>374.25700000000001</v>
      </c>
      <c r="BA67" s="22">
        <v>-1.6830399999999999E-2</v>
      </c>
      <c r="BB67" s="22">
        <v>57</v>
      </c>
      <c r="BC67" s="22">
        <v>0.18646199999999999</v>
      </c>
      <c r="BD67">
        <f t="shared" si="10"/>
        <v>16.830399999999997</v>
      </c>
      <c r="BE67">
        <f t="shared" si="11"/>
        <v>3.1485134191999995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1.47797</v>
      </c>
      <c r="H68" s="22">
        <v>45.2087</v>
      </c>
      <c r="I68" s="22">
        <v>-1.53656E-2</v>
      </c>
      <c r="J68" s="22">
        <v>58</v>
      </c>
      <c r="K68" s="22">
        <v>1.47705</v>
      </c>
      <c r="L68">
        <f t="shared" si="0"/>
        <v>15.365600000000001</v>
      </c>
      <c r="M68">
        <f t="shared" si="1"/>
        <v>22.709895832000001</v>
      </c>
      <c r="N68" s="9"/>
      <c r="O68" s="22">
        <v>0.192108</v>
      </c>
      <c r="P68" s="22">
        <v>109.53100000000001</v>
      </c>
      <c r="Q68" s="22">
        <v>-1.68793E-2</v>
      </c>
      <c r="R68" s="22">
        <v>58</v>
      </c>
      <c r="S68" s="22">
        <v>0.191467</v>
      </c>
      <c r="T68">
        <f t="shared" si="2"/>
        <v>16.879300000000001</v>
      </c>
      <c r="U68">
        <f t="shared" si="3"/>
        <v>3.2426485644</v>
      </c>
      <c r="X68" s="9"/>
      <c r="Y68" s="22">
        <v>1.47797</v>
      </c>
      <c r="Z68" s="22">
        <v>179.66399999999999</v>
      </c>
      <c r="AA68" s="22">
        <v>-1.5170299999999999E-2</v>
      </c>
      <c r="AB68" s="22">
        <v>58</v>
      </c>
      <c r="AC68" s="22">
        <v>1.47736</v>
      </c>
      <c r="AD68">
        <f t="shared" si="4"/>
        <v>15.170299999999999</v>
      </c>
      <c r="AE68">
        <f t="shared" si="5"/>
        <v>22.421248290999998</v>
      </c>
      <c r="AF68" s="9"/>
      <c r="AG68" s="22">
        <v>0.192108</v>
      </c>
      <c r="AH68" s="22">
        <v>237.19300000000001</v>
      </c>
      <c r="AI68" s="22">
        <v>-1.6821300000000001E-2</v>
      </c>
      <c r="AJ68" s="22">
        <v>58</v>
      </c>
      <c r="AK68" s="22">
        <v>0.19155900000000001</v>
      </c>
      <c r="AL68">
        <f t="shared" si="6"/>
        <v>16.821300000000001</v>
      </c>
      <c r="AM68">
        <f t="shared" si="7"/>
        <v>3.2315063004</v>
      </c>
      <c r="AP68" s="9"/>
      <c r="AQ68" s="22">
        <v>1.47797</v>
      </c>
      <c r="AR68" s="22">
        <v>316.04700000000003</v>
      </c>
      <c r="AS68" s="22">
        <v>-1.48865E-2</v>
      </c>
      <c r="AT68" s="22">
        <v>58</v>
      </c>
      <c r="AU68" s="22">
        <v>1.47705</v>
      </c>
      <c r="AV68">
        <f t="shared" si="8"/>
        <v>14.8865</v>
      </c>
      <c r="AW68">
        <f t="shared" si="9"/>
        <v>22.001800405000001</v>
      </c>
      <c r="AX68" s="9"/>
      <c r="AY68" s="22">
        <v>0.192108</v>
      </c>
      <c r="AZ68" s="22">
        <v>374.358</v>
      </c>
      <c r="BA68" s="22">
        <v>-1.6821300000000001E-2</v>
      </c>
      <c r="BB68" s="22">
        <v>58</v>
      </c>
      <c r="BC68" s="22">
        <v>0.19131500000000001</v>
      </c>
      <c r="BD68">
        <f t="shared" si="10"/>
        <v>16.821300000000001</v>
      </c>
      <c r="BE68">
        <f t="shared" si="11"/>
        <v>3.2315063004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1.4729300000000001</v>
      </c>
      <c r="H69" s="22">
        <v>45.309399999999997</v>
      </c>
      <c r="I69" s="22">
        <v>-1.5374799999999999E-2</v>
      </c>
      <c r="J69" s="22">
        <v>59</v>
      </c>
      <c r="K69" s="22">
        <v>1.4724699999999999</v>
      </c>
      <c r="L69">
        <f t="shared" si="0"/>
        <v>15.374799999999999</v>
      </c>
      <c r="M69">
        <f t="shared" si="1"/>
        <v>22.646004164000001</v>
      </c>
      <c r="N69" s="9"/>
      <c r="O69" s="22">
        <v>0.19714400000000001</v>
      </c>
      <c r="P69" s="22">
        <v>109.631</v>
      </c>
      <c r="Q69" s="22">
        <v>-1.6885399999999998E-2</v>
      </c>
      <c r="R69" s="22">
        <v>59</v>
      </c>
      <c r="S69" s="22">
        <v>0.19650300000000001</v>
      </c>
      <c r="T69">
        <f t="shared" si="2"/>
        <v>16.885399999999997</v>
      </c>
      <c r="U69">
        <f t="shared" si="3"/>
        <v>3.3288552975999997</v>
      </c>
      <c r="X69" s="9"/>
      <c r="Y69" s="22">
        <v>1.4729300000000001</v>
      </c>
      <c r="Z69" s="22">
        <v>179.76400000000001</v>
      </c>
      <c r="AA69" s="22">
        <v>-1.52283E-2</v>
      </c>
      <c r="AB69" s="22">
        <v>59</v>
      </c>
      <c r="AC69" s="22">
        <v>1.47156</v>
      </c>
      <c r="AD69">
        <f t="shared" si="4"/>
        <v>15.228300000000001</v>
      </c>
      <c r="AE69">
        <f t="shared" si="5"/>
        <v>22.430219919000002</v>
      </c>
      <c r="AF69" s="9"/>
      <c r="AG69" s="22">
        <v>0.19714400000000001</v>
      </c>
      <c r="AH69" s="22">
        <v>237.29300000000001</v>
      </c>
      <c r="AI69" s="22">
        <v>-1.68396E-2</v>
      </c>
      <c r="AJ69" s="22">
        <v>59</v>
      </c>
      <c r="AK69" s="22">
        <v>0.19653300000000001</v>
      </c>
      <c r="AL69">
        <f t="shared" si="6"/>
        <v>16.839600000000001</v>
      </c>
      <c r="AM69">
        <f t="shared" si="7"/>
        <v>3.3198261024000004</v>
      </c>
      <c r="AP69" s="9"/>
      <c r="AQ69" s="22">
        <v>1.4729300000000001</v>
      </c>
      <c r="AR69" s="22">
        <v>316.14800000000002</v>
      </c>
      <c r="AS69" s="22">
        <v>-1.4913900000000001E-2</v>
      </c>
      <c r="AT69" s="22">
        <v>59</v>
      </c>
      <c r="AU69" s="22">
        <v>1.47156</v>
      </c>
      <c r="AV69">
        <f t="shared" si="8"/>
        <v>14.9139</v>
      </c>
      <c r="AW69">
        <f t="shared" si="9"/>
        <v>21.967130727000001</v>
      </c>
      <c r="AX69" s="9"/>
      <c r="AY69" s="22">
        <v>0.19714400000000001</v>
      </c>
      <c r="AZ69" s="22">
        <v>374.459</v>
      </c>
      <c r="BA69" s="22">
        <v>-1.6815199999999999E-2</v>
      </c>
      <c r="BB69" s="22">
        <v>59</v>
      </c>
      <c r="BC69" s="22">
        <v>0.19635</v>
      </c>
      <c r="BD69">
        <f t="shared" si="10"/>
        <v>16.815199999999997</v>
      </c>
      <c r="BE69">
        <f t="shared" si="11"/>
        <v>3.3150157887999998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1.4679</v>
      </c>
      <c r="H70" s="22">
        <v>45.4101</v>
      </c>
      <c r="I70" s="22">
        <v>-1.5380899999999999E-2</v>
      </c>
      <c r="J70" s="22">
        <v>60</v>
      </c>
      <c r="K70" s="22">
        <v>1.46698</v>
      </c>
      <c r="L70">
        <f t="shared" si="0"/>
        <v>15.380899999999999</v>
      </c>
      <c r="M70">
        <f t="shared" si="1"/>
        <v>22.577623109999998</v>
      </c>
      <c r="N70" s="9"/>
      <c r="O70" s="22">
        <v>0.202179</v>
      </c>
      <c r="P70" s="22">
        <v>109.732</v>
      </c>
      <c r="Q70" s="22">
        <v>-1.68915E-2</v>
      </c>
      <c r="R70" s="22">
        <v>60</v>
      </c>
      <c r="S70" s="22">
        <v>0.20144699999999999</v>
      </c>
      <c r="T70">
        <f t="shared" si="2"/>
        <v>16.891500000000001</v>
      </c>
      <c r="U70">
        <f t="shared" si="3"/>
        <v>3.4151065785000001</v>
      </c>
      <c r="X70" s="9"/>
      <c r="Y70" s="22">
        <v>1.4679</v>
      </c>
      <c r="Z70" s="22">
        <v>179.86500000000001</v>
      </c>
      <c r="AA70" s="22">
        <v>-1.5273999999999999E-2</v>
      </c>
      <c r="AB70" s="22">
        <v>60</v>
      </c>
      <c r="AC70" s="22">
        <v>1.46698</v>
      </c>
      <c r="AD70">
        <f t="shared" si="4"/>
        <v>15.273999999999999</v>
      </c>
      <c r="AE70">
        <f t="shared" si="5"/>
        <v>22.420704599999997</v>
      </c>
      <c r="AF70" s="9"/>
      <c r="AG70" s="22">
        <v>0.202179</v>
      </c>
      <c r="AH70" s="22">
        <v>237.39400000000001</v>
      </c>
      <c r="AI70" s="22">
        <v>-1.6833500000000001E-2</v>
      </c>
      <c r="AJ70" s="22">
        <v>60</v>
      </c>
      <c r="AK70" s="22">
        <v>0.201569</v>
      </c>
      <c r="AL70">
        <f t="shared" si="6"/>
        <v>16.833500000000001</v>
      </c>
      <c r="AM70">
        <f t="shared" si="7"/>
        <v>3.4033801965000001</v>
      </c>
      <c r="AP70" s="9"/>
      <c r="AQ70" s="22">
        <v>1.4679</v>
      </c>
      <c r="AR70" s="22">
        <v>316.24799999999999</v>
      </c>
      <c r="AS70" s="22">
        <v>-1.4953599999999999E-2</v>
      </c>
      <c r="AT70" s="22">
        <v>60</v>
      </c>
      <c r="AU70" s="22">
        <v>1.46698</v>
      </c>
      <c r="AV70">
        <f t="shared" si="8"/>
        <v>14.9536</v>
      </c>
      <c r="AW70">
        <f t="shared" si="9"/>
        <v>21.950389439999999</v>
      </c>
      <c r="AX70" s="9"/>
      <c r="AY70" s="22">
        <v>0.202179</v>
      </c>
      <c r="AZ70" s="22">
        <v>374.55900000000003</v>
      </c>
      <c r="BA70" s="22">
        <v>-1.6818199999999998E-2</v>
      </c>
      <c r="BB70" s="22">
        <v>60</v>
      </c>
      <c r="BC70" s="22">
        <v>0.20150799999999999</v>
      </c>
      <c r="BD70">
        <f t="shared" si="10"/>
        <v>16.818199999999997</v>
      </c>
      <c r="BE70">
        <f t="shared" si="11"/>
        <v>3.4002868577999994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1.46286</v>
      </c>
      <c r="H71" s="22">
        <v>45.510800000000003</v>
      </c>
      <c r="I71" s="22">
        <v>-1.5438800000000001E-2</v>
      </c>
      <c r="J71" s="22">
        <v>61</v>
      </c>
      <c r="K71" s="22">
        <v>1.4621</v>
      </c>
      <c r="L71">
        <f t="shared" si="0"/>
        <v>15.438800000000001</v>
      </c>
      <c r="M71">
        <f t="shared" si="1"/>
        <v>22.584802968000002</v>
      </c>
      <c r="N71" s="9"/>
      <c r="O71" s="22">
        <v>0.20721400000000001</v>
      </c>
      <c r="P71" s="22">
        <v>109.833</v>
      </c>
      <c r="Q71" s="22">
        <v>-1.68793E-2</v>
      </c>
      <c r="R71" s="22">
        <v>61</v>
      </c>
      <c r="S71" s="22">
        <v>0.206482</v>
      </c>
      <c r="T71">
        <f t="shared" si="2"/>
        <v>16.879300000000001</v>
      </c>
      <c r="U71">
        <f t="shared" si="3"/>
        <v>3.4976272702000002</v>
      </c>
      <c r="X71" s="9"/>
      <c r="Y71" s="22">
        <v>1.46286</v>
      </c>
      <c r="Z71" s="22">
        <v>179.96600000000001</v>
      </c>
      <c r="AA71" s="22">
        <v>-1.53259E-2</v>
      </c>
      <c r="AB71" s="22">
        <v>61</v>
      </c>
      <c r="AC71" s="22">
        <v>1.4621</v>
      </c>
      <c r="AD71">
        <f t="shared" si="4"/>
        <v>15.325900000000001</v>
      </c>
      <c r="AE71">
        <f t="shared" si="5"/>
        <v>22.419646074000003</v>
      </c>
      <c r="AF71" s="9"/>
      <c r="AG71" s="22">
        <v>0.20721400000000001</v>
      </c>
      <c r="AH71" s="22">
        <v>237.495</v>
      </c>
      <c r="AI71" s="22">
        <v>-1.6833500000000001E-2</v>
      </c>
      <c r="AJ71" s="22">
        <v>61</v>
      </c>
      <c r="AK71" s="22">
        <v>0.206512</v>
      </c>
      <c r="AL71">
        <f t="shared" si="6"/>
        <v>16.833500000000001</v>
      </c>
      <c r="AM71">
        <f t="shared" si="7"/>
        <v>3.4881368690000003</v>
      </c>
      <c r="AP71" s="9"/>
      <c r="AQ71" s="22">
        <v>1.46286</v>
      </c>
      <c r="AR71" s="22">
        <v>316.34899999999999</v>
      </c>
      <c r="AS71" s="22">
        <v>-1.5029900000000001E-2</v>
      </c>
      <c r="AT71" s="22">
        <v>61</v>
      </c>
      <c r="AU71" s="22">
        <v>1.4623999999999999</v>
      </c>
      <c r="AV71">
        <f t="shared" si="8"/>
        <v>15.029900000000001</v>
      </c>
      <c r="AW71">
        <f t="shared" si="9"/>
        <v>21.986639514000004</v>
      </c>
      <c r="AX71" s="9"/>
      <c r="AY71" s="22">
        <v>0.20721400000000001</v>
      </c>
      <c r="AZ71" s="22">
        <v>374.66</v>
      </c>
      <c r="BA71" s="22">
        <v>-1.68121E-2</v>
      </c>
      <c r="BB71" s="22">
        <v>61</v>
      </c>
      <c r="BC71" s="22">
        <v>0.20672599999999999</v>
      </c>
      <c r="BD71">
        <f t="shared" si="10"/>
        <v>16.812100000000001</v>
      </c>
      <c r="BE71">
        <f t="shared" si="11"/>
        <v>3.4837024894000002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1.4578199999999999</v>
      </c>
      <c r="H72" s="22">
        <v>45.611499999999999</v>
      </c>
      <c r="I72" s="22">
        <v>-1.54541E-2</v>
      </c>
      <c r="J72" s="22">
        <v>62</v>
      </c>
      <c r="K72" s="22">
        <v>1.4569099999999999</v>
      </c>
      <c r="L72">
        <f t="shared" si="0"/>
        <v>15.4541</v>
      </c>
      <c r="M72">
        <f t="shared" si="1"/>
        <v>22.529296062</v>
      </c>
      <c r="N72" s="9"/>
      <c r="O72" s="22">
        <v>0.21224999999999999</v>
      </c>
      <c r="P72" s="22">
        <v>109.934</v>
      </c>
      <c r="Q72" s="22">
        <v>-1.6876200000000001E-2</v>
      </c>
      <c r="R72" s="22">
        <v>62</v>
      </c>
      <c r="S72" s="22">
        <v>0.21151700000000001</v>
      </c>
      <c r="T72">
        <f t="shared" si="2"/>
        <v>16.876200000000001</v>
      </c>
      <c r="U72">
        <f t="shared" si="3"/>
        <v>3.58197345</v>
      </c>
      <c r="X72" s="9"/>
      <c r="Y72" s="22">
        <v>1.4578199999999999</v>
      </c>
      <c r="Z72" s="22">
        <v>180.06700000000001</v>
      </c>
      <c r="AA72" s="22">
        <v>-1.53534E-2</v>
      </c>
      <c r="AB72" s="22">
        <v>62</v>
      </c>
      <c r="AC72" s="22">
        <v>1.4575199999999999</v>
      </c>
      <c r="AD72">
        <f t="shared" si="4"/>
        <v>15.353399999999999</v>
      </c>
      <c r="AE72">
        <f t="shared" si="5"/>
        <v>22.382493587999996</v>
      </c>
      <c r="AF72" s="9"/>
      <c r="AG72" s="22">
        <v>0.21224999999999999</v>
      </c>
      <c r="AH72" s="22">
        <v>237.596</v>
      </c>
      <c r="AI72" s="22">
        <v>-1.6830399999999999E-2</v>
      </c>
      <c r="AJ72" s="22">
        <v>62</v>
      </c>
      <c r="AK72" s="22">
        <v>0.21151700000000001</v>
      </c>
      <c r="AL72">
        <f t="shared" si="6"/>
        <v>16.830399999999997</v>
      </c>
      <c r="AM72">
        <f t="shared" si="7"/>
        <v>3.5722523999999996</v>
      </c>
      <c r="AP72" s="9"/>
      <c r="AQ72" s="22">
        <v>1.4578199999999999</v>
      </c>
      <c r="AR72" s="22">
        <v>316.45</v>
      </c>
      <c r="AS72" s="22">
        <v>-1.50604E-2</v>
      </c>
      <c r="AT72" s="22">
        <v>62</v>
      </c>
      <c r="AU72" s="22">
        <v>1.4572099999999999</v>
      </c>
      <c r="AV72">
        <f t="shared" si="8"/>
        <v>15.0604</v>
      </c>
      <c r="AW72">
        <f t="shared" si="9"/>
        <v>21.955352327999996</v>
      </c>
      <c r="AX72" s="9"/>
      <c r="AY72" s="22">
        <v>0.21224999999999999</v>
      </c>
      <c r="AZ72" s="22">
        <v>374.76100000000002</v>
      </c>
      <c r="BA72" s="22">
        <v>-1.6802999999999998E-2</v>
      </c>
      <c r="BB72" s="22">
        <v>62</v>
      </c>
      <c r="BC72" s="22">
        <v>0.21145600000000001</v>
      </c>
      <c r="BD72">
        <f t="shared" si="10"/>
        <v>16.802999999999997</v>
      </c>
      <c r="BE72">
        <f t="shared" si="11"/>
        <v>3.5664367499999994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1.45279</v>
      </c>
      <c r="H73" s="22">
        <v>45.712200000000003</v>
      </c>
      <c r="I73" s="22">
        <v>-1.5457200000000001E-2</v>
      </c>
      <c r="J73" s="22">
        <v>63</v>
      </c>
      <c r="K73" s="22">
        <v>1.4514199999999999</v>
      </c>
      <c r="L73">
        <f t="shared" si="0"/>
        <v>15.4572</v>
      </c>
      <c r="M73">
        <f t="shared" si="1"/>
        <v>22.456065588000001</v>
      </c>
      <c r="N73" s="9"/>
      <c r="O73" s="22">
        <v>0.21728500000000001</v>
      </c>
      <c r="P73" s="22">
        <v>110.03400000000001</v>
      </c>
      <c r="Q73" s="22">
        <v>-1.6867099999999999E-2</v>
      </c>
      <c r="R73" s="22">
        <v>63</v>
      </c>
      <c r="S73" s="22">
        <v>0.216553</v>
      </c>
      <c r="T73">
        <f t="shared" si="2"/>
        <v>16.867100000000001</v>
      </c>
      <c r="U73">
        <f t="shared" si="3"/>
        <v>3.6649678235000001</v>
      </c>
      <c r="X73" s="9"/>
      <c r="Y73" s="22">
        <v>1.45279</v>
      </c>
      <c r="Z73" s="22">
        <v>180.167</v>
      </c>
      <c r="AA73" s="22">
        <v>-1.5344200000000001E-2</v>
      </c>
      <c r="AB73" s="22">
        <v>63</v>
      </c>
      <c r="AC73" s="22">
        <v>1.4517199999999999</v>
      </c>
      <c r="AD73">
        <f t="shared" si="4"/>
        <v>15.344200000000001</v>
      </c>
      <c r="AE73">
        <f t="shared" si="5"/>
        <v>22.291900318</v>
      </c>
      <c r="AF73" s="9"/>
      <c r="AG73" s="22">
        <v>0.21728500000000001</v>
      </c>
      <c r="AH73" s="22">
        <v>237.696</v>
      </c>
      <c r="AI73" s="22">
        <v>-1.6827399999999999E-2</v>
      </c>
      <c r="AJ73" s="22">
        <v>63</v>
      </c>
      <c r="AK73" s="22">
        <v>0.216614</v>
      </c>
      <c r="AL73">
        <f t="shared" si="6"/>
        <v>16.827400000000001</v>
      </c>
      <c r="AM73">
        <f t="shared" si="7"/>
        <v>3.6563416090000005</v>
      </c>
      <c r="AP73" s="9"/>
      <c r="AQ73" s="22">
        <v>1.45279</v>
      </c>
      <c r="AR73" s="22">
        <v>316.55099999999999</v>
      </c>
      <c r="AS73" s="22">
        <v>-1.51001E-2</v>
      </c>
      <c r="AT73" s="22">
        <v>63</v>
      </c>
      <c r="AU73" s="22">
        <v>1.4517199999999999</v>
      </c>
      <c r="AV73">
        <f t="shared" si="8"/>
        <v>15.100099999999999</v>
      </c>
      <c r="AW73">
        <f t="shared" si="9"/>
        <v>21.937274279</v>
      </c>
      <c r="AX73" s="9"/>
      <c r="AY73" s="22">
        <v>0.21728500000000001</v>
      </c>
      <c r="AZ73" s="22">
        <v>374.86099999999999</v>
      </c>
      <c r="BA73" s="22">
        <v>-1.67969E-2</v>
      </c>
      <c r="BB73" s="22">
        <v>63</v>
      </c>
      <c r="BC73" s="22">
        <v>0.21652199999999999</v>
      </c>
      <c r="BD73">
        <f t="shared" si="10"/>
        <v>16.796900000000001</v>
      </c>
      <c r="BE73">
        <f t="shared" si="11"/>
        <v>3.6497144165000002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1.4477500000000001</v>
      </c>
      <c r="H74" s="22">
        <v>45.812899999999999</v>
      </c>
      <c r="I74" s="22">
        <v>-1.54877E-2</v>
      </c>
      <c r="J74" s="22">
        <v>64</v>
      </c>
      <c r="K74" s="22">
        <v>1.4468399999999999</v>
      </c>
      <c r="L74">
        <f t="shared" si="0"/>
        <v>15.4877</v>
      </c>
      <c r="M74">
        <f t="shared" si="1"/>
        <v>22.422317675000002</v>
      </c>
      <c r="N74" s="9"/>
      <c r="O74" s="22">
        <v>0.22232099999999999</v>
      </c>
      <c r="P74" s="22">
        <v>110.13500000000001</v>
      </c>
      <c r="Q74" s="22">
        <v>-1.6864000000000001E-2</v>
      </c>
      <c r="R74" s="22">
        <v>64</v>
      </c>
      <c r="S74" s="22">
        <v>0.22158800000000001</v>
      </c>
      <c r="T74">
        <f t="shared" si="2"/>
        <v>16.864000000000001</v>
      </c>
      <c r="U74">
        <f t="shared" si="3"/>
        <v>3.749221344</v>
      </c>
      <c r="X74" s="9"/>
      <c r="Y74" s="22">
        <v>1.4477500000000001</v>
      </c>
      <c r="Z74" s="22">
        <v>180.268</v>
      </c>
      <c r="AA74" s="22">
        <v>-1.5356399999999999E-2</v>
      </c>
      <c r="AB74" s="22">
        <v>64</v>
      </c>
      <c r="AC74" s="22">
        <v>1.4468399999999999</v>
      </c>
      <c r="AD74">
        <f t="shared" si="4"/>
        <v>15.356399999999999</v>
      </c>
      <c r="AE74">
        <f t="shared" si="5"/>
        <v>22.2322281</v>
      </c>
      <c r="AF74" s="9"/>
      <c r="AG74" s="22">
        <v>0.22232099999999999</v>
      </c>
      <c r="AH74" s="22">
        <v>237.797</v>
      </c>
      <c r="AI74" s="22">
        <v>-1.6827399999999999E-2</v>
      </c>
      <c r="AJ74" s="22">
        <v>64</v>
      </c>
      <c r="AK74" s="22">
        <v>0.221802</v>
      </c>
      <c r="AL74">
        <f t="shared" si="6"/>
        <v>16.827400000000001</v>
      </c>
      <c r="AM74">
        <f t="shared" si="7"/>
        <v>3.7410843954000002</v>
      </c>
      <c r="AP74" s="9"/>
      <c r="AQ74" s="22">
        <v>1.4477500000000001</v>
      </c>
      <c r="AR74" s="22">
        <v>316.65100000000001</v>
      </c>
      <c r="AS74" s="22">
        <v>-1.51459E-2</v>
      </c>
      <c r="AT74" s="22">
        <v>64</v>
      </c>
      <c r="AU74" s="22">
        <v>1.4465300000000001</v>
      </c>
      <c r="AV74">
        <f t="shared" si="8"/>
        <v>15.145900000000001</v>
      </c>
      <c r="AW74">
        <f t="shared" si="9"/>
        <v>21.927476725000002</v>
      </c>
      <c r="AX74" s="9"/>
      <c r="AY74" s="22">
        <v>0.22232099999999999</v>
      </c>
      <c r="AZ74" s="22">
        <v>374.96199999999999</v>
      </c>
      <c r="BA74" s="22">
        <v>-1.6815199999999999E-2</v>
      </c>
      <c r="BB74" s="22">
        <v>64</v>
      </c>
      <c r="BC74" s="22">
        <v>0.22170999999999999</v>
      </c>
      <c r="BD74">
        <f t="shared" si="10"/>
        <v>16.815199999999997</v>
      </c>
      <c r="BE74">
        <f t="shared" si="11"/>
        <v>3.738372079199999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1.44272</v>
      </c>
      <c r="H75" s="22">
        <v>45.913600000000002</v>
      </c>
      <c r="I75" s="22">
        <v>-1.54968E-2</v>
      </c>
      <c r="J75" s="22">
        <v>65</v>
      </c>
      <c r="K75" s="22">
        <v>1.4422600000000001</v>
      </c>
      <c r="L75">
        <f t="shared" si="0"/>
        <v>15.4968</v>
      </c>
      <c r="M75">
        <f t="shared" si="1"/>
        <v>22.357543295999999</v>
      </c>
      <c r="N75" s="9"/>
      <c r="O75" s="22">
        <v>0.227356</v>
      </c>
      <c r="P75" s="22">
        <v>110.236</v>
      </c>
      <c r="Q75" s="22">
        <v>-1.6857899999999999E-2</v>
      </c>
      <c r="R75" s="22">
        <v>65</v>
      </c>
      <c r="S75" s="22">
        <v>0.226685</v>
      </c>
      <c r="T75">
        <f t="shared" si="2"/>
        <v>16.857899999999997</v>
      </c>
      <c r="U75">
        <f t="shared" si="3"/>
        <v>3.8327447123999994</v>
      </c>
      <c r="X75" s="9"/>
      <c r="Y75" s="22">
        <v>1.44272</v>
      </c>
      <c r="Z75" s="22">
        <v>180.369</v>
      </c>
      <c r="AA75" s="22">
        <v>-1.54083E-2</v>
      </c>
      <c r="AB75" s="22">
        <v>65</v>
      </c>
      <c r="AC75" s="22">
        <v>1.4413499999999999</v>
      </c>
      <c r="AD75">
        <f t="shared" si="4"/>
        <v>15.408300000000001</v>
      </c>
      <c r="AE75">
        <f t="shared" si="5"/>
        <v>22.229862576000002</v>
      </c>
      <c r="AF75" s="9"/>
      <c r="AG75" s="22">
        <v>0.227356</v>
      </c>
      <c r="AH75" s="22">
        <v>237.898</v>
      </c>
      <c r="AI75" s="22">
        <v>-1.6833500000000001E-2</v>
      </c>
      <c r="AJ75" s="22">
        <v>65</v>
      </c>
      <c r="AK75" s="22">
        <v>0.22644</v>
      </c>
      <c r="AL75">
        <f t="shared" si="6"/>
        <v>16.833500000000001</v>
      </c>
      <c r="AM75">
        <f t="shared" si="7"/>
        <v>3.827197226</v>
      </c>
      <c r="AP75" s="9"/>
      <c r="AQ75" s="22">
        <v>1.44272</v>
      </c>
      <c r="AR75" s="22">
        <v>316.75200000000001</v>
      </c>
      <c r="AS75" s="22">
        <v>-1.51611E-2</v>
      </c>
      <c r="AT75" s="22">
        <v>65</v>
      </c>
      <c r="AU75" s="22">
        <v>1.4416500000000001</v>
      </c>
      <c r="AV75">
        <f t="shared" si="8"/>
        <v>15.161100000000001</v>
      </c>
      <c r="AW75">
        <f t="shared" si="9"/>
        <v>21.873222192</v>
      </c>
      <c r="AX75" s="9"/>
      <c r="AY75" s="22">
        <v>0.227356</v>
      </c>
      <c r="AZ75" s="22">
        <v>375.06299999999999</v>
      </c>
      <c r="BA75" s="22">
        <v>-1.6802999999999998E-2</v>
      </c>
      <c r="BB75" s="22">
        <v>65</v>
      </c>
      <c r="BC75" s="22">
        <v>0.22656299999999999</v>
      </c>
      <c r="BD75">
        <f t="shared" si="10"/>
        <v>16.802999999999997</v>
      </c>
      <c r="BE75">
        <f t="shared" si="11"/>
        <v>3.8202628679999995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1.4376800000000001</v>
      </c>
      <c r="H76" s="22">
        <v>46.014299999999999</v>
      </c>
      <c r="I76" s="22">
        <v>-1.55304E-2</v>
      </c>
      <c r="J76" s="22">
        <v>66</v>
      </c>
      <c r="K76" s="22">
        <v>1.4367700000000001</v>
      </c>
      <c r="L76">
        <f t="shared" ref="L76:L139" si="12">-I76/$F$2*1000</f>
        <v>15.5304</v>
      </c>
      <c r="M76">
        <f t="shared" ref="M76:M139" si="13">L76*G76</f>
        <v>22.327745472</v>
      </c>
      <c r="N76" s="9"/>
      <c r="O76" s="22">
        <v>0.23239099999999999</v>
      </c>
      <c r="P76" s="22">
        <v>110.336</v>
      </c>
      <c r="Q76" s="22">
        <v>-1.6842699999999999E-2</v>
      </c>
      <c r="R76" s="22">
        <v>66</v>
      </c>
      <c r="S76" s="22">
        <v>0.23175000000000001</v>
      </c>
      <c r="T76">
        <f t="shared" ref="T76:T139" si="14">-Q76/$F$2*1000</f>
        <v>16.842699999999997</v>
      </c>
      <c r="U76">
        <f t="shared" ref="U76:U139" si="15">T76*O76</f>
        <v>3.914091895699999</v>
      </c>
      <c r="X76" s="9"/>
      <c r="Y76" s="22">
        <v>1.4376800000000001</v>
      </c>
      <c r="Z76" s="22">
        <v>180.46899999999999</v>
      </c>
      <c r="AA76" s="22">
        <v>-1.5457200000000001E-2</v>
      </c>
      <c r="AB76" s="22">
        <v>66</v>
      </c>
      <c r="AC76" s="22">
        <v>1.4364600000000001</v>
      </c>
      <c r="AD76">
        <f t="shared" ref="AD76:AD139" si="16">-AA76/$F$2*1000</f>
        <v>15.4572</v>
      </c>
      <c r="AE76">
        <f t="shared" ref="AE76:AE139" si="17">AD76*Y76</f>
        <v>22.222507296</v>
      </c>
      <c r="AF76" s="9"/>
      <c r="AG76" s="22">
        <v>0.23239099999999999</v>
      </c>
      <c r="AH76" s="22">
        <v>237.99799999999999</v>
      </c>
      <c r="AI76" s="22">
        <v>-1.6821300000000001E-2</v>
      </c>
      <c r="AJ76" s="22">
        <v>66</v>
      </c>
      <c r="AK76" s="22">
        <v>0.231628</v>
      </c>
      <c r="AL76">
        <f t="shared" ref="AL76:AL139" si="18">-AI76/$F$2*1000</f>
        <v>16.821300000000001</v>
      </c>
      <c r="AM76">
        <f t="shared" ref="AM76:AM139" si="19">AL76*AG76</f>
        <v>3.9091187283000002</v>
      </c>
      <c r="AP76" s="9"/>
      <c r="AQ76" s="22">
        <v>1.4376800000000001</v>
      </c>
      <c r="AR76" s="22">
        <v>316.85300000000001</v>
      </c>
      <c r="AS76" s="22">
        <v>-1.5191700000000001E-2</v>
      </c>
      <c r="AT76" s="22">
        <v>66</v>
      </c>
      <c r="AU76" s="22">
        <v>1.4370700000000001</v>
      </c>
      <c r="AV76">
        <f t="shared" ref="AV76:AV139" si="20">-AS76/$F$2*1000</f>
        <v>15.191700000000001</v>
      </c>
      <c r="AW76">
        <f t="shared" ref="AW76:AW139" si="21">AV76*AQ76</f>
        <v>21.840803256000001</v>
      </c>
      <c r="AX76" s="9"/>
      <c r="AY76" s="22">
        <v>0.23239099999999999</v>
      </c>
      <c r="AZ76" s="22">
        <v>375.16399999999999</v>
      </c>
      <c r="BA76" s="22">
        <v>-1.67969E-2</v>
      </c>
      <c r="BB76" s="22">
        <v>66</v>
      </c>
      <c r="BC76" s="22">
        <v>0.23181199999999999</v>
      </c>
      <c r="BD76">
        <f t="shared" ref="BD76:BD139" si="22">-BA76/$F$2*1000</f>
        <v>16.796900000000001</v>
      </c>
      <c r="BE76">
        <f t="shared" ref="BE76:BE139" si="23">BD76*AY76</f>
        <v>3.9034483879000001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1.43265</v>
      </c>
      <c r="H77" s="22">
        <v>46.115000000000002</v>
      </c>
      <c r="I77" s="22">
        <v>-1.55701E-2</v>
      </c>
      <c r="J77" s="22">
        <v>67</v>
      </c>
      <c r="K77" s="22">
        <v>1.4321900000000001</v>
      </c>
      <c r="L77">
        <f t="shared" si="12"/>
        <v>15.5701</v>
      </c>
      <c r="M77">
        <f t="shared" si="13"/>
        <v>22.306503764999999</v>
      </c>
      <c r="N77" s="9"/>
      <c r="O77" s="22">
        <v>0.237427</v>
      </c>
      <c r="P77" s="22">
        <v>110.437</v>
      </c>
      <c r="Q77" s="22">
        <v>-1.68518E-2</v>
      </c>
      <c r="R77" s="22">
        <v>67</v>
      </c>
      <c r="S77" s="22">
        <v>0.236877</v>
      </c>
      <c r="T77">
        <f t="shared" si="14"/>
        <v>16.851800000000001</v>
      </c>
      <c r="U77">
        <f t="shared" si="15"/>
        <v>4.0010723186000003</v>
      </c>
      <c r="X77" s="9"/>
      <c r="Y77" s="22">
        <v>1.43265</v>
      </c>
      <c r="Z77" s="22">
        <v>180.57</v>
      </c>
      <c r="AA77" s="22">
        <v>-1.5466300000000001E-2</v>
      </c>
      <c r="AB77" s="22">
        <v>67</v>
      </c>
      <c r="AC77" s="22">
        <v>1.43188</v>
      </c>
      <c r="AD77">
        <f t="shared" si="16"/>
        <v>15.4663</v>
      </c>
      <c r="AE77">
        <f t="shared" si="17"/>
        <v>22.157794695</v>
      </c>
      <c r="AF77" s="9"/>
      <c r="AG77" s="22">
        <v>0.237427</v>
      </c>
      <c r="AH77" s="22">
        <v>238.09899999999999</v>
      </c>
      <c r="AI77" s="22">
        <v>-1.6802999999999998E-2</v>
      </c>
      <c r="AJ77" s="22">
        <v>67</v>
      </c>
      <c r="AK77" s="22">
        <v>0.236847</v>
      </c>
      <c r="AL77">
        <f t="shared" si="18"/>
        <v>16.802999999999997</v>
      </c>
      <c r="AM77">
        <f t="shared" si="19"/>
        <v>3.9894858809999993</v>
      </c>
      <c r="AP77" s="9"/>
      <c r="AQ77" s="22">
        <v>1.43265</v>
      </c>
      <c r="AR77" s="22">
        <v>316.95299999999997</v>
      </c>
      <c r="AS77" s="22">
        <v>-1.5219099999999999E-2</v>
      </c>
      <c r="AT77" s="22">
        <v>67</v>
      </c>
      <c r="AU77" s="22">
        <v>1.4309700000000001</v>
      </c>
      <c r="AV77">
        <f t="shared" si="20"/>
        <v>15.219099999999999</v>
      </c>
      <c r="AW77">
        <f t="shared" si="21"/>
        <v>21.803643614999999</v>
      </c>
      <c r="AX77" s="9"/>
      <c r="AY77" s="22">
        <v>0.237427</v>
      </c>
      <c r="AZ77" s="22">
        <v>375.26400000000001</v>
      </c>
      <c r="BA77" s="22">
        <v>-1.67999E-2</v>
      </c>
      <c r="BB77" s="22">
        <v>67</v>
      </c>
      <c r="BC77" s="22">
        <v>0.23675499999999999</v>
      </c>
      <c r="BD77">
        <f t="shared" si="22"/>
        <v>16.799900000000001</v>
      </c>
      <c r="BE77">
        <f t="shared" si="23"/>
        <v>3.9887498573000002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1.42761</v>
      </c>
      <c r="H78" s="22">
        <v>46.215699999999998</v>
      </c>
      <c r="I78" s="22">
        <v>-1.55792E-2</v>
      </c>
      <c r="J78" s="22">
        <v>68</v>
      </c>
      <c r="K78" s="22">
        <v>1.42639</v>
      </c>
      <c r="L78">
        <f t="shared" si="12"/>
        <v>15.5792</v>
      </c>
      <c r="M78">
        <f t="shared" si="13"/>
        <v>22.241021712000002</v>
      </c>
      <c r="N78" s="9"/>
      <c r="O78" s="22">
        <v>0.24246200000000001</v>
      </c>
      <c r="P78" s="22">
        <v>110.538</v>
      </c>
      <c r="Q78" s="22">
        <v>-1.68518E-2</v>
      </c>
      <c r="R78" s="22">
        <v>68</v>
      </c>
      <c r="S78" s="22">
        <v>0.24185200000000001</v>
      </c>
      <c r="T78">
        <f t="shared" si="14"/>
        <v>16.851800000000001</v>
      </c>
      <c r="U78">
        <f t="shared" si="15"/>
        <v>4.0859211316000001</v>
      </c>
      <c r="X78" s="9"/>
      <c r="Y78" s="22">
        <v>1.42761</v>
      </c>
      <c r="Z78" s="22">
        <v>180.67099999999999</v>
      </c>
      <c r="AA78" s="22">
        <v>-1.54968E-2</v>
      </c>
      <c r="AB78" s="22">
        <v>68</v>
      </c>
      <c r="AC78" s="22">
        <v>1.4267000000000001</v>
      </c>
      <c r="AD78">
        <f t="shared" si="16"/>
        <v>15.4968</v>
      </c>
      <c r="AE78">
        <f t="shared" si="17"/>
        <v>22.123386648</v>
      </c>
      <c r="AF78" s="9"/>
      <c r="AG78" s="22">
        <v>0.24246200000000001</v>
      </c>
      <c r="AH78" s="22">
        <v>238.2</v>
      </c>
      <c r="AI78" s="22">
        <v>-1.68121E-2</v>
      </c>
      <c r="AJ78" s="22">
        <v>68</v>
      </c>
      <c r="AK78" s="22">
        <v>0.24179100000000001</v>
      </c>
      <c r="AL78">
        <f t="shared" si="18"/>
        <v>16.812100000000001</v>
      </c>
      <c r="AM78">
        <f t="shared" si="19"/>
        <v>4.0762953902000003</v>
      </c>
      <c r="AP78" s="9"/>
      <c r="AQ78" s="22">
        <v>1.42761</v>
      </c>
      <c r="AR78" s="22">
        <v>317.05399999999997</v>
      </c>
      <c r="AS78" s="22">
        <v>-1.5252699999999999E-2</v>
      </c>
      <c r="AT78" s="22">
        <v>68</v>
      </c>
      <c r="AU78" s="22">
        <v>1.4260900000000001</v>
      </c>
      <c r="AV78">
        <f t="shared" si="20"/>
        <v>15.252699999999999</v>
      </c>
      <c r="AW78">
        <f t="shared" si="21"/>
        <v>21.774907046999999</v>
      </c>
      <c r="AX78" s="9"/>
      <c r="AY78" s="22">
        <v>0.24246200000000001</v>
      </c>
      <c r="AZ78" s="22">
        <v>375.36500000000001</v>
      </c>
      <c r="BA78" s="22">
        <v>-1.6793800000000001E-2</v>
      </c>
      <c r="BB78" s="22">
        <v>68</v>
      </c>
      <c r="BC78" s="22">
        <v>0.24185200000000001</v>
      </c>
      <c r="BD78">
        <f t="shared" si="22"/>
        <v>16.793800000000001</v>
      </c>
      <c r="BE78">
        <f t="shared" si="23"/>
        <v>4.0718583356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1.42258</v>
      </c>
      <c r="H79" s="22">
        <v>46.316400000000002</v>
      </c>
      <c r="I79" s="22">
        <v>-1.5606699999999999E-2</v>
      </c>
      <c r="J79" s="22">
        <v>69</v>
      </c>
      <c r="K79" s="22">
        <v>1.42242</v>
      </c>
      <c r="L79">
        <f t="shared" si="12"/>
        <v>15.6067</v>
      </c>
      <c r="M79">
        <f t="shared" si="13"/>
        <v>22.201779286000001</v>
      </c>
      <c r="N79" s="9"/>
      <c r="O79" s="22">
        <v>0.247498</v>
      </c>
      <c r="P79" s="22">
        <v>110.63800000000001</v>
      </c>
      <c r="Q79" s="22">
        <v>-1.6854899999999999E-2</v>
      </c>
      <c r="R79" s="22">
        <v>69</v>
      </c>
      <c r="S79" s="22">
        <v>0.24685699999999999</v>
      </c>
      <c r="T79">
        <f t="shared" si="14"/>
        <v>16.854900000000001</v>
      </c>
      <c r="U79">
        <f t="shared" si="15"/>
        <v>4.1715540402000002</v>
      </c>
      <c r="X79" s="9"/>
      <c r="Y79" s="22">
        <v>1.42258</v>
      </c>
      <c r="Z79" s="22">
        <v>180.77199999999999</v>
      </c>
      <c r="AA79" s="22">
        <v>-1.54816E-2</v>
      </c>
      <c r="AB79" s="22">
        <v>69</v>
      </c>
      <c r="AC79" s="22">
        <v>1.4221200000000001</v>
      </c>
      <c r="AD79">
        <f t="shared" si="16"/>
        <v>15.4816</v>
      </c>
      <c r="AE79">
        <f t="shared" si="17"/>
        <v>22.023814527999999</v>
      </c>
      <c r="AF79" s="9"/>
      <c r="AG79" s="22">
        <v>0.247498</v>
      </c>
      <c r="AH79" s="22">
        <v>238.3</v>
      </c>
      <c r="AI79" s="22">
        <v>-1.6806000000000001E-2</v>
      </c>
      <c r="AJ79" s="22">
        <v>69</v>
      </c>
      <c r="AK79" s="22">
        <v>0.24676500000000001</v>
      </c>
      <c r="AL79">
        <f t="shared" si="18"/>
        <v>16.806000000000001</v>
      </c>
      <c r="AM79">
        <f t="shared" si="19"/>
        <v>4.1594513879999999</v>
      </c>
      <c r="AP79" s="9"/>
      <c r="AQ79" s="22">
        <v>1.42258</v>
      </c>
      <c r="AR79" s="22">
        <v>317.15499999999997</v>
      </c>
      <c r="AS79" s="22">
        <v>-1.52771E-2</v>
      </c>
      <c r="AT79" s="22">
        <v>69</v>
      </c>
      <c r="AU79" s="22">
        <v>1.42181</v>
      </c>
      <c r="AV79">
        <f t="shared" si="20"/>
        <v>15.277100000000001</v>
      </c>
      <c r="AW79">
        <f t="shared" si="21"/>
        <v>21.732896918000002</v>
      </c>
      <c r="AX79" s="9"/>
      <c r="AY79" s="22">
        <v>0.247498</v>
      </c>
      <c r="AZ79" s="22">
        <v>375.46600000000001</v>
      </c>
      <c r="BA79" s="22">
        <v>-1.67999E-2</v>
      </c>
      <c r="BB79" s="22">
        <v>69</v>
      </c>
      <c r="BC79" s="22">
        <v>0.24673500000000001</v>
      </c>
      <c r="BD79">
        <f t="shared" si="22"/>
        <v>16.799900000000001</v>
      </c>
      <c r="BE79">
        <f t="shared" si="23"/>
        <v>4.1579416501999997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1.41754</v>
      </c>
      <c r="H80" s="22">
        <v>46.417200000000001</v>
      </c>
      <c r="I80" s="22">
        <v>-1.5625E-2</v>
      </c>
      <c r="J80" s="22">
        <v>70</v>
      </c>
      <c r="K80" s="22">
        <v>1.4166300000000001</v>
      </c>
      <c r="L80">
        <f t="shared" si="12"/>
        <v>15.625</v>
      </c>
      <c r="M80">
        <f t="shared" si="13"/>
        <v>22.149062499999999</v>
      </c>
      <c r="N80" s="9"/>
      <c r="O80" s="22">
        <v>0.25253300000000001</v>
      </c>
      <c r="P80" s="22">
        <v>110.739</v>
      </c>
      <c r="Q80" s="22">
        <v>-1.6848800000000001E-2</v>
      </c>
      <c r="R80" s="22">
        <v>70</v>
      </c>
      <c r="S80" s="22">
        <v>0.25207499999999999</v>
      </c>
      <c r="T80">
        <f t="shared" si="14"/>
        <v>16.848800000000001</v>
      </c>
      <c r="U80">
        <f t="shared" si="15"/>
        <v>4.2548780104000006</v>
      </c>
      <c r="X80" s="9"/>
      <c r="Y80" s="22">
        <v>1.41754</v>
      </c>
      <c r="Z80" s="22">
        <v>180.87200000000001</v>
      </c>
      <c r="AA80" s="22">
        <v>-1.55151E-2</v>
      </c>
      <c r="AB80" s="22">
        <v>70</v>
      </c>
      <c r="AC80" s="22">
        <v>1.4166300000000001</v>
      </c>
      <c r="AD80">
        <f t="shared" si="16"/>
        <v>15.5151</v>
      </c>
      <c r="AE80">
        <f t="shared" si="17"/>
        <v>21.993274853999999</v>
      </c>
      <c r="AF80" s="9"/>
      <c r="AG80" s="22">
        <v>0.25253300000000001</v>
      </c>
      <c r="AH80" s="22">
        <v>238.40100000000001</v>
      </c>
      <c r="AI80" s="22">
        <v>-1.67999E-2</v>
      </c>
      <c r="AJ80" s="22">
        <v>70</v>
      </c>
      <c r="AK80" s="22">
        <v>0.25170900000000002</v>
      </c>
      <c r="AL80">
        <f t="shared" si="18"/>
        <v>16.799900000000001</v>
      </c>
      <c r="AM80">
        <f t="shared" si="19"/>
        <v>4.2425291466999999</v>
      </c>
      <c r="AP80" s="9"/>
      <c r="AQ80" s="22">
        <v>1.41754</v>
      </c>
      <c r="AR80" s="22">
        <v>317.255</v>
      </c>
      <c r="AS80" s="22">
        <v>-1.5301500000000001E-2</v>
      </c>
      <c r="AT80" s="22">
        <v>70</v>
      </c>
      <c r="AU80" s="22">
        <v>1.41693</v>
      </c>
      <c r="AV80">
        <f t="shared" si="20"/>
        <v>15.301500000000001</v>
      </c>
      <c r="AW80">
        <f t="shared" si="21"/>
        <v>21.690488310000003</v>
      </c>
      <c r="AX80" s="9"/>
      <c r="AY80" s="22">
        <v>0.25253300000000001</v>
      </c>
      <c r="AZ80" s="22">
        <v>375.56599999999997</v>
      </c>
      <c r="BA80" s="22">
        <v>-1.67999E-2</v>
      </c>
      <c r="BB80" s="22">
        <v>70</v>
      </c>
      <c r="BC80" s="22">
        <v>0.25176999999999999</v>
      </c>
      <c r="BD80">
        <f t="shared" si="22"/>
        <v>16.799900000000001</v>
      </c>
      <c r="BE80">
        <f t="shared" si="23"/>
        <v>4.2425291466999999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1.4125099999999999</v>
      </c>
      <c r="H81" s="22">
        <v>46.517899999999997</v>
      </c>
      <c r="I81" s="22">
        <v>-1.5625E-2</v>
      </c>
      <c r="J81" s="22">
        <v>71</v>
      </c>
      <c r="K81" s="22">
        <v>1.41205</v>
      </c>
      <c r="L81">
        <f t="shared" si="12"/>
        <v>15.625</v>
      </c>
      <c r="M81">
        <f t="shared" si="13"/>
        <v>22.07046875</v>
      </c>
      <c r="N81" s="9"/>
      <c r="O81" s="22">
        <v>0.25756800000000002</v>
      </c>
      <c r="P81" s="22">
        <v>110.84</v>
      </c>
      <c r="Q81" s="22">
        <v>-1.6848800000000001E-2</v>
      </c>
      <c r="R81" s="22">
        <v>71</v>
      </c>
      <c r="S81" s="22">
        <v>0.25683600000000001</v>
      </c>
      <c r="T81">
        <f t="shared" si="14"/>
        <v>16.848800000000001</v>
      </c>
      <c r="U81">
        <f t="shared" si="15"/>
        <v>4.3397117184000003</v>
      </c>
      <c r="X81" s="9"/>
      <c r="Y81" s="22">
        <v>1.4125099999999999</v>
      </c>
      <c r="Z81" s="22">
        <v>180.97300000000001</v>
      </c>
      <c r="AA81" s="22">
        <v>-1.5521200000000001E-2</v>
      </c>
      <c r="AB81" s="22">
        <v>71</v>
      </c>
      <c r="AC81" s="22">
        <v>1.41174</v>
      </c>
      <c r="AD81">
        <f t="shared" si="16"/>
        <v>15.5212</v>
      </c>
      <c r="AE81">
        <f t="shared" si="17"/>
        <v>21.923850211999998</v>
      </c>
      <c r="AF81" s="9"/>
      <c r="AG81" s="22">
        <v>0.25756800000000002</v>
      </c>
      <c r="AH81" s="22">
        <v>238.50200000000001</v>
      </c>
      <c r="AI81" s="22">
        <v>-1.6787699999999999E-2</v>
      </c>
      <c r="AJ81" s="22">
        <v>71</v>
      </c>
      <c r="AK81" s="22">
        <v>0.25677499999999998</v>
      </c>
      <c r="AL81">
        <f t="shared" si="18"/>
        <v>16.787699999999997</v>
      </c>
      <c r="AM81">
        <f t="shared" si="19"/>
        <v>4.3239743136</v>
      </c>
      <c r="AP81" s="9"/>
      <c r="AQ81" s="22">
        <v>1.4125099999999999</v>
      </c>
      <c r="AR81" s="22">
        <v>317.35599999999999</v>
      </c>
      <c r="AS81" s="22">
        <v>-1.53229E-2</v>
      </c>
      <c r="AT81" s="22">
        <v>71</v>
      </c>
      <c r="AU81" s="22">
        <v>1.41144</v>
      </c>
      <c r="AV81">
        <f t="shared" si="20"/>
        <v>15.322900000000001</v>
      </c>
      <c r="AW81">
        <f t="shared" si="21"/>
        <v>21.643749479</v>
      </c>
      <c r="AX81" s="9"/>
      <c r="AY81" s="22">
        <v>0.25756800000000002</v>
      </c>
      <c r="AZ81" s="22">
        <v>375.66699999999997</v>
      </c>
      <c r="BA81" s="22">
        <v>-1.67847E-2</v>
      </c>
      <c r="BB81" s="22">
        <v>71</v>
      </c>
      <c r="BC81" s="22">
        <v>0.256714</v>
      </c>
      <c r="BD81">
        <f t="shared" si="22"/>
        <v>16.784700000000001</v>
      </c>
      <c r="BE81">
        <f t="shared" si="23"/>
        <v>4.3232016096000008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1.40747</v>
      </c>
      <c r="H82" s="22">
        <v>46.618600000000001</v>
      </c>
      <c r="I82" s="22">
        <v>-1.56647E-2</v>
      </c>
      <c r="J82" s="22">
        <v>72</v>
      </c>
      <c r="K82" s="22">
        <v>1.40656</v>
      </c>
      <c r="L82">
        <f t="shared" si="12"/>
        <v>15.6647</v>
      </c>
      <c r="M82">
        <f t="shared" si="13"/>
        <v>22.047595308999998</v>
      </c>
      <c r="N82" s="9"/>
      <c r="O82" s="22">
        <v>0.262604</v>
      </c>
      <c r="P82" s="22">
        <v>110.941</v>
      </c>
      <c r="Q82" s="22">
        <v>-1.6836500000000001E-2</v>
      </c>
      <c r="R82" s="22">
        <v>72</v>
      </c>
      <c r="S82" s="22">
        <v>0.26190200000000002</v>
      </c>
      <c r="T82">
        <f t="shared" si="14"/>
        <v>16.836500000000001</v>
      </c>
      <c r="U82">
        <f t="shared" si="15"/>
        <v>4.4213322460000004</v>
      </c>
      <c r="X82" s="9"/>
      <c r="Y82" s="22">
        <v>1.40747</v>
      </c>
      <c r="Z82" s="22">
        <v>181.07400000000001</v>
      </c>
      <c r="AA82" s="22">
        <v>-1.5566999999999999E-2</v>
      </c>
      <c r="AB82" s="22">
        <v>72</v>
      </c>
      <c r="AC82" s="22">
        <v>1.40656</v>
      </c>
      <c r="AD82">
        <f t="shared" si="16"/>
        <v>15.566999999999998</v>
      </c>
      <c r="AE82">
        <f t="shared" si="17"/>
        <v>21.910085489999997</v>
      </c>
      <c r="AF82" s="9"/>
      <c r="AG82" s="22">
        <v>0.262604</v>
      </c>
      <c r="AH82" s="22">
        <v>238.60300000000001</v>
      </c>
      <c r="AI82" s="22">
        <v>-1.68091E-2</v>
      </c>
      <c r="AJ82" s="22">
        <v>72</v>
      </c>
      <c r="AK82" s="22">
        <v>0.261932</v>
      </c>
      <c r="AL82">
        <f t="shared" si="18"/>
        <v>16.809100000000001</v>
      </c>
      <c r="AM82">
        <f t="shared" si="19"/>
        <v>4.4141368964000005</v>
      </c>
      <c r="AP82" s="9"/>
      <c r="AQ82" s="22">
        <v>1.40747</v>
      </c>
      <c r="AR82" s="22">
        <v>317.45699999999999</v>
      </c>
      <c r="AS82" s="22">
        <v>-1.53534E-2</v>
      </c>
      <c r="AT82" s="22">
        <v>72</v>
      </c>
      <c r="AU82" s="22">
        <v>1.40686</v>
      </c>
      <c r="AV82">
        <f t="shared" si="20"/>
        <v>15.353399999999999</v>
      </c>
      <c r="AW82">
        <f t="shared" si="21"/>
        <v>21.609449897999998</v>
      </c>
      <c r="AX82" s="9"/>
      <c r="AY82" s="22">
        <v>0.262604</v>
      </c>
      <c r="AZ82" s="22">
        <v>375.76799999999997</v>
      </c>
      <c r="BA82" s="22">
        <v>-1.6790800000000002E-2</v>
      </c>
      <c r="BB82" s="22">
        <v>72</v>
      </c>
      <c r="BC82" s="22">
        <v>0.26199299999999998</v>
      </c>
      <c r="BD82">
        <f t="shared" si="22"/>
        <v>16.790800000000001</v>
      </c>
      <c r="BE82">
        <f t="shared" si="23"/>
        <v>4.4093312432000005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1.4024399999999999</v>
      </c>
      <c r="H83" s="22">
        <v>46.719299999999997</v>
      </c>
      <c r="I83" s="22">
        <v>-1.5676900000000001E-2</v>
      </c>
      <c r="J83" s="22">
        <v>73</v>
      </c>
      <c r="K83" s="22">
        <v>1.40167</v>
      </c>
      <c r="L83">
        <f t="shared" si="12"/>
        <v>15.6769</v>
      </c>
      <c r="M83">
        <f t="shared" si="13"/>
        <v>21.985911635999997</v>
      </c>
      <c r="N83" s="9"/>
      <c r="O83" s="22">
        <v>0.26763900000000002</v>
      </c>
      <c r="P83" s="22">
        <v>111.041</v>
      </c>
      <c r="Q83" s="22">
        <v>-1.6848800000000001E-2</v>
      </c>
      <c r="R83" s="22">
        <v>73</v>
      </c>
      <c r="S83" s="22">
        <v>0.26696799999999998</v>
      </c>
      <c r="T83">
        <f t="shared" si="14"/>
        <v>16.848800000000001</v>
      </c>
      <c r="U83">
        <f t="shared" si="15"/>
        <v>4.5093959832000001</v>
      </c>
      <c r="X83" s="9"/>
      <c r="Y83" s="22">
        <v>1.4024399999999999</v>
      </c>
      <c r="Z83" s="22">
        <v>181.17400000000001</v>
      </c>
      <c r="AA83" s="22">
        <v>-1.5594500000000001E-2</v>
      </c>
      <c r="AB83" s="22">
        <v>73</v>
      </c>
      <c r="AC83" s="22">
        <v>1.40198</v>
      </c>
      <c r="AD83">
        <f t="shared" si="16"/>
        <v>15.5945</v>
      </c>
      <c r="AE83">
        <f t="shared" si="17"/>
        <v>21.87035058</v>
      </c>
      <c r="AF83" s="9"/>
      <c r="AG83" s="22">
        <v>0.26763900000000002</v>
      </c>
      <c r="AH83" s="22">
        <v>238.703</v>
      </c>
      <c r="AI83" s="22">
        <v>-1.6790800000000002E-2</v>
      </c>
      <c r="AJ83" s="22">
        <v>73</v>
      </c>
      <c r="AK83" s="22">
        <v>0.26690700000000001</v>
      </c>
      <c r="AL83">
        <f t="shared" si="18"/>
        <v>16.790800000000001</v>
      </c>
      <c r="AM83">
        <f t="shared" si="19"/>
        <v>4.4938729212000004</v>
      </c>
      <c r="AP83" s="9"/>
      <c r="AQ83" s="22">
        <v>1.4024399999999999</v>
      </c>
      <c r="AR83" s="22">
        <v>317.55799999999999</v>
      </c>
      <c r="AS83" s="22">
        <v>-1.5380899999999999E-2</v>
      </c>
      <c r="AT83" s="22">
        <v>73</v>
      </c>
      <c r="AU83" s="22">
        <v>1.40198</v>
      </c>
      <c r="AV83">
        <f t="shared" si="20"/>
        <v>15.380899999999999</v>
      </c>
      <c r="AW83">
        <f t="shared" si="21"/>
        <v>21.570789395999995</v>
      </c>
      <c r="AX83" s="9"/>
      <c r="AY83" s="22">
        <v>0.26763900000000002</v>
      </c>
      <c r="AZ83" s="22">
        <v>375.86900000000003</v>
      </c>
      <c r="BA83" s="22">
        <v>-1.6790800000000002E-2</v>
      </c>
      <c r="BB83" s="22">
        <v>73</v>
      </c>
      <c r="BC83" s="22">
        <v>0.26690700000000001</v>
      </c>
      <c r="BD83">
        <f t="shared" si="22"/>
        <v>16.790800000000001</v>
      </c>
      <c r="BE83">
        <f t="shared" si="23"/>
        <v>4.4938729212000004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1.3974</v>
      </c>
      <c r="H84" s="22">
        <v>46.82</v>
      </c>
      <c r="I84" s="22">
        <v>-1.5701300000000001E-2</v>
      </c>
      <c r="J84" s="22">
        <v>74</v>
      </c>
      <c r="K84" s="22">
        <v>1.3964799999999999</v>
      </c>
      <c r="L84">
        <f t="shared" si="12"/>
        <v>15.701300000000002</v>
      </c>
      <c r="M84">
        <f t="shared" si="13"/>
        <v>21.940996620000004</v>
      </c>
      <c r="N84" s="9"/>
      <c r="O84" s="22">
        <v>0.272675</v>
      </c>
      <c r="P84" s="22">
        <v>111.142</v>
      </c>
      <c r="Q84" s="22">
        <v>-1.6848800000000001E-2</v>
      </c>
      <c r="R84" s="22">
        <v>74</v>
      </c>
      <c r="S84" s="22">
        <v>0.27200299999999999</v>
      </c>
      <c r="T84">
        <f t="shared" si="14"/>
        <v>16.848800000000001</v>
      </c>
      <c r="U84">
        <f t="shared" si="15"/>
        <v>4.5942465400000003</v>
      </c>
      <c r="X84" s="9"/>
      <c r="Y84" s="22">
        <v>1.3974</v>
      </c>
      <c r="Z84" s="22">
        <v>181.27500000000001</v>
      </c>
      <c r="AA84" s="22">
        <v>-1.5609700000000001E-2</v>
      </c>
      <c r="AB84" s="22">
        <v>74</v>
      </c>
      <c r="AC84" s="22">
        <v>1.3970899999999999</v>
      </c>
      <c r="AD84">
        <f t="shared" si="16"/>
        <v>15.6097</v>
      </c>
      <c r="AE84">
        <f t="shared" si="17"/>
        <v>21.81299478</v>
      </c>
      <c r="AF84" s="9"/>
      <c r="AG84" s="22">
        <v>0.272675</v>
      </c>
      <c r="AH84" s="22">
        <v>238.804</v>
      </c>
      <c r="AI84" s="22">
        <v>-1.6787699999999999E-2</v>
      </c>
      <c r="AJ84" s="22">
        <v>74</v>
      </c>
      <c r="AK84" s="22">
        <v>0.27194200000000002</v>
      </c>
      <c r="AL84">
        <f t="shared" si="18"/>
        <v>16.787699999999997</v>
      </c>
      <c r="AM84">
        <f t="shared" si="19"/>
        <v>4.5775860974999993</v>
      </c>
      <c r="AP84" s="9"/>
      <c r="AQ84" s="22">
        <v>1.3974</v>
      </c>
      <c r="AR84" s="22">
        <v>317.65800000000002</v>
      </c>
      <c r="AS84" s="22">
        <v>-1.54053E-2</v>
      </c>
      <c r="AT84" s="22">
        <v>74</v>
      </c>
      <c r="AU84" s="22">
        <v>1.39618</v>
      </c>
      <c r="AV84">
        <f t="shared" si="20"/>
        <v>15.4053</v>
      </c>
      <c r="AW84">
        <f t="shared" si="21"/>
        <v>21.527366220000001</v>
      </c>
      <c r="AX84" s="9"/>
      <c r="AY84" s="22">
        <v>0.272675</v>
      </c>
      <c r="AZ84" s="22">
        <v>375.96899999999999</v>
      </c>
      <c r="BA84" s="22">
        <v>-1.6787699999999999E-2</v>
      </c>
      <c r="BB84" s="22">
        <v>74</v>
      </c>
      <c r="BC84" s="22">
        <v>0.27212500000000001</v>
      </c>
      <c r="BD84">
        <f t="shared" si="22"/>
        <v>16.787699999999997</v>
      </c>
      <c r="BE84">
        <f t="shared" si="23"/>
        <v>4.5775860974999993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1.39236</v>
      </c>
      <c r="H85" s="22">
        <v>46.920699999999997</v>
      </c>
      <c r="I85" s="22">
        <v>-1.5725699999999999E-2</v>
      </c>
      <c r="J85" s="22">
        <v>75</v>
      </c>
      <c r="K85" s="22">
        <v>1.3909899999999999</v>
      </c>
      <c r="L85">
        <f t="shared" si="12"/>
        <v>15.725699999999998</v>
      </c>
      <c r="M85">
        <f t="shared" si="13"/>
        <v>21.895835651999999</v>
      </c>
      <c r="N85" s="9"/>
      <c r="O85" s="22">
        <v>0.27771000000000001</v>
      </c>
      <c r="P85" s="22">
        <v>111.24299999999999</v>
      </c>
      <c r="Q85" s="22">
        <v>-1.68396E-2</v>
      </c>
      <c r="R85" s="22">
        <v>75</v>
      </c>
      <c r="S85" s="22">
        <v>0.27700799999999998</v>
      </c>
      <c r="T85">
        <f t="shared" si="14"/>
        <v>16.839600000000001</v>
      </c>
      <c r="U85">
        <f t="shared" si="15"/>
        <v>4.6765253160000002</v>
      </c>
      <c r="X85" s="9"/>
      <c r="Y85" s="22">
        <v>1.39236</v>
      </c>
      <c r="Z85" s="22">
        <v>181.376</v>
      </c>
      <c r="AA85" s="22">
        <v>-1.5628099999999999E-2</v>
      </c>
      <c r="AB85" s="22">
        <v>75</v>
      </c>
      <c r="AC85" s="22">
        <v>1.3913</v>
      </c>
      <c r="AD85">
        <f t="shared" si="16"/>
        <v>15.628099999999998</v>
      </c>
      <c r="AE85">
        <f t="shared" si="17"/>
        <v>21.759941315999999</v>
      </c>
      <c r="AF85" s="9"/>
      <c r="AG85" s="22">
        <v>0.27771000000000001</v>
      </c>
      <c r="AH85" s="22">
        <v>238.905</v>
      </c>
      <c r="AI85" s="22">
        <v>-1.67999E-2</v>
      </c>
      <c r="AJ85" s="22">
        <v>75</v>
      </c>
      <c r="AK85" s="22">
        <v>0.276978</v>
      </c>
      <c r="AL85">
        <f t="shared" si="18"/>
        <v>16.799900000000001</v>
      </c>
      <c r="AM85">
        <f t="shared" si="19"/>
        <v>4.6655002290000001</v>
      </c>
      <c r="AP85" s="9"/>
      <c r="AQ85" s="22">
        <v>1.39236</v>
      </c>
      <c r="AR85" s="22">
        <v>317.75900000000001</v>
      </c>
      <c r="AS85" s="22">
        <v>-1.54358E-2</v>
      </c>
      <c r="AT85" s="22">
        <v>75</v>
      </c>
      <c r="AU85" s="22">
        <v>1.3915999999999999</v>
      </c>
      <c r="AV85">
        <f t="shared" si="20"/>
        <v>15.4358</v>
      </c>
      <c r="AW85">
        <f t="shared" si="21"/>
        <v>21.492190488000002</v>
      </c>
      <c r="AX85" s="9"/>
      <c r="AY85" s="22">
        <v>0.27771000000000001</v>
      </c>
      <c r="AZ85" s="22">
        <v>376.07</v>
      </c>
      <c r="BA85" s="22">
        <v>-1.6778600000000001E-2</v>
      </c>
      <c r="BB85" s="22">
        <v>75</v>
      </c>
      <c r="BC85" s="22">
        <v>0.276947</v>
      </c>
      <c r="BD85">
        <f t="shared" si="22"/>
        <v>16.778600000000001</v>
      </c>
      <c r="BE85">
        <f t="shared" si="23"/>
        <v>4.6595850060000004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1.38733</v>
      </c>
      <c r="H86" s="22">
        <v>47.0214</v>
      </c>
      <c r="I86" s="22">
        <v>-1.5756200000000001E-2</v>
      </c>
      <c r="J86" s="22">
        <v>76</v>
      </c>
      <c r="K86" s="22">
        <v>1.3870199999999999</v>
      </c>
      <c r="L86">
        <f t="shared" si="12"/>
        <v>15.756200000000002</v>
      </c>
      <c r="M86">
        <f t="shared" si="13"/>
        <v>21.859048946000001</v>
      </c>
      <c r="N86" s="9"/>
      <c r="O86" s="22">
        <v>0.28274500000000002</v>
      </c>
      <c r="P86" s="22">
        <v>111.343</v>
      </c>
      <c r="Q86" s="22">
        <v>-1.6833500000000001E-2</v>
      </c>
      <c r="R86" s="22">
        <v>76</v>
      </c>
      <c r="S86" s="22">
        <v>0.28207399999999999</v>
      </c>
      <c r="T86">
        <f t="shared" si="14"/>
        <v>16.833500000000001</v>
      </c>
      <c r="U86">
        <f t="shared" si="15"/>
        <v>4.7595879575000009</v>
      </c>
      <c r="X86" s="9"/>
      <c r="Y86" s="22">
        <v>1.38733</v>
      </c>
      <c r="Z86" s="22">
        <v>181.477</v>
      </c>
      <c r="AA86" s="22">
        <v>-1.5615800000000001E-2</v>
      </c>
      <c r="AB86" s="22">
        <v>76</v>
      </c>
      <c r="AC86" s="22">
        <v>1.38611</v>
      </c>
      <c r="AD86">
        <f t="shared" si="16"/>
        <v>15.6158</v>
      </c>
      <c r="AE86">
        <f t="shared" si="17"/>
        <v>21.664267813999999</v>
      </c>
      <c r="AF86" s="9"/>
      <c r="AG86" s="22">
        <v>0.28274500000000002</v>
      </c>
      <c r="AH86" s="22">
        <v>239.005</v>
      </c>
      <c r="AI86" s="22">
        <v>-1.6775499999999999E-2</v>
      </c>
      <c r="AJ86" s="22">
        <v>76</v>
      </c>
      <c r="AK86" s="22">
        <v>0.28195199999999998</v>
      </c>
      <c r="AL86">
        <f t="shared" si="18"/>
        <v>16.775499999999997</v>
      </c>
      <c r="AM86">
        <f t="shared" si="19"/>
        <v>4.7431887474999996</v>
      </c>
      <c r="AP86" s="9"/>
      <c r="AQ86" s="22">
        <v>1.38733</v>
      </c>
      <c r="AR86" s="22">
        <v>317.86</v>
      </c>
      <c r="AS86" s="22">
        <v>-1.5457200000000001E-2</v>
      </c>
      <c r="AT86" s="22">
        <v>76</v>
      </c>
      <c r="AU86" s="22">
        <v>1.3857999999999999</v>
      </c>
      <c r="AV86">
        <f t="shared" si="20"/>
        <v>15.4572</v>
      </c>
      <c r="AW86">
        <f t="shared" si="21"/>
        <v>21.444237275999999</v>
      </c>
      <c r="AX86" s="9"/>
      <c r="AY86" s="22">
        <v>0.28274500000000002</v>
      </c>
      <c r="AZ86" s="22">
        <v>376.17099999999999</v>
      </c>
      <c r="BA86" s="22">
        <v>-1.67694E-2</v>
      </c>
      <c r="BB86" s="22">
        <v>76</v>
      </c>
      <c r="BC86" s="22">
        <v>0.28170800000000001</v>
      </c>
      <c r="BD86">
        <f t="shared" si="22"/>
        <v>16.769400000000001</v>
      </c>
      <c r="BE86">
        <f t="shared" si="23"/>
        <v>4.7414640030000008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1.38229</v>
      </c>
      <c r="H87" s="22">
        <v>47.122100000000003</v>
      </c>
      <c r="I87" s="22">
        <v>-1.5786700000000001E-2</v>
      </c>
      <c r="J87" s="22">
        <v>77</v>
      </c>
      <c r="K87" s="22">
        <v>1.3815299999999999</v>
      </c>
      <c r="L87">
        <f t="shared" si="12"/>
        <v>15.786700000000002</v>
      </c>
      <c r="M87">
        <f t="shared" si="13"/>
        <v>21.821797543000002</v>
      </c>
      <c r="N87" s="9"/>
      <c r="O87" s="22">
        <v>0.28778100000000001</v>
      </c>
      <c r="P87" s="22">
        <v>111.444</v>
      </c>
      <c r="Q87" s="22">
        <v>-1.6821300000000001E-2</v>
      </c>
      <c r="R87" s="22">
        <v>77</v>
      </c>
      <c r="S87" s="22">
        <v>0.28707899999999997</v>
      </c>
      <c r="T87">
        <f t="shared" si="14"/>
        <v>16.821300000000001</v>
      </c>
      <c r="U87">
        <f t="shared" si="15"/>
        <v>4.8408505353000004</v>
      </c>
      <c r="X87" s="9"/>
      <c r="Y87" s="22">
        <v>1.38229</v>
      </c>
      <c r="Z87" s="22">
        <v>181.577</v>
      </c>
      <c r="AA87" s="22">
        <v>-1.5649400000000001E-2</v>
      </c>
      <c r="AB87" s="22">
        <v>77</v>
      </c>
      <c r="AC87" s="22">
        <v>1.38184</v>
      </c>
      <c r="AD87">
        <f t="shared" si="16"/>
        <v>15.6494</v>
      </c>
      <c r="AE87">
        <f t="shared" si="17"/>
        <v>21.632009126</v>
      </c>
      <c r="AF87" s="9"/>
      <c r="AG87" s="22">
        <v>0.28778100000000001</v>
      </c>
      <c r="AH87" s="22">
        <v>239.10599999999999</v>
      </c>
      <c r="AI87" s="22">
        <v>-1.6763299999999998E-2</v>
      </c>
      <c r="AJ87" s="22">
        <v>77</v>
      </c>
      <c r="AK87" s="22">
        <v>0.287109</v>
      </c>
      <c r="AL87">
        <f t="shared" si="18"/>
        <v>16.763299999999997</v>
      </c>
      <c r="AM87">
        <f t="shared" si="19"/>
        <v>4.8241592372999991</v>
      </c>
      <c r="AP87" s="9"/>
      <c r="AQ87" s="22">
        <v>1.38229</v>
      </c>
      <c r="AR87" s="22">
        <v>317.95999999999998</v>
      </c>
      <c r="AS87" s="22">
        <v>-1.54816E-2</v>
      </c>
      <c r="AT87" s="22">
        <v>77</v>
      </c>
      <c r="AU87" s="22">
        <v>1.3815299999999999</v>
      </c>
      <c r="AV87">
        <f t="shared" si="20"/>
        <v>15.4816</v>
      </c>
      <c r="AW87">
        <f t="shared" si="21"/>
        <v>21.400060864</v>
      </c>
      <c r="AX87" s="9"/>
      <c r="AY87" s="22">
        <v>0.28778100000000001</v>
      </c>
      <c r="AZ87" s="22">
        <v>376.27100000000002</v>
      </c>
      <c r="BA87" s="22">
        <v>-1.67694E-2</v>
      </c>
      <c r="BB87" s="22">
        <v>77</v>
      </c>
      <c r="BC87" s="22">
        <v>0.287109</v>
      </c>
      <c r="BD87">
        <f t="shared" si="22"/>
        <v>16.769400000000001</v>
      </c>
      <c r="BE87">
        <f t="shared" si="23"/>
        <v>4.8259147014000003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1.3772599999999999</v>
      </c>
      <c r="H88" s="22">
        <v>47.222799999999999</v>
      </c>
      <c r="I88" s="22">
        <v>-1.5780599999999999E-2</v>
      </c>
      <c r="J88" s="22">
        <v>78</v>
      </c>
      <c r="K88" s="22">
        <v>1.3766499999999999</v>
      </c>
      <c r="L88">
        <f t="shared" si="12"/>
        <v>15.780599999999998</v>
      </c>
      <c r="M88">
        <f t="shared" si="13"/>
        <v>21.733989155999996</v>
      </c>
      <c r="N88" s="9"/>
      <c r="O88" s="22">
        <v>0.29281600000000002</v>
      </c>
      <c r="P88" s="22">
        <v>111.545</v>
      </c>
      <c r="Q88" s="22">
        <v>-1.68243E-2</v>
      </c>
      <c r="R88" s="22">
        <v>78</v>
      </c>
      <c r="S88" s="22">
        <v>0.29208400000000001</v>
      </c>
      <c r="T88">
        <f t="shared" si="14"/>
        <v>16.824300000000001</v>
      </c>
      <c r="U88">
        <f t="shared" si="15"/>
        <v>4.9264242288000002</v>
      </c>
      <c r="X88" s="9"/>
      <c r="Y88" s="22">
        <v>1.3772599999999999</v>
      </c>
      <c r="Z88" s="22">
        <v>181.678</v>
      </c>
      <c r="AA88" s="22">
        <v>-1.56647E-2</v>
      </c>
      <c r="AB88" s="22">
        <v>78</v>
      </c>
      <c r="AC88" s="22">
        <v>1.3760399999999999</v>
      </c>
      <c r="AD88">
        <f t="shared" si="16"/>
        <v>15.6647</v>
      </c>
      <c r="AE88">
        <f t="shared" si="17"/>
        <v>21.574364721999999</v>
      </c>
      <c r="AF88" s="9"/>
      <c r="AG88" s="22">
        <v>0.29281600000000002</v>
      </c>
      <c r="AH88" s="22">
        <v>239.20699999999999</v>
      </c>
      <c r="AI88" s="22">
        <v>-1.6775499999999999E-2</v>
      </c>
      <c r="AJ88" s="22">
        <v>78</v>
      </c>
      <c r="AK88" s="22">
        <v>0.29211399999999998</v>
      </c>
      <c r="AL88">
        <f t="shared" si="18"/>
        <v>16.775499999999997</v>
      </c>
      <c r="AM88">
        <f t="shared" si="19"/>
        <v>4.9121348079999994</v>
      </c>
      <c r="AP88" s="9"/>
      <c r="AQ88" s="22">
        <v>1.3772599999999999</v>
      </c>
      <c r="AR88" s="22">
        <v>318.06099999999998</v>
      </c>
      <c r="AS88" s="22">
        <v>-1.55029E-2</v>
      </c>
      <c r="AT88" s="22">
        <v>78</v>
      </c>
      <c r="AU88" s="22">
        <v>1.3766499999999999</v>
      </c>
      <c r="AV88">
        <f t="shared" si="20"/>
        <v>15.5029</v>
      </c>
      <c r="AW88">
        <f t="shared" si="21"/>
        <v>21.351524053999999</v>
      </c>
      <c r="AX88" s="9"/>
      <c r="AY88" s="22">
        <v>0.29281600000000002</v>
      </c>
      <c r="AZ88" s="22">
        <v>376.37200000000001</v>
      </c>
      <c r="BA88" s="22">
        <v>-1.6781600000000001E-2</v>
      </c>
      <c r="BB88" s="22">
        <v>78</v>
      </c>
      <c r="BC88" s="22">
        <v>0.29214499999999999</v>
      </c>
      <c r="BD88">
        <f t="shared" si="22"/>
        <v>16.781600000000001</v>
      </c>
      <c r="BE88">
        <f t="shared" si="23"/>
        <v>4.9139209856000008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1.37222</v>
      </c>
      <c r="H89" s="22">
        <v>47.323500000000003</v>
      </c>
      <c r="I89" s="22">
        <v>-1.5795900000000002E-2</v>
      </c>
      <c r="J89" s="22">
        <v>79</v>
      </c>
      <c r="K89" s="22">
        <v>1.3714599999999999</v>
      </c>
      <c r="L89">
        <f t="shared" si="12"/>
        <v>15.795900000000001</v>
      </c>
      <c r="M89">
        <f t="shared" si="13"/>
        <v>21.675449898</v>
      </c>
      <c r="N89" s="9"/>
      <c r="O89" s="22">
        <v>0.29785200000000001</v>
      </c>
      <c r="P89" s="22">
        <v>111.646</v>
      </c>
      <c r="Q89" s="22">
        <v>-1.68243E-2</v>
      </c>
      <c r="R89" s="22">
        <v>79</v>
      </c>
      <c r="S89" s="22">
        <v>0.29715000000000003</v>
      </c>
      <c r="T89">
        <f t="shared" si="14"/>
        <v>16.824300000000001</v>
      </c>
      <c r="U89">
        <f t="shared" si="15"/>
        <v>5.0111514036000004</v>
      </c>
      <c r="X89" s="9"/>
      <c r="Y89" s="22">
        <v>1.37222</v>
      </c>
      <c r="Z89" s="22">
        <v>181.779</v>
      </c>
      <c r="AA89" s="22">
        <v>-1.5689100000000001E-2</v>
      </c>
      <c r="AB89" s="22">
        <v>79</v>
      </c>
      <c r="AC89" s="22">
        <v>1.3711500000000001</v>
      </c>
      <c r="AD89">
        <f t="shared" si="16"/>
        <v>15.689100000000002</v>
      </c>
      <c r="AE89">
        <f t="shared" si="17"/>
        <v>21.528896802000002</v>
      </c>
      <c r="AF89" s="9"/>
      <c r="AG89" s="22">
        <v>0.29785200000000001</v>
      </c>
      <c r="AH89" s="22">
        <v>239.30799999999999</v>
      </c>
      <c r="AI89" s="22">
        <v>-1.6775499999999999E-2</v>
      </c>
      <c r="AJ89" s="22">
        <v>79</v>
      </c>
      <c r="AK89" s="22">
        <v>0.297211</v>
      </c>
      <c r="AL89">
        <f t="shared" si="18"/>
        <v>16.775499999999997</v>
      </c>
      <c r="AM89">
        <f t="shared" si="19"/>
        <v>4.9966162259999995</v>
      </c>
      <c r="AP89" s="9"/>
      <c r="AQ89" s="22">
        <v>1.37222</v>
      </c>
      <c r="AR89" s="22">
        <v>318.16199999999998</v>
      </c>
      <c r="AS89" s="22">
        <v>-1.5512099999999999E-2</v>
      </c>
      <c r="AT89" s="22">
        <v>79</v>
      </c>
      <c r="AU89" s="22">
        <v>1.3711500000000001</v>
      </c>
      <c r="AV89">
        <f t="shared" si="20"/>
        <v>15.512099999999998</v>
      </c>
      <c r="AW89">
        <f t="shared" si="21"/>
        <v>21.286013861999997</v>
      </c>
      <c r="AX89" s="9"/>
      <c r="AY89" s="22">
        <v>0.29785200000000001</v>
      </c>
      <c r="AZ89" s="22">
        <v>376.47300000000001</v>
      </c>
      <c r="BA89" s="22">
        <v>-1.6778600000000001E-2</v>
      </c>
      <c r="BB89" s="22">
        <v>79</v>
      </c>
      <c r="BC89" s="22">
        <v>0.29702800000000001</v>
      </c>
      <c r="BD89">
        <f t="shared" si="22"/>
        <v>16.778600000000001</v>
      </c>
      <c r="BE89">
        <f t="shared" si="23"/>
        <v>4.9975395672000005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1.3671899999999999</v>
      </c>
      <c r="H90" s="22">
        <v>47.424199999999999</v>
      </c>
      <c r="I90" s="22">
        <v>-1.58142E-2</v>
      </c>
      <c r="J90" s="22">
        <v>80</v>
      </c>
      <c r="K90" s="22">
        <v>1.3659699999999999</v>
      </c>
      <c r="L90">
        <f t="shared" si="12"/>
        <v>15.8142</v>
      </c>
      <c r="M90">
        <f t="shared" si="13"/>
        <v>21.621016097999998</v>
      </c>
      <c r="N90" s="9"/>
      <c r="O90" s="22">
        <v>0.30288700000000002</v>
      </c>
      <c r="P90" s="22">
        <v>111.746</v>
      </c>
      <c r="Q90" s="22">
        <v>-1.68243E-2</v>
      </c>
      <c r="R90" s="22">
        <v>80</v>
      </c>
      <c r="S90" s="22">
        <v>0.30218499999999998</v>
      </c>
      <c r="T90">
        <f t="shared" si="14"/>
        <v>16.824300000000001</v>
      </c>
      <c r="U90">
        <f t="shared" si="15"/>
        <v>5.0958617541000004</v>
      </c>
      <c r="X90" s="9"/>
      <c r="Y90" s="22">
        <v>1.3671899999999999</v>
      </c>
      <c r="Z90" s="22">
        <v>181.87899999999999</v>
      </c>
      <c r="AA90" s="22">
        <v>-1.5722699999999999E-2</v>
      </c>
      <c r="AB90" s="22">
        <v>80</v>
      </c>
      <c r="AC90" s="22">
        <v>1.3662700000000001</v>
      </c>
      <c r="AD90">
        <f t="shared" si="16"/>
        <v>15.7227</v>
      </c>
      <c r="AE90">
        <f t="shared" si="17"/>
        <v>21.495918212999999</v>
      </c>
      <c r="AF90" s="9"/>
      <c r="AG90" s="22">
        <v>0.30288700000000002</v>
      </c>
      <c r="AH90" s="22">
        <v>239.40799999999999</v>
      </c>
      <c r="AI90" s="22">
        <v>-1.6778600000000001E-2</v>
      </c>
      <c r="AJ90" s="22">
        <v>80</v>
      </c>
      <c r="AK90" s="22">
        <v>0.30227700000000002</v>
      </c>
      <c r="AL90">
        <f t="shared" si="18"/>
        <v>16.778600000000001</v>
      </c>
      <c r="AM90">
        <f t="shared" si="19"/>
        <v>5.0820198182000009</v>
      </c>
      <c r="AP90" s="9"/>
      <c r="AQ90" s="22">
        <v>1.3671899999999999</v>
      </c>
      <c r="AR90" s="22">
        <v>318.26299999999998</v>
      </c>
      <c r="AS90" s="22">
        <v>-1.5539600000000001E-2</v>
      </c>
      <c r="AT90" s="22">
        <v>80</v>
      </c>
      <c r="AU90" s="22">
        <v>1.3662700000000001</v>
      </c>
      <c r="AV90">
        <f t="shared" si="20"/>
        <v>15.5396</v>
      </c>
      <c r="AW90">
        <f t="shared" si="21"/>
        <v>21.245585723999998</v>
      </c>
      <c r="AX90" s="9"/>
      <c r="AY90" s="22">
        <v>0.30288700000000002</v>
      </c>
      <c r="AZ90" s="22">
        <v>376.57299999999998</v>
      </c>
      <c r="BA90" s="22">
        <v>-1.6763299999999998E-2</v>
      </c>
      <c r="BB90" s="22">
        <v>80</v>
      </c>
      <c r="BC90" s="22">
        <v>0.30230699999999999</v>
      </c>
      <c r="BD90">
        <f t="shared" si="22"/>
        <v>16.763299999999997</v>
      </c>
      <c r="BE90">
        <f t="shared" si="23"/>
        <v>5.0773856470999998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1.36215</v>
      </c>
      <c r="H91" s="22">
        <v>47.524900000000002</v>
      </c>
      <c r="I91" s="22">
        <v>-1.5823400000000001E-2</v>
      </c>
      <c r="J91" s="22">
        <v>81</v>
      </c>
      <c r="K91" s="22">
        <v>1.3613900000000001</v>
      </c>
      <c r="L91">
        <f t="shared" si="12"/>
        <v>15.823400000000001</v>
      </c>
      <c r="M91">
        <f t="shared" si="13"/>
        <v>21.553844310000002</v>
      </c>
      <c r="N91" s="9"/>
      <c r="O91" s="22">
        <v>0.30792199999999997</v>
      </c>
      <c r="P91" s="22">
        <v>111.84699999999999</v>
      </c>
      <c r="Q91" s="22">
        <v>-1.68121E-2</v>
      </c>
      <c r="R91" s="22">
        <v>81</v>
      </c>
      <c r="S91" s="22">
        <v>0.30712899999999999</v>
      </c>
      <c r="T91">
        <f t="shared" si="14"/>
        <v>16.812100000000001</v>
      </c>
      <c r="U91">
        <f t="shared" si="15"/>
        <v>5.1768154561999999</v>
      </c>
      <c r="X91" s="9"/>
      <c r="Y91" s="22">
        <v>1.36215</v>
      </c>
      <c r="Z91" s="22">
        <v>181.98</v>
      </c>
      <c r="AA91" s="22">
        <v>-1.57349E-2</v>
      </c>
      <c r="AB91" s="22">
        <v>81</v>
      </c>
      <c r="AC91" s="22">
        <v>1.3613900000000001</v>
      </c>
      <c r="AD91">
        <f t="shared" si="16"/>
        <v>15.7349</v>
      </c>
      <c r="AE91">
        <f t="shared" si="17"/>
        <v>21.433294034999999</v>
      </c>
      <c r="AF91" s="9"/>
      <c r="AG91" s="22">
        <v>0.30792199999999997</v>
      </c>
      <c r="AH91" s="22">
        <v>239.50899999999999</v>
      </c>
      <c r="AI91" s="22">
        <v>-1.6775499999999999E-2</v>
      </c>
      <c r="AJ91" s="22">
        <v>81</v>
      </c>
      <c r="AK91" s="22">
        <v>0.307251</v>
      </c>
      <c r="AL91">
        <f t="shared" si="18"/>
        <v>16.775499999999997</v>
      </c>
      <c r="AM91">
        <f t="shared" si="19"/>
        <v>5.1655455109999986</v>
      </c>
      <c r="AP91" s="9"/>
      <c r="AQ91" s="22">
        <v>1.36215</v>
      </c>
      <c r="AR91" s="22">
        <v>318.363</v>
      </c>
      <c r="AS91" s="22">
        <v>-1.5560900000000001E-2</v>
      </c>
      <c r="AT91" s="22">
        <v>81</v>
      </c>
      <c r="AU91" s="22">
        <v>1.3613900000000001</v>
      </c>
      <c r="AV91">
        <f t="shared" si="20"/>
        <v>15.5609</v>
      </c>
      <c r="AW91">
        <f t="shared" si="21"/>
        <v>21.196279935</v>
      </c>
      <c r="AX91" s="9"/>
      <c r="AY91" s="22">
        <v>0.30792199999999997</v>
      </c>
      <c r="AZ91" s="22">
        <v>376.67399999999998</v>
      </c>
      <c r="BA91" s="22">
        <v>-1.67572E-2</v>
      </c>
      <c r="BB91" s="22">
        <v>81</v>
      </c>
      <c r="BC91" s="22">
        <v>0.30746499999999999</v>
      </c>
      <c r="BD91">
        <f t="shared" si="22"/>
        <v>16.757200000000001</v>
      </c>
      <c r="BE91">
        <f t="shared" si="23"/>
        <v>5.1599105384000001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1.3571200000000001</v>
      </c>
      <c r="H92" s="22">
        <v>47.625599999999999</v>
      </c>
      <c r="I92" s="22">
        <v>-1.58295E-2</v>
      </c>
      <c r="J92" s="22">
        <v>82</v>
      </c>
      <c r="K92" s="22">
        <v>1.3565100000000001</v>
      </c>
      <c r="L92">
        <f t="shared" si="12"/>
        <v>15.829499999999999</v>
      </c>
      <c r="M92">
        <f t="shared" si="13"/>
        <v>21.482531040000001</v>
      </c>
      <c r="N92" s="9"/>
      <c r="O92" s="22">
        <v>0.31295800000000001</v>
      </c>
      <c r="P92" s="22">
        <v>111.94799999999999</v>
      </c>
      <c r="Q92" s="22">
        <v>-1.6815199999999999E-2</v>
      </c>
      <c r="R92" s="22">
        <v>82</v>
      </c>
      <c r="S92" s="22">
        <v>0.31234699999999999</v>
      </c>
      <c r="T92">
        <f t="shared" si="14"/>
        <v>16.815199999999997</v>
      </c>
      <c r="U92">
        <f t="shared" si="15"/>
        <v>5.2624513615999993</v>
      </c>
      <c r="X92" s="9"/>
      <c r="Y92" s="22">
        <v>1.3571200000000001</v>
      </c>
      <c r="Z92" s="22">
        <v>182.08099999999999</v>
      </c>
      <c r="AA92" s="22">
        <v>-1.5725699999999999E-2</v>
      </c>
      <c r="AB92" s="22">
        <v>82</v>
      </c>
      <c r="AC92" s="22">
        <v>1.3562000000000001</v>
      </c>
      <c r="AD92">
        <f t="shared" si="16"/>
        <v>15.725699999999998</v>
      </c>
      <c r="AE92">
        <f t="shared" si="17"/>
        <v>21.341661983999998</v>
      </c>
      <c r="AF92" s="9"/>
      <c r="AG92" s="22">
        <v>0.31295800000000001</v>
      </c>
      <c r="AH92" s="22">
        <v>239.61</v>
      </c>
      <c r="AI92" s="22">
        <v>-1.6763299999999998E-2</v>
      </c>
      <c r="AJ92" s="22">
        <v>82</v>
      </c>
      <c r="AK92" s="22">
        <v>0.31228600000000001</v>
      </c>
      <c r="AL92">
        <f t="shared" si="18"/>
        <v>16.763299999999997</v>
      </c>
      <c r="AM92">
        <f t="shared" si="19"/>
        <v>5.2462088413999997</v>
      </c>
      <c r="AP92" s="9"/>
      <c r="AQ92" s="22">
        <v>1.3571200000000001</v>
      </c>
      <c r="AR92" s="22">
        <v>318.464</v>
      </c>
      <c r="AS92" s="22">
        <v>-1.5621899999999999E-2</v>
      </c>
      <c r="AT92" s="22">
        <v>82</v>
      </c>
      <c r="AU92" s="22">
        <v>1.3565100000000001</v>
      </c>
      <c r="AV92">
        <f t="shared" si="20"/>
        <v>15.6219</v>
      </c>
      <c r="AW92">
        <f t="shared" si="21"/>
        <v>21.200792928000002</v>
      </c>
      <c r="AX92" s="9"/>
      <c r="AY92" s="22">
        <v>0.31295800000000001</v>
      </c>
      <c r="AZ92" s="22">
        <v>376.77499999999998</v>
      </c>
      <c r="BA92" s="22">
        <v>-1.67572E-2</v>
      </c>
      <c r="BB92" s="22">
        <v>82</v>
      </c>
      <c r="BC92" s="22">
        <v>0.312164</v>
      </c>
      <c r="BD92">
        <f t="shared" si="22"/>
        <v>16.757200000000001</v>
      </c>
      <c r="BE92">
        <f t="shared" si="23"/>
        <v>5.244299797600001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1.3520799999999999</v>
      </c>
      <c r="H93" s="22">
        <v>47.726399999999998</v>
      </c>
      <c r="I93" s="22">
        <v>-1.5847799999999999E-2</v>
      </c>
      <c r="J93" s="22">
        <v>83</v>
      </c>
      <c r="K93" s="22">
        <v>1.35101</v>
      </c>
      <c r="L93">
        <f t="shared" si="12"/>
        <v>15.847799999999999</v>
      </c>
      <c r="M93">
        <f t="shared" si="13"/>
        <v>21.427493423999998</v>
      </c>
      <c r="N93" s="9"/>
      <c r="O93" s="22">
        <v>0.31799300000000003</v>
      </c>
      <c r="P93" s="22">
        <v>112.048</v>
      </c>
      <c r="Q93" s="22">
        <v>-1.68091E-2</v>
      </c>
      <c r="R93" s="22">
        <v>83</v>
      </c>
      <c r="S93" s="22">
        <v>0.31701699999999999</v>
      </c>
      <c r="T93">
        <f t="shared" si="14"/>
        <v>16.809100000000001</v>
      </c>
      <c r="U93">
        <f t="shared" si="15"/>
        <v>5.345176136300001</v>
      </c>
      <c r="X93" s="9"/>
      <c r="Y93" s="22">
        <v>1.3520799999999999</v>
      </c>
      <c r="Z93" s="22">
        <v>182.18100000000001</v>
      </c>
      <c r="AA93" s="22">
        <v>-1.5744000000000001E-2</v>
      </c>
      <c r="AB93" s="22">
        <v>83</v>
      </c>
      <c r="AC93" s="22">
        <v>1.35101</v>
      </c>
      <c r="AD93">
        <f t="shared" si="16"/>
        <v>15.744000000000002</v>
      </c>
      <c r="AE93">
        <f t="shared" si="17"/>
        <v>21.287147520000001</v>
      </c>
      <c r="AF93" s="9"/>
      <c r="AG93" s="22">
        <v>0.31799300000000003</v>
      </c>
      <c r="AH93" s="22">
        <v>239.71</v>
      </c>
      <c r="AI93" s="22">
        <v>-1.67542E-2</v>
      </c>
      <c r="AJ93" s="22">
        <v>83</v>
      </c>
      <c r="AK93" s="22">
        <v>0.31726100000000002</v>
      </c>
      <c r="AL93">
        <f t="shared" si="18"/>
        <v>16.754200000000001</v>
      </c>
      <c r="AM93">
        <f t="shared" si="19"/>
        <v>5.3277183206000007</v>
      </c>
      <c r="AP93" s="9"/>
      <c r="AQ93" s="22">
        <v>1.3520799999999999</v>
      </c>
      <c r="AR93" s="22">
        <v>318.565</v>
      </c>
      <c r="AS93" s="22">
        <v>-1.55914E-2</v>
      </c>
      <c r="AT93" s="22">
        <v>83</v>
      </c>
      <c r="AU93" s="22">
        <v>1.3513200000000001</v>
      </c>
      <c r="AV93">
        <f t="shared" si="20"/>
        <v>15.5914</v>
      </c>
      <c r="AW93">
        <f t="shared" si="21"/>
        <v>21.080820111999998</v>
      </c>
      <c r="AX93" s="9"/>
      <c r="AY93" s="22">
        <v>0.31799300000000003</v>
      </c>
      <c r="AZ93" s="22">
        <v>376.87599999999998</v>
      </c>
      <c r="BA93" s="22">
        <v>-1.6744999999999999E-2</v>
      </c>
      <c r="BB93" s="22">
        <v>83</v>
      </c>
      <c r="BC93" s="22">
        <v>0.31723000000000001</v>
      </c>
      <c r="BD93">
        <f t="shared" si="22"/>
        <v>16.745000000000001</v>
      </c>
      <c r="BE93">
        <f t="shared" si="23"/>
        <v>5.3247927850000005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1.3470500000000001</v>
      </c>
      <c r="H94" s="22">
        <v>47.827100000000002</v>
      </c>
      <c r="I94" s="22">
        <v>-1.5869100000000001E-2</v>
      </c>
      <c r="J94" s="22">
        <v>84</v>
      </c>
      <c r="K94" s="22">
        <v>1.34552</v>
      </c>
      <c r="L94">
        <f t="shared" si="12"/>
        <v>15.869100000000001</v>
      </c>
      <c r="M94">
        <f t="shared" si="13"/>
        <v>21.376471155000004</v>
      </c>
      <c r="N94" s="9"/>
      <c r="O94" s="22">
        <v>0.32302900000000001</v>
      </c>
      <c r="P94" s="22">
        <v>112.149</v>
      </c>
      <c r="Q94" s="22">
        <v>-1.6806000000000001E-2</v>
      </c>
      <c r="R94" s="22">
        <v>84</v>
      </c>
      <c r="S94" s="22">
        <v>0.32229600000000003</v>
      </c>
      <c r="T94">
        <f t="shared" si="14"/>
        <v>16.806000000000001</v>
      </c>
      <c r="U94">
        <f t="shared" si="15"/>
        <v>5.4288253740000005</v>
      </c>
      <c r="X94" s="9"/>
      <c r="Y94" s="22">
        <v>1.3470500000000001</v>
      </c>
      <c r="Z94" s="22">
        <v>182.28200000000001</v>
      </c>
      <c r="AA94" s="22">
        <v>-1.5765399999999999E-2</v>
      </c>
      <c r="AB94" s="22">
        <v>84</v>
      </c>
      <c r="AC94" s="22">
        <v>1.34613</v>
      </c>
      <c r="AD94">
        <f t="shared" si="16"/>
        <v>15.7654</v>
      </c>
      <c r="AE94">
        <f t="shared" si="17"/>
        <v>21.23678207</v>
      </c>
      <c r="AF94" s="9"/>
      <c r="AG94" s="22">
        <v>0.32302900000000001</v>
      </c>
      <c r="AH94" s="22">
        <v>239.81100000000001</v>
      </c>
      <c r="AI94" s="22">
        <v>-1.6751100000000001E-2</v>
      </c>
      <c r="AJ94" s="22">
        <v>84</v>
      </c>
      <c r="AK94" s="22">
        <v>0.322357</v>
      </c>
      <c r="AL94">
        <f t="shared" si="18"/>
        <v>16.751100000000001</v>
      </c>
      <c r="AM94">
        <f t="shared" si="19"/>
        <v>5.4110910819000004</v>
      </c>
      <c r="AP94" s="9"/>
      <c r="AQ94" s="22">
        <v>1.3470500000000001</v>
      </c>
      <c r="AR94" s="22">
        <v>318.66500000000002</v>
      </c>
      <c r="AS94" s="22">
        <v>-1.56036E-2</v>
      </c>
      <c r="AT94" s="22">
        <v>84</v>
      </c>
      <c r="AU94" s="22">
        <v>1.34613</v>
      </c>
      <c r="AV94">
        <f t="shared" si="20"/>
        <v>15.6036</v>
      </c>
      <c r="AW94">
        <f t="shared" si="21"/>
        <v>21.01882938</v>
      </c>
      <c r="AX94" s="9"/>
      <c r="AY94" s="22">
        <v>0.32302900000000001</v>
      </c>
      <c r="AZ94" s="22">
        <v>376.976</v>
      </c>
      <c r="BA94" s="22">
        <v>-1.6751100000000001E-2</v>
      </c>
      <c r="BB94" s="22">
        <v>84</v>
      </c>
      <c r="BC94" s="22">
        <v>0.322266</v>
      </c>
      <c r="BD94">
        <f t="shared" si="22"/>
        <v>16.751100000000001</v>
      </c>
      <c r="BE94">
        <f t="shared" si="23"/>
        <v>5.4110910819000004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1.3420099999999999</v>
      </c>
      <c r="H95" s="22">
        <v>47.927799999999998</v>
      </c>
      <c r="I95" s="22">
        <v>-1.5893600000000001E-2</v>
      </c>
      <c r="J95" s="22">
        <v>85</v>
      </c>
      <c r="K95" s="22">
        <v>1.3412500000000001</v>
      </c>
      <c r="L95">
        <f t="shared" si="12"/>
        <v>15.893600000000001</v>
      </c>
      <c r="M95">
        <f t="shared" si="13"/>
        <v>21.329370136000001</v>
      </c>
      <c r="N95" s="9"/>
      <c r="O95" s="22">
        <v>0.32806400000000002</v>
      </c>
      <c r="P95" s="22">
        <v>112.25</v>
      </c>
      <c r="Q95" s="22">
        <v>-1.68121E-2</v>
      </c>
      <c r="R95" s="22">
        <v>85</v>
      </c>
      <c r="S95" s="22">
        <v>0.32727099999999998</v>
      </c>
      <c r="T95">
        <f t="shared" si="14"/>
        <v>16.812100000000001</v>
      </c>
      <c r="U95">
        <f t="shared" si="15"/>
        <v>5.5154447744000006</v>
      </c>
      <c r="X95" s="9"/>
      <c r="Y95" s="22">
        <v>1.3420099999999999</v>
      </c>
      <c r="Z95" s="22">
        <v>182.38300000000001</v>
      </c>
      <c r="AA95" s="22">
        <v>-1.57623E-2</v>
      </c>
      <c r="AB95" s="22">
        <v>85</v>
      </c>
      <c r="AC95" s="22">
        <v>1.3412500000000001</v>
      </c>
      <c r="AD95">
        <f t="shared" si="16"/>
        <v>15.7623</v>
      </c>
      <c r="AE95">
        <f t="shared" si="17"/>
        <v>21.153164222999997</v>
      </c>
      <c r="AF95" s="9"/>
      <c r="AG95" s="22">
        <v>0.32806400000000002</v>
      </c>
      <c r="AH95" s="22">
        <v>239.91200000000001</v>
      </c>
      <c r="AI95" s="22">
        <v>-1.6732799999999999E-2</v>
      </c>
      <c r="AJ95" s="22">
        <v>85</v>
      </c>
      <c r="AK95" s="22">
        <v>0.32739299999999999</v>
      </c>
      <c r="AL95">
        <f t="shared" si="18"/>
        <v>16.732799999999997</v>
      </c>
      <c r="AM95">
        <f t="shared" si="19"/>
        <v>5.4894292991999993</v>
      </c>
      <c r="AP95" s="9"/>
      <c r="AQ95" s="22">
        <v>1.3420099999999999</v>
      </c>
      <c r="AR95" s="22">
        <v>318.76600000000002</v>
      </c>
      <c r="AS95" s="22">
        <v>-1.5628099999999999E-2</v>
      </c>
      <c r="AT95" s="22">
        <v>85</v>
      </c>
      <c r="AU95" s="22">
        <v>1.3412500000000001</v>
      </c>
      <c r="AV95">
        <f t="shared" si="20"/>
        <v>15.628099999999998</v>
      </c>
      <c r="AW95">
        <f t="shared" si="21"/>
        <v>20.973066480999996</v>
      </c>
      <c r="AX95" s="9"/>
      <c r="AY95" s="22">
        <v>0.32806400000000002</v>
      </c>
      <c r="AZ95" s="22">
        <v>377.077</v>
      </c>
      <c r="BA95" s="22">
        <v>-1.6741900000000001E-2</v>
      </c>
      <c r="BB95" s="22">
        <v>85</v>
      </c>
      <c r="BC95" s="22">
        <v>0.327515</v>
      </c>
      <c r="BD95">
        <f t="shared" si="22"/>
        <v>16.741900000000001</v>
      </c>
      <c r="BE95">
        <f t="shared" si="23"/>
        <v>5.4924146816000006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1.3369800000000001</v>
      </c>
      <c r="H96" s="22">
        <v>48.028500000000001</v>
      </c>
      <c r="I96" s="22">
        <v>-1.5905800000000001E-2</v>
      </c>
      <c r="J96" s="22">
        <v>86</v>
      </c>
      <c r="K96" s="22">
        <v>1.33575</v>
      </c>
      <c r="L96">
        <f t="shared" si="12"/>
        <v>15.905800000000001</v>
      </c>
      <c r="M96">
        <f t="shared" si="13"/>
        <v>21.265736484000001</v>
      </c>
      <c r="N96" s="9"/>
      <c r="O96" s="22">
        <v>0.33309899999999998</v>
      </c>
      <c r="P96" s="22">
        <v>112.35</v>
      </c>
      <c r="Q96" s="22">
        <v>-1.68121E-2</v>
      </c>
      <c r="R96" s="22">
        <v>86</v>
      </c>
      <c r="S96" s="22">
        <v>0.33227499999999999</v>
      </c>
      <c r="T96">
        <f t="shared" si="14"/>
        <v>16.812100000000001</v>
      </c>
      <c r="U96">
        <f t="shared" si="15"/>
        <v>5.6000936979000002</v>
      </c>
      <c r="X96" s="9"/>
      <c r="Y96" s="22">
        <v>1.3369800000000001</v>
      </c>
      <c r="Z96" s="22">
        <v>182.48400000000001</v>
      </c>
      <c r="AA96" s="22">
        <v>-1.5783700000000001E-2</v>
      </c>
      <c r="AB96" s="22">
        <v>86</v>
      </c>
      <c r="AC96" s="22">
        <v>1.33606</v>
      </c>
      <c r="AD96">
        <f t="shared" si="16"/>
        <v>15.783700000000001</v>
      </c>
      <c r="AE96">
        <f t="shared" si="17"/>
        <v>21.102491226000001</v>
      </c>
      <c r="AF96" s="9"/>
      <c r="AG96" s="22">
        <v>0.33309899999999998</v>
      </c>
      <c r="AH96" s="22">
        <v>240.01300000000001</v>
      </c>
      <c r="AI96" s="22">
        <v>-1.6747999999999999E-2</v>
      </c>
      <c r="AJ96" s="22">
        <v>86</v>
      </c>
      <c r="AK96" s="22">
        <v>0.33233600000000002</v>
      </c>
      <c r="AL96">
        <f t="shared" si="18"/>
        <v>16.747999999999998</v>
      </c>
      <c r="AM96">
        <f t="shared" si="19"/>
        <v>5.5787420519999991</v>
      </c>
      <c r="AP96" s="9"/>
      <c r="AQ96" s="22">
        <v>1.3369800000000001</v>
      </c>
      <c r="AR96" s="22">
        <v>318.86700000000002</v>
      </c>
      <c r="AS96" s="22">
        <v>-1.56525E-2</v>
      </c>
      <c r="AT96" s="22">
        <v>86</v>
      </c>
      <c r="AU96" s="22">
        <v>1.33636</v>
      </c>
      <c r="AV96">
        <f t="shared" si="20"/>
        <v>15.6525</v>
      </c>
      <c r="AW96">
        <f t="shared" si="21"/>
        <v>20.927079450000001</v>
      </c>
      <c r="AX96" s="9"/>
      <c r="AY96" s="22">
        <v>0.33309899999999998</v>
      </c>
      <c r="AZ96" s="22">
        <v>377.178</v>
      </c>
      <c r="BA96" s="22">
        <v>-1.6732799999999999E-2</v>
      </c>
      <c r="BB96" s="22">
        <v>86</v>
      </c>
      <c r="BC96" s="22">
        <v>0.33233600000000002</v>
      </c>
      <c r="BD96">
        <f t="shared" si="22"/>
        <v>16.732799999999997</v>
      </c>
      <c r="BE96">
        <f t="shared" si="23"/>
        <v>5.5736789471999986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1.3319399999999999</v>
      </c>
      <c r="H97" s="22">
        <v>48.129199999999997</v>
      </c>
      <c r="I97" s="22">
        <v>-1.5921000000000001E-2</v>
      </c>
      <c r="J97" s="22">
        <v>87</v>
      </c>
      <c r="K97" s="22">
        <v>1.33118</v>
      </c>
      <c r="L97">
        <f t="shared" si="12"/>
        <v>15.921000000000001</v>
      </c>
      <c r="M97">
        <f t="shared" si="13"/>
        <v>21.205816739999999</v>
      </c>
      <c r="N97" s="9"/>
      <c r="O97" s="22">
        <v>0.33813500000000002</v>
      </c>
      <c r="P97" s="22">
        <v>112.45099999999999</v>
      </c>
      <c r="Q97" s="22">
        <v>-1.68091E-2</v>
      </c>
      <c r="R97" s="22">
        <v>87</v>
      </c>
      <c r="S97" s="22">
        <v>0.33743299999999998</v>
      </c>
      <c r="T97">
        <f t="shared" si="14"/>
        <v>16.809100000000001</v>
      </c>
      <c r="U97">
        <f t="shared" si="15"/>
        <v>5.6837450285000006</v>
      </c>
      <c r="X97" s="9"/>
      <c r="Y97" s="22">
        <v>1.3319399999999999</v>
      </c>
      <c r="Z97" s="22">
        <v>182.584</v>
      </c>
      <c r="AA97" s="22">
        <v>-1.5802E-2</v>
      </c>
      <c r="AB97" s="22">
        <v>87</v>
      </c>
      <c r="AC97" s="22">
        <v>1.33087</v>
      </c>
      <c r="AD97">
        <f t="shared" si="16"/>
        <v>15.802</v>
      </c>
      <c r="AE97">
        <f t="shared" si="17"/>
        <v>21.047315879999999</v>
      </c>
      <c r="AF97" s="9"/>
      <c r="AG97" s="22">
        <v>0.33813500000000002</v>
      </c>
      <c r="AH97" s="22">
        <v>240.113</v>
      </c>
      <c r="AI97" s="22">
        <v>-1.6744999999999999E-2</v>
      </c>
      <c r="AJ97" s="22">
        <v>87</v>
      </c>
      <c r="AK97" s="22">
        <v>0.33740199999999998</v>
      </c>
      <c r="AL97">
        <f t="shared" si="18"/>
        <v>16.745000000000001</v>
      </c>
      <c r="AM97">
        <f t="shared" si="19"/>
        <v>5.6620705750000004</v>
      </c>
      <c r="AP97" s="9"/>
      <c r="AQ97" s="22">
        <v>1.3319399999999999</v>
      </c>
      <c r="AR97" s="22">
        <v>318.96699999999998</v>
      </c>
      <c r="AS97" s="22">
        <v>-1.56677E-2</v>
      </c>
      <c r="AT97" s="22">
        <v>87</v>
      </c>
      <c r="AU97" s="22">
        <v>1.33087</v>
      </c>
      <c r="AV97">
        <f t="shared" si="20"/>
        <v>15.6677</v>
      </c>
      <c r="AW97">
        <f t="shared" si="21"/>
        <v>20.868436337999999</v>
      </c>
      <c r="AX97" s="9"/>
      <c r="AY97" s="22">
        <v>0.33813500000000002</v>
      </c>
      <c r="AZ97" s="22">
        <v>377.27800000000002</v>
      </c>
      <c r="BA97" s="22">
        <v>-1.67297E-2</v>
      </c>
      <c r="BB97" s="22">
        <v>87</v>
      </c>
      <c r="BC97" s="22">
        <v>0.33740199999999998</v>
      </c>
      <c r="BD97">
        <f t="shared" si="22"/>
        <v>16.729700000000001</v>
      </c>
      <c r="BE97">
        <f t="shared" si="23"/>
        <v>5.6568971095000009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1.3269</v>
      </c>
      <c r="H98" s="22">
        <v>48.229900000000001</v>
      </c>
      <c r="I98" s="22">
        <v>-1.5918000000000002E-2</v>
      </c>
      <c r="J98" s="22">
        <v>88</v>
      </c>
      <c r="K98" s="22">
        <v>1.32568</v>
      </c>
      <c r="L98">
        <f t="shared" si="12"/>
        <v>15.918000000000001</v>
      </c>
      <c r="M98">
        <f t="shared" si="13"/>
        <v>21.121594200000001</v>
      </c>
      <c r="N98" s="9"/>
      <c r="O98" s="22">
        <v>0.34316999999999998</v>
      </c>
      <c r="P98" s="22">
        <v>112.55200000000001</v>
      </c>
      <c r="Q98" s="22">
        <v>-1.6806000000000001E-2</v>
      </c>
      <c r="R98" s="22">
        <v>88</v>
      </c>
      <c r="S98" s="22">
        <v>0.34243800000000002</v>
      </c>
      <c r="T98">
        <f t="shared" si="14"/>
        <v>16.806000000000001</v>
      </c>
      <c r="U98">
        <f t="shared" si="15"/>
        <v>5.7673150199999998</v>
      </c>
      <c r="X98" s="9"/>
      <c r="Y98" s="22">
        <v>1.3269</v>
      </c>
      <c r="Z98" s="22">
        <v>182.685</v>
      </c>
      <c r="AA98" s="22">
        <v>-1.58447E-2</v>
      </c>
      <c r="AB98" s="22">
        <v>88</v>
      </c>
      <c r="AC98" s="22">
        <v>1.32629</v>
      </c>
      <c r="AD98">
        <f t="shared" si="16"/>
        <v>15.8447</v>
      </c>
      <c r="AE98">
        <f t="shared" si="17"/>
        <v>21.024332429999998</v>
      </c>
      <c r="AF98" s="9"/>
      <c r="AG98" s="22">
        <v>0.34316999999999998</v>
      </c>
      <c r="AH98" s="22">
        <v>240.214</v>
      </c>
      <c r="AI98" s="22">
        <v>-1.6760299999999999E-2</v>
      </c>
      <c r="AJ98" s="22">
        <v>88</v>
      </c>
      <c r="AK98" s="22">
        <v>0.34252899999999997</v>
      </c>
      <c r="AL98">
        <f t="shared" si="18"/>
        <v>16.760299999999997</v>
      </c>
      <c r="AM98">
        <f t="shared" si="19"/>
        <v>5.751632150999999</v>
      </c>
      <c r="AP98" s="9"/>
      <c r="AQ98" s="22">
        <v>1.3269</v>
      </c>
      <c r="AR98" s="22">
        <v>319.06799999999998</v>
      </c>
      <c r="AS98" s="22">
        <v>-1.5685999999999999E-2</v>
      </c>
      <c r="AT98" s="22">
        <v>88</v>
      </c>
      <c r="AU98" s="22">
        <v>1.32568</v>
      </c>
      <c r="AV98">
        <f t="shared" si="20"/>
        <v>15.685999999999998</v>
      </c>
      <c r="AW98">
        <f t="shared" si="21"/>
        <v>20.813753399999996</v>
      </c>
      <c r="AX98" s="9"/>
      <c r="AY98" s="22">
        <v>0.34316999999999998</v>
      </c>
      <c r="AZ98" s="22">
        <v>377.37900000000002</v>
      </c>
      <c r="BA98" s="22">
        <v>-1.6732799999999999E-2</v>
      </c>
      <c r="BB98" s="22">
        <v>88</v>
      </c>
      <c r="BC98" s="22">
        <v>0.34231600000000001</v>
      </c>
      <c r="BD98">
        <f t="shared" si="22"/>
        <v>16.732799999999997</v>
      </c>
      <c r="BE98">
        <f t="shared" si="23"/>
        <v>5.7421949759999986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1.3218700000000001</v>
      </c>
      <c r="H99" s="22">
        <v>48.330599999999997</v>
      </c>
      <c r="I99" s="22">
        <v>-1.59393E-2</v>
      </c>
      <c r="J99" s="22">
        <v>89</v>
      </c>
      <c r="K99" s="22">
        <v>1.3208</v>
      </c>
      <c r="L99">
        <f t="shared" si="12"/>
        <v>15.939299999999999</v>
      </c>
      <c r="M99">
        <f t="shared" si="13"/>
        <v>21.069682491000002</v>
      </c>
      <c r="N99" s="9"/>
      <c r="O99" s="22">
        <v>0.34820600000000002</v>
      </c>
      <c r="P99" s="22">
        <v>112.65300000000001</v>
      </c>
      <c r="Q99" s="22">
        <v>-1.68121E-2</v>
      </c>
      <c r="R99" s="22">
        <v>89</v>
      </c>
      <c r="S99" s="22">
        <v>0.34753400000000001</v>
      </c>
      <c r="T99">
        <f t="shared" si="14"/>
        <v>16.812100000000001</v>
      </c>
      <c r="U99">
        <f t="shared" si="15"/>
        <v>5.8540740926000003</v>
      </c>
      <c r="X99" s="9"/>
      <c r="Y99" s="22">
        <v>1.3218700000000001</v>
      </c>
      <c r="Z99" s="22">
        <v>182.786</v>
      </c>
      <c r="AA99" s="22">
        <v>-1.5850800000000002E-2</v>
      </c>
      <c r="AB99" s="22">
        <v>89</v>
      </c>
      <c r="AC99" s="22">
        <v>1.3205</v>
      </c>
      <c r="AD99">
        <f t="shared" si="16"/>
        <v>15.850800000000001</v>
      </c>
      <c r="AE99">
        <f t="shared" si="17"/>
        <v>20.952696996000004</v>
      </c>
      <c r="AF99" s="9"/>
      <c r="AG99" s="22">
        <v>0.34820600000000002</v>
      </c>
      <c r="AH99" s="22">
        <v>240.315</v>
      </c>
      <c r="AI99" s="22">
        <v>-1.6735799999999999E-2</v>
      </c>
      <c r="AJ99" s="22">
        <v>89</v>
      </c>
      <c r="AK99" s="22">
        <v>0.347412</v>
      </c>
      <c r="AL99">
        <f t="shared" si="18"/>
        <v>16.735799999999998</v>
      </c>
      <c r="AM99">
        <f t="shared" si="19"/>
        <v>5.8275059747999993</v>
      </c>
      <c r="AP99" s="9"/>
      <c r="AQ99" s="22">
        <v>1.3218700000000001</v>
      </c>
      <c r="AR99" s="22">
        <v>319.16899999999998</v>
      </c>
      <c r="AS99" s="22">
        <v>-1.5670799999999999E-2</v>
      </c>
      <c r="AT99" s="22">
        <v>89</v>
      </c>
      <c r="AU99" s="22">
        <v>1.3205</v>
      </c>
      <c r="AV99">
        <f t="shared" si="20"/>
        <v>15.670799999999998</v>
      </c>
      <c r="AW99">
        <f t="shared" si="21"/>
        <v>20.714760395999999</v>
      </c>
      <c r="AX99" s="9"/>
      <c r="AY99" s="22">
        <v>0.34820600000000002</v>
      </c>
      <c r="AZ99" s="22">
        <v>377.48</v>
      </c>
      <c r="BA99" s="22">
        <v>-1.6738900000000001E-2</v>
      </c>
      <c r="BB99" s="22">
        <v>89</v>
      </c>
      <c r="BC99" s="22">
        <v>0.34747299999999998</v>
      </c>
      <c r="BD99">
        <f t="shared" si="22"/>
        <v>16.738900000000001</v>
      </c>
      <c r="BE99">
        <f t="shared" si="23"/>
        <v>5.8285854134000008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1.3168299999999999</v>
      </c>
      <c r="H100" s="22">
        <v>48.4313</v>
      </c>
      <c r="I100" s="22">
        <v>-1.5942399999999999E-2</v>
      </c>
      <c r="J100" s="22">
        <v>90</v>
      </c>
      <c r="K100" s="22">
        <v>1.31592</v>
      </c>
      <c r="L100">
        <f t="shared" si="12"/>
        <v>15.942399999999999</v>
      </c>
      <c r="M100">
        <f t="shared" si="13"/>
        <v>20.993430591999999</v>
      </c>
      <c r="N100" s="9"/>
      <c r="O100" s="22">
        <v>0.35324100000000003</v>
      </c>
      <c r="P100" s="22">
        <v>112.753</v>
      </c>
      <c r="Q100" s="22">
        <v>-1.6778600000000001E-2</v>
      </c>
      <c r="R100" s="22">
        <v>90</v>
      </c>
      <c r="S100" s="22">
        <v>0.35244799999999998</v>
      </c>
      <c r="T100">
        <f t="shared" si="14"/>
        <v>16.778600000000001</v>
      </c>
      <c r="U100">
        <f t="shared" si="15"/>
        <v>5.9268894426000012</v>
      </c>
      <c r="X100" s="9"/>
      <c r="Y100" s="22">
        <v>1.3168299999999999</v>
      </c>
      <c r="Z100" s="22">
        <v>182.886</v>
      </c>
      <c r="AA100" s="22">
        <v>-1.58569E-2</v>
      </c>
      <c r="AB100" s="22">
        <v>90</v>
      </c>
      <c r="AC100" s="22">
        <v>1.3156099999999999</v>
      </c>
      <c r="AD100">
        <f t="shared" si="16"/>
        <v>15.8569</v>
      </c>
      <c r="AE100">
        <f t="shared" si="17"/>
        <v>20.880841626999999</v>
      </c>
      <c r="AF100" s="9"/>
      <c r="AG100" s="22">
        <v>0.35324100000000003</v>
      </c>
      <c r="AH100" s="22">
        <v>240.41499999999999</v>
      </c>
      <c r="AI100" s="22">
        <v>-1.6741900000000001E-2</v>
      </c>
      <c r="AJ100" s="22">
        <v>90</v>
      </c>
      <c r="AK100" s="22">
        <v>0.35250900000000002</v>
      </c>
      <c r="AL100">
        <f t="shared" si="18"/>
        <v>16.741900000000001</v>
      </c>
      <c r="AM100">
        <f t="shared" si="19"/>
        <v>5.9139254979000011</v>
      </c>
      <c r="AP100" s="9"/>
      <c r="AQ100" s="22">
        <v>1.3168299999999999</v>
      </c>
      <c r="AR100" s="22">
        <v>319.27</v>
      </c>
      <c r="AS100" s="22">
        <v>-1.5682999999999999E-2</v>
      </c>
      <c r="AT100" s="22">
        <v>90</v>
      </c>
      <c r="AU100" s="22">
        <v>1.3162199999999999</v>
      </c>
      <c r="AV100">
        <f t="shared" si="20"/>
        <v>15.683</v>
      </c>
      <c r="AW100">
        <f t="shared" si="21"/>
        <v>20.65184489</v>
      </c>
      <c r="AX100" s="9"/>
      <c r="AY100" s="22">
        <v>0.35324100000000003</v>
      </c>
      <c r="AZ100" s="22">
        <v>377.58100000000002</v>
      </c>
      <c r="BA100" s="22">
        <v>-1.6726700000000001E-2</v>
      </c>
      <c r="BB100" s="22">
        <v>90</v>
      </c>
      <c r="BC100" s="22">
        <v>0.35241699999999998</v>
      </c>
      <c r="BD100">
        <f t="shared" si="22"/>
        <v>16.726700000000001</v>
      </c>
      <c r="BE100">
        <f t="shared" si="23"/>
        <v>5.9085562347000007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1.3118000000000001</v>
      </c>
      <c r="H101" s="22">
        <v>48.531999999999996</v>
      </c>
      <c r="I101" s="22">
        <v>-1.59393E-2</v>
      </c>
      <c r="J101" s="22">
        <v>91</v>
      </c>
      <c r="K101" s="22">
        <v>1.31073</v>
      </c>
      <c r="L101">
        <f t="shared" si="12"/>
        <v>15.939299999999999</v>
      </c>
      <c r="M101">
        <f t="shared" si="13"/>
        <v>20.90917374</v>
      </c>
      <c r="N101" s="9"/>
      <c r="O101" s="22">
        <v>0.35827599999999998</v>
      </c>
      <c r="P101" s="22">
        <v>112.854</v>
      </c>
      <c r="Q101" s="22">
        <v>-1.6775499999999999E-2</v>
      </c>
      <c r="R101" s="22">
        <v>91</v>
      </c>
      <c r="S101" s="22">
        <v>0.35754399999999997</v>
      </c>
      <c r="T101">
        <f t="shared" si="14"/>
        <v>16.775499999999997</v>
      </c>
      <c r="U101">
        <f t="shared" si="15"/>
        <v>6.0102590379999992</v>
      </c>
      <c r="X101" s="9"/>
      <c r="Y101" s="22">
        <v>1.3118000000000001</v>
      </c>
      <c r="Z101" s="22">
        <v>182.98699999999999</v>
      </c>
      <c r="AA101" s="22">
        <v>-1.5893600000000001E-2</v>
      </c>
      <c r="AB101" s="22">
        <v>91</v>
      </c>
      <c r="AC101" s="22">
        <v>1.31104</v>
      </c>
      <c r="AD101">
        <f t="shared" si="16"/>
        <v>15.893600000000001</v>
      </c>
      <c r="AE101">
        <f t="shared" si="17"/>
        <v>20.849224480000004</v>
      </c>
      <c r="AF101" s="9"/>
      <c r="AG101" s="22">
        <v>0.35827599999999998</v>
      </c>
      <c r="AH101" s="22">
        <v>240.51599999999999</v>
      </c>
      <c r="AI101" s="22">
        <v>-1.6732799999999999E-2</v>
      </c>
      <c r="AJ101" s="22">
        <v>91</v>
      </c>
      <c r="AK101" s="22">
        <v>0.35766599999999998</v>
      </c>
      <c r="AL101">
        <f t="shared" si="18"/>
        <v>16.732799999999997</v>
      </c>
      <c r="AM101">
        <f t="shared" si="19"/>
        <v>5.9949606527999988</v>
      </c>
      <c r="AP101" s="9"/>
      <c r="AQ101" s="22">
        <v>1.3118000000000001</v>
      </c>
      <c r="AR101" s="22">
        <v>319.37</v>
      </c>
      <c r="AS101" s="22">
        <v>-1.5685999999999999E-2</v>
      </c>
      <c r="AT101" s="22">
        <v>91</v>
      </c>
      <c r="AU101" s="22">
        <v>1.31104</v>
      </c>
      <c r="AV101">
        <f t="shared" si="20"/>
        <v>15.685999999999998</v>
      </c>
      <c r="AW101">
        <f t="shared" si="21"/>
        <v>20.576894799999998</v>
      </c>
      <c r="AX101" s="9"/>
      <c r="AY101" s="22">
        <v>0.35827599999999998</v>
      </c>
      <c r="AZ101" s="22">
        <v>377.68099999999998</v>
      </c>
      <c r="BA101" s="22">
        <v>-1.6726700000000001E-2</v>
      </c>
      <c r="BB101" s="22">
        <v>91</v>
      </c>
      <c r="BC101" s="22">
        <v>0.35763499999999998</v>
      </c>
      <c r="BD101">
        <f t="shared" si="22"/>
        <v>16.726700000000001</v>
      </c>
      <c r="BE101">
        <f t="shared" si="23"/>
        <v>5.9927751691999998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1.3067599999999999</v>
      </c>
      <c r="H102" s="22">
        <v>48.6327</v>
      </c>
      <c r="I102" s="22">
        <v>-1.59515E-2</v>
      </c>
      <c r="J102" s="22">
        <v>92</v>
      </c>
      <c r="K102" s="22">
        <v>1.3061499999999999</v>
      </c>
      <c r="L102">
        <f t="shared" si="12"/>
        <v>15.951500000000001</v>
      </c>
      <c r="M102">
        <f t="shared" si="13"/>
        <v>20.84478214</v>
      </c>
      <c r="N102" s="9"/>
      <c r="O102" s="22">
        <v>0.36331200000000002</v>
      </c>
      <c r="P102" s="22">
        <v>112.955</v>
      </c>
      <c r="Q102" s="22">
        <v>-1.6787699999999999E-2</v>
      </c>
      <c r="R102" s="22">
        <v>92</v>
      </c>
      <c r="S102" s="22">
        <v>0.36260999999999999</v>
      </c>
      <c r="T102">
        <f t="shared" si="14"/>
        <v>16.787699999999997</v>
      </c>
      <c r="U102">
        <f t="shared" si="15"/>
        <v>6.0991728623999997</v>
      </c>
      <c r="X102" s="9"/>
      <c r="Y102" s="22">
        <v>1.3067599999999999</v>
      </c>
      <c r="Z102" s="22">
        <v>183.08799999999999</v>
      </c>
      <c r="AA102" s="22">
        <v>-1.5905800000000001E-2</v>
      </c>
      <c r="AB102" s="22">
        <v>92</v>
      </c>
      <c r="AC102" s="22">
        <v>1.3061499999999999</v>
      </c>
      <c r="AD102">
        <f t="shared" si="16"/>
        <v>15.905800000000001</v>
      </c>
      <c r="AE102">
        <f t="shared" si="17"/>
        <v>20.785063208</v>
      </c>
      <c r="AF102" s="9"/>
      <c r="AG102" s="22">
        <v>0.36331200000000002</v>
      </c>
      <c r="AH102" s="22">
        <v>240.61699999999999</v>
      </c>
      <c r="AI102" s="22">
        <v>-1.6723600000000002E-2</v>
      </c>
      <c r="AJ102" s="22">
        <v>92</v>
      </c>
      <c r="AK102" s="22">
        <v>0.36257899999999998</v>
      </c>
      <c r="AL102">
        <f t="shared" si="18"/>
        <v>16.723600000000001</v>
      </c>
      <c r="AM102">
        <f t="shared" si="19"/>
        <v>6.0758845632000007</v>
      </c>
      <c r="AP102" s="9"/>
      <c r="AQ102" s="22">
        <v>1.3067599999999999</v>
      </c>
      <c r="AR102" s="22">
        <v>319.471</v>
      </c>
      <c r="AS102" s="22">
        <v>-1.5716600000000001E-2</v>
      </c>
      <c r="AT102" s="22">
        <v>92</v>
      </c>
      <c r="AU102" s="22">
        <v>1.30585</v>
      </c>
      <c r="AV102">
        <f t="shared" si="20"/>
        <v>15.716600000000001</v>
      </c>
      <c r="AW102">
        <f t="shared" si="21"/>
        <v>20.537824216000001</v>
      </c>
      <c r="AX102" s="9"/>
      <c r="AY102" s="22">
        <v>0.36331200000000002</v>
      </c>
      <c r="AZ102" s="22">
        <v>377.78199999999998</v>
      </c>
      <c r="BA102" s="22">
        <v>-1.6726700000000001E-2</v>
      </c>
      <c r="BB102" s="22">
        <v>92</v>
      </c>
      <c r="BC102" s="22">
        <v>0.36251800000000001</v>
      </c>
      <c r="BD102">
        <f t="shared" si="22"/>
        <v>16.726700000000001</v>
      </c>
      <c r="BE102">
        <f t="shared" si="23"/>
        <v>6.0770108304000008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1.3017300000000001</v>
      </c>
      <c r="H103" s="22">
        <v>48.733400000000003</v>
      </c>
      <c r="I103" s="22">
        <v>-1.5969799999999999E-2</v>
      </c>
      <c r="J103" s="22">
        <v>93</v>
      </c>
      <c r="K103" s="22">
        <v>1.3009599999999999</v>
      </c>
      <c r="L103">
        <f t="shared" si="12"/>
        <v>15.969799999999999</v>
      </c>
      <c r="M103">
        <f t="shared" si="13"/>
        <v>20.788367753999999</v>
      </c>
      <c r="N103" s="9"/>
      <c r="O103" s="22">
        <v>0.36834699999999998</v>
      </c>
      <c r="P103" s="22">
        <v>113.05500000000001</v>
      </c>
      <c r="Q103" s="22">
        <v>-1.6787699999999999E-2</v>
      </c>
      <c r="R103" s="22">
        <v>93</v>
      </c>
      <c r="S103" s="22">
        <v>0.36746200000000001</v>
      </c>
      <c r="T103">
        <f t="shared" si="14"/>
        <v>16.787699999999997</v>
      </c>
      <c r="U103">
        <f t="shared" si="15"/>
        <v>6.1836989318999986</v>
      </c>
      <c r="X103" s="9"/>
      <c r="Y103" s="22">
        <v>1.3017300000000001</v>
      </c>
      <c r="Z103" s="22">
        <v>183.18899999999999</v>
      </c>
      <c r="AA103" s="22">
        <v>-1.59363E-2</v>
      </c>
      <c r="AB103" s="22">
        <v>93</v>
      </c>
      <c r="AC103" s="22">
        <v>1.3006599999999999</v>
      </c>
      <c r="AD103">
        <f t="shared" si="16"/>
        <v>15.936300000000001</v>
      </c>
      <c r="AE103">
        <f t="shared" si="17"/>
        <v>20.744759799000001</v>
      </c>
      <c r="AF103" s="9"/>
      <c r="AG103" s="22">
        <v>0.36834699999999998</v>
      </c>
      <c r="AH103" s="22">
        <v>240.71700000000001</v>
      </c>
      <c r="AI103" s="22">
        <v>-1.6732799999999999E-2</v>
      </c>
      <c r="AJ103" s="22">
        <v>93</v>
      </c>
      <c r="AK103" s="22">
        <v>0.36773699999999998</v>
      </c>
      <c r="AL103">
        <f t="shared" si="18"/>
        <v>16.732799999999997</v>
      </c>
      <c r="AM103">
        <f t="shared" si="19"/>
        <v>6.1634766815999988</v>
      </c>
      <c r="AP103" s="9"/>
      <c r="AQ103" s="22">
        <v>1.3017300000000001</v>
      </c>
      <c r="AR103" s="22">
        <v>319.572</v>
      </c>
      <c r="AS103" s="22">
        <v>-1.5731800000000001E-2</v>
      </c>
      <c r="AT103" s="22">
        <v>93</v>
      </c>
      <c r="AU103" s="22">
        <v>1.3009599999999999</v>
      </c>
      <c r="AV103">
        <f t="shared" si="20"/>
        <v>15.7318</v>
      </c>
      <c r="AW103">
        <f t="shared" si="21"/>
        <v>20.478556014000002</v>
      </c>
      <c r="AX103" s="9"/>
      <c r="AY103" s="22">
        <v>0.36834699999999998</v>
      </c>
      <c r="AZ103" s="22">
        <v>377.88299999999998</v>
      </c>
      <c r="BA103" s="22">
        <v>-1.6711400000000001E-2</v>
      </c>
      <c r="BB103" s="22">
        <v>93</v>
      </c>
      <c r="BC103" s="22">
        <v>0.367676</v>
      </c>
      <c r="BD103">
        <f t="shared" si="22"/>
        <v>16.711400000000001</v>
      </c>
      <c r="BE103">
        <f t="shared" si="23"/>
        <v>6.1555940558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1.2966899999999999</v>
      </c>
      <c r="H104" s="22">
        <v>48.834099999999999</v>
      </c>
      <c r="I104" s="22">
        <v>-1.5982099999999999E-2</v>
      </c>
      <c r="J104" s="22">
        <v>94</v>
      </c>
      <c r="K104" s="22">
        <v>1.2960799999999999</v>
      </c>
      <c r="L104">
        <f t="shared" si="12"/>
        <v>15.982099999999999</v>
      </c>
      <c r="M104">
        <f t="shared" si="13"/>
        <v>20.723829248999998</v>
      </c>
      <c r="N104" s="9"/>
      <c r="O104" s="22">
        <v>0.37338300000000002</v>
      </c>
      <c r="P104" s="22">
        <v>113.15600000000001</v>
      </c>
      <c r="Q104" s="22">
        <v>-1.6793800000000001E-2</v>
      </c>
      <c r="R104" s="22">
        <v>94</v>
      </c>
      <c r="S104" s="22">
        <v>0.372803</v>
      </c>
      <c r="T104">
        <f t="shared" si="14"/>
        <v>16.793800000000001</v>
      </c>
      <c r="U104">
        <f t="shared" si="15"/>
        <v>6.2705194254000007</v>
      </c>
      <c r="X104" s="9"/>
      <c r="Y104" s="22">
        <v>1.2966899999999999</v>
      </c>
      <c r="Z104" s="22">
        <v>183.28899999999999</v>
      </c>
      <c r="AA104" s="22">
        <v>-1.5930199999999999E-2</v>
      </c>
      <c r="AB104" s="22">
        <v>94</v>
      </c>
      <c r="AC104" s="22">
        <v>1.2954699999999999</v>
      </c>
      <c r="AD104">
        <f t="shared" si="16"/>
        <v>15.930199999999999</v>
      </c>
      <c r="AE104">
        <f t="shared" si="17"/>
        <v>20.656531037999997</v>
      </c>
      <c r="AF104" s="9"/>
      <c r="AG104" s="22">
        <v>0.37338300000000002</v>
      </c>
      <c r="AH104" s="22">
        <v>240.81800000000001</v>
      </c>
      <c r="AI104" s="22">
        <v>-1.6735799999999999E-2</v>
      </c>
      <c r="AJ104" s="22">
        <v>94</v>
      </c>
      <c r="AK104" s="22">
        <v>0.37268099999999998</v>
      </c>
      <c r="AL104">
        <f t="shared" si="18"/>
        <v>16.735799999999998</v>
      </c>
      <c r="AM104">
        <f t="shared" si="19"/>
        <v>6.2488632113999998</v>
      </c>
      <c r="AP104" s="9"/>
      <c r="AQ104" s="22">
        <v>1.2966899999999999</v>
      </c>
      <c r="AR104" s="22">
        <v>319.67200000000003</v>
      </c>
      <c r="AS104" s="22">
        <v>-1.5731800000000001E-2</v>
      </c>
      <c r="AT104" s="22">
        <v>94</v>
      </c>
      <c r="AU104" s="22">
        <v>1.2954699999999999</v>
      </c>
      <c r="AV104">
        <f t="shared" si="20"/>
        <v>15.7318</v>
      </c>
      <c r="AW104">
        <f t="shared" si="21"/>
        <v>20.399267741999999</v>
      </c>
      <c r="AX104" s="9"/>
      <c r="AY104" s="22">
        <v>0.37338300000000002</v>
      </c>
      <c r="AZ104" s="22">
        <v>377.983</v>
      </c>
      <c r="BA104" s="22">
        <v>-1.67175E-2</v>
      </c>
      <c r="BB104" s="22">
        <v>94</v>
      </c>
      <c r="BC104" s="22">
        <v>0.37268099999999998</v>
      </c>
      <c r="BD104">
        <f t="shared" si="22"/>
        <v>16.717500000000001</v>
      </c>
      <c r="BE104">
        <f t="shared" si="23"/>
        <v>6.2420303025000008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1.29166</v>
      </c>
      <c r="H105" s="22">
        <v>48.934899999999999</v>
      </c>
      <c r="I105" s="22">
        <v>-1.5972900000000002E-2</v>
      </c>
      <c r="J105" s="22">
        <v>95</v>
      </c>
      <c r="K105" s="22">
        <v>1.2911999999999999</v>
      </c>
      <c r="L105">
        <f t="shared" si="12"/>
        <v>15.972900000000001</v>
      </c>
      <c r="M105">
        <f t="shared" si="13"/>
        <v>20.631556014000001</v>
      </c>
      <c r="N105" s="9"/>
      <c r="O105" s="22">
        <v>0.37841799999999998</v>
      </c>
      <c r="P105" s="22">
        <v>113.25700000000001</v>
      </c>
      <c r="Q105" s="22">
        <v>-1.6775499999999999E-2</v>
      </c>
      <c r="R105" s="22">
        <v>95</v>
      </c>
      <c r="S105" s="22">
        <v>0.37768600000000002</v>
      </c>
      <c r="T105">
        <f t="shared" si="14"/>
        <v>16.775499999999997</v>
      </c>
      <c r="U105">
        <f t="shared" si="15"/>
        <v>6.3481511589999986</v>
      </c>
      <c r="X105" s="9"/>
      <c r="Y105" s="22">
        <v>1.29166</v>
      </c>
      <c r="Z105" s="22">
        <v>183.39</v>
      </c>
      <c r="AA105" s="22">
        <v>-1.5948500000000001E-2</v>
      </c>
      <c r="AB105" s="22">
        <v>95</v>
      </c>
      <c r="AC105" s="22">
        <v>1.2905899999999999</v>
      </c>
      <c r="AD105">
        <f t="shared" si="16"/>
        <v>15.948500000000001</v>
      </c>
      <c r="AE105">
        <f t="shared" si="17"/>
        <v>20.600039510000002</v>
      </c>
      <c r="AF105" s="9"/>
      <c r="AG105" s="22">
        <v>0.37841799999999998</v>
      </c>
      <c r="AH105" s="22">
        <v>240.91900000000001</v>
      </c>
      <c r="AI105" s="22">
        <v>-1.6723600000000002E-2</v>
      </c>
      <c r="AJ105" s="22">
        <v>95</v>
      </c>
      <c r="AK105" s="22">
        <v>0.377716</v>
      </c>
      <c r="AL105">
        <f t="shared" si="18"/>
        <v>16.723600000000001</v>
      </c>
      <c r="AM105">
        <f t="shared" si="19"/>
        <v>6.3285112648000004</v>
      </c>
      <c r="AP105" s="9"/>
      <c r="AQ105" s="22">
        <v>1.29166</v>
      </c>
      <c r="AR105" s="22">
        <v>319.77300000000002</v>
      </c>
      <c r="AS105" s="22">
        <v>-1.5741000000000002E-2</v>
      </c>
      <c r="AT105" s="22">
        <v>95</v>
      </c>
      <c r="AU105" s="22">
        <v>1.2908900000000001</v>
      </c>
      <c r="AV105">
        <f t="shared" si="20"/>
        <v>15.741000000000001</v>
      </c>
      <c r="AW105">
        <f t="shared" si="21"/>
        <v>20.332020060000001</v>
      </c>
      <c r="AX105" s="9"/>
      <c r="AY105" s="22">
        <v>0.37841799999999998</v>
      </c>
      <c r="AZ105" s="22">
        <v>378.084</v>
      </c>
      <c r="BA105" s="22">
        <v>-1.6708400000000002E-2</v>
      </c>
      <c r="BB105" s="22">
        <v>95</v>
      </c>
      <c r="BC105" s="22">
        <v>0.37756299999999998</v>
      </c>
      <c r="BD105">
        <f t="shared" si="22"/>
        <v>16.708400000000001</v>
      </c>
      <c r="BE105">
        <f t="shared" si="23"/>
        <v>6.3227593111999996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1.2866200000000001</v>
      </c>
      <c r="H106" s="22">
        <v>49.035600000000002</v>
      </c>
      <c r="I106" s="22">
        <v>-1.60065E-2</v>
      </c>
      <c r="J106" s="22">
        <v>96</v>
      </c>
      <c r="K106" s="22">
        <v>1.2857099999999999</v>
      </c>
      <c r="L106">
        <f t="shared" si="12"/>
        <v>16.006499999999999</v>
      </c>
      <c r="M106">
        <f t="shared" si="13"/>
        <v>20.59428303</v>
      </c>
      <c r="N106" s="9"/>
      <c r="O106" s="22">
        <v>0.38345299999999999</v>
      </c>
      <c r="P106" s="22">
        <v>113.358</v>
      </c>
      <c r="Q106" s="22">
        <v>-1.6766400000000001E-2</v>
      </c>
      <c r="R106" s="22">
        <v>96</v>
      </c>
      <c r="S106" s="22">
        <v>0.38259900000000002</v>
      </c>
      <c r="T106">
        <f t="shared" si="14"/>
        <v>16.766400000000001</v>
      </c>
      <c r="U106">
        <f t="shared" si="15"/>
        <v>6.4291263792000004</v>
      </c>
      <c r="X106" s="9"/>
      <c r="Y106" s="22">
        <v>1.2866200000000001</v>
      </c>
      <c r="Z106" s="22">
        <v>183.49100000000001</v>
      </c>
      <c r="AA106" s="22">
        <v>-1.59363E-2</v>
      </c>
      <c r="AB106" s="22">
        <v>96</v>
      </c>
      <c r="AC106" s="22">
        <v>1.2857099999999999</v>
      </c>
      <c r="AD106">
        <f t="shared" si="16"/>
        <v>15.936300000000001</v>
      </c>
      <c r="AE106">
        <f t="shared" si="17"/>
        <v>20.503962306000002</v>
      </c>
      <c r="AF106" s="9"/>
      <c r="AG106" s="22">
        <v>0.38345299999999999</v>
      </c>
      <c r="AH106" s="22">
        <v>241.02</v>
      </c>
      <c r="AI106" s="22">
        <v>-1.6711400000000001E-2</v>
      </c>
      <c r="AJ106" s="22">
        <v>96</v>
      </c>
      <c r="AK106" s="22">
        <v>0.382629</v>
      </c>
      <c r="AL106">
        <f t="shared" si="18"/>
        <v>16.711400000000001</v>
      </c>
      <c r="AM106">
        <f t="shared" si="19"/>
        <v>6.4080364642000003</v>
      </c>
      <c r="AP106" s="9"/>
      <c r="AQ106" s="22">
        <v>1.2866200000000001</v>
      </c>
      <c r="AR106" s="22">
        <v>319.87400000000002</v>
      </c>
      <c r="AS106" s="22">
        <v>-1.5765399999999999E-2</v>
      </c>
      <c r="AT106" s="22">
        <v>96</v>
      </c>
      <c r="AU106" s="22">
        <v>1.2857099999999999</v>
      </c>
      <c r="AV106">
        <f t="shared" si="20"/>
        <v>15.7654</v>
      </c>
      <c r="AW106">
        <f t="shared" si="21"/>
        <v>20.284078948000001</v>
      </c>
      <c r="AX106" s="9"/>
      <c r="AY106" s="22">
        <v>0.38345299999999999</v>
      </c>
      <c r="AZ106" s="22">
        <v>378.185</v>
      </c>
      <c r="BA106" s="22">
        <v>-1.6711400000000001E-2</v>
      </c>
      <c r="BB106" s="22">
        <v>96</v>
      </c>
      <c r="BC106" s="22">
        <v>0.38278200000000001</v>
      </c>
      <c r="BD106">
        <f t="shared" si="22"/>
        <v>16.711400000000001</v>
      </c>
      <c r="BE106">
        <f t="shared" si="23"/>
        <v>6.4080364642000003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1.28159</v>
      </c>
      <c r="H107" s="22">
        <v>49.136299999999999</v>
      </c>
      <c r="I107" s="22">
        <v>-1.6036999999999999E-2</v>
      </c>
      <c r="J107" s="22">
        <v>97</v>
      </c>
      <c r="K107" s="22">
        <v>1.2805200000000001</v>
      </c>
      <c r="L107">
        <f t="shared" si="12"/>
        <v>16.036999999999999</v>
      </c>
      <c r="M107">
        <f t="shared" si="13"/>
        <v>20.552858829999998</v>
      </c>
      <c r="N107" s="9"/>
      <c r="O107" s="22">
        <v>0.38848899999999997</v>
      </c>
      <c r="P107" s="22">
        <v>113.458</v>
      </c>
      <c r="Q107" s="22">
        <v>-1.6775499999999999E-2</v>
      </c>
      <c r="R107" s="22">
        <v>97</v>
      </c>
      <c r="S107" s="22">
        <v>0.38775599999999999</v>
      </c>
      <c r="T107">
        <f t="shared" si="14"/>
        <v>16.775499999999997</v>
      </c>
      <c r="U107">
        <f t="shared" si="15"/>
        <v>6.5170972194999983</v>
      </c>
      <c r="X107" s="9"/>
      <c r="Y107" s="22">
        <v>1.28159</v>
      </c>
      <c r="Z107" s="22">
        <v>183.59100000000001</v>
      </c>
      <c r="AA107" s="22">
        <v>-1.5963700000000001E-2</v>
      </c>
      <c r="AB107" s="22">
        <v>97</v>
      </c>
      <c r="AC107" s="22">
        <v>1.2799100000000001</v>
      </c>
      <c r="AD107">
        <f t="shared" si="16"/>
        <v>15.963700000000001</v>
      </c>
      <c r="AE107">
        <f t="shared" si="17"/>
        <v>20.458918283000003</v>
      </c>
      <c r="AF107" s="9"/>
      <c r="AG107" s="22">
        <v>0.38848899999999997</v>
      </c>
      <c r="AH107" s="22">
        <v>241.12</v>
      </c>
      <c r="AI107" s="22">
        <v>-1.6720599999999999E-2</v>
      </c>
      <c r="AJ107" s="22">
        <v>97</v>
      </c>
      <c r="AK107" s="22">
        <v>0.38784800000000003</v>
      </c>
      <c r="AL107">
        <f t="shared" si="18"/>
        <v>16.720599999999997</v>
      </c>
      <c r="AM107">
        <f t="shared" si="19"/>
        <v>6.4957691733999985</v>
      </c>
      <c r="AP107" s="9"/>
      <c r="AQ107" s="22">
        <v>1.28159</v>
      </c>
      <c r="AR107" s="22">
        <v>319.97500000000002</v>
      </c>
      <c r="AS107" s="22">
        <v>-1.57745E-2</v>
      </c>
      <c r="AT107" s="22">
        <v>97</v>
      </c>
      <c r="AU107" s="22">
        <v>1.2805200000000001</v>
      </c>
      <c r="AV107">
        <f t="shared" si="20"/>
        <v>15.7745</v>
      </c>
      <c r="AW107">
        <f t="shared" si="21"/>
        <v>20.216441454999998</v>
      </c>
      <c r="AX107" s="9"/>
      <c r="AY107" s="22">
        <v>0.38848899999999997</v>
      </c>
      <c r="AZ107" s="22">
        <v>378.28500000000003</v>
      </c>
      <c r="BA107" s="22">
        <v>-1.6705299999999999E-2</v>
      </c>
      <c r="BB107" s="22">
        <v>97</v>
      </c>
      <c r="BC107" s="22">
        <v>0.38781700000000002</v>
      </c>
      <c r="BD107">
        <f t="shared" si="22"/>
        <v>16.705299999999998</v>
      </c>
      <c r="BE107">
        <f t="shared" si="23"/>
        <v>6.489825291699999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1.2765500000000001</v>
      </c>
      <c r="H108" s="22">
        <v>49.237000000000002</v>
      </c>
      <c r="I108" s="22">
        <v>-1.60187E-2</v>
      </c>
      <c r="J108" s="22">
        <v>98</v>
      </c>
      <c r="K108" s="22">
        <v>1.2759400000000001</v>
      </c>
      <c r="L108">
        <f t="shared" si="12"/>
        <v>16.018699999999999</v>
      </c>
      <c r="M108">
        <f t="shared" si="13"/>
        <v>20.448671484999998</v>
      </c>
      <c r="N108" s="9"/>
      <c r="O108" s="22">
        <v>0.39352399999999998</v>
      </c>
      <c r="P108" s="22">
        <v>113.559</v>
      </c>
      <c r="Q108" s="22">
        <v>-1.6778600000000001E-2</v>
      </c>
      <c r="R108" s="22">
        <v>98</v>
      </c>
      <c r="S108" s="22">
        <v>0.39267000000000002</v>
      </c>
      <c r="T108">
        <f t="shared" si="14"/>
        <v>16.778600000000001</v>
      </c>
      <c r="U108">
        <f t="shared" si="15"/>
        <v>6.6027817864000005</v>
      </c>
      <c r="X108" s="9"/>
      <c r="Y108" s="22">
        <v>1.2765500000000001</v>
      </c>
      <c r="Z108" s="22">
        <v>183.69200000000001</v>
      </c>
      <c r="AA108" s="22">
        <v>-1.5963700000000001E-2</v>
      </c>
      <c r="AB108" s="22">
        <v>98</v>
      </c>
      <c r="AC108" s="22">
        <v>1.27563</v>
      </c>
      <c r="AD108">
        <f t="shared" si="16"/>
        <v>15.963700000000001</v>
      </c>
      <c r="AE108">
        <f t="shared" si="17"/>
        <v>20.378461235000003</v>
      </c>
      <c r="AF108" s="9"/>
      <c r="AG108" s="22">
        <v>0.39352399999999998</v>
      </c>
      <c r="AH108" s="22">
        <v>241.221</v>
      </c>
      <c r="AI108" s="22">
        <v>-1.6723600000000002E-2</v>
      </c>
      <c r="AJ108" s="22">
        <v>98</v>
      </c>
      <c r="AK108" s="22">
        <v>0.39288299999999998</v>
      </c>
      <c r="AL108">
        <f t="shared" si="18"/>
        <v>16.723600000000001</v>
      </c>
      <c r="AM108">
        <f t="shared" si="19"/>
        <v>6.5811379664</v>
      </c>
      <c r="AP108" s="9"/>
      <c r="AQ108" s="22">
        <v>1.2765500000000001</v>
      </c>
      <c r="AR108" s="22">
        <v>320.07499999999999</v>
      </c>
      <c r="AS108" s="22">
        <v>-1.5786700000000001E-2</v>
      </c>
      <c r="AT108" s="22">
        <v>98</v>
      </c>
      <c r="AU108" s="22">
        <v>1.2759400000000001</v>
      </c>
      <c r="AV108">
        <f t="shared" si="20"/>
        <v>15.786700000000002</v>
      </c>
      <c r="AW108">
        <f t="shared" si="21"/>
        <v>20.152511885000003</v>
      </c>
      <c r="AX108" s="9"/>
      <c r="AY108" s="22">
        <v>0.39352399999999998</v>
      </c>
      <c r="AZ108" s="22">
        <v>378.38600000000002</v>
      </c>
      <c r="BA108" s="22">
        <v>-1.6699200000000001E-2</v>
      </c>
      <c r="BB108" s="22">
        <v>98</v>
      </c>
      <c r="BC108" s="22">
        <v>0.39288299999999998</v>
      </c>
      <c r="BD108">
        <f t="shared" si="22"/>
        <v>16.699200000000001</v>
      </c>
      <c r="BE108">
        <f t="shared" si="23"/>
        <v>6.5715359808000002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1.2715099999999999</v>
      </c>
      <c r="H109" s="22">
        <v>49.337699999999998</v>
      </c>
      <c r="I109" s="22">
        <v>-1.60217E-2</v>
      </c>
      <c r="J109" s="22">
        <v>99</v>
      </c>
      <c r="K109" s="22">
        <v>1.2704500000000001</v>
      </c>
      <c r="L109">
        <f t="shared" si="12"/>
        <v>16.021699999999999</v>
      </c>
      <c r="M109">
        <f t="shared" si="13"/>
        <v>20.371751766999999</v>
      </c>
      <c r="N109" s="9"/>
      <c r="O109" s="22">
        <v>0.39856000000000003</v>
      </c>
      <c r="P109" s="22">
        <v>113.66</v>
      </c>
      <c r="Q109" s="22">
        <v>-1.6766400000000001E-2</v>
      </c>
      <c r="R109" s="22">
        <v>99</v>
      </c>
      <c r="S109" s="22">
        <v>0.39779700000000001</v>
      </c>
      <c r="T109">
        <f t="shared" si="14"/>
        <v>16.766400000000001</v>
      </c>
      <c r="U109">
        <f t="shared" si="15"/>
        <v>6.6824163840000006</v>
      </c>
      <c r="X109" s="9"/>
      <c r="Y109" s="22">
        <v>1.2715099999999999</v>
      </c>
      <c r="Z109" s="22">
        <v>183.79300000000001</v>
      </c>
      <c r="AA109" s="22">
        <v>-1.5991200000000001E-2</v>
      </c>
      <c r="AB109" s="22">
        <v>99</v>
      </c>
      <c r="AC109" s="22">
        <v>1.2704500000000001</v>
      </c>
      <c r="AD109">
        <f t="shared" si="16"/>
        <v>15.991200000000001</v>
      </c>
      <c r="AE109">
        <f t="shared" si="17"/>
        <v>20.332970712000002</v>
      </c>
      <c r="AF109" s="9"/>
      <c r="AG109" s="22">
        <v>0.39856000000000003</v>
      </c>
      <c r="AH109" s="22">
        <v>241.322</v>
      </c>
      <c r="AI109" s="22">
        <v>-1.6711400000000001E-2</v>
      </c>
      <c r="AJ109" s="22">
        <v>99</v>
      </c>
      <c r="AK109" s="22">
        <v>0.39785799999999999</v>
      </c>
      <c r="AL109">
        <f t="shared" si="18"/>
        <v>16.711400000000001</v>
      </c>
      <c r="AM109">
        <f t="shared" si="19"/>
        <v>6.6604955840000013</v>
      </c>
      <c r="AP109" s="9"/>
      <c r="AQ109" s="22">
        <v>1.2715099999999999</v>
      </c>
      <c r="AR109" s="22">
        <v>320.17599999999999</v>
      </c>
      <c r="AS109" s="22">
        <v>-1.5799000000000001E-2</v>
      </c>
      <c r="AT109" s="22">
        <v>99</v>
      </c>
      <c r="AU109" s="22">
        <v>1.2710600000000001</v>
      </c>
      <c r="AV109">
        <f t="shared" si="20"/>
        <v>15.799000000000001</v>
      </c>
      <c r="AW109">
        <f t="shared" si="21"/>
        <v>20.088586490000001</v>
      </c>
      <c r="AX109" s="9"/>
      <c r="AY109" s="22">
        <v>0.39856000000000003</v>
      </c>
      <c r="AZ109" s="22">
        <v>378.48700000000002</v>
      </c>
      <c r="BA109" s="22">
        <v>-1.6699200000000001E-2</v>
      </c>
      <c r="BB109" s="22">
        <v>99</v>
      </c>
      <c r="BC109" s="22">
        <v>0.39776600000000001</v>
      </c>
      <c r="BD109">
        <f t="shared" si="22"/>
        <v>16.699200000000001</v>
      </c>
      <c r="BE109">
        <f t="shared" si="23"/>
        <v>6.6556331520000009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1.2664800000000001</v>
      </c>
      <c r="H110" s="22">
        <v>49.438400000000001</v>
      </c>
      <c r="I110" s="22">
        <v>-1.6024799999999999E-2</v>
      </c>
      <c r="J110" s="22">
        <v>100</v>
      </c>
      <c r="K110" s="22">
        <v>1.2652600000000001</v>
      </c>
      <c r="L110">
        <f t="shared" si="12"/>
        <v>16.024799999999999</v>
      </c>
      <c r="M110">
        <f t="shared" si="13"/>
        <v>20.295088704000001</v>
      </c>
      <c r="N110" s="9"/>
      <c r="O110" s="22">
        <v>0.40359499999999998</v>
      </c>
      <c r="P110" s="22">
        <v>113.76</v>
      </c>
      <c r="Q110" s="22">
        <v>-1.6760299999999999E-2</v>
      </c>
      <c r="R110" s="22">
        <v>100</v>
      </c>
      <c r="S110" s="22">
        <v>0.40273999999999999</v>
      </c>
      <c r="T110">
        <f t="shared" si="14"/>
        <v>16.760299999999997</v>
      </c>
      <c r="U110">
        <f t="shared" si="15"/>
        <v>6.764373278499999</v>
      </c>
      <c r="X110" s="9"/>
      <c r="Y110" s="22">
        <v>1.2664800000000001</v>
      </c>
      <c r="Z110" s="22">
        <v>183.89400000000001</v>
      </c>
      <c r="AA110" s="22">
        <v>-1.5997299999999999E-2</v>
      </c>
      <c r="AB110" s="22">
        <v>100</v>
      </c>
      <c r="AC110" s="22">
        <v>1.2652600000000001</v>
      </c>
      <c r="AD110">
        <f t="shared" si="16"/>
        <v>15.997299999999999</v>
      </c>
      <c r="AE110">
        <f t="shared" si="17"/>
        <v>20.260260504000001</v>
      </c>
      <c r="AF110" s="9"/>
      <c r="AG110" s="22">
        <v>0.40359499999999998</v>
      </c>
      <c r="AH110" s="22">
        <v>241.422</v>
      </c>
      <c r="AI110" s="22">
        <v>-1.6708400000000002E-2</v>
      </c>
      <c r="AJ110" s="22">
        <v>100</v>
      </c>
      <c r="AK110" s="22">
        <v>0.40286300000000003</v>
      </c>
      <c r="AL110">
        <f t="shared" si="18"/>
        <v>16.708400000000001</v>
      </c>
      <c r="AM110">
        <f t="shared" si="19"/>
        <v>6.7434266980000004</v>
      </c>
      <c r="AP110" s="9"/>
      <c r="AQ110" s="22">
        <v>1.2664800000000001</v>
      </c>
      <c r="AR110" s="22">
        <v>320.27699999999999</v>
      </c>
      <c r="AS110" s="22">
        <v>-1.5808099999999999E-2</v>
      </c>
      <c r="AT110" s="22">
        <v>100</v>
      </c>
      <c r="AU110" s="22">
        <v>1.2658700000000001</v>
      </c>
      <c r="AV110">
        <f t="shared" si="20"/>
        <v>15.808099999999998</v>
      </c>
      <c r="AW110">
        <f t="shared" si="21"/>
        <v>20.020642487999996</v>
      </c>
      <c r="AX110" s="9"/>
      <c r="AY110" s="22">
        <v>0.40359499999999998</v>
      </c>
      <c r="AZ110" s="22">
        <v>378.58800000000002</v>
      </c>
      <c r="BA110" s="22">
        <v>-1.6693099999999999E-2</v>
      </c>
      <c r="BB110" s="22">
        <v>100</v>
      </c>
      <c r="BC110" s="22">
        <v>0.40283200000000002</v>
      </c>
      <c r="BD110">
        <f t="shared" si="22"/>
        <v>16.693099999999998</v>
      </c>
      <c r="BE110">
        <f t="shared" si="23"/>
        <v>6.7372516944999985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1.2614399999999999</v>
      </c>
      <c r="H111" s="22">
        <v>49.539099999999998</v>
      </c>
      <c r="I111" s="22">
        <v>-1.6039999999999999E-2</v>
      </c>
      <c r="J111" s="22">
        <v>101</v>
      </c>
      <c r="K111" s="22">
        <v>1.26007</v>
      </c>
      <c r="L111">
        <f t="shared" si="12"/>
        <v>16.04</v>
      </c>
      <c r="M111">
        <f t="shared" si="13"/>
        <v>20.233497599999996</v>
      </c>
      <c r="N111" s="9"/>
      <c r="O111" s="22">
        <v>0.40862999999999999</v>
      </c>
      <c r="P111" s="22">
        <v>113.861</v>
      </c>
      <c r="Q111" s="22">
        <v>-1.6772499999999999E-2</v>
      </c>
      <c r="R111" s="22">
        <v>101</v>
      </c>
      <c r="S111" s="22">
        <v>0.40783700000000001</v>
      </c>
      <c r="T111">
        <f t="shared" si="14"/>
        <v>16.772500000000001</v>
      </c>
      <c r="U111">
        <f t="shared" si="15"/>
        <v>6.853746675</v>
      </c>
      <c r="X111" s="9"/>
      <c r="Y111" s="22">
        <v>1.2614399999999999</v>
      </c>
      <c r="Z111" s="22">
        <v>183.994</v>
      </c>
      <c r="AA111" s="22">
        <v>-1.5991200000000001E-2</v>
      </c>
      <c r="AB111" s="22">
        <v>101</v>
      </c>
      <c r="AC111" s="22">
        <v>1.2609900000000001</v>
      </c>
      <c r="AD111">
        <f t="shared" si="16"/>
        <v>15.991200000000001</v>
      </c>
      <c r="AE111">
        <f t="shared" si="17"/>
        <v>20.171939328000001</v>
      </c>
      <c r="AF111" s="9"/>
      <c r="AG111" s="22">
        <v>0.40862999999999999</v>
      </c>
      <c r="AH111" s="22">
        <v>241.523</v>
      </c>
      <c r="AI111" s="22">
        <v>-1.67023E-2</v>
      </c>
      <c r="AJ111" s="22">
        <v>101</v>
      </c>
      <c r="AK111" s="22">
        <v>0.40801999999999999</v>
      </c>
      <c r="AL111">
        <f t="shared" si="18"/>
        <v>16.702300000000001</v>
      </c>
      <c r="AM111">
        <f t="shared" si="19"/>
        <v>6.8250608490000007</v>
      </c>
      <c r="AP111" s="9"/>
      <c r="AQ111" s="22">
        <v>1.2614399999999999</v>
      </c>
      <c r="AR111" s="22">
        <v>320.37700000000001</v>
      </c>
      <c r="AS111" s="22">
        <v>-1.5805099999999999E-2</v>
      </c>
      <c r="AT111" s="22">
        <v>101</v>
      </c>
      <c r="AU111" s="22">
        <v>1.2603800000000001</v>
      </c>
      <c r="AV111">
        <f t="shared" si="20"/>
        <v>15.805099999999999</v>
      </c>
      <c r="AW111">
        <f t="shared" si="21"/>
        <v>19.937185343999996</v>
      </c>
      <c r="AX111" s="9"/>
      <c r="AY111" s="22">
        <v>0.40862999999999999</v>
      </c>
      <c r="AZ111" s="22">
        <v>378.68799999999999</v>
      </c>
      <c r="BA111" s="22">
        <v>-1.6680899999999999E-2</v>
      </c>
      <c r="BB111" s="22">
        <v>101</v>
      </c>
      <c r="BC111" s="22">
        <v>0.40786699999999998</v>
      </c>
      <c r="BD111">
        <f t="shared" si="22"/>
        <v>16.680899999999998</v>
      </c>
      <c r="BE111">
        <f t="shared" si="23"/>
        <v>6.8163161669999992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1.25641</v>
      </c>
      <c r="H112" s="22">
        <v>49.639800000000001</v>
      </c>
      <c r="I112" s="22">
        <v>-1.6046100000000001E-2</v>
      </c>
      <c r="J112" s="22">
        <v>102</v>
      </c>
      <c r="K112" s="22">
        <v>1.2558</v>
      </c>
      <c r="L112">
        <f t="shared" si="12"/>
        <v>16.046099999999999</v>
      </c>
      <c r="M112">
        <f t="shared" si="13"/>
        <v>20.160480500999999</v>
      </c>
      <c r="N112" s="9"/>
      <c r="O112" s="22">
        <v>0.41366599999999998</v>
      </c>
      <c r="P112" s="22">
        <v>113.962</v>
      </c>
      <c r="Q112" s="22">
        <v>-1.6766400000000001E-2</v>
      </c>
      <c r="R112" s="22">
        <v>102</v>
      </c>
      <c r="S112" s="22">
        <v>0.412964</v>
      </c>
      <c r="T112">
        <f t="shared" si="14"/>
        <v>16.766400000000001</v>
      </c>
      <c r="U112">
        <f t="shared" si="15"/>
        <v>6.9356896224</v>
      </c>
      <c r="X112" s="9"/>
      <c r="Y112" s="22">
        <v>1.25641</v>
      </c>
      <c r="Z112" s="22">
        <v>184.095</v>
      </c>
      <c r="AA112" s="22">
        <v>-1.6000400000000001E-2</v>
      </c>
      <c r="AB112" s="22">
        <v>102</v>
      </c>
      <c r="AC112" s="22">
        <v>1.25549</v>
      </c>
      <c r="AD112">
        <f t="shared" si="16"/>
        <v>16.000400000000003</v>
      </c>
      <c r="AE112">
        <f t="shared" si="17"/>
        <v>20.103062564000005</v>
      </c>
      <c r="AF112" s="9"/>
      <c r="AG112" s="22">
        <v>0.41366599999999998</v>
      </c>
      <c r="AH112" s="22">
        <v>241.624</v>
      </c>
      <c r="AI112" s="22">
        <v>-1.6705299999999999E-2</v>
      </c>
      <c r="AJ112" s="22">
        <v>102</v>
      </c>
      <c r="AK112" s="22">
        <v>0.41293299999999999</v>
      </c>
      <c r="AL112">
        <f t="shared" si="18"/>
        <v>16.705299999999998</v>
      </c>
      <c r="AM112">
        <f t="shared" si="19"/>
        <v>6.9104146297999982</v>
      </c>
      <c r="AP112" s="9"/>
      <c r="AQ112" s="22">
        <v>1.25641</v>
      </c>
      <c r="AR112" s="22">
        <v>320.47800000000001</v>
      </c>
      <c r="AS112" s="22">
        <v>-1.5820299999999999E-2</v>
      </c>
      <c r="AT112" s="22">
        <v>102</v>
      </c>
      <c r="AU112" s="22">
        <v>1.25519</v>
      </c>
      <c r="AV112">
        <f t="shared" si="20"/>
        <v>15.8203</v>
      </c>
      <c r="AW112">
        <f t="shared" si="21"/>
        <v>19.876783122999999</v>
      </c>
      <c r="AX112" s="9"/>
      <c r="AY112" s="22">
        <v>0.41366599999999998</v>
      </c>
      <c r="AZ112" s="22">
        <v>378.78899999999999</v>
      </c>
      <c r="BA112" s="22">
        <v>-1.6693099999999999E-2</v>
      </c>
      <c r="BB112" s="22">
        <v>102</v>
      </c>
      <c r="BC112" s="22">
        <v>0.41293299999999999</v>
      </c>
      <c r="BD112">
        <f t="shared" si="22"/>
        <v>16.693099999999998</v>
      </c>
      <c r="BE112">
        <f t="shared" si="23"/>
        <v>6.9053679045999985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1.2513700000000001</v>
      </c>
      <c r="H113" s="22">
        <v>49.740499999999997</v>
      </c>
      <c r="I113" s="22">
        <v>-1.6046100000000001E-2</v>
      </c>
      <c r="J113" s="22">
        <v>103</v>
      </c>
      <c r="K113" s="22">
        <v>1.25061</v>
      </c>
      <c r="L113">
        <f t="shared" si="12"/>
        <v>16.046099999999999</v>
      </c>
      <c r="M113">
        <f t="shared" si="13"/>
        <v>20.079608156999999</v>
      </c>
      <c r="N113" s="9"/>
      <c r="O113" s="22">
        <v>0.41870099999999999</v>
      </c>
      <c r="P113" s="22">
        <v>114.063</v>
      </c>
      <c r="Q113" s="22">
        <v>-1.67694E-2</v>
      </c>
      <c r="R113" s="22">
        <v>103</v>
      </c>
      <c r="S113" s="22">
        <v>0.417877</v>
      </c>
      <c r="T113">
        <f t="shared" si="14"/>
        <v>16.769400000000001</v>
      </c>
      <c r="U113">
        <f t="shared" si="15"/>
        <v>7.0213645494000003</v>
      </c>
      <c r="X113" s="9"/>
      <c r="Y113" s="22">
        <v>1.2513700000000001</v>
      </c>
      <c r="Z113" s="22">
        <v>184.196</v>
      </c>
      <c r="AA113" s="22">
        <v>-1.60217E-2</v>
      </c>
      <c r="AB113" s="22">
        <v>103</v>
      </c>
      <c r="AC113" s="22">
        <v>1.25061</v>
      </c>
      <c r="AD113">
        <f t="shared" si="16"/>
        <v>16.021699999999999</v>
      </c>
      <c r="AE113">
        <f t="shared" si="17"/>
        <v>20.049074729000001</v>
      </c>
      <c r="AF113" s="9"/>
      <c r="AG113" s="22">
        <v>0.41870099999999999</v>
      </c>
      <c r="AH113" s="22">
        <v>241.72499999999999</v>
      </c>
      <c r="AI113" s="22">
        <v>-1.6696200000000001E-2</v>
      </c>
      <c r="AJ113" s="22">
        <v>103</v>
      </c>
      <c r="AK113" s="22">
        <v>0.41793799999999998</v>
      </c>
      <c r="AL113">
        <f t="shared" si="18"/>
        <v>16.696200000000001</v>
      </c>
      <c r="AM113">
        <f t="shared" si="19"/>
        <v>6.9907156362</v>
      </c>
      <c r="AP113" s="9"/>
      <c r="AQ113" s="22">
        <v>1.2513700000000001</v>
      </c>
      <c r="AR113" s="22">
        <v>320.57900000000001</v>
      </c>
      <c r="AS113" s="22">
        <v>-1.58295E-2</v>
      </c>
      <c r="AT113" s="22">
        <v>103</v>
      </c>
      <c r="AU113" s="22">
        <v>1.25031</v>
      </c>
      <c r="AV113">
        <f t="shared" si="20"/>
        <v>15.829499999999999</v>
      </c>
      <c r="AW113">
        <f t="shared" si="21"/>
        <v>19.808561415</v>
      </c>
      <c r="AX113" s="9"/>
      <c r="AY113" s="22">
        <v>0.41870099999999999</v>
      </c>
      <c r="AZ113" s="22">
        <v>378.89</v>
      </c>
      <c r="BA113" s="22">
        <v>-1.6687E-2</v>
      </c>
      <c r="BB113" s="22">
        <v>103</v>
      </c>
      <c r="BC113" s="22">
        <v>0.41815200000000002</v>
      </c>
      <c r="BD113">
        <f t="shared" si="22"/>
        <v>16.687000000000001</v>
      </c>
      <c r="BE113">
        <f t="shared" si="23"/>
        <v>6.9868635870000002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1.24634</v>
      </c>
      <c r="H114" s="22">
        <v>49.841200000000001</v>
      </c>
      <c r="I114" s="22">
        <v>-1.6043100000000001E-2</v>
      </c>
      <c r="J114" s="22">
        <v>104</v>
      </c>
      <c r="K114" s="22">
        <v>1.24573</v>
      </c>
      <c r="L114">
        <f t="shared" si="12"/>
        <v>16.043100000000003</v>
      </c>
      <c r="M114">
        <f t="shared" si="13"/>
        <v>19.995157254000002</v>
      </c>
      <c r="N114" s="9"/>
      <c r="O114" s="22">
        <v>0.42373699999999997</v>
      </c>
      <c r="P114" s="22">
        <v>114.163</v>
      </c>
      <c r="Q114" s="22">
        <v>-1.6744999999999999E-2</v>
      </c>
      <c r="R114" s="22">
        <v>104</v>
      </c>
      <c r="S114" s="22">
        <v>0.42303499999999999</v>
      </c>
      <c r="T114">
        <f t="shared" si="14"/>
        <v>16.745000000000001</v>
      </c>
      <c r="U114">
        <f t="shared" si="15"/>
        <v>7.0954760649999997</v>
      </c>
      <c r="X114" s="9"/>
      <c r="Y114" s="22">
        <v>1.24634</v>
      </c>
      <c r="Z114" s="22">
        <v>184.29599999999999</v>
      </c>
      <c r="AA114" s="22">
        <v>-1.6039999999999999E-2</v>
      </c>
      <c r="AB114" s="22">
        <v>104</v>
      </c>
      <c r="AC114" s="22">
        <v>1.24603</v>
      </c>
      <c r="AD114">
        <f t="shared" si="16"/>
        <v>16.04</v>
      </c>
      <c r="AE114">
        <f t="shared" si="17"/>
        <v>19.991293599999999</v>
      </c>
      <c r="AF114" s="9"/>
      <c r="AG114" s="22">
        <v>0.42373699999999997</v>
      </c>
      <c r="AH114" s="22">
        <v>241.82499999999999</v>
      </c>
      <c r="AI114" s="22">
        <v>-1.6693099999999999E-2</v>
      </c>
      <c r="AJ114" s="22">
        <v>104</v>
      </c>
      <c r="AK114" s="22">
        <v>0.42309600000000003</v>
      </c>
      <c r="AL114">
        <f t="shared" si="18"/>
        <v>16.693099999999998</v>
      </c>
      <c r="AM114">
        <f t="shared" si="19"/>
        <v>7.0734841146999985</v>
      </c>
      <c r="AP114" s="9"/>
      <c r="AQ114" s="22">
        <v>1.24634</v>
      </c>
      <c r="AR114" s="22">
        <v>320.68</v>
      </c>
      <c r="AS114" s="22">
        <v>-1.5832499999999999E-2</v>
      </c>
      <c r="AT114" s="22">
        <v>104</v>
      </c>
      <c r="AU114" s="22">
        <v>1.24512</v>
      </c>
      <c r="AV114">
        <f t="shared" si="20"/>
        <v>15.8325</v>
      </c>
      <c r="AW114">
        <f t="shared" si="21"/>
        <v>19.732678050000001</v>
      </c>
      <c r="AX114" s="9"/>
      <c r="AY114" s="22">
        <v>0.42373699999999997</v>
      </c>
      <c r="AZ114" s="22">
        <v>378.99</v>
      </c>
      <c r="BA114" s="22">
        <v>-1.6680899999999999E-2</v>
      </c>
      <c r="BB114" s="22">
        <v>104</v>
      </c>
      <c r="BC114" s="22">
        <v>0.42303499999999999</v>
      </c>
      <c r="BD114">
        <f t="shared" si="22"/>
        <v>16.680899999999998</v>
      </c>
      <c r="BE114">
        <f t="shared" si="23"/>
        <v>7.0683145232999989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1.2413000000000001</v>
      </c>
      <c r="H115" s="22">
        <v>49.941899999999997</v>
      </c>
      <c r="I115" s="22">
        <v>-1.6027799999999998E-2</v>
      </c>
      <c r="J115" s="22">
        <v>105</v>
      </c>
      <c r="K115" s="22">
        <v>1.2402299999999999</v>
      </c>
      <c r="L115">
        <f t="shared" si="12"/>
        <v>16.027799999999999</v>
      </c>
      <c r="M115">
        <f t="shared" si="13"/>
        <v>19.895308140000001</v>
      </c>
      <c r="N115" s="9"/>
      <c r="O115" s="22">
        <v>0.42877199999999999</v>
      </c>
      <c r="P115" s="22">
        <v>114.264</v>
      </c>
      <c r="Q115" s="22">
        <v>-1.6747999999999999E-2</v>
      </c>
      <c r="R115" s="22">
        <v>105</v>
      </c>
      <c r="S115" s="22">
        <v>0.42800899999999997</v>
      </c>
      <c r="T115">
        <f t="shared" si="14"/>
        <v>16.747999999999998</v>
      </c>
      <c r="U115">
        <f t="shared" si="15"/>
        <v>7.1810734559999991</v>
      </c>
      <c r="X115" s="9"/>
      <c r="Y115" s="22">
        <v>1.2413000000000001</v>
      </c>
      <c r="Z115" s="22">
        <v>184.39699999999999</v>
      </c>
      <c r="AA115" s="22">
        <v>-1.6043100000000001E-2</v>
      </c>
      <c r="AB115" s="22">
        <v>105</v>
      </c>
      <c r="AC115" s="22">
        <v>1.2402299999999999</v>
      </c>
      <c r="AD115">
        <f t="shared" si="16"/>
        <v>16.043100000000003</v>
      </c>
      <c r="AE115">
        <f t="shared" si="17"/>
        <v>19.914300030000003</v>
      </c>
      <c r="AF115" s="9"/>
      <c r="AG115" s="22">
        <v>0.42877199999999999</v>
      </c>
      <c r="AH115" s="22">
        <v>241.92599999999999</v>
      </c>
      <c r="AI115" s="22">
        <v>-1.6684000000000001E-2</v>
      </c>
      <c r="AJ115" s="22">
        <v>105</v>
      </c>
      <c r="AK115" s="22">
        <v>0.427979</v>
      </c>
      <c r="AL115">
        <f t="shared" si="18"/>
        <v>16.684000000000001</v>
      </c>
      <c r="AM115">
        <f t="shared" si="19"/>
        <v>7.1536320480000004</v>
      </c>
      <c r="AP115" s="9"/>
      <c r="AQ115" s="22">
        <v>1.2413000000000001</v>
      </c>
      <c r="AR115" s="22">
        <v>320.77999999999997</v>
      </c>
      <c r="AS115" s="22">
        <v>-1.58569E-2</v>
      </c>
      <c r="AT115" s="22">
        <v>105</v>
      </c>
      <c r="AU115" s="22">
        <v>1.2396199999999999</v>
      </c>
      <c r="AV115">
        <f t="shared" si="20"/>
        <v>15.8569</v>
      </c>
      <c r="AW115">
        <f t="shared" si="21"/>
        <v>19.683169970000002</v>
      </c>
      <c r="AX115" s="9"/>
      <c r="AY115" s="22">
        <v>0.42877199999999999</v>
      </c>
      <c r="AZ115" s="22">
        <v>379.09100000000001</v>
      </c>
      <c r="BA115" s="22">
        <v>-1.6665599999999999E-2</v>
      </c>
      <c r="BB115" s="22">
        <v>105</v>
      </c>
      <c r="BC115" s="22">
        <v>0.42810100000000001</v>
      </c>
      <c r="BD115">
        <f t="shared" si="22"/>
        <v>16.665599999999998</v>
      </c>
      <c r="BE115">
        <f t="shared" si="23"/>
        <v>7.1457426431999984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1.23627</v>
      </c>
      <c r="H116" s="22">
        <v>50.0426</v>
      </c>
      <c r="I116" s="22">
        <v>-1.6055300000000002E-2</v>
      </c>
      <c r="J116" s="22">
        <v>106</v>
      </c>
      <c r="K116" s="22">
        <v>1.23505</v>
      </c>
      <c r="L116">
        <f t="shared" si="12"/>
        <v>16.055300000000003</v>
      </c>
      <c r="M116">
        <f t="shared" si="13"/>
        <v>19.848685731000003</v>
      </c>
      <c r="N116" s="9"/>
      <c r="O116" s="22">
        <v>0.433807</v>
      </c>
      <c r="P116" s="22">
        <v>114.36499999999999</v>
      </c>
      <c r="Q116" s="22">
        <v>-1.6744999999999999E-2</v>
      </c>
      <c r="R116" s="22">
        <v>106</v>
      </c>
      <c r="S116" s="22">
        <v>0.43313600000000002</v>
      </c>
      <c r="T116">
        <f t="shared" si="14"/>
        <v>16.745000000000001</v>
      </c>
      <c r="U116">
        <f t="shared" si="15"/>
        <v>7.2640982150000006</v>
      </c>
      <c r="X116" s="9"/>
      <c r="Y116" s="22">
        <v>1.23627</v>
      </c>
      <c r="Z116" s="22">
        <v>184.49799999999999</v>
      </c>
      <c r="AA116" s="22">
        <v>-1.6058300000000001E-2</v>
      </c>
      <c r="AB116" s="22">
        <v>106</v>
      </c>
      <c r="AC116" s="22">
        <v>1.23444</v>
      </c>
      <c r="AD116">
        <f t="shared" si="16"/>
        <v>16.058300000000003</v>
      </c>
      <c r="AE116">
        <f t="shared" si="17"/>
        <v>19.852394541000002</v>
      </c>
      <c r="AF116" s="9"/>
      <c r="AG116" s="22">
        <v>0.433807</v>
      </c>
      <c r="AH116" s="22">
        <v>242.02699999999999</v>
      </c>
      <c r="AI116" s="22">
        <v>-1.6696200000000001E-2</v>
      </c>
      <c r="AJ116" s="22">
        <v>106</v>
      </c>
      <c r="AK116" s="22">
        <v>0.43304399999999998</v>
      </c>
      <c r="AL116">
        <f t="shared" si="18"/>
        <v>16.696200000000001</v>
      </c>
      <c r="AM116">
        <f t="shared" si="19"/>
        <v>7.2429284334000004</v>
      </c>
      <c r="AP116" s="9"/>
      <c r="AQ116" s="22">
        <v>1.23627</v>
      </c>
      <c r="AR116" s="22">
        <v>320.88099999999997</v>
      </c>
      <c r="AS116" s="22">
        <v>-1.5862999999999999E-2</v>
      </c>
      <c r="AT116" s="22">
        <v>106</v>
      </c>
      <c r="AU116" s="22">
        <v>1.2353499999999999</v>
      </c>
      <c r="AV116">
        <f t="shared" si="20"/>
        <v>15.862999999999998</v>
      </c>
      <c r="AW116">
        <f t="shared" si="21"/>
        <v>19.610951009999997</v>
      </c>
      <c r="AX116" s="9"/>
      <c r="AY116" s="22">
        <v>0.433807</v>
      </c>
      <c r="AZ116" s="22">
        <v>379.19200000000001</v>
      </c>
      <c r="BA116" s="22">
        <v>-1.6677899999999999E-2</v>
      </c>
      <c r="BB116" s="22">
        <v>106</v>
      </c>
      <c r="BC116" s="22">
        <v>0.43301400000000001</v>
      </c>
      <c r="BD116">
        <f t="shared" si="22"/>
        <v>16.677899999999998</v>
      </c>
      <c r="BE116">
        <f t="shared" si="23"/>
        <v>7.234989765299999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1.23123</v>
      </c>
      <c r="H117" s="22">
        <v>50.143300000000004</v>
      </c>
      <c r="I117" s="22">
        <v>-1.60736E-2</v>
      </c>
      <c r="J117" s="22">
        <v>107</v>
      </c>
      <c r="K117" s="22">
        <v>1.2301599999999999</v>
      </c>
      <c r="L117">
        <f t="shared" si="12"/>
        <v>16.073599999999999</v>
      </c>
      <c r="M117">
        <f t="shared" si="13"/>
        <v>19.790298528000001</v>
      </c>
      <c r="N117" s="9"/>
      <c r="O117" s="22">
        <v>0.43884299999999998</v>
      </c>
      <c r="P117" s="22">
        <v>114.465</v>
      </c>
      <c r="Q117" s="22">
        <v>-1.6735799999999999E-2</v>
      </c>
      <c r="R117" s="22">
        <v>107</v>
      </c>
      <c r="S117" s="22">
        <v>0.43789699999999998</v>
      </c>
      <c r="T117">
        <f t="shared" si="14"/>
        <v>16.735799999999998</v>
      </c>
      <c r="U117">
        <f t="shared" si="15"/>
        <v>7.3443886793999988</v>
      </c>
      <c r="X117" s="9"/>
      <c r="Y117" s="22">
        <v>1.23123</v>
      </c>
      <c r="Z117" s="22">
        <v>184.59800000000001</v>
      </c>
      <c r="AA117" s="22">
        <v>-1.6052199999999999E-2</v>
      </c>
      <c r="AB117" s="22">
        <v>107</v>
      </c>
      <c r="AC117" s="22">
        <v>1.22986</v>
      </c>
      <c r="AD117">
        <f t="shared" si="16"/>
        <v>16.052199999999999</v>
      </c>
      <c r="AE117">
        <f t="shared" si="17"/>
        <v>19.763950206000001</v>
      </c>
      <c r="AF117" s="9"/>
      <c r="AG117" s="22">
        <v>0.43884299999999998</v>
      </c>
      <c r="AH117" s="22">
        <v>242.12700000000001</v>
      </c>
      <c r="AI117" s="22">
        <v>-1.6687E-2</v>
      </c>
      <c r="AJ117" s="22">
        <v>107</v>
      </c>
      <c r="AK117" s="22">
        <v>0.43789699999999998</v>
      </c>
      <c r="AL117">
        <f t="shared" si="18"/>
        <v>16.687000000000001</v>
      </c>
      <c r="AM117">
        <f t="shared" si="19"/>
        <v>7.3229731410000003</v>
      </c>
      <c r="AP117" s="9"/>
      <c r="AQ117" s="22">
        <v>1.23123</v>
      </c>
      <c r="AR117" s="22">
        <v>320.98200000000003</v>
      </c>
      <c r="AS117" s="22">
        <v>-1.58722E-2</v>
      </c>
      <c r="AT117" s="22">
        <v>107</v>
      </c>
      <c r="AU117" s="22">
        <v>1.2301599999999999</v>
      </c>
      <c r="AV117">
        <f t="shared" si="20"/>
        <v>15.872199999999999</v>
      </c>
      <c r="AW117">
        <f t="shared" si="21"/>
        <v>19.542328806</v>
      </c>
      <c r="AX117" s="9"/>
      <c r="AY117" s="22">
        <v>0.43884299999999998</v>
      </c>
      <c r="AZ117" s="22">
        <v>379.29300000000001</v>
      </c>
      <c r="BA117" s="22">
        <v>-1.66748E-2</v>
      </c>
      <c r="BB117" s="22">
        <v>107</v>
      </c>
      <c r="BC117" s="22">
        <v>0.43811</v>
      </c>
      <c r="BD117">
        <f t="shared" si="22"/>
        <v>16.674800000000001</v>
      </c>
      <c r="BE117">
        <f t="shared" si="23"/>
        <v>7.3176192564000004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1.2262</v>
      </c>
      <c r="H118" s="22">
        <v>50.244100000000003</v>
      </c>
      <c r="I118" s="22">
        <v>-1.6076699999999999E-2</v>
      </c>
      <c r="J118" s="22">
        <v>108</v>
      </c>
      <c r="K118" s="22">
        <v>1.2252799999999999</v>
      </c>
      <c r="L118">
        <f t="shared" si="12"/>
        <v>16.076699999999999</v>
      </c>
      <c r="M118">
        <f t="shared" si="13"/>
        <v>19.71324954</v>
      </c>
      <c r="N118" s="9"/>
      <c r="O118" s="22">
        <v>0.44387799999999999</v>
      </c>
      <c r="P118" s="22">
        <v>114.566</v>
      </c>
      <c r="Q118" s="22">
        <v>-1.6741900000000001E-2</v>
      </c>
      <c r="R118" s="22">
        <v>108</v>
      </c>
      <c r="S118" s="22">
        <v>0.44302399999999997</v>
      </c>
      <c r="T118">
        <f t="shared" si="14"/>
        <v>16.741900000000001</v>
      </c>
      <c r="U118">
        <f t="shared" si="15"/>
        <v>7.4313610882000001</v>
      </c>
      <c r="X118" s="9"/>
      <c r="Y118" s="22">
        <v>1.2262</v>
      </c>
      <c r="Z118" s="22">
        <v>184.69900000000001</v>
      </c>
      <c r="AA118" s="22">
        <v>-1.6070600000000001E-2</v>
      </c>
      <c r="AB118" s="22">
        <v>108</v>
      </c>
      <c r="AC118" s="22">
        <v>1.22498</v>
      </c>
      <c r="AD118">
        <f t="shared" si="16"/>
        <v>16.070600000000002</v>
      </c>
      <c r="AE118">
        <f t="shared" si="17"/>
        <v>19.705769720000003</v>
      </c>
      <c r="AF118" s="9"/>
      <c r="AG118" s="22">
        <v>0.44387799999999999</v>
      </c>
      <c r="AH118" s="22">
        <v>242.22800000000001</v>
      </c>
      <c r="AI118" s="22">
        <v>-1.6690099999999999E-2</v>
      </c>
      <c r="AJ118" s="22">
        <v>108</v>
      </c>
      <c r="AK118" s="22">
        <v>0.44299300000000003</v>
      </c>
      <c r="AL118">
        <f t="shared" si="18"/>
        <v>16.690100000000001</v>
      </c>
      <c r="AM118">
        <f t="shared" si="19"/>
        <v>7.4083682078000006</v>
      </c>
      <c r="AP118" s="9"/>
      <c r="AQ118" s="22">
        <v>1.2262</v>
      </c>
      <c r="AR118" s="22">
        <v>321.08199999999999</v>
      </c>
      <c r="AS118" s="22">
        <v>-1.5890499999999998E-2</v>
      </c>
      <c r="AT118" s="22">
        <v>108</v>
      </c>
      <c r="AU118" s="22">
        <v>1.22498</v>
      </c>
      <c r="AV118">
        <f t="shared" si="20"/>
        <v>15.890499999999998</v>
      </c>
      <c r="AW118">
        <f t="shared" si="21"/>
        <v>19.484931099999997</v>
      </c>
      <c r="AX118" s="9"/>
      <c r="AY118" s="22">
        <v>0.44387799999999999</v>
      </c>
      <c r="AZ118" s="22">
        <v>379.39299999999997</v>
      </c>
      <c r="BA118" s="22">
        <v>-1.66626E-2</v>
      </c>
      <c r="BB118" s="22">
        <v>108</v>
      </c>
      <c r="BC118" s="22">
        <v>0.44302399999999997</v>
      </c>
      <c r="BD118">
        <f t="shared" si="22"/>
        <v>16.662600000000001</v>
      </c>
      <c r="BE118">
        <f t="shared" si="23"/>
        <v>7.3961615628000006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1.22116</v>
      </c>
      <c r="H119" s="22">
        <v>50.344799999999999</v>
      </c>
      <c r="I119" s="22">
        <v>-1.6067499999999998E-2</v>
      </c>
      <c r="J119" s="22">
        <v>109</v>
      </c>
      <c r="K119" s="22">
        <v>1.2197899999999999</v>
      </c>
      <c r="L119">
        <f t="shared" si="12"/>
        <v>16.067499999999999</v>
      </c>
      <c r="M119">
        <f t="shared" si="13"/>
        <v>19.6209883</v>
      </c>
      <c r="N119" s="9"/>
      <c r="O119" s="22">
        <v>0.44891399999999998</v>
      </c>
      <c r="P119" s="22">
        <v>114.667</v>
      </c>
      <c r="Q119" s="22">
        <v>-1.6738900000000001E-2</v>
      </c>
      <c r="R119" s="22">
        <v>109</v>
      </c>
      <c r="S119" s="22">
        <v>0.44802900000000001</v>
      </c>
      <c r="T119">
        <f t="shared" si="14"/>
        <v>16.738900000000001</v>
      </c>
      <c r="U119">
        <f t="shared" si="15"/>
        <v>7.5143265546000002</v>
      </c>
      <c r="X119" s="9"/>
      <c r="Y119" s="22">
        <v>1.22116</v>
      </c>
      <c r="Z119" s="22">
        <v>184.8</v>
      </c>
      <c r="AA119" s="22">
        <v>-1.6082800000000001E-2</v>
      </c>
      <c r="AB119" s="22">
        <v>109</v>
      </c>
      <c r="AC119" s="22">
        <v>1.2197899999999999</v>
      </c>
      <c r="AD119">
        <f t="shared" si="16"/>
        <v>16.082800000000002</v>
      </c>
      <c r="AE119">
        <f t="shared" si="17"/>
        <v>19.639672048000005</v>
      </c>
      <c r="AF119" s="9"/>
      <c r="AG119" s="22">
        <v>0.44891399999999998</v>
      </c>
      <c r="AH119" s="22">
        <v>242.32900000000001</v>
      </c>
      <c r="AI119" s="22">
        <v>-1.6690099999999999E-2</v>
      </c>
      <c r="AJ119" s="22">
        <v>109</v>
      </c>
      <c r="AK119" s="22">
        <v>0.44808999999999999</v>
      </c>
      <c r="AL119">
        <f t="shared" si="18"/>
        <v>16.690100000000001</v>
      </c>
      <c r="AM119">
        <f t="shared" si="19"/>
        <v>7.4924195514000003</v>
      </c>
      <c r="AP119" s="9"/>
      <c r="AQ119" s="22">
        <v>1.22116</v>
      </c>
      <c r="AR119" s="22">
        <v>321.18299999999999</v>
      </c>
      <c r="AS119" s="22">
        <v>-1.5905800000000001E-2</v>
      </c>
      <c r="AT119" s="22">
        <v>109</v>
      </c>
      <c r="AU119" s="22">
        <v>1.2200899999999999</v>
      </c>
      <c r="AV119">
        <f t="shared" si="20"/>
        <v>15.905800000000001</v>
      </c>
      <c r="AW119">
        <f t="shared" si="21"/>
        <v>19.423526728000002</v>
      </c>
      <c r="AX119" s="9"/>
      <c r="AY119" s="22">
        <v>0.44891399999999998</v>
      </c>
      <c r="AZ119" s="22">
        <v>379.49400000000003</v>
      </c>
      <c r="BA119" s="22">
        <v>-1.66626E-2</v>
      </c>
      <c r="BB119" s="22">
        <v>109</v>
      </c>
      <c r="BC119" s="22">
        <v>0.44799800000000001</v>
      </c>
      <c r="BD119">
        <f t="shared" si="22"/>
        <v>16.662600000000001</v>
      </c>
      <c r="BE119">
        <f t="shared" si="23"/>
        <v>7.4800744163999999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1.2161299999999999</v>
      </c>
      <c r="H120" s="22">
        <v>50.445500000000003</v>
      </c>
      <c r="I120" s="22">
        <v>-1.6076699999999999E-2</v>
      </c>
      <c r="J120" s="22">
        <v>110</v>
      </c>
      <c r="K120" s="22">
        <v>1.2149000000000001</v>
      </c>
      <c r="L120">
        <f t="shared" si="12"/>
        <v>16.076699999999999</v>
      </c>
      <c r="M120">
        <f t="shared" si="13"/>
        <v>19.551357170999996</v>
      </c>
      <c r="N120" s="9"/>
      <c r="O120" s="22">
        <v>0.45394899999999999</v>
      </c>
      <c r="P120" s="22">
        <v>114.767</v>
      </c>
      <c r="Q120" s="22">
        <v>-1.6738900000000001E-2</v>
      </c>
      <c r="R120" s="22">
        <v>110</v>
      </c>
      <c r="S120" s="22">
        <v>0.45333899999999999</v>
      </c>
      <c r="T120">
        <f t="shared" si="14"/>
        <v>16.738900000000001</v>
      </c>
      <c r="U120">
        <f t="shared" si="15"/>
        <v>7.5986069161000005</v>
      </c>
      <c r="X120" s="9"/>
      <c r="Y120" s="22">
        <v>1.2161299999999999</v>
      </c>
      <c r="Z120" s="22">
        <v>184.90100000000001</v>
      </c>
      <c r="AA120" s="22">
        <v>-1.6082800000000001E-2</v>
      </c>
      <c r="AB120" s="22">
        <v>110</v>
      </c>
      <c r="AC120" s="22">
        <v>1.2152099999999999</v>
      </c>
      <c r="AD120">
        <f t="shared" si="16"/>
        <v>16.082800000000002</v>
      </c>
      <c r="AE120">
        <f t="shared" si="17"/>
        <v>19.558775564000001</v>
      </c>
      <c r="AF120" s="9"/>
      <c r="AG120" s="22">
        <v>0.45394899999999999</v>
      </c>
      <c r="AH120" s="22">
        <v>242.43</v>
      </c>
      <c r="AI120" s="22">
        <v>-1.6687E-2</v>
      </c>
      <c r="AJ120" s="22">
        <v>110</v>
      </c>
      <c r="AK120" s="22">
        <v>0.45321699999999998</v>
      </c>
      <c r="AL120">
        <f t="shared" si="18"/>
        <v>16.687000000000001</v>
      </c>
      <c r="AM120">
        <f t="shared" si="19"/>
        <v>7.5750469630000001</v>
      </c>
      <c r="AP120" s="9"/>
      <c r="AQ120" s="22">
        <v>1.2161299999999999</v>
      </c>
      <c r="AR120" s="22">
        <v>321.28399999999999</v>
      </c>
      <c r="AS120" s="22">
        <v>-1.5905800000000001E-2</v>
      </c>
      <c r="AT120" s="22">
        <v>110</v>
      </c>
      <c r="AU120" s="22">
        <v>1.2149000000000001</v>
      </c>
      <c r="AV120">
        <f t="shared" si="20"/>
        <v>15.905800000000001</v>
      </c>
      <c r="AW120">
        <f t="shared" si="21"/>
        <v>19.343520554000001</v>
      </c>
      <c r="AX120" s="9"/>
      <c r="AY120" s="22">
        <v>0.45394899999999999</v>
      </c>
      <c r="AZ120" s="22">
        <v>379.59500000000003</v>
      </c>
      <c r="BA120" s="22">
        <v>-1.6665599999999999E-2</v>
      </c>
      <c r="BB120" s="22">
        <v>110</v>
      </c>
      <c r="BC120" s="22">
        <v>0.453125</v>
      </c>
      <c r="BD120">
        <f t="shared" si="22"/>
        <v>16.665599999999998</v>
      </c>
      <c r="BE120">
        <f t="shared" si="23"/>
        <v>7.5653324543999991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1.21109</v>
      </c>
      <c r="H121" s="22">
        <v>50.546199999999999</v>
      </c>
      <c r="I121" s="22">
        <v>-1.6082800000000001E-2</v>
      </c>
      <c r="J121" s="22">
        <v>111</v>
      </c>
      <c r="K121" s="22">
        <v>1.2097199999999999</v>
      </c>
      <c r="L121">
        <f t="shared" si="12"/>
        <v>16.082800000000002</v>
      </c>
      <c r="M121">
        <f t="shared" si="13"/>
        <v>19.477718252000003</v>
      </c>
      <c r="N121" s="9"/>
      <c r="O121" s="22">
        <v>0.458984</v>
      </c>
      <c r="P121" s="22">
        <v>114.86799999999999</v>
      </c>
      <c r="Q121" s="22">
        <v>-1.6726700000000001E-2</v>
      </c>
      <c r="R121" s="22">
        <v>111</v>
      </c>
      <c r="S121" s="22">
        <v>0.45812999999999998</v>
      </c>
      <c r="T121">
        <f t="shared" si="14"/>
        <v>16.726700000000001</v>
      </c>
      <c r="U121">
        <f t="shared" si="15"/>
        <v>7.6772876728000004</v>
      </c>
      <c r="X121" s="9"/>
      <c r="Y121" s="22">
        <v>1.21109</v>
      </c>
      <c r="Z121" s="22">
        <v>185.001</v>
      </c>
      <c r="AA121" s="22">
        <v>-1.6085800000000001E-2</v>
      </c>
      <c r="AB121" s="22">
        <v>111</v>
      </c>
      <c r="AC121" s="22">
        <v>1.2100200000000001</v>
      </c>
      <c r="AD121">
        <f t="shared" si="16"/>
        <v>16.085800000000003</v>
      </c>
      <c r="AE121">
        <f t="shared" si="17"/>
        <v>19.481351522000004</v>
      </c>
      <c r="AF121" s="9"/>
      <c r="AG121" s="22">
        <v>0.458984</v>
      </c>
      <c r="AH121" s="22">
        <v>242.53</v>
      </c>
      <c r="AI121" s="22">
        <v>-1.6671800000000001E-2</v>
      </c>
      <c r="AJ121" s="22">
        <v>111</v>
      </c>
      <c r="AK121" s="22">
        <v>0.45812999999999998</v>
      </c>
      <c r="AL121">
        <f t="shared" si="18"/>
        <v>16.671800000000001</v>
      </c>
      <c r="AM121">
        <f t="shared" si="19"/>
        <v>7.6520894512000002</v>
      </c>
      <c r="AP121" s="9"/>
      <c r="AQ121" s="22">
        <v>1.21109</v>
      </c>
      <c r="AR121" s="22">
        <v>321.38400000000001</v>
      </c>
      <c r="AS121" s="22">
        <v>-1.5908800000000001E-2</v>
      </c>
      <c r="AT121" s="22">
        <v>111</v>
      </c>
      <c r="AU121" s="22">
        <v>1.2100200000000001</v>
      </c>
      <c r="AV121">
        <f t="shared" si="20"/>
        <v>15.908800000000001</v>
      </c>
      <c r="AW121">
        <f t="shared" si="21"/>
        <v>19.266988592000001</v>
      </c>
      <c r="AX121" s="9"/>
      <c r="AY121" s="22">
        <v>0.458984</v>
      </c>
      <c r="AZ121" s="22">
        <v>379.69499999999999</v>
      </c>
      <c r="BA121" s="22">
        <v>-1.66626E-2</v>
      </c>
      <c r="BB121" s="22">
        <v>111</v>
      </c>
      <c r="BC121" s="22">
        <v>0.45809899999999998</v>
      </c>
      <c r="BD121">
        <f t="shared" si="22"/>
        <v>16.662600000000001</v>
      </c>
      <c r="BE121">
        <f t="shared" si="23"/>
        <v>7.6478667984000008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1.2060500000000001</v>
      </c>
      <c r="H122" s="22">
        <v>50.646900000000002</v>
      </c>
      <c r="I122" s="22">
        <v>-1.60889E-2</v>
      </c>
      <c r="J122" s="22">
        <v>112</v>
      </c>
      <c r="K122" s="22">
        <v>1.2042200000000001</v>
      </c>
      <c r="L122">
        <f t="shared" si="12"/>
        <v>16.088899999999999</v>
      </c>
      <c r="M122">
        <f t="shared" si="13"/>
        <v>19.404017844999998</v>
      </c>
      <c r="N122" s="9"/>
      <c r="O122" s="22">
        <v>0.46401999999999999</v>
      </c>
      <c r="P122" s="22">
        <v>114.96899999999999</v>
      </c>
      <c r="Q122" s="22">
        <v>-1.6726700000000001E-2</v>
      </c>
      <c r="R122" s="22">
        <v>112</v>
      </c>
      <c r="S122" s="22">
        <v>0.46331800000000001</v>
      </c>
      <c r="T122">
        <f t="shared" si="14"/>
        <v>16.726700000000001</v>
      </c>
      <c r="U122">
        <f t="shared" si="15"/>
        <v>7.7615233340000005</v>
      </c>
      <c r="X122" s="9"/>
      <c r="Y122" s="22">
        <v>1.2060500000000001</v>
      </c>
      <c r="Z122" s="22">
        <v>185.102</v>
      </c>
      <c r="AA122" s="22">
        <v>-1.6098000000000001E-2</v>
      </c>
      <c r="AB122" s="22">
        <v>112</v>
      </c>
      <c r="AC122" s="22">
        <v>1.2051400000000001</v>
      </c>
      <c r="AD122">
        <f t="shared" si="16"/>
        <v>16.098000000000003</v>
      </c>
      <c r="AE122">
        <f t="shared" si="17"/>
        <v>19.414992900000005</v>
      </c>
      <c r="AF122" s="9"/>
      <c r="AG122" s="22">
        <v>0.46401999999999999</v>
      </c>
      <c r="AH122" s="22">
        <v>242.631</v>
      </c>
      <c r="AI122" s="22">
        <v>-1.6677899999999999E-2</v>
      </c>
      <c r="AJ122" s="22">
        <v>112</v>
      </c>
      <c r="AK122" s="22">
        <v>0.46344000000000002</v>
      </c>
      <c r="AL122">
        <f t="shared" si="18"/>
        <v>16.677899999999998</v>
      </c>
      <c r="AM122">
        <f t="shared" si="19"/>
        <v>7.7388791579999987</v>
      </c>
      <c r="AP122" s="9"/>
      <c r="AQ122" s="22">
        <v>1.2060500000000001</v>
      </c>
      <c r="AR122" s="22">
        <v>321.48500000000001</v>
      </c>
      <c r="AS122" s="22">
        <v>-1.59271E-2</v>
      </c>
      <c r="AT122" s="22">
        <v>112</v>
      </c>
      <c r="AU122" s="22">
        <v>1.2051400000000001</v>
      </c>
      <c r="AV122">
        <f t="shared" si="20"/>
        <v>15.927099999999999</v>
      </c>
      <c r="AW122">
        <f t="shared" si="21"/>
        <v>19.208878954999999</v>
      </c>
      <c r="AX122" s="9"/>
      <c r="AY122" s="22">
        <v>0.46401999999999999</v>
      </c>
      <c r="AZ122" s="22">
        <v>379.79599999999999</v>
      </c>
      <c r="BA122" s="22">
        <v>-1.6644300000000001E-2</v>
      </c>
      <c r="BB122" s="22">
        <v>112</v>
      </c>
      <c r="BC122" s="22">
        <v>0.46322600000000003</v>
      </c>
      <c r="BD122">
        <f t="shared" si="22"/>
        <v>16.644300000000001</v>
      </c>
      <c r="BE122">
        <f t="shared" si="23"/>
        <v>7.7232880860000002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1.20102</v>
      </c>
      <c r="H123" s="22">
        <v>50.747599999999998</v>
      </c>
      <c r="I123" s="22">
        <v>-1.60889E-2</v>
      </c>
      <c r="J123" s="22">
        <v>113</v>
      </c>
      <c r="K123" s="22">
        <v>1.1999500000000001</v>
      </c>
      <c r="L123">
        <f t="shared" si="12"/>
        <v>16.088899999999999</v>
      </c>
      <c r="M123">
        <f t="shared" si="13"/>
        <v>19.323090678</v>
      </c>
      <c r="N123" s="9"/>
      <c r="O123" s="22">
        <v>0.469055</v>
      </c>
      <c r="P123" s="22">
        <v>115.07</v>
      </c>
      <c r="Q123" s="22">
        <v>-1.6723600000000002E-2</v>
      </c>
      <c r="R123" s="22">
        <v>113</v>
      </c>
      <c r="S123" s="22">
        <v>0.46832299999999999</v>
      </c>
      <c r="T123">
        <f t="shared" si="14"/>
        <v>16.723600000000001</v>
      </c>
      <c r="U123">
        <f t="shared" si="15"/>
        <v>7.8442881980000001</v>
      </c>
      <c r="X123" s="9"/>
      <c r="Y123" s="22">
        <v>1.20102</v>
      </c>
      <c r="Z123" s="22">
        <v>185.203</v>
      </c>
      <c r="AA123" s="22">
        <v>-1.61041E-2</v>
      </c>
      <c r="AB123" s="22">
        <v>113</v>
      </c>
      <c r="AC123" s="22">
        <v>1.2002600000000001</v>
      </c>
      <c r="AD123">
        <f t="shared" si="16"/>
        <v>16.104099999999999</v>
      </c>
      <c r="AE123">
        <f t="shared" si="17"/>
        <v>19.341346181999999</v>
      </c>
      <c r="AF123" s="9"/>
      <c r="AG123" s="22">
        <v>0.469055</v>
      </c>
      <c r="AH123" s="22">
        <v>242.732</v>
      </c>
      <c r="AI123" s="22">
        <v>-1.66748E-2</v>
      </c>
      <c r="AJ123" s="22">
        <v>113</v>
      </c>
      <c r="AK123" s="22">
        <v>0.46829199999999999</v>
      </c>
      <c r="AL123">
        <f t="shared" si="18"/>
        <v>16.674800000000001</v>
      </c>
      <c r="AM123">
        <f t="shared" si="19"/>
        <v>7.8213983140000005</v>
      </c>
      <c r="AP123" s="9"/>
      <c r="AQ123" s="22">
        <v>1.20102</v>
      </c>
      <c r="AR123" s="22">
        <v>321.58600000000001</v>
      </c>
      <c r="AS123" s="22">
        <v>-1.59241E-2</v>
      </c>
      <c r="AT123" s="22">
        <v>113</v>
      </c>
      <c r="AU123" s="22">
        <v>1.1999500000000001</v>
      </c>
      <c r="AV123">
        <f t="shared" si="20"/>
        <v>15.924099999999999</v>
      </c>
      <c r="AW123">
        <f t="shared" si="21"/>
        <v>19.125162581999998</v>
      </c>
      <c r="AX123" s="9"/>
      <c r="AY123" s="22">
        <v>0.469055</v>
      </c>
      <c r="AZ123" s="22">
        <v>379.89699999999999</v>
      </c>
      <c r="BA123" s="22">
        <v>-1.66473E-2</v>
      </c>
      <c r="BB123" s="22">
        <v>113</v>
      </c>
      <c r="BC123" s="22">
        <v>0.46801799999999999</v>
      </c>
      <c r="BD123">
        <f t="shared" si="22"/>
        <v>16.647300000000001</v>
      </c>
      <c r="BE123">
        <f t="shared" si="23"/>
        <v>7.8084993015000004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1.19598</v>
      </c>
      <c r="H124" s="22">
        <v>50.848300000000002</v>
      </c>
      <c r="I124" s="22">
        <v>-1.6110200000000002E-2</v>
      </c>
      <c r="J124" s="22">
        <v>114</v>
      </c>
      <c r="K124" s="22">
        <v>1.19537</v>
      </c>
      <c r="L124">
        <f t="shared" si="12"/>
        <v>16.110200000000003</v>
      </c>
      <c r="M124">
        <f t="shared" si="13"/>
        <v>19.267476996000003</v>
      </c>
      <c r="N124" s="9"/>
      <c r="O124" s="22">
        <v>0.47409099999999998</v>
      </c>
      <c r="P124" s="22">
        <v>115.17</v>
      </c>
      <c r="Q124" s="22">
        <v>-1.67175E-2</v>
      </c>
      <c r="R124" s="22">
        <v>114</v>
      </c>
      <c r="S124" s="22">
        <v>0.473389</v>
      </c>
      <c r="T124">
        <f t="shared" si="14"/>
        <v>16.717500000000001</v>
      </c>
      <c r="U124">
        <f t="shared" si="15"/>
        <v>7.9256162925</v>
      </c>
      <c r="X124" s="9"/>
      <c r="Y124" s="22">
        <v>1.19598</v>
      </c>
      <c r="Z124" s="22">
        <v>185.303</v>
      </c>
      <c r="AA124" s="22">
        <v>-1.6113300000000001E-2</v>
      </c>
      <c r="AB124" s="22">
        <v>114</v>
      </c>
      <c r="AC124" s="22">
        <v>1.1950700000000001</v>
      </c>
      <c r="AD124">
        <f t="shared" si="16"/>
        <v>16.113299999999999</v>
      </c>
      <c r="AE124">
        <f t="shared" si="17"/>
        <v>19.271184534</v>
      </c>
      <c r="AF124" s="9"/>
      <c r="AG124" s="22">
        <v>0.47409099999999998</v>
      </c>
      <c r="AH124" s="22">
        <v>242.83199999999999</v>
      </c>
      <c r="AI124" s="22">
        <v>-1.66626E-2</v>
      </c>
      <c r="AJ124" s="22">
        <v>114</v>
      </c>
      <c r="AK124" s="22">
        <v>0.47332800000000003</v>
      </c>
      <c r="AL124">
        <f t="shared" si="18"/>
        <v>16.662600000000001</v>
      </c>
      <c r="AM124">
        <f t="shared" si="19"/>
        <v>7.8995886966000004</v>
      </c>
      <c r="AP124" s="9"/>
      <c r="AQ124" s="22">
        <v>1.19598</v>
      </c>
      <c r="AR124" s="22">
        <v>321.68700000000001</v>
      </c>
      <c r="AS124" s="22">
        <v>-1.5942399999999999E-2</v>
      </c>
      <c r="AT124" s="22">
        <v>114</v>
      </c>
      <c r="AU124" s="22">
        <v>1.19537</v>
      </c>
      <c r="AV124">
        <f t="shared" si="20"/>
        <v>15.942399999999999</v>
      </c>
      <c r="AW124">
        <f t="shared" si="21"/>
        <v>19.066791552000002</v>
      </c>
      <c r="AX124" s="9"/>
      <c r="AY124" s="22">
        <v>0.47409099999999998</v>
      </c>
      <c r="AZ124" s="22">
        <v>379.99799999999999</v>
      </c>
      <c r="BA124" s="22">
        <v>-1.6644300000000001E-2</v>
      </c>
      <c r="BB124" s="22">
        <v>114</v>
      </c>
      <c r="BC124" s="22">
        <v>0.473358</v>
      </c>
      <c r="BD124">
        <f t="shared" si="22"/>
        <v>16.644300000000001</v>
      </c>
      <c r="BE124">
        <f t="shared" si="23"/>
        <v>7.8909128313000005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1.19095</v>
      </c>
      <c r="H125" s="22">
        <v>50.948999999999998</v>
      </c>
      <c r="I125" s="22">
        <v>-1.6125500000000001E-2</v>
      </c>
      <c r="J125" s="22">
        <v>115</v>
      </c>
      <c r="K125" s="22">
        <v>1.1901900000000001</v>
      </c>
      <c r="L125">
        <f t="shared" si="12"/>
        <v>16.125500000000002</v>
      </c>
      <c r="M125">
        <f t="shared" si="13"/>
        <v>19.204664225000002</v>
      </c>
      <c r="N125" s="9"/>
      <c r="O125" s="22">
        <v>0.479126</v>
      </c>
      <c r="P125" s="22">
        <v>115.271</v>
      </c>
      <c r="Q125" s="22">
        <v>-1.6726700000000001E-2</v>
      </c>
      <c r="R125" s="22">
        <v>115</v>
      </c>
      <c r="S125" s="22">
        <v>0.47842400000000002</v>
      </c>
      <c r="T125">
        <f t="shared" si="14"/>
        <v>16.726700000000001</v>
      </c>
      <c r="U125">
        <f t="shared" si="15"/>
        <v>8.0141968642000005</v>
      </c>
      <c r="X125" s="9"/>
      <c r="Y125" s="22">
        <v>1.19095</v>
      </c>
      <c r="Z125" s="22">
        <v>185.404</v>
      </c>
      <c r="AA125" s="22">
        <v>-1.61285E-2</v>
      </c>
      <c r="AB125" s="22">
        <v>115</v>
      </c>
      <c r="AC125" s="22">
        <v>1.1908000000000001</v>
      </c>
      <c r="AD125">
        <f t="shared" si="16"/>
        <v>16.128499999999999</v>
      </c>
      <c r="AE125">
        <f t="shared" si="17"/>
        <v>19.208237075</v>
      </c>
      <c r="AF125" s="9"/>
      <c r="AG125" s="22">
        <v>0.479126</v>
      </c>
      <c r="AH125" s="22">
        <v>242.93299999999999</v>
      </c>
      <c r="AI125" s="22">
        <v>-1.66473E-2</v>
      </c>
      <c r="AJ125" s="22">
        <v>115</v>
      </c>
      <c r="AK125" s="22">
        <v>0.47833300000000001</v>
      </c>
      <c r="AL125">
        <f t="shared" si="18"/>
        <v>16.647300000000001</v>
      </c>
      <c r="AM125">
        <f t="shared" si="19"/>
        <v>7.9761542598000004</v>
      </c>
      <c r="AP125" s="9"/>
      <c r="AQ125" s="22">
        <v>1.19095</v>
      </c>
      <c r="AR125" s="22">
        <v>321.78699999999998</v>
      </c>
      <c r="AS125" s="22">
        <v>-1.5954599999999999E-2</v>
      </c>
      <c r="AT125" s="22">
        <v>115</v>
      </c>
      <c r="AU125" s="22">
        <v>1.1895800000000001</v>
      </c>
      <c r="AV125">
        <f t="shared" si="20"/>
        <v>15.954599999999999</v>
      </c>
      <c r="AW125">
        <f t="shared" si="21"/>
        <v>19.001130869999997</v>
      </c>
      <c r="AX125" s="9"/>
      <c r="AY125" s="22">
        <v>0.479126</v>
      </c>
      <c r="AZ125" s="22">
        <v>380.09800000000001</v>
      </c>
      <c r="BA125" s="22">
        <v>-1.6641199999999998E-2</v>
      </c>
      <c r="BB125" s="22">
        <v>115</v>
      </c>
      <c r="BC125" s="22">
        <v>0.478516</v>
      </c>
      <c r="BD125">
        <f t="shared" si="22"/>
        <v>16.641199999999998</v>
      </c>
      <c r="BE125">
        <f t="shared" si="23"/>
        <v>7.9732315911999985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1.18591</v>
      </c>
      <c r="H126" s="22">
        <v>51.049700000000001</v>
      </c>
      <c r="I126" s="22">
        <v>-1.6131599999999999E-2</v>
      </c>
      <c r="J126" s="22">
        <v>116</v>
      </c>
      <c r="K126" s="22">
        <v>1.1850000000000001</v>
      </c>
      <c r="L126">
        <f t="shared" si="12"/>
        <v>16.131599999999999</v>
      </c>
      <c r="M126">
        <f t="shared" si="13"/>
        <v>19.130625756000001</v>
      </c>
      <c r="N126" s="9"/>
      <c r="O126" s="22">
        <v>0.48416100000000001</v>
      </c>
      <c r="P126" s="22">
        <v>115.372</v>
      </c>
      <c r="Q126" s="22">
        <v>-1.6705299999999999E-2</v>
      </c>
      <c r="R126" s="22">
        <v>116</v>
      </c>
      <c r="S126" s="22">
        <v>0.48348999999999998</v>
      </c>
      <c r="T126">
        <f t="shared" si="14"/>
        <v>16.705299999999998</v>
      </c>
      <c r="U126">
        <f t="shared" si="15"/>
        <v>8.0880547532999998</v>
      </c>
      <c r="X126" s="9"/>
      <c r="Y126" s="22">
        <v>1.18591</v>
      </c>
      <c r="Z126" s="22">
        <v>185.505</v>
      </c>
      <c r="AA126" s="22">
        <v>-1.6125500000000001E-2</v>
      </c>
      <c r="AB126" s="22">
        <v>116</v>
      </c>
      <c r="AC126" s="22">
        <v>1.1850000000000001</v>
      </c>
      <c r="AD126">
        <f t="shared" si="16"/>
        <v>16.125500000000002</v>
      </c>
      <c r="AE126">
        <f t="shared" si="17"/>
        <v>19.123391705000003</v>
      </c>
      <c r="AF126" s="9"/>
      <c r="AG126" s="22">
        <v>0.48416100000000001</v>
      </c>
      <c r="AH126" s="22">
        <v>243.03399999999999</v>
      </c>
      <c r="AI126" s="22">
        <v>-1.6656500000000001E-2</v>
      </c>
      <c r="AJ126" s="22">
        <v>116</v>
      </c>
      <c r="AK126" s="22">
        <v>0.48333700000000002</v>
      </c>
      <c r="AL126">
        <f t="shared" si="18"/>
        <v>16.656500000000001</v>
      </c>
      <c r="AM126">
        <f t="shared" si="19"/>
        <v>8.064427696500001</v>
      </c>
      <c r="AP126" s="9"/>
      <c r="AQ126" s="22">
        <v>1.18591</v>
      </c>
      <c r="AR126" s="22">
        <v>321.88799999999998</v>
      </c>
      <c r="AS126" s="22">
        <v>-1.59668E-2</v>
      </c>
      <c r="AT126" s="22">
        <v>116</v>
      </c>
      <c r="AU126" s="22">
        <v>1.18469</v>
      </c>
      <c r="AV126">
        <f t="shared" si="20"/>
        <v>15.966799999999999</v>
      </c>
      <c r="AW126">
        <f t="shared" si="21"/>
        <v>18.935187788</v>
      </c>
      <c r="AX126" s="9"/>
      <c r="AY126" s="22">
        <v>0.48416100000000001</v>
      </c>
      <c r="AZ126" s="22">
        <v>380.19900000000001</v>
      </c>
      <c r="BA126" s="22">
        <v>-1.6641199999999998E-2</v>
      </c>
      <c r="BB126" s="22">
        <v>116</v>
      </c>
      <c r="BC126" s="22">
        <v>0.48339799999999999</v>
      </c>
      <c r="BD126">
        <f t="shared" si="22"/>
        <v>16.641199999999998</v>
      </c>
      <c r="BE126">
        <f t="shared" si="23"/>
        <v>8.0570200331999988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1.1808799999999999</v>
      </c>
      <c r="H127" s="22">
        <v>51.150399999999998</v>
      </c>
      <c r="I127" s="22">
        <v>-1.6137700000000001E-2</v>
      </c>
      <c r="J127" s="22">
        <v>117</v>
      </c>
      <c r="K127" s="22">
        <v>1.18011</v>
      </c>
      <c r="L127">
        <f t="shared" si="12"/>
        <v>16.137700000000002</v>
      </c>
      <c r="M127">
        <f t="shared" si="13"/>
        <v>19.056687176000001</v>
      </c>
      <c r="N127" s="9"/>
      <c r="O127" s="22">
        <v>0.48919699999999999</v>
      </c>
      <c r="P127" s="22">
        <v>115.47199999999999</v>
      </c>
      <c r="Q127" s="22">
        <v>-1.67145E-2</v>
      </c>
      <c r="R127" s="22">
        <v>117</v>
      </c>
      <c r="S127" s="22">
        <v>0.48846400000000001</v>
      </c>
      <c r="T127">
        <f t="shared" si="14"/>
        <v>16.714500000000001</v>
      </c>
      <c r="U127">
        <f t="shared" si="15"/>
        <v>8.1766832565000005</v>
      </c>
      <c r="X127" s="9"/>
      <c r="Y127" s="22">
        <v>1.1808799999999999</v>
      </c>
      <c r="Z127" s="22">
        <v>185.60599999999999</v>
      </c>
      <c r="AA127" s="22">
        <v>-1.6137700000000001E-2</v>
      </c>
      <c r="AB127" s="22">
        <v>117</v>
      </c>
      <c r="AC127" s="22">
        <v>1.1795</v>
      </c>
      <c r="AD127">
        <f t="shared" si="16"/>
        <v>16.137700000000002</v>
      </c>
      <c r="AE127">
        <f t="shared" si="17"/>
        <v>19.056687176000001</v>
      </c>
      <c r="AF127" s="9"/>
      <c r="AG127" s="22">
        <v>0.48919699999999999</v>
      </c>
      <c r="AH127" s="22">
        <v>243.13399999999999</v>
      </c>
      <c r="AI127" s="22">
        <v>-1.66351E-2</v>
      </c>
      <c r="AJ127" s="22">
        <v>117</v>
      </c>
      <c r="AK127" s="22">
        <v>0.48831200000000002</v>
      </c>
      <c r="AL127">
        <f t="shared" si="18"/>
        <v>16.635100000000001</v>
      </c>
      <c r="AM127">
        <f t="shared" si="19"/>
        <v>8.1378410147000011</v>
      </c>
      <c r="AP127" s="9"/>
      <c r="AQ127" s="22">
        <v>1.1808799999999999</v>
      </c>
      <c r="AR127" s="22">
        <v>321.98899999999998</v>
      </c>
      <c r="AS127" s="22">
        <v>-1.5972900000000002E-2</v>
      </c>
      <c r="AT127" s="22">
        <v>117</v>
      </c>
      <c r="AU127" s="22">
        <v>1.18011</v>
      </c>
      <c r="AV127">
        <f t="shared" si="20"/>
        <v>15.972900000000001</v>
      </c>
      <c r="AW127">
        <f t="shared" si="21"/>
        <v>18.862078151999999</v>
      </c>
      <c r="AX127" s="9"/>
      <c r="AY127" s="22">
        <v>0.48919699999999999</v>
      </c>
      <c r="AZ127" s="22">
        <v>380.3</v>
      </c>
      <c r="BA127" s="22">
        <v>-1.6629000000000001E-2</v>
      </c>
      <c r="BB127" s="22">
        <v>117</v>
      </c>
      <c r="BC127" s="22">
        <v>0.48840299999999998</v>
      </c>
      <c r="BD127">
        <f t="shared" si="22"/>
        <v>16.629000000000001</v>
      </c>
      <c r="BE127">
        <f t="shared" si="23"/>
        <v>8.1348569130000001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1.17584</v>
      </c>
      <c r="H128" s="22">
        <v>51.251100000000001</v>
      </c>
      <c r="I128" s="22">
        <v>-1.6146899999999999E-2</v>
      </c>
      <c r="J128" s="22">
        <v>118</v>
      </c>
      <c r="K128" s="22">
        <v>1.17493</v>
      </c>
      <c r="L128">
        <f t="shared" si="12"/>
        <v>16.146899999999999</v>
      </c>
      <c r="M128">
        <f t="shared" si="13"/>
        <v>18.986170895999997</v>
      </c>
      <c r="N128" s="9"/>
      <c r="O128" s="22">
        <v>0.494232</v>
      </c>
      <c r="P128" s="22">
        <v>115.57299999999999</v>
      </c>
      <c r="Q128" s="22">
        <v>-1.6708400000000002E-2</v>
      </c>
      <c r="R128" s="22">
        <v>118</v>
      </c>
      <c r="S128" s="22">
        <v>0.49343900000000002</v>
      </c>
      <c r="T128">
        <f t="shared" si="14"/>
        <v>16.708400000000001</v>
      </c>
      <c r="U128">
        <f t="shared" si="15"/>
        <v>8.2578259488000008</v>
      </c>
      <c r="X128" s="9"/>
      <c r="Y128" s="22">
        <v>1.17584</v>
      </c>
      <c r="Z128" s="22">
        <v>185.70599999999999</v>
      </c>
      <c r="AA128" s="22">
        <v>-1.61163E-2</v>
      </c>
      <c r="AB128" s="22">
        <v>118</v>
      </c>
      <c r="AC128" s="22">
        <v>1.17523</v>
      </c>
      <c r="AD128">
        <f t="shared" si="16"/>
        <v>16.116299999999999</v>
      </c>
      <c r="AE128">
        <f t="shared" si="17"/>
        <v>18.950190191999997</v>
      </c>
      <c r="AF128" s="9"/>
      <c r="AG128" s="22">
        <v>0.494232</v>
      </c>
      <c r="AH128" s="22">
        <v>243.23500000000001</v>
      </c>
      <c r="AI128" s="22">
        <v>-1.66351E-2</v>
      </c>
      <c r="AJ128" s="22">
        <v>118</v>
      </c>
      <c r="AK128" s="22">
        <v>0.49337799999999998</v>
      </c>
      <c r="AL128">
        <f t="shared" si="18"/>
        <v>16.635100000000001</v>
      </c>
      <c r="AM128">
        <f t="shared" si="19"/>
        <v>8.2215987432000013</v>
      </c>
      <c r="AP128" s="9"/>
      <c r="AQ128" s="22">
        <v>1.17584</v>
      </c>
      <c r="AR128" s="22">
        <v>322.089</v>
      </c>
      <c r="AS128" s="22">
        <v>-1.5979E-2</v>
      </c>
      <c r="AT128" s="22">
        <v>118</v>
      </c>
      <c r="AU128" s="22">
        <v>1.17462</v>
      </c>
      <c r="AV128">
        <f t="shared" si="20"/>
        <v>15.979000000000001</v>
      </c>
      <c r="AW128">
        <f t="shared" si="21"/>
        <v>18.788747360000002</v>
      </c>
      <c r="AX128" s="9"/>
      <c r="AY128" s="22">
        <v>0.494232</v>
      </c>
      <c r="AZ128" s="22">
        <v>380.4</v>
      </c>
      <c r="BA128" s="22">
        <v>-1.66321E-2</v>
      </c>
      <c r="BB128" s="22">
        <v>118</v>
      </c>
      <c r="BC128" s="22">
        <v>0.49349999999999999</v>
      </c>
      <c r="BD128">
        <f t="shared" si="22"/>
        <v>16.632100000000001</v>
      </c>
      <c r="BE128">
        <f t="shared" si="23"/>
        <v>8.2201160472000012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1.1708099999999999</v>
      </c>
      <c r="H129" s="22">
        <v>51.351799999999997</v>
      </c>
      <c r="I129" s="22">
        <v>-1.6159099999999999E-2</v>
      </c>
      <c r="J129" s="22">
        <v>119</v>
      </c>
      <c r="K129" s="22">
        <v>1.16974</v>
      </c>
      <c r="L129">
        <f t="shared" si="12"/>
        <v>16.159099999999999</v>
      </c>
      <c r="M129">
        <f t="shared" si="13"/>
        <v>18.919235870999998</v>
      </c>
      <c r="N129" s="9"/>
      <c r="O129" s="22">
        <v>0.49926799999999999</v>
      </c>
      <c r="P129" s="22">
        <v>115.67400000000001</v>
      </c>
      <c r="Q129" s="22">
        <v>-1.6723600000000002E-2</v>
      </c>
      <c r="R129" s="22">
        <v>119</v>
      </c>
      <c r="S129" s="22">
        <v>0.49862699999999999</v>
      </c>
      <c r="T129">
        <f t="shared" si="14"/>
        <v>16.723600000000001</v>
      </c>
      <c r="U129">
        <f t="shared" si="15"/>
        <v>8.3495583248000003</v>
      </c>
      <c r="X129" s="9"/>
      <c r="Y129" s="22">
        <v>1.1708099999999999</v>
      </c>
      <c r="Z129" s="22">
        <v>185.80699999999999</v>
      </c>
      <c r="AA129" s="22">
        <v>-1.6134599999999999E-2</v>
      </c>
      <c r="AB129" s="22">
        <v>119</v>
      </c>
      <c r="AC129" s="22">
        <v>1.16974</v>
      </c>
      <c r="AD129">
        <f t="shared" si="16"/>
        <v>16.134599999999999</v>
      </c>
      <c r="AE129">
        <f t="shared" si="17"/>
        <v>18.890551025999997</v>
      </c>
      <c r="AF129" s="9"/>
      <c r="AG129" s="22">
        <v>0.49926799999999999</v>
      </c>
      <c r="AH129" s="22">
        <v>243.33600000000001</v>
      </c>
      <c r="AI129" s="22">
        <v>-1.66351E-2</v>
      </c>
      <c r="AJ129" s="22">
        <v>119</v>
      </c>
      <c r="AK129" s="22">
        <v>0.49825999999999998</v>
      </c>
      <c r="AL129">
        <f t="shared" si="18"/>
        <v>16.635100000000001</v>
      </c>
      <c r="AM129">
        <f t="shared" si="19"/>
        <v>8.3053731068000012</v>
      </c>
      <c r="AP129" s="9"/>
      <c r="AQ129" s="22">
        <v>1.1708099999999999</v>
      </c>
      <c r="AR129" s="22">
        <v>322.19</v>
      </c>
      <c r="AS129" s="22">
        <v>-1.6000400000000001E-2</v>
      </c>
      <c r="AT129" s="22">
        <v>119</v>
      </c>
      <c r="AU129" s="22">
        <v>1.16943</v>
      </c>
      <c r="AV129">
        <f t="shared" si="20"/>
        <v>16.000400000000003</v>
      </c>
      <c r="AW129">
        <f t="shared" si="21"/>
        <v>18.733428324000002</v>
      </c>
      <c r="AX129" s="9"/>
      <c r="AY129" s="22">
        <v>0.49926799999999999</v>
      </c>
      <c r="AZ129" s="22">
        <v>380.50099999999998</v>
      </c>
      <c r="BA129" s="22">
        <v>-1.6616800000000001E-2</v>
      </c>
      <c r="BB129" s="22">
        <v>119</v>
      </c>
      <c r="BC129" s="22">
        <v>0.49877899999999997</v>
      </c>
      <c r="BD129">
        <f t="shared" si="22"/>
        <v>16.616800000000001</v>
      </c>
      <c r="BE129">
        <f t="shared" si="23"/>
        <v>8.2962365024000011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1.16577</v>
      </c>
      <c r="H130" s="22">
        <v>51.452599999999997</v>
      </c>
      <c r="I130" s="22">
        <v>-1.6168200000000001E-2</v>
      </c>
      <c r="J130" s="22">
        <v>120</v>
      </c>
      <c r="K130" s="22">
        <v>1.16455</v>
      </c>
      <c r="L130">
        <f t="shared" si="12"/>
        <v>16.168200000000002</v>
      </c>
      <c r="M130">
        <f t="shared" si="13"/>
        <v>18.848402514000004</v>
      </c>
      <c r="N130" s="9"/>
      <c r="O130" s="22">
        <v>0.50430299999999995</v>
      </c>
      <c r="P130" s="22">
        <v>115.77500000000001</v>
      </c>
      <c r="Q130" s="22">
        <v>-1.6708400000000002E-2</v>
      </c>
      <c r="R130" s="22">
        <v>120</v>
      </c>
      <c r="S130" s="22">
        <v>0.50351000000000001</v>
      </c>
      <c r="T130">
        <f t="shared" si="14"/>
        <v>16.708400000000001</v>
      </c>
      <c r="U130">
        <f t="shared" si="15"/>
        <v>8.4260962452000001</v>
      </c>
      <c r="X130" s="9"/>
      <c r="Y130" s="22">
        <v>1.16577</v>
      </c>
      <c r="Z130" s="22">
        <v>185.90799999999999</v>
      </c>
      <c r="AA130" s="22">
        <v>-1.6149899999999998E-2</v>
      </c>
      <c r="AB130" s="22">
        <v>120</v>
      </c>
      <c r="AC130" s="22">
        <v>1.16455</v>
      </c>
      <c r="AD130">
        <f t="shared" si="16"/>
        <v>16.149899999999999</v>
      </c>
      <c r="AE130">
        <f t="shared" si="17"/>
        <v>18.827068922999999</v>
      </c>
      <c r="AF130" s="9"/>
      <c r="AG130" s="22">
        <v>0.50430299999999995</v>
      </c>
      <c r="AH130" s="22">
        <v>243.43700000000001</v>
      </c>
      <c r="AI130" s="22">
        <v>-1.6638199999999999E-2</v>
      </c>
      <c r="AJ130" s="22">
        <v>120</v>
      </c>
      <c r="AK130" s="22">
        <v>0.50357099999999999</v>
      </c>
      <c r="AL130">
        <f t="shared" si="18"/>
        <v>16.638199999999998</v>
      </c>
      <c r="AM130">
        <f t="shared" si="19"/>
        <v>8.3906941745999983</v>
      </c>
      <c r="AP130" s="9"/>
      <c r="AQ130" s="22">
        <v>1.16577</v>
      </c>
      <c r="AR130" s="22">
        <v>322.291</v>
      </c>
      <c r="AS130" s="22">
        <v>-1.5994299999999999E-2</v>
      </c>
      <c r="AT130" s="22">
        <v>120</v>
      </c>
      <c r="AU130" s="22">
        <v>1.16516</v>
      </c>
      <c r="AV130">
        <f t="shared" si="20"/>
        <v>15.994299999999999</v>
      </c>
      <c r="AW130">
        <f t="shared" si="21"/>
        <v>18.645675110999999</v>
      </c>
      <c r="AX130" s="9"/>
      <c r="AY130" s="22">
        <v>0.50430299999999995</v>
      </c>
      <c r="AZ130" s="22">
        <v>380.60199999999998</v>
      </c>
      <c r="BA130" s="22">
        <v>-1.6625999999999998E-2</v>
      </c>
      <c r="BB130" s="22">
        <v>120</v>
      </c>
      <c r="BC130" s="22">
        <v>0.50351000000000001</v>
      </c>
      <c r="BD130">
        <f t="shared" si="22"/>
        <v>16.625999999999998</v>
      </c>
      <c r="BE130">
        <f t="shared" si="23"/>
        <v>8.3845416779999979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1.1607400000000001</v>
      </c>
      <c r="H131" s="22">
        <v>51.5533</v>
      </c>
      <c r="I131" s="22">
        <v>-1.6153000000000001E-2</v>
      </c>
      <c r="J131" s="22">
        <v>121</v>
      </c>
      <c r="K131" s="22">
        <v>1.1599699999999999</v>
      </c>
      <c r="L131">
        <f t="shared" si="12"/>
        <v>16.153000000000002</v>
      </c>
      <c r="M131">
        <f t="shared" si="13"/>
        <v>18.749433220000004</v>
      </c>
      <c r="N131" s="9"/>
      <c r="O131" s="22">
        <v>0.50933799999999996</v>
      </c>
      <c r="P131" s="22">
        <v>115.875</v>
      </c>
      <c r="Q131" s="22">
        <v>-1.67023E-2</v>
      </c>
      <c r="R131" s="22">
        <v>121</v>
      </c>
      <c r="S131" s="22">
        <v>0.50851400000000002</v>
      </c>
      <c r="T131">
        <f t="shared" si="14"/>
        <v>16.702300000000001</v>
      </c>
      <c r="U131">
        <f t="shared" si="15"/>
        <v>8.5071160773999992</v>
      </c>
      <c r="X131" s="9"/>
      <c r="Y131" s="22">
        <v>1.1607400000000001</v>
      </c>
      <c r="Z131" s="22">
        <v>186.00800000000001</v>
      </c>
      <c r="AA131" s="22">
        <v>-1.6162099999999999E-2</v>
      </c>
      <c r="AB131" s="22">
        <v>121</v>
      </c>
      <c r="AC131" s="22">
        <v>1.15967</v>
      </c>
      <c r="AD131">
        <f t="shared" si="16"/>
        <v>16.162099999999999</v>
      </c>
      <c r="AE131">
        <f t="shared" si="17"/>
        <v>18.759995954000001</v>
      </c>
      <c r="AF131" s="9"/>
      <c r="AG131" s="22">
        <v>0.50933799999999996</v>
      </c>
      <c r="AH131" s="22">
        <v>243.53700000000001</v>
      </c>
      <c r="AI131" s="22">
        <v>-1.66321E-2</v>
      </c>
      <c r="AJ131" s="22">
        <v>121</v>
      </c>
      <c r="AK131" s="22">
        <v>0.50869799999999998</v>
      </c>
      <c r="AL131">
        <f t="shared" si="18"/>
        <v>16.632100000000001</v>
      </c>
      <c r="AM131">
        <f t="shared" si="19"/>
        <v>8.4713605498</v>
      </c>
      <c r="AP131" s="9"/>
      <c r="AQ131" s="22">
        <v>1.1607400000000001</v>
      </c>
      <c r="AR131" s="22">
        <v>322.392</v>
      </c>
      <c r="AS131" s="22">
        <v>-1.60065E-2</v>
      </c>
      <c r="AT131" s="22">
        <v>121</v>
      </c>
      <c r="AU131" s="22">
        <v>1.15967</v>
      </c>
      <c r="AV131">
        <f t="shared" si="20"/>
        <v>16.006499999999999</v>
      </c>
      <c r="AW131">
        <f t="shared" si="21"/>
        <v>18.579384810000001</v>
      </c>
      <c r="AX131" s="9"/>
      <c r="AY131" s="22">
        <v>0.50933799999999996</v>
      </c>
      <c r="AZ131" s="22">
        <v>380.702</v>
      </c>
      <c r="BA131" s="22">
        <v>-1.66199E-2</v>
      </c>
      <c r="BB131" s="22">
        <v>121</v>
      </c>
      <c r="BC131" s="22">
        <v>0.50863599999999998</v>
      </c>
      <c r="BD131">
        <f t="shared" si="22"/>
        <v>16.619900000000001</v>
      </c>
      <c r="BE131">
        <f t="shared" si="23"/>
        <v>8.4651466261999992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1.1556999999999999</v>
      </c>
      <c r="H132" s="22">
        <v>51.654000000000003</v>
      </c>
      <c r="I132" s="22">
        <v>-1.61713E-2</v>
      </c>
      <c r="J132" s="22">
        <v>122</v>
      </c>
      <c r="K132" s="22">
        <v>1.15479</v>
      </c>
      <c r="L132">
        <f t="shared" si="12"/>
        <v>16.171299999999999</v>
      </c>
      <c r="M132">
        <f t="shared" si="13"/>
        <v>18.689171409999997</v>
      </c>
      <c r="N132" s="9"/>
      <c r="O132" s="22">
        <v>0.514374</v>
      </c>
      <c r="P132" s="22">
        <v>115.976</v>
      </c>
      <c r="Q132" s="22">
        <v>-1.6690099999999999E-2</v>
      </c>
      <c r="R132" s="22">
        <v>122</v>
      </c>
      <c r="S132" s="22">
        <v>0.51358000000000004</v>
      </c>
      <c r="T132">
        <f t="shared" si="14"/>
        <v>16.690100000000001</v>
      </c>
      <c r="U132">
        <f t="shared" si="15"/>
        <v>8.5849534974000008</v>
      </c>
      <c r="X132" s="9"/>
      <c r="Y132" s="22">
        <v>1.1556999999999999</v>
      </c>
      <c r="Z132" s="22">
        <v>186.10900000000001</v>
      </c>
      <c r="AA132" s="22">
        <v>-1.6156E-2</v>
      </c>
      <c r="AB132" s="22">
        <v>122</v>
      </c>
      <c r="AC132" s="22">
        <v>1.15448</v>
      </c>
      <c r="AD132">
        <f t="shared" si="16"/>
        <v>16.155999999999999</v>
      </c>
      <c r="AE132">
        <f t="shared" si="17"/>
        <v>18.671489199999996</v>
      </c>
      <c r="AF132" s="9"/>
      <c r="AG132" s="22">
        <v>0.514374</v>
      </c>
      <c r="AH132" s="22">
        <v>243.63800000000001</v>
      </c>
      <c r="AI132" s="22">
        <v>-1.6622899999999999E-2</v>
      </c>
      <c r="AJ132" s="22">
        <v>122</v>
      </c>
      <c r="AK132" s="22">
        <v>0.51364100000000001</v>
      </c>
      <c r="AL132">
        <f t="shared" si="18"/>
        <v>16.622899999999998</v>
      </c>
      <c r="AM132">
        <f t="shared" si="19"/>
        <v>8.5503875645999994</v>
      </c>
      <c r="AP132" s="9"/>
      <c r="AQ132" s="22">
        <v>1.1556999999999999</v>
      </c>
      <c r="AR132" s="22">
        <v>322.49200000000002</v>
      </c>
      <c r="AS132" s="22">
        <v>-1.6027799999999998E-2</v>
      </c>
      <c r="AT132" s="22">
        <v>122</v>
      </c>
      <c r="AU132" s="22">
        <v>1.15479</v>
      </c>
      <c r="AV132">
        <f t="shared" si="20"/>
        <v>16.027799999999999</v>
      </c>
      <c r="AW132">
        <f t="shared" si="21"/>
        <v>18.523328459999998</v>
      </c>
      <c r="AX132" s="9"/>
      <c r="AY132" s="22">
        <v>0.514374</v>
      </c>
      <c r="AZ132" s="22">
        <v>380.803</v>
      </c>
      <c r="BA132" s="22">
        <v>-1.66077E-2</v>
      </c>
      <c r="BB132" s="22">
        <v>122</v>
      </c>
      <c r="BC132" s="22">
        <v>0.51361100000000004</v>
      </c>
      <c r="BD132">
        <f t="shared" si="22"/>
        <v>16.607700000000001</v>
      </c>
      <c r="BE132">
        <f t="shared" si="23"/>
        <v>8.5425690797999998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1.1506700000000001</v>
      </c>
      <c r="H133" s="22">
        <v>51.7547</v>
      </c>
      <c r="I133" s="22">
        <v>-1.6162099999999999E-2</v>
      </c>
      <c r="J133" s="22">
        <v>123</v>
      </c>
      <c r="K133" s="22">
        <v>1.1496</v>
      </c>
      <c r="L133">
        <f t="shared" si="12"/>
        <v>16.162099999999999</v>
      </c>
      <c r="M133">
        <f t="shared" si="13"/>
        <v>18.597243606999999</v>
      </c>
      <c r="N133" s="9"/>
      <c r="O133" s="22">
        <v>0.51940900000000001</v>
      </c>
      <c r="P133" s="22">
        <v>116.077</v>
      </c>
      <c r="Q133" s="22">
        <v>-1.6696200000000001E-2</v>
      </c>
      <c r="R133" s="22">
        <v>123</v>
      </c>
      <c r="S133" s="22">
        <v>0.51858499999999996</v>
      </c>
      <c r="T133">
        <f t="shared" si="14"/>
        <v>16.696200000000001</v>
      </c>
      <c r="U133">
        <f t="shared" si="15"/>
        <v>8.6721565458000001</v>
      </c>
      <c r="X133" s="9"/>
      <c r="Y133" s="22">
        <v>1.1506700000000001</v>
      </c>
      <c r="Z133" s="22">
        <v>186.21</v>
      </c>
      <c r="AA133" s="22">
        <v>-1.6168200000000001E-2</v>
      </c>
      <c r="AB133" s="22">
        <v>123</v>
      </c>
      <c r="AC133" s="22">
        <v>1.1496</v>
      </c>
      <c r="AD133">
        <f t="shared" si="16"/>
        <v>16.168200000000002</v>
      </c>
      <c r="AE133">
        <f t="shared" si="17"/>
        <v>18.604262694000003</v>
      </c>
      <c r="AF133" s="9"/>
      <c r="AG133" s="22">
        <v>0.51940900000000001</v>
      </c>
      <c r="AH133" s="22">
        <v>243.739</v>
      </c>
      <c r="AI133" s="22">
        <v>-1.66351E-2</v>
      </c>
      <c r="AJ133" s="22">
        <v>123</v>
      </c>
      <c r="AK133" s="22">
        <v>0.51864600000000005</v>
      </c>
      <c r="AL133">
        <f t="shared" si="18"/>
        <v>16.635100000000001</v>
      </c>
      <c r="AM133">
        <f t="shared" si="19"/>
        <v>8.6404206559000016</v>
      </c>
      <c r="AP133" s="9"/>
      <c r="AQ133" s="22">
        <v>1.1506700000000001</v>
      </c>
      <c r="AR133" s="22">
        <v>322.59300000000002</v>
      </c>
      <c r="AS133" s="22">
        <v>-1.6036999999999999E-2</v>
      </c>
      <c r="AT133" s="22">
        <v>123</v>
      </c>
      <c r="AU133" s="22">
        <v>1.1496</v>
      </c>
      <c r="AV133">
        <f t="shared" si="20"/>
        <v>16.036999999999999</v>
      </c>
      <c r="AW133">
        <f t="shared" si="21"/>
        <v>18.453294790000001</v>
      </c>
      <c r="AX133" s="9"/>
      <c r="AY133" s="22">
        <v>0.51940900000000001</v>
      </c>
      <c r="AZ133" s="22">
        <v>380.904</v>
      </c>
      <c r="BA133" s="22">
        <v>-1.6610699999999999E-2</v>
      </c>
      <c r="BB133" s="22">
        <v>123</v>
      </c>
      <c r="BC133" s="22">
        <v>0.51870700000000003</v>
      </c>
      <c r="BD133">
        <f t="shared" si="22"/>
        <v>16.610699999999998</v>
      </c>
      <c r="BE133">
        <f t="shared" si="23"/>
        <v>8.6277470762999986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1.1456299999999999</v>
      </c>
      <c r="H134" s="22">
        <v>51.855400000000003</v>
      </c>
      <c r="I134" s="22">
        <v>-1.6165200000000001E-2</v>
      </c>
      <c r="J134" s="22">
        <v>124</v>
      </c>
      <c r="K134" s="22">
        <v>1.1447099999999999</v>
      </c>
      <c r="L134">
        <f t="shared" si="12"/>
        <v>16.165200000000002</v>
      </c>
      <c r="M134">
        <f t="shared" si="13"/>
        <v>18.519338076</v>
      </c>
      <c r="N134" s="9"/>
      <c r="O134" s="22">
        <v>0.52444500000000005</v>
      </c>
      <c r="P134" s="22">
        <v>116.17700000000001</v>
      </c>
      <c r="Q134" s="22">
        <v>-1.6699200000000001E-2</v>
      </c>
      <c r="R134" s="22">
        <v>124</v>
      </c>
      <c r="S134" s="22">
        <v>0.52368199999999998</v>
      </c>
      <c r="T134">
        <f t="shared" si="14"/>
        <v>16.699200000000001</v>
      </c>
      <c r="U134">
        <f t="shared" si="15"/>
        <v>8.757811944000002</v>
      </c>
      <c r="X134" s="9"/>
      <c r="Y134" s="22">
        <v>1.1456299999999999</v>
      </c>
      <c r="Z134" s="22">
        <v>186.31100000000001</v>
      </c>
      <c r="AA134" s="22">
        <v>-1.61713E-2</v>
      </c>
      <c r="AB134" s="22">
        <v>124</v>
      </c>
      <c r="AC134" s="22">
        <v>1.1444099999999999</v>
      </c>
      <c r="AD134">
        <f t="shared" si="16"/>
        <v>16.171299999999999</v>
      </c>
      <c r="AE134">
        <f t="shared" si="17"/>
        <v>18.526326418999997</v>
      </c>
      <c r="AF134" s="9"/>
      <c r="AG134" s="22">
        <v>0.52444500000000005</v>
      </c>
      <c r="AH134" s="22">
        <v>243.839</v>
      </c>
      <c r="AI134" s="22">
        <v>-1.66351E-2</v>
      </c>
      <c r="AJ134" s="22">
        <v>124</v>
      </c>
      <c r="AK134" s="22">
        <v>0.52371199999999996</v>
      </c>
      <c r="AL134">
        <f t="shared" si="18"/>
        <v>16.635100000000001</v>
      </c>
      <c r="AM134">
        <f t="shared" si="19"/>
        <v>8.7241950195000015</v>
      </c>
      <c r="AP134" s="9"/>
      <c r="AQ134" s="22">
        <v>1.1456299999999999</v>
      </c>
      <c r="AR134" s="22">
        <v>322.69400000000002</v>
      </c>
      <c r="AS134" s="22">
        <v>-1.6036999999999999E-2</v>
      </c>
      <c r="AT134" s="22">
        <v>124</v>
      </c>
      <c r="AU134" s="22">
        <v>1.1453199999999999</v>
      </c>
      <c r="AV134">
        <f t="shared" si="20"/>
        <v>16.036999999999999</v>
      </c>
      <c r="AW134">
        <f t="shared" si="21"/>
        <v>18.372468309999999</v>
      </c>
      <c r="AX134" s="9"/>
      <c r="AY134" s="22">
        <v>0.52444500000000005</v>
      </c>
      <c r="AZ134" s="22">
        <v>381.005</v>
      </c>
      <c r="BA134" s="22">
        <v>-1.6610699999999999E-2</v>
      </c>
      <c r="BB134" s="22">
        <v>124</v>
      </c>
      <c r="BC134" s="22">
        <v>0.523621</v>
      </c>
      <c r="BD134">
        <f t="shared" si="22"/>
        <v>16.610699999999998</v>
      </c>
      <c r="BE134">
        <f t="shared" si="23"/>
        <v>8.7113985614999994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1.14059</v>
      </c>
      <c r="H135" s="22">
        <v>51.956099999999999</v>
      </c>
      <c r="I135" s="22">
        <v>-1.6177400000000002E-2</v>
      </c>
      <c r="J135" s="22">
        <v>125</v>
      </c>
      <c r="K135" s="22">
        <v>1.1398299999999999</v>
      </c>
      <c r="L135">
        <f t="shared" si="12"/>
        <v>16.177400000000002</v>
      </c>
      <c r="M135">
        <f t="shared" si="13"/>
        <v>18.451780666000001</v>
      </c>
      <c r="N135" s="9"/>
      <c r="O135" s="22">
        <v>0.52947999999999995</v>
      </c>
      <c r="P135" s="22">
        <v>116.27800000000001</v>
      </c>
      <c r="Q135" s="22">
        <v>-1.6699200000000001E-2</v>
      </c>
      <c r="R135" s="22">
        <v>125</v>
      </c>
      <c r="S135" s="22">
        <v>0.52865600000000001</v>
      </c>
      <c r="T135">
        <f t="shared" si="14"/>
        <v>16.699200000000001</v>
      </c>
      <c r="U135">
        <f t="shared" si="15"/>
        <v>8.8418924160000003</v>
      </c>
      <c r="X135" s="9"/>
      <c r="Y135" s="22">
        <v>1.14059</v>
      </c>
      <c r="Z135" s="22">
        <v>186.411</v>
      </c>
      <c r="AA135" s="22">
        <v>-1.6189599999999998E-2</v>
      </c>
      <c r="AB135" s="22">
        <v>125</v>
      </c>
      <c r="AC135" s="22">
        <v>1.1392199999999999</v>
      </c>
      <c r="AD135">
        <f t="shared" si="16"/>
        <v>16.189599999999999</v>
      </c>
      <c r="AE135">
        <f t="shared" si="17"/>
        <v>18.465695863999997</v>
      </c>
      <c r="AF135" s="9"/>
      <c r="AG135" s="22">
        <v>0.52947999999999995</v>
      </c>
      <c r="AH135" s="22">
        <v>243.94</v>
      </c>
      <c r="AI135" s="22">
        <v>-1.66321E-2</v>
      </c>
      <c r="AJ135" s="22">
        <v>125</v>
      </c>
      <c r="AK135" s="22">
        <v>0.52868700000000002</v>
      </c>
      <c r="AL135">
        <f t="shared" si="18"/>
        <v>16.632100000000001</v>
      </c>
      <c r="AM135">
        <f t="shared" si="19"/>
        <v>8.8063643079999991</v>
      </c>
      <c r="AP135" s="9"/>
      <c r="AQ135" s="22">
        <v>1.14059</v>
      </c>
      <c r="AR135" s="22">
        <v>322.79399999999998</v>
      </c>
      <c r="AS135" s="22">
        <v>-1.6055300000000002E-2</v>
      </c>
      <c r="AT135" s="22">
        <v>125</v>
      </c>
      <c r="AU135" s="22">
        <v>1.1401399999999999</v>
      </c>
      <c r="AV135">
        <f t="shared" si="20"/>
        <v>16.055300000000003</v>
      </c>
      <c r="AW135">
        <f t="shared" si="21"/>
        <v>18.312514627000002</v>
      </c>
      <c r="AX135" s="9"/>
      <c r="AY135" s="22">
        <v>0.52947999999999995</v>
      </c>
      <c r="AZ135" s="22">
        <v>381.10500000000002</v>
      </c>
      <c r="BA135" s="22">
        <v>-1.6601600000000001E-2</v>
      </c>
      <c r="BB135" s="22">
        <v>125</v>
      </c>
      <c r="BC135" s="22">
        <v>0.52871699999999999</v>
      </c>
      <c r="BD135">
        <f t="shared" si="22"/>
        <v>16.601600000000001</v>
      </c>
      <c r="BE135">
        <f t="shared" si="23"/>
        <v>8.7902151679999996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1.1355599999999999</v>
      </c>
      <c r="H136" s="22">
        <v>52.056800000000003</v>
      </c>
      <c r="I136" s="22">
        <v>-1.61835E-2</v>
      </c>
      <c r="J136" s="22">
        <v>126</v>
      </c>
      <c r="K136" s="22">
        <v>1.1349499999999999</v>
      </c>
      <c r="L136">
        <f t="shared" si="12"/>
        <v>16.183499999999999</v>
      </c>
      <c r="M136">
        <f t="shared" si="13"/>
        <v>18.377335259999995</v>
      </c>
      <c r="N136" s="9"/>
      <c r="O136" s="22">
        <v>0.53451499999999996</v>
      </c>
      <c r="P136" s="22">
        <v>116.379</v>
      </c>
      <c r="Q136" s="22">
        <v>-1.6687E-2</v>
      </c>
      <c r="R136" s="22">
        <v>126</v>
      </c>
      <c r="S136" s="22">
        <v>0.53369100000000003</v>
      </c>
      <c r="T136">
        <f t="shared" si="14"/>
        <v>16.687000000000001</v>
      </c>
      <c r="U136">
        <f t="shared" si="15"/>
        <v>8.9194518049999996</v>
      </c>
      <c r="X136" s="9"/>
      <c r="Y136" s="22">
        <v>1.1355599999999999</v>
      </c>
      <c r="Z136" s="22">
        <v>186.512</v>
      </c>
      <c r="AA136" s="22">
        <v>-1.6192600000000001E-2</v>
      </c>
      <c r="AB136" s="22">
        <v>126</v>
      </c>
      <c r="AC136" s="22">
        <v>1.1346400000000001</v>
      </c>
      <c r="AD136">
        <f t="shared" si="16"/>
        <v>16.192600000000002</v>
      </c>
      <c r="AE136">
        <f t="shared" si="17"/>
        <v>18.387668856000001</v>
      </c>
      <c r="AF136" s="9"/>
      <c r="AG136" s="22">
        <v>0.53451499999999996</v>
      </c>
      <c r="AH136" s="22">
        <v>244.041</v>
      </c>
      <c r="AI136" s="22">
        <v>-1.6638199999999999E-2</v>
      </c>
      <c r="AJ136" s="22">
        <v>126</v>
      </c>
      <c r="AK136" s="22">
        <v>0.53369100000000003</v>
      </c>
      <c r="AL136">
        <f t="shared" si="18"/>
        <v>16.638199999999998</v>
      </c>
      <c r="AM136">
        <f t="shared" si="19"/>
        <v>8.8933674729999979</v>
      </c>
      <c r="AP136" s="9"/>
      <c r="AQ136" s="22">
        <v>1.1355599999999999</v>
      </c>
      <c r="AR136" s="22">
        <v>322.89499999999998</v>
      </c>
      <c r="AS136" s="22">
        <v>-1.6052199999999999E-2</v>
      </c>
      <c r="AT136" s="22">
        <v>126</v>
      </c>
      <c r="AU136" s="22">
        <v>1.1346400000000001</v>
      </c>
      <c r="AV136">
        <f t="shared" si="20"/>
        <v>16.052199999999999</v>
      </c>
      <c r="AW136">
        <f t="shared" si="21"/>
        <v>18.228236231999997</v>
      </c>
      <c r="AX136" s="9"/>
      <c r="AY136" s="22">
        <v>0.53451499999999996</v>
      </c>
      <c r="AZ136" s="22">
        <v>381.20600000000002</v>
      </c>
      <c r="BA136" s="22">
        <v>-1.6598499999999999E-2</v>
      </c>
      <c r="BB136" s="22">
        <v>126</v>
      </c>
      <c r="BC136" s="22">
        <v>0.533752</v>
      </c>
      <c r="BD136">
        <f t="shared" si="22"/>
        <v>16.598499999999998</v>
      </c>
      <c r="BE136">
        <f t="shared" si="23"/>
        <v>8.8721472274999975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1.13052</v>
      </c>
      <c r="H137" s="22">
        <v>52.157499999999999</v>
      </c>
      <c r="I137" s="22">
        <v>-1.6189599999999998E-2</v>
      </c>
      <c r="J137" s="22">
        <v>127</v>
      </c>
      <c r="K137" s="22">
        <v>1.1294599999999999</v>
      </c>
      <c r="L137">
        <f t="shared" si="12"/>
        <v>16.189599999999999</v>
      </c>
      <c r="M137">
        <f t="shared" si="13"/>
        <v>18.302666591999998</v>
      </c>
      <c r="N137" s="9"/>
      <c r="O137" s="22">
        <v>0.539551</v>
      </c>
      <c r="P137" s="22">
        <v>116.48</v>
      </c>
      <c r="Q137" s="22">
        <v>-1.6684000000000001E-2</v>
      </c>
      <c r="R137" s="22">
        <v>127</v>
      </c>
      <c r="S137" s="22">
        <v>0.538879</v>
      </c>
      <c r="T137">
        <f t="shared" si="14"/>
        <v>16.684000000000001</v>
      </c>
      <c r="U137">
        <f t="shared" si="15"/>
        <v>9.0018688840000003</v>
      </c>
      <c r="X137" s="9"/>
      <c r="Y137" s="22">
        <v>1.13052</v>
      </c>
      <c r="Z137" s="22">
        <v>186.613</v>
      </c>
      <c r="AA137" s="22">
        <v>-1.61957E-2</v>
      </c>
      <c r="AB137" s="22">
        <v>127</v>
      </c>
      <c r="AC137" s="22">
        <v>1.1291500000000001</v>
      </c>
      <c r="AD137">
        <f t="shared" si="16"/>
        <v>16.195699999999999</v>
      </c>
      <c r="AE137">
        <f t="shared" si="17"/>
        <v>18.309562763999999</v>
      </c>
      <c r="AF137" s="9"/>
      <c r="AG137" s="22">
        <v>0.539551</v>
      </c>
      <c r="AH137" s="22">
        <v>244.142</v>
      </c>
      <c r="AI137" s="22">
        <v>-1.6622899999999999E-2</v>
      </c>
      <c r="AJ137" s="22">
        <v>127</v>
      </c>
      <c r="AK137" s="22">
        <v>0.53851300000000002</v>
      </c>
      <c r="AL137">
        <f t="shared" si="18"/>
        <v>16.622899999999998</v>
      </c>
      <c r="AM137">
        <f t="shared" si="19"/>
        <v>8.9689023178999996</v>
      </c>
      <c r="AP137" s="9"/>
      <c r="AQ137" s="22">
        <v>1.13052</v>
      </c>
      <c r="AR137" s="22">
        <v>322.99599999999998</v>
      </c>
      <c r="AS137" s="22">
        <v>-1.6064499999999999E-2</v>
      </c>
      <c r="AT137" s="22">
        <v>127</v>
      </c>
      <c r="AU137" s="22">
        <v>1.1297600000000001</v>
      </c>
      <c r="AV137">
        <f t="shared" si="20"/>
        <v>16.064499999999999</v>
      </c>
      <c r="AW137">
        <f t="shared" si="21"/>
        <v>18.161238539999999</v>
      </c>
      <c r="AX137" s="9"/>
      <c r="AY137" s="22">
        <v>0.539551</v>
      </c>
      <c r="AZ137" s="22">
        <v>381.30700000000002</v>
      </c>
      <c r="BA137" s="22">
        <v>-1.6595499999999999E-2</v>
      </c>
      <c r="BB137" s="22">
        <v>127</v>
      </c>
      <c r="BC137" s="22">
        <v>0.53848300000000004</v>
      </c>
      <c r="BD137">
        <f t="shared" si="22"/>
        <v>16.595499999999998</v>
      </c>
      <c r="BE137">
        <f t="shared" si="23"/>
        <v>8.9541186204999992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1.1254900000000001</v>
      </c>
      <c r="H138" s="22">
        <v>52.258200000000002</v>
      </c>
      <c r="I138" s="22">
        <v>-1.6201799999999999E-2</v>
      </c>
      <c r="J138" s="22">
        <v>128</v>
      </c>
      <c r="K138" s="22">
        <v>1.1242700000000001</v>
      </c>
      <c r="L138">
        <f t="shared" si="12"/>
        <v>16.201799999999999</v>
      </c>
      <c r="M138">
        <f t="shared" si="13"/>
        <v>18.234963881999999</v>
      </c>
      <c r="N138" s="9"/>
      <c r="O138" s="22">
        <v>0.54458600000000001</v>
      </c>
      <c r="P138" s="22">
        <v>116.58</v>
      </c>
      <c r="Q138" s="22">
        <v>-1.6684000000000001E-2</v>
      </c>
      <c r="R138" s="22">
        <v>128</v>
      </c>
      <c r="S138" s="22">
        <v>0.54385399999999995</v>
      </c>
      <c r="T138">
        <f t="shared" si="14"/>
        <v>16.684000000000001</v>
      </c>
      <c r="U138">
        <f t="shared" si="15"/>
        <v>9.0858728240000008</v>
      </c>
      <c r="X138" s="9"/>
      <c r="Y138" s="22">
        <v>1.1254900000000001</v>
      </c>
      <c r="Z138" s="22">
        <v>186.71299999999999</v>
      </c>
      <c r="AA138" s="22">
        <v>-1.6201799999999999E-2</v>
      </c>
      <c r="AB138" s="22">
        <v>128</v>
      </c>
      <c r="AC138" s="22">
        <v>1.1245700000000001</v>
      </c>
      <c r="AD138">
        <f t="shared" si="16"/>
        <v>16.201799999999999</v>
      </c>
      <c r="AE138">
        <f t="shared" si="17"/>
        <v>18.234963881999999</v>
      </c>
      <c r="AF138" s="9"/>
      <c r="AG138" s="22">
        <v>0.54458600000000001</v>
      </c>
      <c r="AH138" s="22">
        <v>244.24199999999999</v>
      </c>
      <c r="AI138" s="22">
        <v>-1.66199E-2</v>
      </c>
      <c r="AJ138" s="22">
        <v>128</v>
      </c>
      <c r="AK138" s="22">
        <v>0.54367100000000002</v>
      </c>
      <c r="AL138">
        <f t="shared" si="18"/>
        <v>16.619900000000001</v>
      </c>
      <c r="AM138">
        <f t="shared" si="19"/>
        <v>9.0509648614000007</v>
      </c>
      <c r="AP138" s="9"/>
      <c r="AQ138" s="22">
        <v>1.1254900000000001</v>
      </c>
      <c r="AR138" s="22">
        <v>323.09699999999998</v>
      </c>
      <c r="AS138" s="22">
        <v>-1.6082800000000001E-2</v>
      </c>
      <c r="AT138" s="22">
        <v>128</v>
      </c>
      <c r="AU138" s="22">
        <v>1.1245700000000001</v>
      </c>
      <c r="AV138">
        <f t="shared" si="20"/>
        <v>16.082800000000002</v>
      </c>
      <c r="AW138">
        <f t="shared" si="21"/>
        <v>18.101030572000003</v>
      </c>
      <c r="AX138" s="9"/>
      <c r="AY138" s="22">
        <v>0.54458600000000001</v>
      </c>
      <c r="AZ138" s="22">
        <v>381.40699999999998</v>
      </c>
      <c r="BA138" s="22">
        <v>-1.6598499999999999E-2</v>
      </c>
      <c r="BB138" s="22">
        <v>128</v>
      </c>
      <c r="BC138" s="22">
        <v>0.54400599999999999</v>
      </c>
      <c r="BD138">
        <f t="shared" si="22"/>
        <v>16.598499999999998</v>
      </c>
      <c r="BE138">
        <f t="shared" si="23"/>
        <v>9.0393107209999997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1.1204499999999999</v>
      </c>
      <c r="H139" s="22">
        <v>52.358899999999998</v>
      </c>
      <c r="I139" s="22">
        <v>-1.61957E-2</v>
      </c>
      <c r="J139" s="22">
        <v>129</v>
      </c>
      <c r="K139" s="22">
        <v>1.1190800000000001</v>
      </c>
      <c r="L139">
        <f t="shared" si="12"/>
        <v>16.195699999999999</v>
      </c>
      <c r="M139">
        <f t="shared" si="13"/>
        <v>18.146472064999998</v>
      </c>
      <c r="N139" s="9"/>
      <c r="O139" s="22">
        <v>0.54962200000000005</v>
      </c>
      <c r="P139" s="22">
        <v>116.681</v>
      </c>
      <c r="Q139" s="22">
        <v>-1.6671800000000001E-2</v>
      </c>
      <c r="R139" s="22">
        <v>129</v>
      </c>
      <c r="S139" s="22">
        <v>0.54861499999999996</v>
      </c>
      <c r="T139">
        <f t="shared" si="14"/>
        <v>16.671800000000001</v>
      </c>
      <c r="U139">
        <f t="shared" si="15"/>
        <v>9.1631880596000013</v>
      </c>
      <c r="X139" s="9"/>
      <c r="Y139" s="22">
        <v>1.1204499999999999</v>
      </c>
      <c r="Z139" s="22">
        <v>186.81399999999999</v>
      </c>
      <c r="AA139" s="22">
        <v>-1.6220100000000001E-2</v>
      </c>
      <c r="AB139" s="22">
        <v>129</v>
      </c>
      <c r="AC139" s="22">
        <v>1.1200000000000001</v>
      </c>
      <c r="AD139">
        <f t="shared" si="16"/>
        <v>16.220100000000002</v>
      </c>
      <c r="AE139">
        <f t="shared" si="17"/>
        <v>18.173811045000001</v>
      </c>
      <c r="AF139" s="9"/>
      <c r="AG139" s="22">
        <v>0.54962200000000005</v>
      </c>
      <c r="AH139" s="22">
        <v>244.34299999999999</v>
      </c>
      <c r="AI139" s="22">
        <v>-1.6622899999999999E-2</v>
      </c>
      <c r="AJ139" s="22">
        <v>129</v>
      </c>
      <c r="AK139" s="22">
        <v>0.549072</v>
      </c>
      <c r="AL139">
        <f t="shared" si="18"/>
        <v>16.622899999999998</v>
      </c>
      <c r="AM139">
        <f t="shared" si="19"/>
        <v>9.1363115437999998</v>
      </c>
      <c r="AP139" s="9"/>
      <c r="AQ139" s="22">
        <v>1.1204499999999999</v>
      </c>
      <c r="AR139" s="22">
        <v>323.197</v>
      </c>
      <c r="AS139" s="22">
        <v>-1.6079699999999999E-2</v>
      </c>
      <c r="AT139" s="22">
        <v>129</v>
      </c>
      <c r="AU139" s="22">
        <v>1.1206100000000001</v>
      </c>
      <c r="AV139">
        <f t="shared" si="20"/>
        <v>16.079699999999999</v>
      </c>
      <c r="AW139">
        <f t="shared" si="21"/>
        <v>18.016499864999997</v>
      </c>
      <c r="AX139" s="9"/>
      <c r="AY139" s="22">
        <v>0.54962200000000005</v>
      </c>
      <c r="AZ139" s="22">
        <v>381.50799999999998</v>
      </c>
      <c r="BA139" s="22">
        <v>-1.6586299999999998E-2</v>
      </c>
      <c r="BB139" s="22">
        <v>129</v>
      </c>
      <c r="BC139" s="22">
        <v>0.54888899999999996</v>
      </c>
      <c r="BD139">
        <f t="shared" si="22"/>
        <v>16.586299999999998</v>
      </c>
      <c r="BE139">
        <f t="shared" si="23"/>
        <v>9.1161953786000005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1.1154200000000001</v>
      </c>
      <c r="H140" s="22">
        <v>52.459600000000002</v>
      </c>
      <c r="I140" s="22">
        <v>-1.6229199999999999E-2</v>
      </c>
      <c r="J140" s="22">
        <v>130</v>
      </c>
      <c r="K140" s="22">
        <v>1.1145</v>
      </c>
      <c r="L140">
        <f t="shared" ref="L140:L203" si="24">-I140/$F$2*1000</f>
        <v>16.229199999999999</v>
      </c>
      <c r="M140">
        <f t="shared" ref="M140:M203" si="25">L140*G140</f>
        <v>18.102374264000002</v>
      </c>
      <c r="N140" s="9"/>
      <c r="O140" s="22">
        <v>0.55465699999999996</v>
      </c>
      <c r="P140" s="22">
        <v>116.782</v>
      </c>
      <c r="Q140" s="22">
        <v>-1.6680899999999999E-2</v>
      </c>
      <c r="R140" s="22">
        <v>130</v>
      </c>
      <c r="S140" s="22">
        <v>0.553894</v>
      </c>
      <c r="T140">
        <f t="shared" ref="T140:T203" si="26">-Q140/$F$2*1000</f>
        <v>16.680899999999998</v>
      </c>
      <c r="U140">
        <f t="shared" ref="U140:U203" si="27">T140*O140</f>
        <v>9.2521779512999984</v>
      </c>
      <c r="X140" s="9"/>
      <c r="Y140" s="22">
        <v>1.1154200000000001</v>
      </c>
      <c r="Z140" s="22">
        <v>186.91499999999999</v>
      </c>
      <c r="AA140" s="22">
        <v>-1.62262E-2</v>
      </c>
      <c r="AB140" s="22">
        <v>130</v>
      </c>
      <c r="AC140" s="22">
        <v>1.1142000000000001</v>
      </c>
      <c r="AD140">
        <f t="shared" ref="AD140:AD203" si="28">-AA140/$F$2*1000</f>
        <v>16.226199999999999</v>
      </c>
      <c r="AE140">
        <f t="shared" ref="AE140:AE203" si="29">AD140*Y140</f>
        <v>18.099028004000001</v>
      </c>
      <c r="AF140" s="9"/>
      <c r="AG140" s="22">
        <v>0.55465699999999996</v>
      </c>
      <c r="AH140" s="22">
        <v>244.44399999999999</v>
      </c>
      <c r="AI140" s="22">
        <v>-1.6622899999999999E-2</v>
      </c>
      <c r="AJ140" s="22">
        <v>130</v>
      </c>
      <c r="AK140" s="22">
        <v>0.55377200000000004</v>
      </c>
      <c r="AL140">
        <f t="shared" ref="AL140:AL203" si="30">-AI140/$F$2*1000</f>
        <v>16.622899999999998</v>
      </c>
      <c r="AM140">
        <f t="shared" ref="AM140:AM203" si="31">AL140*AG140</f>
        <v>9.2200078452999978</v>
      </c>
      <c r="AP140" s="9"/>
      <c r="AQ140" s="22">
        <v>1.1154200000000001</v>
      </c>
      <c r="AR140" s="22">
        <v>323.298</v>
      </c>
      <c r="AS140" s="22">
        <v>-1.6095000000000002E-2</v>
      </c>
      <c r="AT140" s="22">
        <v>130</v>
      </c>
      <c r="AU140" s="22">
        <v>1.1142000000000001</v>
      </c>
      <c r="AV140">
        <f t="shared" ref="AV140:AV203" si="32">-AS140/$F$2*1000</f>
        <v>16.095000000000002</v>
      </c>
      <c r="AW140">
        <f t="shared" ref="AW140:AW203" si="33">AV140*AQ140</f>
        <v>17.952684900000005</v>
      </c>
      <c r="AX140" s="9"/>
      <c r="AY140" s="22">
        <v>0.55465699999999996</v>
      </c>
      <c r="AZ140" s="22">
        <v>381.60899999999998</v>
      </c>
      <c r="BA140" s="22">
        <v>-1.6586299999999998E-2</v>
      </c>
      <c r="BB140" s="22">
        <v>130</v>
      </c>
      <c r="BC140" s="22">
        <v>0.553925</v>
      </c>
      <c r="BD140">
        <f t="shared" ref="BD140:BD203" si="34">-BA140/$F$2*1000</f>
        <v>16.586299999999998</v>
      </c>
      <c r="BE140">
        <f t="shared" ref="BE140:BE203" si="35">BD140*AY140</f>
        <v>9.1997073990999976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1.1103799999999999</v>
      </c>
      <c r="H141" s="22">
        <v>52.560299999999998</v>
      </c>
      <c r="I141" s="22">
        <v>-1.6223100000000001E-2</v>
      </c>
      <c r="J141" s="22">
        <v>131</v>
      </c>
      <c r="K141" s="22">
        <v>1.10931</v>
      </c>
      <c r="L141">
        <f t="shared" si="24"/>
        <v>16.223100000000002</v>
      </c>
      <c r="M141">
        <f t="shared" si="25"/>
        <v>18.013805778000002</v>
      </c>
      <c r="N141" s="9"/>
      <c r="O141" s="22">
        <v>0.55969199999999997</v>
      </c>
      <c r="P141" s="22">
        <v>116.88200000000001</v>
      </c>
      <c r="Q141" s="22">
        <v>-1.6671800000000001E-2</v>
      </c>
      <c r="R141" s="22">
        <v>131</v>
      </c>
      <c r="S141" s="22">
        <v>0.55898999999999999</v>
      </c>
      <c r="T141">
        <f t="shared" si="26"/>
        <v>16.671800000000001</v>
      </c>
      <c r="U141">
        <f t="shared" si="27"/>
        <v>9.3310730855999999</v>
      </c>
      <c r="X141" s="9"/>
      <c r="Y141" s="22">
        <v>1.1103799999999999</v>
      </c>
      <c r="Z141" s="22">
        <v>187.01499999999999</v>
      </c>
      <c r="AA141" s="22">
        <v>-1.6229199999999999E-2</v>
      </c>
      <c r="AB141" s="22">
        <v>131</v>
      </c>
      <c r="AC141" s="22">
        <v>1.1096200000000001</v>
      </c>
      <c r="AD141">
        <f t="shared" si="28"/>
        <v>16.229199999999999</v>
      </c>
      <c r="AE141">
        <f t="shared" si="29"/>
        <v>18.020579095999999</v>
      </c>
      <c r="AF141" s="9"/>
      <c r="AG141" s="22">
        <v>0.55969199999999997</v>
      </c>
      <c r="AH141" s="22">
        <v>244.54400000000001</v>
      </c>
      <c r="AI141" s="22">
        <v>-1.6622899999999999E-2</v>
      </c>
      <c r="AJ141" s="22">
        <v>131</v>
      </c>
      <c r="AK141" s="22">
        <v>0.55896000000000001</v>
      </c>
      <c r="AL141">
        <f t="shared" si="30"/>
        <v>16.622899999999998</v>
      </c>
      <c r="AM141">
        <f t="shared" si="31"/>
        <v>9.3037041467999977</v>
      </c>
      <c r="AP141" s="9"/>
      <c r="AQ141" s="22">
        <v>1.1103799999999999</v>
      </c>
      <c r="AR141" s="22">
        <v>323.399</v>
      </c>
      <c r="AS141" s="22">
        <v>-1.6095000000000002E-2</v>
      </c>
      <c r="AT141" s="22">
        <v>131</v>
      </c>
      <c r="AU141" s="22">
        <v>1.10931</v>
      </c>
      <c r="AV141">
        <f t="shared" si="32"/>
        <v>16.095000000000002</v>
      </c>
      <c r="AW141">
        <f t="shared" si="33"/>
        <v>17.871566100000003</v>
      </c>
      <c r="AX141" s="9"/>
      <c r="AY141" s="22">
        <v>0.55969199999999997</v>
      </c>
      <c r="AZ141" s="22">
        <v>381.71</v>
      </c>
      <c r="BA141" s="22">
        <v>-1.6589400000000001E-2</v>
      </c>
      <c r="BB141" s="22">
        <v>131</v>
      </c>
      <c r="BC141" s="22">
        <v>0.55892900000000001</v>
      </c>
      <c r="BD141">
        <f t="shared" si="34"/>
        <v>16.589400000000001</v>
      </c>
      <c r="BE141">
        <f t="shared" si="35"/>
        <v>9.2849544648000002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1.1053500000000001</v>
      </c>
      <c r="H142" s="22">
        <v>52.661000000000001</v>
      </c>
      <c r="I142" s="22">
        <v>-1.6220100000000001E-2</v>
      </c>
      <c r="J142" s="22">
        <v>132</v>
      </c>
      <c r="K142" s="22">
        <v>1.10443</v>
      </c>
      <c r="L142">
        <f t="shared" si="24"/>
        <v>16.220100000000002</v>
      </c>
      <c r="M142">
        <f t="shared" si="25"/>
        <v>17.928887535000005</v>
      </c>
      <c r="N142" s="9"/>
      <c r="O142" s="22">
        <v>0.56472800000000001</v>
      </c>
      <c r="P142" s="22">
        <v>116.983</v>
      </c>
      <c r="Q142" s="22">
        <v>-1.6671800000000001E-2</v>
      </c>
      <c r="R142" s="22">
        <v>132</v>
      </c>
      <c r="S142" s="22">
        <v>0.56399500000000002</v>
      </c>
      <c r="T142">
        <f t="shared" si="26"/>
        <v>16.671800000000001</v>
      </c>
      <c r="U142">
        <f t="shared" si="27"/>
        <v>9.4150322704000011</v>
      </c>
      <c r="X142" s="9"/>
      <c r="Y142" s="22">
        <v>1.1053500000000001</v>
      </c>
      <c r="Z142" s="22">
        <v>187.11600000000001</v>
      </c>
      <c r="AA142" s="22">
        <v>-1.6213999999999999E-2</v>
      </c>
      <c r="AB142" s="22">
        <v>132</v>
      </c>
      <c r="AC142" s="22">
        <v>1.10443</v>
      </c>
      <c r="AD142">
        <f t="shared" si="28"/>
        <v>16.213999999999999</v>
      </c>
      <c r="AE142">
        <f t="shared" si="29"/>
        <v>17.922144899999999</v>
      </c>
      <c r="AF142" s="9"/>
      <c r="AG142" s="22">
        <v>0.56472800000000001</v>
      </c>
      <c r="AH142" s="22">
        <v>244.64500000000001</v>
      </c>
      <c r="AI142" s="22">
        <v>-1.6610699999999999E-2</v>
      </c>
      <c r="AJ142" s="22">
        <v>132</v>
      </c>
      <c r="AK142" s="22">
        <v>0.56369000000000002</v>
      </c>
      <c r="AL142">
        <f t="shared" si="30"/>
        <v>16.610699999999998</v>
      </c>
      <c r="AM142">
        <f t="shared" si="31"/>
        <v>9.3805273895999992</v>
      </c>
      <c r="AP142" s="9"/>
      <c r="AQ142" s="22">
        <v>1.1053500000000001</v>
      </c>
      <c r="AR142" s="22">
        <v>323.49900000000002</v>
      </c>
      <c r="AS142" s="22">
        <v>-1.61041E-2</v>
      </c>
      <c r="AT142" s="22">
        <v>132</v>
      </c>
      <c r="AU142" s="22">
        <v>1.10443</v>
      </c>
      <c r="AV142">
        <f t="shared" si="32"/>
        <v>16.104099999999999</v>
      </c>
      <c r="AW142">
        <f t="shared" si="33"/>
        <v>17.800666934999999</v>
      </c>
      <c r="AX142" s="9"/>
      <c r="AY142" s="22">
        <v>0.56472800000000001</v>
      </c>
      <c r="AZ142" s="22">
        <v>381.81</v>
      </c>
      <c r="BA142" s="22">
        <v>-1.6574100000000001E-2</v>
      </c>
      <c r="BB142" s="22">
        <v>132</v>
      </c>
      <c r="BC142" s="22">
        <v>0.56378200000000001</v>
      </c>
      <c r="BD142">
        <f t="shared" si="34"/>
        <v>16.574100000000001</v>
      </c>
      <c r="BE142">
        <f t="shared" si="35"/>
        <v>9.359858344800001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1.1003099999999999</v>
      </c>
      <c r="H143" s="22">
        <v>52.761800000000001</v>
      </c>
      <c r="I143" s="22">
        <v>-1.62384E-2</v>
      </c>
      <c r="J143" s="22">
        <v>133</v>
      </c>
      <c r="K143" s="22">
        <v>1.09894</v>
      </c>
      <c r="L143">
        <f t="shared" si="24"/>
        <v>16.238399999999999</v>
      </c>
      <c r="M143">
        <f t="shared" si="25"/>
        <v>17.867273903999997</v>
      </c>
      <c r="N143" s="9"/>
      <c r="O143" s="22">
        <v>0.56976300000000002</v>
      </c>
      <c r="P143" s="22">
        <v>117.084</v>
      </c>
      <c r="Q143" s="22">
        <v>-1.6671800000000001E-2</v>
      </c>
      <c r="R143" s="22">
        <v>133</v>
      </c>
      <c r="S143" s="22">
        <v>0.56903099999999995</v>
      </c>
      <c r="T143">
        <f t="shared" si="26"/>
        <v>16.671800000000001</v>
      </c>
      <c r="U143">
        <f t="shared" si="27"/>
        <v>9.4989747834000013</v>
      </c>
      <c r="X143" s="9"/>
      <c r="Y143" s="22">
        <v>1.1003099999999999</v>
      </c>
      <c r="Z143" s="22">
        <v>187.21700000000001</v>
      </c>
      <c r="AA143" s="22">
        <v>-1.6232300000000002E-2</v>
      </c>
      <c r="AB143" s="22">
        <v>133</v>
      </c>
      <c r="AC143" s="22">
        <v>1.09924</v>
      </c>
      <c r="AD143">
        <f t="shared" si="28"/>
        <v>16.232300000000002</v>
      </c>
      <c r="AE143">
        <f t="shared" si="29"/>
        <v>17.860562012999999</v>
      </c>
      <c r="AF143" s="9"/>
      <c r="AG143" s="22">
        <v>0.56976300000000002</v>
      </c>
      <c r="AH143" s="22">
        <v>244.74600000000001</v>
      </c>
      <c r="AI143" s="22">
        <v>-1.6604600000000001E-2</v>
      </c>
      <c r="AJ143" s="22">
        <v>133</v>
      </c>
      <c r="AK143" s="22">
        <v>0.56887799999999999</v>
      </c>
      <c r="AL143">
        <f t="shared" si="30"/>
        <v>16.604600000000001</v>
      </c>
      <c r="AM143">
        <f t="shared" si="31"/>
        <v>9.4606867098000009</v>
      </c>
      <c r="AP143" s="9"/>
      <c r="AQ143" s="22">
        <v>1.1003099999999999</v>
      </c>
      <c r="AR143" s="22">
        <v>323.60000000000002</v>
      </c>
      <c r="AS143" s="22">
        <v>-1.6122399999999999E-2</v>
      </c>
      <c r="AT143" s="22">
        <v>133</v>
      </c>
      <c r="AU143" s="22">
        <v>1.09924</v>
      </c>
      <c r="AV143">
        <f t="shared" si="32"/>
        <v>16.122399999999999</v>
      </c>
      <c r="AW143">
        <f t="shared" si="33"/>
        <v>17.739637943999998</v>
      </c>
      <c r="AX143" s="9"/>
      <c r="AY143" s="22">
        <v>0.56976300000000002</v>
      </c>
      <c r="AZ143" s="22">
        <v>381.911</v>
      </c>
      <c r="BA143" s="22">
        <v>-1.6577100000000001E-2</v>
      </c>
      <c r="BB143" s="22">
        <v>133</v>
      </c>
      <c r="BC143" s="22">
        <v>0.56887799999999999</v>
      </c>
      <c r="BD143">
        <f t="shared" si="34"/>
        <v>16.577100000000002</v>
      </c>
      <c r="BE143">
        <f t="shared" si="35"/>
        <v>9.4450182273000003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1.09528</v>
      </c>
      <c r="H144" s="22">
        <v>52.862499999999997</v>
      </c>
      <c r="I144" s="22">
        <v>-1.6235400000000001E-2</v>
      </c>
      <c r="J144" s="22">
        <v>134</v>
      </c>
      <c r="K144" s="22">
        <v>1.09375</v>
      </c>
      <c r="L144">
        <f t="shared" si="24"/>
        <v>16.235400000000002</v>
      </c>
      <c r="M144">
        <f t="shared" si="25"/>
        <v>17.782308912000001</v>
      </c>
      <c r="N144" s="9"/>
      <c r="O144" s="22">
        <v>0.57479899999999995</v>
      </c>
      <c r="P144" s="22">
        <v>117.184</v>
      </c>
      <c r="Q144" s="22">
        <v>-1.66626E-2</v>
      </c>
      <c r="R144" s="22">
        <v>134</v>
      </c>
      <c r="S144" s="22">
        <v>0.57406599999999997</v>
      </c>
      <c r="T144">
        <f t="shared" si="26"/>
        <v>16.662600000000001</v>
      </c>
      <c r="U144">
        <f t="shared" si="27"/>
        <v>9.5776458174000005</v>
      </c>
      <c r="X144" s="9"/>
      <c r="Y144" s="22">
        <v>1.09528</v>
      </c>
      <c r="Z144" s="22">
        <v>187.31800000000001</v>
      </c>
      <c r="AA144" s="22">
        <v>-1.6235400000000001E-2</v>
      </c>
      <c r="AB144" s="22">
        <v>134</v>
      </c>
      <c r="AC144" s="22">
        <v>1.09406</v>
      </c>
      <c r="AD144">
        <f t="shared" si="28"/>
        <v>16.235400000000002</v>
      </c>
      <c r="AE144">
        <f t="shared" si="29"/>
        <v>17.782308912000001</v>
      </c>
      <c r="AF144" s="9"/>
      <c r="AG144" s="22">
        <v>0.57479899999999995</v>
      </c>
      <c r="AH144" s="22">
        <v>244.846</v>
      </c>
      <c r="AI144" s="22">
        <v>-1.66077E-2</v>
      </c>
      <c r="AJ144" s="22">
        <v>134</v>
      </c>
      <c r="AK144" s="22">
        <v>0.57403599999999999</v>
      </c>
      <c r="AL144">
        <f t="shared" si="30"/>
        <v>16.607700000000001</v>
      </c>
      <c r="AM144">
        <f t="shared" si="31"/>
        <v>9.5460893522999992</v>
      </c>
      <c r="AP144" s="9"/>
      <c r="AQ144" s="22">
        <v>1.09528</v>
      </c>
      <c r="AR144" s="22">
        <v>323.70100000000002</v>
      </c>
      <c r="AS144" s="22">
        <v>-1.6110200000000002E-2</v>
      </c>
      <c r="AT144" s="22">
        <v>134</v>
      </c>
      <c r="AU144" s="22">
        <v>1.09467</v>
      </c>
      <c r="AV144">
        <f t="shared" si="32"/>
        <v>16.110200000000003</v>
      </c>
      <c r="AW144">
        <f t="shared" si="33"/>
        <v>17.645179856000002</v>
      </c>
      <c r="AX144" s="9"/>
      <c r="AY144" s="22">
        <v>0.57479899999999995</v>
      </c>
      <c r="AZ144" s="22">
        <v>382.012</v>
      </c>
      <c r="BA144" s="22">
        <v>-1.65649E-2</v>
      </c>
      <c r="BB144" s="22">
        <v>134</v>
      </c>
      <c r="BC144" s="22">
        <v>0.57415799999999995</v>
      </c>
      <c r="BD144">
        <f t="shared" si="34"/>
        <v>16.564900000000002</v>
      </c>
      <c r="BE144">
        <f t="shared" si="35"/>
        <v>9.5214879550999996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1.0902400000000001</v>
      </c>
      <c r="H145" s="22">
        <v>52.963200000000001</v>
      </c>
      <c r="I145" s="22">
        <v>-1.6229199999999999E-2</v>
      </c>
      <c r="J145" s="22">
        <v>135</v>
      </c>
      <c r="K145" s="22">
        <v>1.08917</v>
      </c>
      <c r="L145">
        <f t="shared" si="24"/>
        <v>16.229199999999999</v>
      </c>
      <c r="M145">
        <f t="shared" si="25"/>
        <v>17.693723007999999</v>
      </c>
      <c r="N145" s="9"/>
      <c r="O145" s="22">
        <v>0.57983399999999996</v>
      </c>
      <c r="P145" s="22">
        <v>117.285</v>
      </c>
      <c r="Q145" s="22">
        <v>-1.6656500000000001E-2</v>
      </c>
      <c r="R145" s="22">
        <v>135</v>
      </c>
      <c r="S145" s="22">
        <v>0.57904100000000003</v>
      </c>
      <c r="T145">
        <f t="shared" si="26"/>
        <v>16.656500000000001</v>
      </c>
      <c r="U145">
        <f t="shared" si="27"/>
        <v>9.6580050209999992</v>
      </c>
      <c r="X145" s="9"/>
      <c r="Y145" s="22">
        <v>1.0902400000000001</v>
      </c>
      <c r="Z145" s="22">
        <v>187.41800000000001</v>
      </c>
      <c r="AA145" s="22">
        <v>-1.62384E-2</v>
      </c>
      <c r="AB145" s="22">
        <v>135</v>
      </c>
      <c r="AC145" s="22">
        <v>1.08887</v>
      </c>
      <c r="AD145">
        <f t="shared" si="28"/>
        <v>16.238399999999999</v>
      </c>
      <c r="AE145">
        <f t="shared" si="29"/>
        <v>17.703753215999999</v>
      </c>
      <c r="AF145" s="9"/>
      <c r="AG145" s="22">
        <v>0.57983399999999996</v>
      </c>
      <c r="AH145" s="22">
        <v>244.947</v>
      </c>
      <c r="AI145" s="22">
        <v>-1.6604600000000001E-2</v>
      </c>
      <c r="AJ145" s="22">
        <v>135</v>
      </c>
      <c r="AK145" s="22">
        <v>0.579071</v>
      </c>
      <c r="AL145">
        <f t="shared" si="30"/>
        <v>16.604600000000001</v>
      </c>
      <c r="AM145">
        <f t="shared" si="31"/>
        <v>9.6279116364000004</v>
      </c>
      <c r="AP145" s="9"/>
      <c r="AQ145" s="22">
        <v>1.0902400000000001</v>
      </c>
      <c r="AR145" s="22">
        <v>323.80099999999999</v>
      </c>
      <c r="AS145" s="22">
        <v>-1.6119399999999999E-2</v>
      </c>
      <c r="AT145" s="22">
        <v>135</v>
      </c>
      <c r="AU145" s="22">
        <v>1.08978</v>
      </c>
      <c r="AV145">
        <f t="shared" si="32"/>
        <v>16.119399999999999</v>
      </c>
      <c r="AW145">
        <f t="shared" si="33"/>
        <v>17.574014655999999</v>
      </c>
      <c r="AX145" s="9"/>
      <c r="AY145" s="22">
        <v>0.57983399999999996</v>
      </c>
      <c r="AZ145" s="22">
        <v>382.11200000000002</v>
      </c>
      <c r="BA145" s="22">
        <v>-1.65649E-2</v>
      </c>
      <c r="BB145" s="22">
        <v>135</v>
      </c>
      <c r="BC145" s="22">
        <v>0.57901000000000002</v>
      </c>
      <c r="BD145">
        <f t="shared" si="34"/>
        <v>16.564900000000002</v>
      </c>
      <c r="BE145">
        <f t="shared" si="35"/>
        <v>9.6048922266000005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1.08521</v>
      </c>
      <c r="H146" s="22">
        <v>53.063899999999997</v>
      </c>
      <c r="I146" s="22">
        <v>-1.6235400000000001E-2</v>
      </c>
      <c r="J146" s="22">
        <v>136</v>
      </c>
      <c r="K146" s="22">
        <v>1.0839799999999999</v>
      </c>
      <c r="L146">
        <f t="shared" si="24"/>
        <v>16.235400000000002</v>
      </c>
      <c r="M146">
        <f t="shared" si="25"/>
        <v>17.618818434000001</v>
      </c>
      <c r="N146" s="9"/>
      <c r="O146" s="22">
        <v>0.58486899999999997</v>
      </c>
      <c r="P146" s="22">
        <v>117.386</v>
      </c>
      <c r="Q146" s="22">
        <v>-1.6650399999999999E-2</v>
      </c>
      <c r="R146" s="22">
        <v>136</v>
      </c>
      <c r="S146" s="22">
        <v>0.58401499999999995</v>
      </c>
      <c r="T146">
        <f t="shared" si="26"/>
        <v>16.650399999999998</v>
      </c>
      <c r="U146">
        <f t="shared" si="27"/>
        <v>9.7383027975999976</v>
      </c>
      <c r="X146" s="9"/>
      <c r="Y146" s="22">
        <v>1.08521</v>
      </c>
      <c r="Z146" s="22">
        <v>187.51900000000001</v>
      </c>
      <c r="AA146" s="22">
        <v>-1.6244499999999999E-2</v>
      </c>
      <c r="AB146" s="22">
        <v>136</v>
      </c>
      <c r="AC146" s="22">
        <v>1.0839799999999999</v>
      </c>
      <c r="AD146">
        <f t="shared" si="28"/>
        <v>16.244499999999999</v>
      </c>
      <c r="AE146">
        <f t="shared" si="29"/>
        <v>17.628693844999997</v>
      </c>
      <c r="AF146" s="9"/>
      <c r="AG146" s="22">
        <v>0.58486899999999997</v>
      </c>
      <c r="AH146" s="22">
        <v>245.048</v>
      </c>
      <c r="AI146" s="22">
        <v>-1.6601600000000001E-2</v>
      </c>
      <c r="AJ146" s="22">
        <v>136</v>
      </c>
      <c r="AK146" s="22">
        <v>0.58416699999999999</v>
      </c>
      <c r="AL146">
        <f t="shared" si="30"/>
        <v>16.601600000000001</v>
      </c>
      <c r="AM146">
        <f t="shared" si="31"/>
        <v>9.7097611904000001</v>
      </c>
      <c r="AP146" s="9"/>
      <c r="AQ146" s="22">
        <v>1.08521</v>
      </c>
      <c r="AR146" s="22">
        <v>323.90199999999999</v>
      </c>
      <c r="AS146" s="22">
        <v>-1.6119399999999999E-2</v>
      </c>
      <c r="AT146" s="22">
        <v>136</v>
      </c>
      <c r="AU146" s="22">
        <v>1.08368</v>
      </c>
      <c r="AV146">
        <f t="shared" si="32"/>
        <v>16.119399999999999</v>
      </c>
      <c r="AW146">
        <f t="shared" si="33"/>
        <v>17.492934073999997</v>
      </c>
      <c r="AX146" s="9"/>
      <c r="AY146" s="22">
        <v>0.58486899999999997</v>
      </c>
      <c r="AZ146" s="22">
        <v>382.21300000000002</v>
      </c>
      <c r="BA146" s="22">
        <v>-1.6555799999999999E-2</v>
      </c>
      <c r="BB146" s="22">
        <v>136</v>
      </c>
      <c r="BC146" s="22">
        <v>0.58407600000000004</v>
      </c>
      <c r="BD146">
        <f t="shared" si="34"/>
        <v>16.555799999999998</v>
      </c>
      <c r="BE146">
        <f t="shared" si="35"/>
        <v>9.6829741901999977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1.0801700000000001</v>
      </c>
      <c r="H147" s="22">
        <v>53.1646</v>
      </c>
      <c r="I147" s="22">
        <v>-1.6235400000000001E-2</v>
      </c>
      <c r="J147" s="22">
        <v>137</v>
      </c>
      <c r="K147" s="22">
        <v>1.0784899999999999</v>
      </c>
      <c r="L147">
        <f t="shared" si="24"/>
        <v>16.235400000000002</v>
      </c>
      <c r="M147">
        <f t="shared" si="25"/>
        <v>17.536992018000003</v>
      </c>
      <c r="N147" s="9"/>
      <c r="O147" s="22">
        <v>0.58990500000000001</v>
      </c>
      <c r="P147" s="22">
        <v>117.48699999999999</v>
      </c>
      <c r="Q147" s="22">
        <v>-1.6638199999999999E-2</v>
      </c>
      <c r="R147" s="22">
        <v>137</v>
      </c>
      <c r="S147" s="22">
        <v>0.58917200000000003</v>
      </c>
      <c r="T147">
        <f t="shared" si="26"/>
        <v>16.638199999999998</v>
      </c>
      <c r="U147">
        <f t="shared" si="27"/>
        <v>9.8149573709999984</v>
      </c>
      <c r="X147" s="9"/>
      <c r="Y147" s="22">
        <v>1.0801700000000001</v>
      </c>
      <c r="Z147" s="22">
        <v>187.62</v>
      </c>
      <c r="AA147" s="22">
        <v>-1.6244499999999999E-2</v>
      </c>
      <c r="AB147" s="22">
        <v>137</v>
      </c>
      <c r="AC147" s="22">
        <v>1.0788</v>
      </c>
      <c r="AD147">
        <f t="shared" si="28"/>
        <v>16.244499999999999</v>
      </c>
      <c r="AE147">
        <f t="shared" si="29"/>
        <v>17.546821564999998</v>
      </c>
      <c r="AF147" s="9"/>
      <c r="AG147" s="22">
        <v>0.58990500000000001</v>
      </c>
      <c r="AH147" s="22">
        <v>245.149</v>
      </c>
      <c r="AI147" s="22">
        <v>-1.65924E-2</v>
      </c>
      <c r="AJ147" s="22">
        <v>137</v>
      </c>
      <c r="AK147" s="22">
        <v>0.58926400000000001</v>
      </c>
      <c r="AL147">
        <f t="shared" si="30"/>
        <v>16.592400000000001</v>
      </c>
      <c r="AM147">
        <f t="shared" si="31"/>
        <v>9.7879397220000008</v>
      </c>
      <c r="AP147" s="9"/>
      <c r="AQ147" s="22">
        <v>1.0801700000000001</v>
      </c>
      <c r="AR147" s="22">
        <v>324.00299999999999</v>
      </c>
      <c r="AS147" s="22">
        <v>-1.61285E-2</v>
      </c>
      <c r="AT147" s="22">
        <v>137</v>
      </c>
      <c r="AU147" s="22">
        <v>1.0788</v>
      </c>
      <c r="AV147">
        <f t="shared" si="32"/>
        <v>16.128499999999999</v>
      </c>
      <c r="AW147">
        <f t="shared" si="33"/>
        <v>17.421521845000001</v>
      </c>
      <c r="AX147" s="9"/>
      <c r="AY147" s="22">
        <v>0.58990500000000001</v>
      </c>
      <c r="AZ147" s="22">
        <v>382.31400000000002</v>
      </c>
      <c r="BA147" s="22">
        <v>-1.6555799999999999E-2</v>
      </c>
      <c r="BB147" s="22">
        <v>137</v>
      </c>
      <c r="BC147" s="22">
        <v>0.58917200000000003</v>
      </c>
      <c r="BD147">
        <f t="shared" si="34"/>
        <v>16.555799999999998</v>
      </c>
      <c r="BE147">
        <f t="shared" si="35"/>
        <v>9.7663491989999986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1.0751299999999999</v>
      </c>
      <c r="H148" s="22">
        <v>53.265300000000003</v>
      </c>
      <c r="I148" s="22">
        <v>-1.6244499999999999E-2</v>
      </c>
      <c r="J148" s="22">
        <v>138</v>
      </c>
      <c r="K148" s="22">
        <v>1.07422</v>
      </c>
      <c r="L148">
        <f t="shared" si="24"/>
        <v>16.244499999999999</v>
      </c>
      <c r="M148">
        <f t="shared" si="25"/>
        <v>17.464949284999996</v>
      </c>
      <c r="N148" s="9"/>
      <c r="O148" s="22">
        <v>0.59494000000000002</v>
      </c>
      <c r="P148" s="22">
        <v>117.587</v>
      </c>
      <c r="Q148" s="22">
        <v>-1.66351E-2</v>
      </c>
      <c r="R148" s="22">
        <v>138</v>
      </c>
      <c r="S148" s="22">
        <v>0.59411599999999998</v>
      </c>
      <c r="T148">
        <f t="shared" si="26"/>
        <v>16.635100000000001</v>
      </c>
      <c r="U148">
        <f t="shared" si="27"/>
        <v>9.8968863940000009</v>
      </c>
      <c r="X148" s="9"/>
      <c r="Y148" s="22">
        <v>1.0751299999999999</v>
      </c>
      <c r="Z148" s="22">
        <v>187.72</v>
      </c>
      <c r="AA148" s="22">
        <v>-1.62506E-2</v>
      </c>
      <c r="AB148" s="22">
        <v>138</v>
      </c>
      <c r="AC148" s="22">
        <v>1.0739099999999999</v>
      </c>
      <c r="AD148">
        <f t="shared" si="28"/>
        <v>16.250600000000002</v>
      </c>
      <c r="AE148">
        <f t="shared" si="29"/>
        <v>17.471507578000001</v>
      </c>
      <c r="AF148" s="9"/>
      <c r="AG148" s="22">
        <v>0.59494000000000002</v>
      </c>
      <c r="AH148" s="22">
        <v>245.249</v>
      </c>
      <c r="AI148" s="22">
        <v>-1.65802E-2</v>
      </c>
      <c r="AJ148" s="22">
        <v>138</v>
      </c>
      <c r="AK148" s="22">
        <v>0.59411599999999998</v>
      </c>
      <c r="AL148">
        <f t="shared" si="30"/>
        <v>16.580200000000001</v>
      </c>
      <c r="AM148">
        <f t="shared" si="31"/>
        <v>9.8642241880000014</v>
      </c>
      <c r="AP148" s="9"/>
      <c r="AQ148" s="22">
        <v>1.0751299999999999</v>
      </c>
      <c r="AR148" s="22">
        <v>324.10399999999998</v>
      </c>
      <c r="AS148" s="22">
        <v>-1.6153000000000001E-2</v>
      </c>
      <c r="AT148" s="22">
        <v>138</v>
      </c>
      <c r="AU148" s="22">
        <v>1.07422</v>
      </c>
      <c r="AV148">
        <f t="shared" si="32"/>
        <v>16.153000000000002</v>
      </c>
      <c r="AW148">
        <f t="shared" si="33"/>
        <v>17.366574890000003</v>
      </c>
      <c r="AX148" s="9"/>
      <c r="AY148" s="22">
        <v>0.59494000000000002</v>
      </c>
      <c r="AZ148" s="22">
        <v>382.41500000000002</v>
      </c>
      <c r="BA148" s="22">
        <v>-1.6549700000000001E-2</v>
      </c>
      <c r="BB148" s="22">
        <v>138</v>
      </c>
      <c r="BC148" s="22">
        <v>0.59426900000000005</v>
      </c>
      <c r="BD148">
        <f t="shared" si="34"/>
        <v>16.549700000000001</v>
      </c>
      <c r="BE148">
        <f t="shared" si="35"/>
        <v>9.8460785180000006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1.0701000000000001</v>
      </c>
      <c r="H149" s="22">
        <v>53.366</v>
      </c>
      <c r="I149" s="22">
        <v>-1.6247600000000001E-2</v>
      </c>
      <c r="J149" s="22">
        <v>139</v>
      </c>
      <c r="K149" s="22">
        <v>1.06873</v>
      </c>
      <c r="L149">
        <f t="shared" si="24"/>
        <v>16.247600000000002</v>
      </c>
      <c r="M149">
        <f t="shared" si="25"/>
        <v>17.386556760000001</v>
      </c>
      <c r="N149" s="9"/>
      <c r="O149" s="22">
        <v>0.59997599999999995</v>
      </c>
      <c r="P149" s="22">
        <v>117.688</v>
      </c>
      <c r="Q149" s="22">
        <v>-1.6629000000000001E-2</v>
      </c>
      <c r="R149" s="22">
        <v>139</v>
      </c>
      <c r="S149" s="22">
        <v>0.59918199999999999</v>
      </c>
      <c r="T149">
        <f t="shared" si="26"/>
        <v>16.629000000000001</v>
      </c>
      <c r="U149">
        <f t="shared" si="27"/>
        <v>9.9770009040000005</v>
      </c>
      <c r="X149" s="9"/>
      <c r="Y149" s="22">
        <v>1.0701000000000001</v>
      </c>
      <c r="Z149" s="22">
        <v>187.821</v>
      </c>
      <c r="AA149" s="22">
        <v>-1.6259800000000001E-2</v>
      </c>
      <c r="AB149" s="22">
        <v>139</v>
      </c>
      <c r="AC149" s="22">
        <v>1.0690299999999999</v>
      </c>
      <c r="AD149">
        <f t="shared" si="28"/>
        <v>16.259800000000002</v>
      </c>
      <c r="AE149">
        <f t="shared" si="29"/>
        <v>17.399611980000003</v>
      </c>
      <c r="AF149" s="9"/>
      <c r="AG149" s="22">
        <v>0.59997599999999995</v>
      </c>
      <c r="AH149" s="22">
        <v>245.35</v>
      </c>
      <c r="AI149" s="22">
        <v>-1.65924E-2</v>
      </c>
      <c r="AJ149" s="22">
        <v>139</v>
      </c>
      <c r="AK149" s="22">
        <v>0.59909100000000004</v>
      </c>
      <c r="AL149">
        <f t="shared" si="30"/>
        <v>16.592400000000001</v>
      </c>
      <c r="AM149">
        <f t="shared" si="31"/>
        <v>9.9550417824000004</v>
      </c>
      <c r="AP149" s="9"/>
      <c r="AQ149" s="22">
        <v>1.0701000000000001</v>
      </c>
      <c r="AR149" s="22">
        <v>324.20400000000001</v>
      </c>
      <c r="AS149" s="22">
        <v>-1.61438E-2</v>
      </c>
      <c r="AT149" s="22">
        <v>139</v>
      </c>
      <c r="AU149" s="22">
        <v>1.0690299999999999</v>
      </c>
      <c r="AV149">
        <f t="shared" si="32"/>
        <v>16.143799999999999</v>
      </c>
      <c r="AW149">
        <f t="shared" si="33"/>
        <v>17.275480380000001</v>
      </c>
      <c r="AX149" s="9"/>
      <c r="AY149" s="22">
        <v>0.59997599999999995</v>
      </c>
      <c r="AZ149" s="22">
        <v>382.51499999999999</v>
      </c>
      <c r="BA149" s="22">
        <v>-1.65405E-2</v>
      </c>
      <c r="BB149" s="22">
        <v>139</v>
      </c>
      <c r="BC149" s="22">
        <v>0.59918199999999999</v>
      </c>
      <c r="BD149">
        <f t="shared" si="34"/>
        <v>16.540499999999998</v>
      </c>
      <c r="BE149">
        <f t="shared" si="35"/>
        <v>9.923903027999998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1.0650599999999999</v>
      </c>
      <c r="H150" s="22">
        <v>53.466700000000003</v>
      </c>
      <c r="I150" s="22">
        <v>-1.6256699999999999E-2</v>
      </c>
      <c r="J150" s="22">
        <v>140</v>
      </c>
      <c r="K150" s="22">
        <v>1.0641499999999999</v>
      </c>
      <c r="L150">
        <f t="shared" si="24"/>
        <v>16.256699999999999</v>
      </c>
      <c r="M150">
        <f t="shared" si="25"/>
        <v>17.314360901999997</v>
      </c>
      <c r="N150" s="9"/>
      <c r="O150" s="22">
        <v>0.60501099999999997</v>
      </c>
      <c r="P150" s="22">
        <v>117.789</v>
      </c>
      <c r="Q150" s="22">
        <v>-1.66351E-2</v>
      </c>
      <c r="R150" s="22">
        <v>140</v>
      </c>
      <c r="S150" s="22">
        <v>0.60421800000000003</v>
      </c>
      <c r="T150">
        <f t="shared" si="26"/>
        <v>16.635100000000001</v>
      </c>
      <c r="U150">
        <f t="shared" si="27"/>
        <v>10.064418486100001</v>
      </c>
      <c r="X150" s="9"/>
      <c r="Y150" s="22">
        <v>1.0650599999999999</v>
      </c>
      <c r="Z150" s="22">
        <v>187.922</v>
      </c>
      <c r="AA150" s="22">
        <v>-1.6256699999999999E-2</v>
      </c>
      <c r="AB150" s="22">
        <v>140</v>
      </c>
      <c r="AC150" s="22">
        <v>1.0641499999999999</v>
      </c>
      <c r="AD150">
        <f t="shared" si="28"/>
        <v>16.256699999999999</v>
      </c>
      <c r="AE150">
        <f t="shared" si="29"/>
        <v>17.314360901999997</v>
      </c>
      <c r="AF150" s="9"/>
      <c r="AG150" s="22">
        <v>0.60501099999999997</v>
      </c>
      <c r="AH150" s="22">
        <v>245.45099999999999</v>
      </c>
      <c r="AI150" s="22">
        <v>-1.6583299999999999E-2</v>
      </c>
      <c r="AJ150" s="22">
        <v>140</v>
      </c>
      <c r="AK150" s="22">
        <v>0.60418700000000003</v>
      </c>
      <c r="AL150">
        <f t="shared" si="30"/>
        <v>16.583299999999998</v>
      </c>
      <c r="AM150">
        <f t="shared" si="31"/>
        <v>10.033078916299997</v>
      </c>
      <c r="AP150" s="9"/>
      <c r="AQ150" s="22">
        <v>1.0650599999999999</v>
      </c>
      <c r="AR150" s="22">
        <v>324.30500000000001</v>
      </c>
      <c r="AS150" s="22">
        <v>-1.6159099999999999E-2</v>
      </c>
      <c r="AT150" s="22">
        <v>140</v>
      </c>
      <c r="AU150" s="22">
        <v>1.0638399999999999</v>
      </c>
      <c r="AV150">
        <f t="shared" si="32"/>
        <v>16.159099999999999</v>
      </c>
      <c r="AW150">
        <f t="shared" si="33"/>
        <v>17.210411045999997</v>
      </c>
      <c r="AX150" s="9"/>
      <c r="AY150" s="22">
        <v>0.60501099999999997</v>
      </c>
      <c r="AZ150" s="22">
        <v>382.61599999999999</v>
      </c>
      <c r="BA150" s="22">
        <v>-1.6549700000000001E-2</v>
      </c>
      <c r="BB150" s="22">
        <v>140</v>
      </c>
      <c r="BC150" s="22">
        <v>0.60418700000000003</v>
      </c>
      <c r="BD150">
        <f t="shared" si="34"/>
        <v>16.549700000000001</v>
      </c>
      <c r="BE150">
        <f t="shared" si="35"/>
        <v>10.0127505467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1.06003</v>
      </c>
      <c r="H151" s="22">
        <v>53.567399999999999</v>
      </c>
      <c r="I151" s="22">
        <v>-1.6259800000000001E-2</v>
      </c>
      <c r="J151" s="22">
        <v>141</v>
      </c>
      <c r="K151" s="22">
        <v>1.0589599999999999</v>
      </c>
      <c r="L151">
        <f t="shared" si="24"/>
        <v>16.259800000000002</v>
      </c>
      <c r="M151">
        <f t="shared" si="25"/>
        <v>17.235875794000002</v>
      </c>
      <c r="N151" s="9"/>
      <c r="O151" s="22">
        <v>0.61004599999999998</v>
      </c>
      <c r="P151" s="22">
        <v>117.889</v>
      </c>
      <c r="Q151" s="22">
        <v>-1.6625999999999998E-2</v>
      </c>
      <c r="R151" s="22">
        <v>141</v>
      </c>
      <c r="S151" s="22">
        <v>0.609344</v>
      </c>
      <c r="T151">
        <f t="shared" si="26"/>
        <v>16.625999999999998</v>
      </c>
      <c r="U151">
        <f t="shared" si="27"/>
        <v>10.142624795999998</v>
      </c>
      <c r="X151" s="9"/>
      <c r="Y151" s="22">
        <v>1.06003</v>
      </c>
      <c r="Z151" s="22">
        <v>188.023</v>
      </c>
      <c r="AA151" s="22">
        <v>-1.62659E-2</v>
      </c>
      <c r="AB151" s="22">
        <v>141</v>
      </c>
      <c r="AC151" s="22">
        <v>1.0586500000000001</v>
      </c>
      <c r="AD151">
        <f t="shared" si="28"/>
        <v>16.265899999999998</v>
      </c>
      <c r="AE151">
        <f t="shared" si="29"/>
        <v>17.242341976999999</v>
      </c>
      <c r="AF151" s="9"/>
      <c r="AG151" s="22">
        <v>0.61004599999999998</v>
      </c>
      <c r="AH151" s="22">
        <v>245.55099999999999</v>
      </c>
      <c r="AI151" s="22">
        <v>-1.6570999999999999E-2</v>
      </c>
      <c r="AJ151" s="22">
        <v>141</v>
      </c>
      <c r="AK151" s="22">
        <v>0.60900900000000002</v>
      </c>
      <c r="AL151">
        <f t="shared" si="30"/>
        <v>16.570999999999998</v>
      </c>
      <c r="AM151">
        <f t="shared" si="31"/>
        <v>10.109072265999998</v>
      </c>
      <c r="AP151" s="9"/>
      <c r="AQ151" s="22">
        <v>1.06003</v>
      </c>
      <c r="AR151" s="22">
        <v>324.40600000000001</v>
      </c>
      <c r="AS151" s="22">
        <v>-1.6165200000000001E-2</v>
      </c>
      <c r="AT151" s="22">
        <v>141</v>
      </c>
      <c r="AU151" s="22">
        <v>1.0586500000000001</v>
      </c>
      <c r="AV151">
        <f t="shared" si="32"/>
        <v>16.165200000000002</v>
      </c>
      <c r="AW151">
        <f t="shared" si="33"/>
        <v>17.135596956000004</v>
      </c>
      <c r="AX151" s="9"/>
      <c r="AY151" s="22">
        <v>0.61004599999999998</v>
      </c>
      <c r="AZ151" s="22">
        <v>382.71699999999998</v>
      </c>
      <c r="BA151" s="22">
        <v>-1.65405E-2</v>
      </c>
      <c r="BB151" s="22">
        <v>141</v>
      </c>
      <c r="BC151" s="22">
        <v>0.60946699999999998</v>
      </c>
      <c r="BD151">
        <f t="shared" si="34"/>
        <v>16.540499999999998</v>
      </c>
      <c r="BE151">
        <f t="shared" si="35"/>
        <v>10.090465862999999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1.0549900000000001</v>
      </c>
      <c r="H152" s="22">
        <v>53.668100000000003</v>
      </c>
      <c r="I152" s="22">
        <v>-1.6256699999999999E-2</v>
      </c>
      <c r="J152" s="22">
        <v>142</v>
      </c>
      <c r="K152" s="22">
        <v>1.0540799999999999</v>
      </c>
      <c r="L152">
        <f t="shared" si="24"/>
        <v>16.256699999999999</v>
      </c>
      <c r="M152">
        <f t="shared" si="25"/>
        <v>17.150655932999999</v>
      </c>
      <c r="N152" s="9"/>
      <c r="O152" s="22">
        <v>0.61508200000000002</v>
      </c>
      <c r="P152" s="22">
        <v>117.99</v>
      </c>
      <c r="Q152" s="22">
        <v>-1.6629000000000001E-2</v>
      </c>
      <c r="R152" s="22">
        <v>142</v>
      </c>
      <c r="S152" s="22">
        <v>0.61431899999999995</v>
      </c>
      <c r="T152">
        <f t="shared" si="26"/>
        <v>16.629000000000001</v>
      </c>
      <c r="U152">
        <f t="shared" si="27"/>
        <v>10.228198578000001</v>
      </c>
      <c r="X152" s="9"/>
      <c r="Y152" s="22">
        <v>1.0549900000000001</v>
      </c>
      <c r="Z152" s="22">
        <v>188.12299999999999</v>
      </c>
      <c r="AA152" s="22">
        <v>-1.6271999999999998E-2</v>
      </c>
      <c r="AB152" s="22">
        <v>142</v>
      </c>
      <c r="AC152" s="22">
        <v>1.0540799999999999</v>
      </c>
      <c r="AD152">
        <f t="shared" si="28"/>
        <v>16.271999999999998</v>
      </c>
      <c r="AE152">
        <f t="shared" si="29"/>
        <v>17.166797280000001</v>
      </c>
      <c r="AF152" s="9"/>
      <c r="AG152" s="22">
        <v>0.61508200000000002</v>
      </c>
      <c r="AH152" s="22">
        <v>245.65199999999999</v>
      </c>
      <c r="AI152" s="22">
        <v>-1.6555799999999999E-2</v>
      </c>
      <c r="AJ152" s="22">
        <v>142</v>
      </c>
      <c r="AK152" s="22">
        <v>0.61419699999999999</v>
      </c>
      <c r="AL152">
        <f t="shared" si="30"/>
        <v>16.555799999999998</v>
      </c>
      <c r="AM152">
        <f t="shared" si="31"/>
        <v>10.183174575599999</v>
      </c>
      <c r="AP152" s="9"/>
      <c r="AQ152" s="22">
        <v>1.0549900000000001</v>
      </c>
      <c r="AR152" s="22">
        <v>324.50599999999997</v>
      </c>
      <c r="AS152" s="22">
        <v>-1.6174299999999999E-2</v>
      </c>
      <c r="AT152" s="22">
        <v>142</v>
      </c>
      <c r="AU152" s="22">
        <v>1.0537700000000001</v>
      </c>
      <c r="AV152">
        <f t="shared" si="32"/>
        <v>16.174299999999999</v>
      </c>
      <c r="AW152">
        <f t="shared" si="33"/>
        <v>17.063724756999999</v>
      </c>
      <c r="AX152" s="9"/>
      <c r="AY152" s="22">
        <v>0.61508200000000002</v>
      </c>
      <c r="AZ152" s="22">
        <v>382.81700000000001</v>
      </c>
      <c r="BA152" s="22">
        <v>-1.6534400000000001E-2</v>
      </c>
      <c r="BB152" s="22">
        <v>142</v>
      </c>
      <c r="BC152" s="22">
        <v>0.61431899999999995</v>
      </c>
      <c r="BD152">
        <f t="shared" si="34"/>
        <v>16.534400000000002</v>
      </c>
      <c r="BE152">
        <f t="shared" si="35"/>
        <v>10.170011820800001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1.04996</v>
      </c>
      <c r="H153" s="22">
        <v>53.768799999999999</v>
      </c>
      <c r="I153" s="22">
        <v>-1.62781E-2</v>
      </c>
      <c r="J153" s="22">
        <v>143</v>
      </c>
      <c r="K153" s="22">
        <v>1.0488900000000001</v>
      </c>
      <c r="L153">
        <f t="shared" si="24"/>
        <v>16.278099999999998</v>
      </c>
      <c r="M153">
        <f t="shared" si="25"/>
        <v>17.091353875999999</v>
      </c>
      <c r="N153" s="9"/>
      <c r="O153" s="22">
        <v>0.62011700000000003</v>
      </c>
      <c r="P153" s="22">
        <v>118.09099999999999</v>
      </c>
      <c r="Q153" s="22">
        <v>-1.6601600000000001E-2</v>
      </c>
      <c r="R153" s="22">
        <v>143</v>
      </c>
      <c r="S153" s="22">
        <v>0.61929299999999998</v>
      </c>
      <c r="T153">
        <f t="shared" si="26"/>
        <v>16.601600000000001</v>
      </c>
      <c r="U153">
        <f t="shared" si="27"/>
        <v>10.294934387200001</v>
      </c>
      <c r="X153" s="9"/>
      <c r="Y153" s="22">
        <v>1.04996</v>
      </c>
      <c r="Z153" s="22">
        <v>188.22399999999999</v>
      </c>
      <c r="AA153" s="22">
        <v>-1.6284199999999999E-2</v>
      </c>
      <c r="AB153" s="22">
        <v>143</v>
      </c>
      <c r="AC153" s="22">
        <v>1.0491900000000001</v>
      </c>
      <c r="AD153">
        <f t="shared" si="28"/>
        <v>16.284199999999998</v>
      </c>
      <c r="AE153">
        <f t="shared" si="29"/>
        <v>17.097758631999998</v>
      </c>
      <c r="AF153" s="9"/>
      <c r="AG153" s="22">
        <v>0.62011700000000003</v>
      </c>
      <c r="AH153" s="22">
        <v>245.75299999999999</v>
      </c>
      <c r="AI153" s="22">
        <v>-1.6549700000000001E-2</v>
      </c>
      <c r="AJ153" s="22">
        <v>143</v>
      </c>
      <c r="AK153" s="22">
        <v>0.61935399999999996</v>
      </c>
      <c r="AL153">
        <f t="shared" si="30"/>
        <v>16.549700000000001</v>
      </c>
      <c r="AM153">
        <f t="shared" si="31"/>
        <v>10.262750314900002</v>
      </c>
      <c r="AP153" s="9"/>
      <c r="AQ153" s="22">
        <v>1.04996</v>
      </c>
      <c r="AR153" s="22">
        <v>324.60700000000003</v>
      </c>
      <c r="AS153" s="22">
        <v>-1.6192600000000001E-2</v>
      </c>
      <c r="AT153" s="22">
        <v>143</v>
      </c>
      <c r="AU153" s="22">
        <v>1.0485800000000001</v>
      </c>
      <c r="AV153">
        <f t="shared" si="32"/>
        <v>16.192600000000002</v>
      </c>
      <c r="AW153">
        <f t="shared" si="33"/>
        <v>17.001582296000002</v>
      </c>
      <c r="AX153" s="9"/>
      <c r="AY153" s="22">
        <v>0.62011700000000003</v>
      </c>
      <c r="AZ153" s="22">
        <v>382.91800000000001</v>
      </c>
      <c r="BA153" s="22">
        <v>-1.65253E-2</v>
      </c>
      <c r="BB153" s="22">
        <v>143</v>
      </c>
      <c r="BC153" s="22">
        <v>0.61935399999999996</v>
      </c>
      <c r="BD153">
        <f t="shared" si="34"/>
        <v>16.525300000000001</v>
      </c>
      <c r="BE153">
        <f t="shared" si="35"/>
        <v>10.247619460100001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1.0449200000000001</v>
      </c>
      <c r="H154" s="22">
        <v>53.869500000000002</v>
      </c>
      <c r="I154" s="22">
        <v>-1.6275000000000001E-2</v>
      </c>
      <c r="J154" s="22">
        <v>144</v>
      </c>
      <c r="K154" s="22">
        <v>1.0440100000000001</v>
      </c>
      <c r="L154">
        <f t="shared" si="24"/>
        <v>16.275000000000002</v>
      </c>
      <c r="M154">
        <f t="shared" si="25"/>
        <v>17.006073000000004</v>
      </c>
      <c r="N154" s="9"/>
      <c r="O154" s="22">
        <v>0.62515299999999996</v>
      </c>
      <c r="P154" s="22">
        <v>118.19199999999999</v>
      </c>
      <c r="Q154" s="22">
        <v>-1.6610699999999999E-2</v>
      </c>
      <c r="R154" s="22">
        <v>144</v>
      </c>
      <c r="S154" s="22">
        <v>0.62429800000000002</v>
      </c>
      <c r="T154">
        <f t="shared" si="26"/>
        <v>16.610699999999998</v>
      </c>
      <c r="U154">
        <f t="shared" si="27"/>
        <v>10.384228937099998</v>
      </c>
      <c r="X154" s="9"/>
      <c r="Y154" s="22">
        <v>1.0449200000000001</v>
      </c>
      <c r="Z154" s="22">
        <v>188.32499999999999</v>
      </c>
      <c r="AA154" s="22">
        <v>-1.62811E-2</v>
      </c>
      <c r="AB154" s="22">
        <v>144</v>
      </c>
      <c r="AC154" s="22">
        <v>1.0440100000000001</v>
      </c>
      <c r="AD154">
        <f t="shared" si="28"/>
        <v>16.281099999999999</v>
      </c>
      <c r="AE154">
        <f t="shared" si="29"/>
        <v>17.012447011999999</v>
      </c>
      <c r="AF154" s="9"/>
      <c r="AG154" s="22">
        <v>0.62515299999999996</v>
      </c>
      <c r="AH154" s="22">
        <v>245.85400000000001</v>
      </c>
      <c r="AI154" s="22">
        <v>-1.6534400000000001E-2</v>
      </c>
      <c r="AJ154" s="22">
        <v>144</v>
      </c>
      <c r="AK154" s="22">
        <v>0.62441999999999998</v>
      </c>
      <c r="AL154">
        <f t="shared" si="30"/>
        <v>16.534400000000002</v>
      </c>
      <c r="AM154">
        <f t="shared" si="31"/>
        <v>10.3365297632</v>
      </c>
      <c r="AP154" s="9"/>
      <c r="AQ154" s="22">
        <v>1.0449200000000001</v>
      </c>
      <c r="AR154" s="22">
        <v>324.70800000000003</v>
      </c>
      <c r="AS154" s="22">
        <v>-1.61987E-2</v>
      </c>
      <c r="AT154" s="22">
        <v>144</v>
      </c>
      <c r="AU154" s="22">
        <v>1.0440100000000001</v>
      </c>
      <c r="AV154">
        <f t="shared" si="32"/>
        <v>16.198699999999999</v>
      </c>
      <c r="AW154">
        <f t="shared" si="33"/>
        <v>16.926345604000002</v>
      </c>
      <c r="AX154" s="9"/>
      <c r="AY154" s="22">
        <v>0.62515299999999996</v>
      </c>
      <c r="AZ154" s="22">
        <v>383.01900000000001</v>
      </c>
      <c r="BA154" s="22">
        <v>-1.6531400000000002E-2</v>
      </c>
      <c r="BB154" s="22">
        <v>144</v>
      </c>
      <c r="BC154" s="22">
        <v>0.62445099999999998</v>
      </c>
      <c r="BD154">
        <f t="shared" si="34"/>
        <v>16.531400000000001</v>
      </c>
      <c r="BE154">
        <f t="shared" si="35"/>
        <v>10.334654304200001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1.03989</v>
      </c>
      <c r="H155" s="22">
        <v>53.970300000000002</v>
      </c>
      <c r="I155" s="22">
        <v>-1.62933E-2</v>
      </c>
      <c r="J155" s="22">
        <v>145</v>
      </c>
      <c r="K155" s="22">
        <v>1.03851</v>
      </c>
      <c r="L155">
        <f t="shared" si="24"/>
        <v>16.293299999999999</v>
      </c>
      <c r="M155">
        <f t="shared" si="25"/>
        <v>16.943239736999999</v>
      </c>
      <c r="N155" s="9"/>
      <c r="O155" s="22">
        <v>0.63018799999999997</v>
      </c>
      <c r="P155" s="22">
        <v>118.292</v>
      </c>
      <c r="Q155" s="22">
        <v>-1.6595499999999999E-2</v>
      </c>
      <c r="R155" s="22">
        <v>145</v>
      </c>
      <c r="S155" s="22">
        <v>0.62939500000000004</v>
      </c>
      <c r="T155">
        <f t="shared" si="26"/>
        <v>16.595499999999998</v>
      </c>
      <c r="U155">
        <f t="shared" si="27"/>
        <v>10.458284953999998</v>
      </c>
      <c r="X155" s="9"/>
      <c r="Y155" s="22">
        <v>1.03989</v>
      </c>
      <c r="Z155" s="22">
        <v>188.42500000000001</v>
      </c>
      <c r="AA155" s="22">
        <v>-1.6308599999999999E-2</v>
      </c>
      <c r="AB155" s="22">
        <v>145</v>
      </c>
      <c r="AC155" s="22">
        <v>1.0382100000000001</v>
      </c>
      <c r="AD155">
        <f t="shared" si="28"/>
        <v>16.308599999999998</v>
      </c>
      <c r="AE155">
        <f t="shared" si="29"/>
        <v>16.959150053999998</v>
      </c>
      <c r="AF155" s="9"/>
      <c r="AG155" s="22">
        <v>0.63018799999999997</v>
      </c>
      <c r="AH155" s="22">
        <v>245.95400000000001</v>
      </c>
      <c r="AI155" s="22">
        <v>-1.65375E-2</v>
      </c>
      <c r="AJ155" s="22">
        <v>145</v>
      </c>
      <c r="AK155" s="22">
        <v>0.62942500000000001</v>
      </c>
      <c r="AL155">
        <f t="shared" si="30"/>
        <v>16.537500000000001</v>
      </c>
      <c r="AM155">
        <f t="shared" si="31"/>
        <v>10.42173405</v>
      </c>
      <c r="AP155" s="9"/>
      <c r="AQ155" s="22">
        <v>1.03989</v>
      </c>
      <c r="AR155" s="22">
        <v>324.80900000000003</v>
      </c>
      <c r="AS155" s="22">
        <v>-1.61957E-2</v>
      </c>
      <c r="AT155" s="22">
        <v>145</v>
      </c>
      <c r="AU155" s="22">
        <v>1.03851</v>
      </c>
      <c r="AV155">
        <f t="shared" si="32"/>
        <v>16.195699999999999</v>
      </c>
      <c r="AW155">
        <f t="shared" si="33"/>
        <v>16.841746472999997</v>
      </c>
      <c r="AX155" s="9"/>
      <c r="AY155" s="22">
        <v>0.63018799999999997</v>
      </c>
      <c r="AZ155" s="22">
        <v>383.11900000000003</v>
      </c>
      <c r="BA155" s="22">
        <v>-1.65253E-2</v>
      </c>
      <c r="BB155" s="22">
        <v>145</v>
      </c>
      <c r="BC155" s="22">
        <v>0.62939500000000004</v>
      </c>
      <c r="BD155">
        <f t="shared" si="34"/>
        <v>16.525300000000001</v>
      </c>
      <c r="BE155">
        <f t="shared" si="35"/>
        <v>10.4140457564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1.03485</v>
      </c>
      <c r="H156" s="22">
        <v>54.070999999999998</v>
      </c>
      <c r="I156" s="22">
        <v>-1.6287200000000002E-2</v>
      </c>
      <c r="J156" s="22">
        <v>146</v>
      </c>
      <c r="K156" s="22">
        <v>1.0333300000000001</v>
      </c>
      <c r="L156">
        <f t="shared" si="24"/>
        <v>16.287200000000002</v>
      </c>
      <c r="M156">
        <f t="shared" si="25"/>
        <v>16.854808920000004</v>
      </c>
      <c r="N156" s="9"/>
      <c r="O156" s="22">
        <v>0.63522299999999998</v>
      </c>
      <c r="P156" s="22">
        <v>118.393</v>
      </c>
      <c r="Q156" s="22">
        <v>-1.6613800000000001E-2</v>
      </c>
      <c r="R156" s="22">
        <v>146</v>
      </c>
      <c r="S156" s="22">
        <v>0.63446000000000002</v>
      </c>
      <c r="T156">
        <f t="shared" si="26"/>
        <v>16.613800000000001</v>
      </c>
      <c r="U156">
        <f t="shared" si="27"/>
        <v>10.553467877400001</v>
      </c>
      <c r="X156" s="9"/>
      <c r="Y156" s="22">
        <v>1.03485</v>
      </c>
      <c r="Z156" s="22">
        <v>188.52600000000001</v>
      </c>
      <c r="AA156" s="22">
        <v>-1.6296399999999999E-2</v>
      </c>
      <c r="AB156" s="22">
        <v>146</v>
      </c>
      <c r="AC156" s="22">
        <v>1.03424</v>
      </c>
      <c r="AD156">
        <f t="shared" si="28"/>
        <v>16.296399999999998</v>
      </c>
      <c r="AE156">
        <f t="shared" si="29"/>
        <v>16.86432954</v>
      </c>
      <c r="AF156" s="9"/>
      <c r="AG156" s="22">
        <v>0.63522299999999998</v>
      </c>
      <c r="AH156" s="22">
        <v>246.05500000000001</v>
      </c>
      <c r="AI156" s="22">
        <v>-1.6522200000000001E-2</v>
      </c>
      <c r="AJ156" s="22">
        <v>146</v>
      </c>
      <c r="AK156" s="22">
        <v>0.63439900000000005</v>
      </c>
      <c r="AL156">
        <f t="shared" si="30"/>
        <v>16.522200000000002</v>
      </c>
      <c r="AM156">
        <f t="shared" si="31"/>
        <v>10.4952814506</v>
      </c>
      <c r="AP156" s="9"/>
      <c r="AQ156" s="22">
        <v>1.03485</v>
      </c>
      <c r="AR156" s="22">
        <v>324.90899999999999</v>
      </c>
      <c r="AS156" s="22">
        <v>-1.61957E-2</v>
      </c>
      <c r="AT156" s="22">
        <v>146</v>
      </c>
      <c r="AU156" s="22">
        <v>1.0333300000000001</v>
      </c>
      <c r="AV156">
        <f t="shared" si="32"/>
        <v>16.195699999999999</v>
      </c>
      <c r="AW156">
        <f t="shared" si="33"/>
        <v>16.760120144999998</v>
      </c>
      <c r="AX156" s="9"/>
      <c r="AY156" s="22">
        <v>0.63522299999999998</v>
      </c>
      <c r="AZ156" s="22">
        <v>383.22</v>
      </c>
      <c r="BA156" s="22">
        <v>-1.6522200000000001E-2</v>
      </c>
      <c r="BB156" s="22">
        <v>146</v>
      </c>
      <c r="BC156" s="22">
        <v>0.634521</v>
      </c>
      <c r="BD156">
        <f t="shared" si="34"/>
        <v>16.522200000000002</v>
      </c>
      <c r="BE156">
        <f t="shared" si="35"/>
        <v>10.4952814506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1.02982</v>
      </c>
      <c r="H157" s="22">
        <v>54.171700000000001</v>
      </c>
      <c r="I157" s="22">
        <v>-1.6271999999999998E-2</v>
      </c>
      <c r="J157" s="22">
        <v>147</v>
      </c>
      <c r="K157" s="22">
        <v>1.02844</v>
      </c>
      <c r="L157">
        <f t="shared" si="24"/>
        <v>16.271999999999998</v>
      </c>
      <c r="M157">
        <f t="shared" si="25"/>
        <v>16.757231039999997</v>
      </c>
      <c r="N157" s="9"/>
      <c r="O157" s="22">
        <v>0.64025900000000002</v>
      </c>
      <c r="P157" s="22">
        <v>118.494</v>
      </c>
      <c r="Q157" s="22">
        <v>-1.6604600000000001E-2</v>
      </c>
      <c r="R157" s="22">
        <v>147</v>
      </c>
      <c r="S157" s="22">
        <v>0.63955700000000004</v>
      </c>
      <c r="T157">
        <f t="shared" si="26"/>
        <v>16.604600000000001</v>
      </c>
      <c r="U157">
        <f t="shared" si="27"/>
        <v>10.631244591400002</v>
      </c>
      <c r="X157" s="9"/>
      <c r="Y157" s="22">
        <v>1.02982</v>
      </c>
      <c r="Z157" s="22">
        <v>188.62700000000001</v>
      </c>
      <c r="AA157" s="22">
        <v>-1.6296399999999999E-2</v>
      </c>
      <c r="AB157" s="22">
        <v>147</v>
      </c>
      <c r="AC157" s="22">
        <v>1.02905</v>
      </c>
      <c r="AD157">
        <f t="shared" si="28"/>
        <v>16.296399999999998</v>
      </c>
      <c r="AE157">
        <f t="shared" si="29"/>
        <v>16.782358647999999</v>
      </c>
      <c r="AF157" s="9"/>
      <c r="AG157" s="22">
        <v>0.64025900000000002</v>
      </c>
      <c r="AH157" s="22">
        <v>246.15600000000001</v>
      </c>
      <c r="AI157" s="22">
        <v>-1.6534400000000001E-2</v>
      </c>
      <c r="AJ157" s="22">
        <v>147</v>
      </c>
      <c r="AK157" s="22">
        <v>0.63943499999999998</v>
      </c>
      <c r="AL157">
        <f t="shared" si="30"/>
        <v>16.534400000000002</v>
      </c>
      <c r="AM157">
        <f t="shared" si="31"/>
        <v>10.586298409600001</v>
      </c>
      <c r="AP157" s="9"/>
      <c r="AQ157" s="22">
        <v>1.02982</v>
      </c>
      <c r="AR157" s="22">
        <v>325.01</v>
      </c>
      <c r="AS157" s="22">
        <v>-1.6192600000000001E-2</v>
      </c>
      <c r="AT157" s="22">
        <v>147</v>
      </c>
      <c r="AU157" s="22">
        <v>1.0287500000000001</v>
      </c>
      <c r="AV157">
        <f t="shared" si="32"/>
        <v>16.192600000000002</v>
      </c>
      <c r="AW157">
        <f t="shared" si="33"/>
        <v>16.675463332000003</v>
      </c>
      <c r="AX157" s="9"/>
      <c r="AY157" s="22">
        <v>0.64025900000000002</v>
      </c>
      <c r="AZ157" s="22">
        <v>383.32100000000003</v>
      </c>
      <c r="BA157" s="22">
        <v>-1.6519200000000001E-2</v>
      </c>
      <c r="BB157" s="22">
        <v>147</v>
      </c>
      <c r="BC157" s="22">
        <v>0.63949599999999995</v>
      </c>
      <c r="BD157">
        <f t="shared" si="34"/>
        <v>16.519200000000001</v>
      </c>
      <c r="BE157">
        <f t="shared" si="35"/>
        <v>10.576566472800002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1.02478</v>
      </c>
      <c r="H158" s="22">
        <v>54.272399999999998</v>
      </c>
      <c r="I158" s="22">
        <v>-1.6296399999999999E-2</v>
      </c>
      <c r="J158" s="22">
        <v>148</v>
      </c>
      <c r="K158" s="22">
        <v>1.02386</v>
      </c>
      <c r="L158">
        <f t="shared" si="24"/>
        <v>16.296399999999998</v>
      </c>
      <c r="M158">
        <f t="shared" si="25"/>
        <v>16.700224792</v>
      </c>
      <c r="N158" s="9"/>
      <c r="O158" s="22">
        <v>0.64529400000000003</v>
      </c>
      <c r="P158" s="22">
        <v>118.59399999999999</v>
      </c>
      <c r="Q158" s="22">
        <v>-1.66077E-2</v>
      </c>
      <c r="R158" s="22">
        <v>148</v>
      </c>
      <c r="S158" s="22">
        <v>0.64468400000000003</v>
      </c>
      <c r="T158">
        <f t="shared" si="26"/>
        <v>16.607700000000001</v>
      </c>
      <c r="U158">
        <f t="shared" si="27"/>
        <v>10.716849163800001</v>
      </c>
      <c r="X158" s="9"/>
      <c r="Y158" s="22">
        <v>1.02478</v>
      </c>
      <c r="Z158" s="22">
        <v>188.72800000000001</v>
      </c>
      <c r="AA158" s="22">
        <v>-1.6287200000000002E-2</v>
      </c>
      <c r="AB158" s="22">
        <v>148</v>
      </c>
      <c r="AC158" s="22">
        <v>1.02356</v>
      </c>
      <c r="AD158">
        <f t="shared" si="28"/>
        <v>16.287200000000002</v>
      </c>
      <c r="AE158">
        <f t="shared" si="29"/>
        <v>16.690796816000002</v>
      </c>
      <c r="AF158" s="9"/>
      <c r="AG158" s="22">
        <v>0.64529400000000003</v>
      </c>
      <c r="AH158" s="22">
        <v>246.256</v>
      </c>
      <c r="AI158" s="22">
        <v>-1.6516099999999999E-2</v>
      </c>
      <c r="AJ158" s="22">
        <v>148</v>
      </c>
      <c r="AK158" s="22">
        <v>0.64450099999999999</v>
      </c>
      <c r="AL158">
        <f t="shared" si="30"/>
        <v>16.516099999999998</v>
      </c>
      <c r="AM158">
        <f t="shared" si="31"/>
        <v>10.657740233399998</v>
      </c>
      <c r="AP158" s="9"/>
      <c r="AQ158" s="22">
        <v>1.02478</v>
      </c>
      <c r="AR158" s="22">
        <v>325.11099999999999</v>
      </c>
      <c r="AS158" s="22">
        <v>-1.6201799999999999E-2</v>
      </c>
      <c r="AT158" s="22">
        <v>148</v>
      </c>
      <c r="AU158" s="22">
        <v>1.02356</v>
      </c>
      <c r="AV158">
        <f t="shared" si="32"/>
        <v>16.201799999999999</v>
      </c>
      <c r="AW158">
        <f t="shared" si="33"/>
        <v>16.603280603999998</v>
      </c>
      <c r="AX158" s="9"/>
      <c r="AY158" s="22">
        <v>0.64529400000000003</v>
      </c>
      <c r="AZ158" s="22">
        <v>383.42200000000003</v>
      </c>
      <c r="BA158" s="22">
        <v>-1.6528299999999999E-2</v>
      </c>
      <c r="BB158" s="22">
        <v>148</v>
      </c>
      <c r="BC158" s="22">
        <v>0.64444000000000001</v>
      </c>
      <c r="BD158">
        <f t="shared" si="34"/>
        <v>16.528299999999998</v>
      </c>
      <c r="BE158">
        <f t="shared" si="35"/>
        <v>10.6656128202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1.0197400000000001</v>
      </c>
      <c r="H159" s="22">
        <v>54.373100000000001</v>
      </c>
      <c r="I159" s="22">
        <v>-1.6305500000000001E-2</v>
      </c>
      <c r="J159" s="22">
        <v>149</v>
      </c>
      <c r="K159" s="22">
        <v>1.01868</v>
      </c>
      <c r="L159">
        <f t="shared" si="24"/>
        <v>16.305500000000002</v>
      </c>
      <c r="M159">
        <f t="shared" si="25"/>
        <v>16.627370570000004</v>
      </c>
      <c r="N159" s="9"/>
      <c r="O159" s="22">
        <v>0.65032999999999996</v>
      </c>
      <c r="P159" s="22">
        <v>118.69499999999999</v>
      </c>
      <c r="Q159" s="22">
        <v>-1.6583299999999999E-2</v>
      </c>
      <c r="R159" s="22">
        <v>149</v>
      </c>
      <c r="S159" s="22">
        <v>0.649536</v>
      </c>
      <c r="T159">
        <f t="shared" si="26"/>
        <v>16.583299999999998</v>
      </c>
      <c r="U159">
        <f t="shared" si="27"/>
        <v>10.784617488999999</v>
      </c>
      <c r="X159" s="9"/>
      <c r="Y159" s="22">
        <v>1.0197400000000001</v>
      </c>
      <c r="Z159" s="22">
        <v>188.828</v>
      </c>
      <c r="AA159" s="22">
        <v>-1.6308599999999999E-2</v>
      </c>
      <c r="AB159" s="22">
        <v>149</v>
      </c>
      <c r="AC159" s="22">
        <v>1.01837</v>
      </c>
      <c r="AD159">
        <f t="shared" si="28"/>
        <v>16.308599999999998</v>
      </c>
      <c r="AE159">
        <f t="shared" si="29"/>
        <v>16.630531764000001</v>
      </c>
      <c r="AF159" s="9"/>
      <c r="AG159" s="22">
        <v>0.65032999999999996</v>
      </c>
      <c r="AH159" s="22">
        <v>246.357</v>
      </c>
      <c r="AI159" s="22">
        <v>-1.6516099999999999E-2</v>
      </c>
      <c r="AJ159" s="22">
        <v>149</v>
      </c>
      <c r="AK159" s="22">
        <v>0.64947500000000002</v>
      </c>
      <c r="AL159">
        <f t="shared" si="30"/>
        <v>16.516099999999998</v>
      </c>
      <c r="AM159">
        <f t="shared" si="31"/>
        <v>10.740915312999999</v>
      </c>
      <c r="AP159" s="9"/>
      <c r="AQ159" s="22">
        <v>1.0197400000000001</v>
      </c>
      <c r="AR159" s="22">
        <v>325.21100000000001</v>
      </c>
      <c r="AS159" s="22">
        <v>-1.6201799999999999E-2</v>
      </c>
      <c r="AT159" s="22">
        <v>149</v>
      </c>
      <c r="AU159" s="22">
        <v>1.01837</v>
      </c>
      <c r="AV159">
        <f t="shared" si="32"/>
        <v>16.201799999999999</v>
      </c>
      <c r="AW159">
        <f t="shared" si="33"/>
        <v>16.521623532</v>
      </c>
      <c r="AX159" s="9"/>
      <c r="AY159" s="22">
        <v>0.65032999999999996</v>
      </c>
      <c r="AZ159" s="22">
        <v>383.52199999999999</v>
      </c>
      <c r="BA159" s="22">
        <v>-1.6513099999999999E-2</v>
      </c>
      <c r="BB159" s="22">
        <v>149</v>
      </c>
      <c r="BC159" s="22">
        <v>0.64956700000000001</v>
      </c>
      <c r="BD159">
        <f t="shared" si="34"/>
        <v>16.513099999999998</v>
      </c>
      <c r="BE159">
        <f t="shared" si="35"/>
        <v>10.738964322999998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1.01471</v>
      </c>
      <c r="H160" s="22">
        <v>54.473799999999997</v>
      </c>
      <c r="I160" s="22">
        <v>-1.6299399999999999E-2</v>
      </c>
      <c r="J160" s="22">
        <v>150</v>
      </c>
      <c r="K160" s="22">
        <v>1.0141</v>
      </c>
      <c r="L160">
        <f t="shared" si="24"/>
        <v>16.299399999999999</v>
      </c>
      <c r="M160">
        <f t="shared" si="25"/>
        <v>16.539164174</v>
      </c>
      <c r="N160" s="9"/>
      <c r="O160" s="22">
        <v>0.65536499999999998</v>
      </c>
      <c r="P160" s="22">
        <v>118.79600000000001</v>
      </c>
      <c r="Q160" s="22">
        <v>-1.6583299999999999E-2</v>
      </c>
      <c r="R160" s="22">
        <v>150</v>
      </c>
      <c r="S160" s="22">
        <v>0.654694</v>
      </c>
      <c r="T160">
        <f t="shared" si="26"/>
        <v>16.583299999999998</v>
      </c>
      <c r="U160">
        <f t="shared" si="27"/>
        <v>10.868114404499998</v>
      </c>
      <c r="X160" s="9"/>
      <c r="Y160" s="22">
        <v>1.01471</v>
      </c>
      <c r="Z160" s="22">
        <v>188.929</v>
      </c>
      <c r="AA160" s="22">
        <v>-1.6308599999999999E-2</v>
      </c>
      <c r="AB160" s="22">
        <v>150</v>
      </c>
      <c r="AC160" s="22">
        <v>1.0141</v>
      </c>
      <c r="AD160">
        <f t="shared" si="28"/>
        <v>16.308599999999998</v>
      </c>
      <c r="AE160">
        <f t="shared" si="29"/>
        <v>16.548499505999999</v>
      </c>
      <c r="AF160" s="9"/>
      <c r="AG160" s="22">
        <v>0.65536499999999998</v>
      </c>
      <c r="AH160" s="22">
        <v>246.458</v>
      </c>
      <c r="AI160" s="22">
        <v>-1.6516099999999999E-2</v>
      </c>
      <c r="AJ160" s="22">
        <v>150</v>
      </c>
      <c r="AK160" s="22">
        <v>0.65454100000000004</v>
      </c>
      <c r="AL160">
        <f t="shared" si="30"/>
        <v>16.516099999999998</v>
      </c>
      <c r="AM160">
        <f t="shared" si="31"/>
        <v>10.824073876499998</v>
      </c>
      <c r="AP160" s="9"/>
      <c r="AQ160" s="22">
        <v>1.01471</v>
      </c>
      <c r="AR160" s="22">
        <v>325.31200000000001</v>
      </c>
      <c r="AS160" s="22">
        <v>-1.6201799999999999E-2</v>
      </c>
      <c r="AT160" s="22">
        <v>150</v>
      </c>
      <c r="AU160" s="22">
        <v>1.01349</v>
      </c>
      <c r="AV160">
        <f t="shared" si="32"/>
        <v>16.201799999999999</v>
      </c>
      <c r="AW160">
        <f t="shared" si="33"/>
        <v>16.440128477999998</v>
      </c>
      <c r="AX160" s="9"/>
      <c r="AY160" s="22">
        <v>0.65536499999999998</v>
      </c>
      <c r="AZ160" s="22">
        <v>383.62299999999999</v>
      </c>
      <c r="BA160" s="22">
        <v>-1.6503899999999998E-2</v>
      </c>
      <c r="BB160" s="22">
        <v>150</v>
      </c>
      <c r="BC160" s="22">
        <v>0.65457200000000004</v>
      </c>
      <c r="BD160">
        <f t="shared" si="34"/>
        <v>16.503899999999998</v>
      </c>
      <c r="BE160">
        <f t="shared" si="35"/>
        <v>10.816078423499999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1.0096700000000001</v>
      </c>
      <c r="H161" s="22">
        <v>54.5745</v>
      </c>
      <c r="I161" s="22">
        <v>-1.6311599999999999E-2</v>
      </c>
      <c r="J161" s="22">
        <v>151</v>
      </c>
      <c r="K161" s="22">
        <v>1.00861</v>
      </c>
      <c r="L161">
        <f t="shared" si="24"/>
        <v>16.311599999999999</v>
      </c>
      <c r="M161">
        <f t="shared" si="25"/>
        <v>16.469333171999999</v>
      </c>
      <c r="N161" s="9"/>
      <c r="O161" s="22">
        <v>0.66039999999999999</v>
      </c>
      <c r="P161" s="22">
        <v>118.89700000000001</v>
      </c>
      <c r="Q161" s="22">
        <v>-1.65802E-2</v>
      </c>
      <c r="R161" s="22">
        <v>151</v>
      </c>
      <c r="S161" s="22">
        <v>0.65960700000000005</v>
      </c>
      <c r="T161">
        <f t="shared" si="26"/>
        <v>16.580200000000001</v>
      </c>
      <c r="U161">
        <f t="shared" si="27"/>
        <v>10.94956408</v>
      </c>
      <c r="X161" s="9"/>
      <c r="Y161" s="22">
        <v>1.0096700000000001</v>
      </c>
      <c r="Z161" s="22">
        <v>189.03</v>
      </c>
      <c r="AA161" s="22">
        <v>-1.6314700000000001E-2</v>
      </c>
      <c r="AB161" s="22">
        <v>151</v>
      </c>
      <c r="AC161" s="22">
        <v>1.00861</v>
      </c>
      <c r="AD161">
        <f t="shared" si="28"/>
        <v>16.314700000000002</v>
      </c>
      <c r="AE161">
        <f t="shared" si="29"/>
        <v>16.472463149000003</v>
      </c>
      <c r="AF161" s="9"/>
      <c r="AG161" s="22">
        <v>0.66039999999999999</v>
      </c>
      <c r="AH161" s="22">
        <v>246.559</v>
      </c>
      <c r="AI161" s="22">
        <v>-1.6503899999999998E-2</v>
      </c>
      <c r="AJ161" s="22">
        <v>151</v>
      </c>
      <c r="AK161" s="22">
        <v>0.65966800000000003</v>
      </c>
      <c r="AL161">
        <f t="shared" si="30"/>
        <v>16.503899999999998</v>
      </c>
      <c r="AM161">
        <f t="shared" si="31"/>
        <v>10.899175559999998</v>
      </c>
      <c r="AP161" s="9"/>
      <c r="AQ161" s="22">
        <v>1.0096700000000001</v>
      </c>
      <c r="AR161" s="22">
        <v>325.41300000000001</v>
      </c>
      <c r="AS161" s="22">
        <v>-1.6213999999999999E-2</v>
      </c>
      <c r="AT161" s="22">
        <v>151</v>
      </c>
      <c r="AU161" s="22">
        <v>1.00861</v>
      </c>
      <c r="AV161">
        <f t="shared" si="32"/>
        <v>16.213999999999999</v>
      </c>
      <c r="AW161">
        <f t="shared" si="33"/>
        <v>16.370789379999998</v>
      </c>
      <c r="AX161" s="9"/>
      <c r="AY161" s="22">
        <v>0.66039999999999999</v>
      </c>
      <c r="AZ161" s="22">
        <v>383.72399999999999</v>
      </c>
      <c r="BA161" s="22">
        <v>-1.64978E-2</v>
      </c>
      <c r="BB161" s="22">
        <v>151</v>
      </c>
      <c r="BC161" s="22">
        <v>0.65976000000000001</v>
      </c>
      <c r="BD161">
        <f t="shared" si="34"/>
        <v>16.497800000000002</v>
      </c>
      <c r="BE161">
        <f t="shared" si="35"/>
        <v>10.895147120000001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1.00464</v>
      </c>
      <c r="H162" s="22">
        <v>54.675199999999997</v>
      </c>
      <c r="I162" s="22">
        <v>-1.6326899999999998E-2</v>
      </c>
      <c r="J162" s="22">
        <v>152</v>
      </c>
      <c r="K162" s="22">
        <v>1.00342</v>
      </c>
      <c r="L162">
        <f t="shared" si="24"/>
        <v>16.326899999999998</v>
      </c>
      <c r="M162">
        <f t="shared" si="25"/>
        <v>16.402656815999997</v>
      </c>
      <c r="N162" s="9"/>
      <c r="O162" s="22">
        <v>0.66543600000000003</v>
      </c>
      <c r="P162" s="22">
        <v>118.997</v>
      </c>
      <c r="Q162" s="22">
        <v>-1.6577100000000001E-2</v>
      </c>
      <c r="R162" s="22">
        <v>152</v>
      </c>
      <c r="S162" s="22">
        <v>0.66445900000000002</v>
      </c>
      <c r="T162">
        <f t="shared" si="26"/>
        <v>16.577100000000002</v>
      </c>
      <c r="U162">
        <f t="shared" si="27"/>
        <v>11.030999115600002</v>
      </c>
      <c r="X162" s="9"/>
      <c r="Y162" s="22">
        <v>1.00464</v>
      </c>
      <c r="Z162" s="22">
        <v>189.13</v>
      </c>
      <c r="AA162" s="22">
        <v>-1.6336099999999999E-2</v>
      </c>
      <c r="AB162" s="22">
        <v>152</v>
      </c>
      <c r="AC162" s="22">
        <v>1.00403</v>
      </c>
      <c r="AD162">
        <f t="shared" si="28"/>
        <v>16.336099999999998</v>
      </c>
      <c r="AE162">
        <f t="shared" si="29"/>
        <v>16.411899503999997</v>
      </c>
      <c r="AF162" s="9"/>
      <c r="AG162" s="22">
        <v>0.66543600000000003</v>
      </c>
      <c r="AH162" s="22">
        <v>246.65899999999999</v>
      </c>
      <c r="AI162" s="22">
        <v>-1.6500899999999999E-2</v>
      </c>
      <c r="AJ162" s="22">
        <v>152</v>
      </c>
      <c r="AK162" s="22">
        <v>0.66467299999999996</v>
      </c>
      <c r="AL162">
        <f t="shared" si="30"/>
        <v>16.500899999999998</v>
      </c>
      <c r="AM162">
        <f t="shared" si="31"/>
        <v>10.9802928924</v>
      </c>
      <c r="AP162" s="9"/>
      <c r="AQ162" s="22">
        <v>1.00464</v>
      </c>
      <c r="AR162" s="22">
        <v>325.51400000000001</v>
      </c>
      <c r="AS162" s="22">
        <v>-1.6220100000000001E-2</v>
      </c>
      <c r="AT162" s="22">
        <v>152</v>
      </c>
      <c r="AU162" s="22">
        <v>1.0031099999999999</v>
      </c>
      <c r="AV162">
        <f t="shared" si="32"/>
        <v>16.220100000000002</v>
      </c>
      <c r="AW162">
        <f t="shared" si="33"/>
        <v>16.295361264</v>
      </c>
      <c r="AX162" s="9"/>
      <c r="AY162" s="22">
        <v>0.66543600000000003</v>
      </c>
      <c r="AZ162" s="22">
        <v>383.82400000000001</v>
      </c>
      <c r="BA162" s="22">
        <v>-1.64978E-2</v>
      </c>
      <c r="BB162" s="22">
        <v>152</v>
      </c>
      <c r="BC162" s="22">
        <v>0.66464199999999996</v>
      </c>
      <c r="BD162">
        <f t="shared" si="34"/>
        <v>16.497800000000002</v>
      </c>
      <c r="BE162">
        <f t="shared" si="35"/>
        <v>10.978230040800002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0.99960300000000002</v>
      </c>
      <c r="H163" s="22">
        <v>54.7759</v>
      </c>
      <c r="I163" s="22">
        <v>-1.6323899999999999E-2</v>
      </c>
      <c r="J163" s="22">
        <v>153</v>
      </c>
      <c r="K163" s="22">
        <v>0.99792499999999995</v>
      </c>
      <c r="L163">
        <f t="shared" si="24"/>
        <v>16.323899999999998</v>
      </c>
      <c r="M163">
        <f t="shared" si="25"/>
        <v>16.317419411699998</v>
      </c>
      <c r="N163" s="9"/>
      <c r="O163" s="22">
        <v>0.67047100000000004</v>
      </c>
      <c r="P163" s="22">
        <v>119.098</v>
      </c>
      <c r="Q163" s="22">
        <v>-1.6595499999999999E-2</v>
      </c>
      <c r="R163" s="22">
        <v>153</v>
      </c>
      <c r="S163" s="22">
        <v>0.66964699999999999</v>
      </c>
      <c r="T163">
        <f t="shared" si="26"/>
        <v>16.595499999999998</v>
      </c>
      <c r="U163">
        <f t="shared" si="27"/>
        <v>11.126801480499999</v>
      </c>
      <c r="X163" s="9"/>
      <c r="Y163" s="22">
        <v>0.99960300000000002</v>
      </c>
      <c r="Z163" s="22">
        <v>189.23099999999999</v>
      </c>
      <c r="AA163" s="22">
        <v>-1.6326899999999998E-2</v>
      </c>
      <c r="AB163" s="22">
        <v>153</v>
      </c>
      <c r="AC163" s="22">
        <v>0.99853499999999995</v>
      </c>
      <c r="AD163">
        <f t="shared" si="28"/>
        <v>16.326899999999998</v>
      </c>
      <c r="AE163">
        <f t="shared" si="29"/>
        <v>16.320418220699999</v>
      </c>
      <c r="AF163" s="9"/>
      <c r="AG163" s="22">
        <v>0.67047100000000004</v>
      </c>
      <c r="AH163" s="22">
        <v>246.76</v>
      </c>
      <c r="AI163" s="22">
        <v>-1.64948E-2</v>
      </c>
      <c r="AJ163" s="22">
        <v>153</v>
      </c>
      <c r="AK163" s="22">
        <v>0.66961700000000002</v>
      </c>
      <c r="AL163">
        <f t="shared" si="30"/>
        <v>16.494800000000001</v>
      </c>
      <c r="AM163">
        <f t="shared" si="31"/>
        <v>11.059285050800002</v>
      </c>
      <c r="AP163" s="9"/>
      <c r="AQ163" s="22">
        <v>0.99960300000000002</v>
      </c>
      <c r="AR163" s="22">
        <v>325.61399999999998</v>
      </c>
      <c r="AS163" s="22">
        <v>-1.6220100000000001E-2</v>
      </c>
      <c r="AT163" s="22">
        <v>153</v>
      </c>
      <c r="AU163" s="22">
        <v>0.99822999999999995</v>
      </c>
      <c r="AV163">
        <f t="shared" si="32"/>
        <v>16.220100000000002</v>
      </c>
      <c r="AW163">
        <f t="shared" si="33"/>
        <v>16.213660620300004</v>
      </c>
      <c r="AX163" s="9"/>
      <c r="AY163" s="22">
        <v>0.67047100000000004</v>
      </c>
      <c r="AZ163" s="22">
        <v>383.92500000000001</v>
      </c>
      <c r="BA163" s="22">
        <v>-1.6500899999999999E-2</v>
      </c>
      <c r="BB163" s="22">
        <v>153</v>
      </c>
      <c r="BC163" s="22">
        <v>0.66949499999999995</v>
      </c>
      <c r="BD163">
        <f t="shared" si="34"/>
        <v>16.500899999999998</v>
      </c>
      <c r="BE163">
        <f t="shared" si="35"/>
        <v>11.0633749239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0.99456800000000001</v>
      </c>
      <c r="H164" s="22">
        <v>54.876600000000003</v>
      </c>
      <c r="I164" s="22">
        <v>-1.6305500000000001E-2</v>
      </c>
      <c r="J164" s="22">
        <v>154</v>
      </c>
      <c r="K164" s="22">
        <v>0.99395800000000001</v>
      </c>
      <c r="L164">
        <f t="shared" si="24"/>
        <v>16.305500000000002</v>
      </c>
      <c r="M164">
        <f t="shared" si="25"/>
        <v>16.216928524000004</v>
      </c>
      <c r="N164" s="9"/>
      <c r="O164" s="22">
        <v>0.67550699999999997</v>
      </c>
      <c r="P164" s="22">
        <v>119.199</v>
      </c>
      <c r="Q164" s="22">
        <v>-1.6583299999999999E-2</v>
      </c>
      <c r="R164" s="22">
        <v>154</v>
      </c>
      <c r="S164" s="22">
        <v>0.67474400000000001</v>
      </c>
      <c r="T164">
        <f t="shared" si="26"/>
        <v>16.583299999999998</v>
      </c>
      <c r="U164">
        <f t="shared" si="27"/>
        <v>11.202135233099998</v>
      </c>
      <c r="X164" s="9"/>
      <c r="Y164" s="22">
        <v>0.99456800000000001</v>
      </c>
      <c r="Z164" s="22">
        <v>189.33199999999999</v>
      </c>
      <c r="AA164" s="22">
        <v>-1.6336099999999999E-2</v>
      </c>
      <c r="AB164" s="22">
        <v>154</v>
      </c>
      <c r="AC164" s="22">
        <v>0.99365199999999998</v>
      </c>
      <c r="AD164">
        <f t="shared" si="28"/>
        <v>16.336099999999998</v>
      </c>
      <c r="AE164">
        <f t="shared" si="29"/>
        <v>16.247362304799999</v>
      </c>
      <c r="AF164" s="9"/>
      <c r="AG164" s="22">
        <v>0.67550699999999997</v>
      </c>
      <c r="AH164" s="22">
        <v>246.86099999999999</v>
      </c>
      <c r="AI164" s="22">
        <v>-1.6491700000000001E-2</v>
      </c>
      <c r="AJ164" s="22">
        <v>154</v>
      </c>
      <c r="AK164" s="22">
        <v>0.67477399999999998</v>
      </c>
      <c r="AL164">
        <f t="shared" si="30"/>
        <v>16.491700000000002</v>
      </c>
      <c r="AM164">
        <f t="shared" si="31"/>
        <v>11.140258791900001</v>
      </c>
      <c r="AP164" s="9"/>
      <c r="AQ164" s="22">
        <v>0.99456800000000001</v>
      </c>
      <c r="AR164" s="22">
        <v>325.71499999999997</v>
      </c>
      <c r="AS164" s="22">
        <v>-1.6223100000000001E-2</v>
      </c>
      <c r="AT164" s="22">
        <v>154</v>
      </c>
      <c r="AU164" s="22">
        <v>0.99334699999999998</v>
      </c>
      <c r="AV164">
        <f t="shared" si="32"/>
        <v>16.223100000000002</v>
      </c>
      <c r="AW164">
        <f t="shared" si="33"/>
        <v>16.134976120800001</v>
      </c>
      <c r="AX164" s="9"/>
      <c r="AY164" s="22">
        <v>0.67550699999999997</v>
      </c>
      <c r="AZ164" s="22">
        <v>384.02600000000001</v>
      </c>
      <c r="BA164" s="22">
        <v>-1.64948E-2</v>
      </c>
      <c r="BB164" s="22">
        <v>154</v>
      </c>
      <c r="BC164" s="22">
        <v>0.67459100000000005</v>
      </c>
      <c r="BD164">
        <f t="shared" si="34"/>
        <v>16.494800000000001</v>
      </c>
      <c r="BE164">
        <f t="shared" si="35"/>
        <v>11.142352863600001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0.98953199999999997</v>
      </c>
      <c r="H165" s="22">
        <v>54.9773</v>
      </c>
      <c r="I165" s="22">
        <v>-1.6323899999999999E-2</v>
      </c>
      <c r="J165" s="22">
        <v>155</v>
      </c>
      <c r="K165" s="22">
        <v>0.98846400000000001</v>
      </c>
      <c r="L165">
        <f t="shared" si="24"/>
        <v>16.323899999999998</v>
      </c>
      <c r="M165">
        <f t="shared" si="25"/>
        <v>16.153021414799998</v>
      </c>
      <c r="N165" s="9"/>
      <c r="O165" s="22">
        <v>0.68054199999999998</v>
      </c>
      <c r="P165" s="22">
        <v>119.29900000000001</v>
      </c>
      <c r="Q165" s="22">
        <v>-1.6555799999999999E-2</v>
      </c>
      <c r="R165" s="22">
        <v>155</v>
      </c>
      <c r="S165" s="22">
        <v>0.67968799999999996</v>
      </c>
      <c r="T165">
        <f t="shared" si="26"/>
        <v>16.555799999999998</v>
      </c>
      <c r="U165">
        <f t="shared" si="27"/>
        <v>11.266917243599998</v>
      </c>
      <c r="X165" s="9"/>
      <c r="Y165" s="22">
        <v>0.98953199999999997</v>
      </c>
      <c r="Z165" s="22">
        <v>189.43199999999999</v>
      </c>
      <c r="AA165" s="22">
        <v>-1.6342200000000001E-2</v>
      </c>
      <c r="AB165" s="22">
        <v>155</v>
      </c>
      <c r="AC165" s="22">
        <v>0.98877000000000004</v>
      </c>
      <c r="AD165">
        <f t="shared" si="28"/>
        <v>16.342200000000002</v>
      </c>
      <c r="AE165">
        <f t="shared" si="29"/>
        <v>16.1711298504</v>
      </c>
      <c r="AF165" s="9"/>
      <c r="AG165" s="22">
        <v>0.68054199999999998</v>
      </c>
      <c r="AH165" s="22">
        <v>246.96100000000001</v>
      </c>
      <c r="AI165" s="22">
        <v>-1.64856E-2</v>
      </c>
      <c r="AJ165" s="22">
        <v>155</v>
      </c>
      <c r="AK165" s="22">
        <v>0.67981000000000003</v>
      </c>
      <c r="AL165">
        <f t="shared" si="30"/>
        <v>16.485599999999998</v>
      </c>
      <c r="AM165">
        <f t="shared" si="31"/>
        <v>11.219143195199999</v>
      </c>
      <c r="AP165" s="9"/>
      <c r="AQ165" s="22">
        <v>0.98953199999999997</v>
      </c>
      <c r="AR165" s="22">
        <v>325.81599999999997</v>
      </c>
      <c r="AS165" s="22">
        <v>-1.6235400000000001E-2</v>
      </c>
      <c r="AT165" s="22">
        <v>155</v>
      </c>
      <c r="AU165" s="22">
        <v>0.98846400000000001</v>
      </c>
      <c r="AV165">
        <f t="shared" si="32"/>
        <v>16.235400000000002</v>
      </c>
      <c r="AW165">
        <f t="shared" si="33"/>
        <v>16.0654478328</v>
      </c>
      <c r="AX165" s="9"/>
      <c r="AY165" s="22">
        <v>0.68054199999999998</v>
      </c>
      <c r="AZ165" s="22">
        <v>384.12700000000001</v>
      </c>
      <c r="BA165" s="22">
        <v>-1.64856E-2</v>
      </c>
      <c r="BB165" s="22">
        <v>155</v>
      </c>
      <c r="BC165" s="22">
        <v>0.67984</v>
      </c>
      <c r="BD165">
        <f t="shared" si="34"/>
        <v>16.485599999999998</v>
      </c>
      <c r="BE165">
        <f t="shared" si="35"/>
        <v>11.219143195199999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0.98449699999999996</v>
      </c>
      <c r="H166" s="22">
        <v>55.078000000000003</v>
      </c>
      <c r="I166" s="22">
        <v>-1.6339099999999999E-2</v>
      </c>
      <c r="J166" s="22">
        <v>156</v>
      </c>
      <c r="K166" s="22">
        <v>0.98358199999999996</v>
      </c>
      <c r="L166">
        <f t="shared" si="24"/>
        <v>16.339099999999998</v>
      </c>
      <c r="M166">
        <f t="shared" si="25"/>
        <v>16.085794932699997</v>
      </c>
      <c r="N166" s="9"/>
      <c r="O166" s="22">
        <v>0.68557699999999999</v>
      </c>
      <c r="P166" s="22">
        <v>119.4</v>
      </c>
      <c r="Q166" s="22">
        <v>-1.6574100000000001E-2</v>
      </c>
      <c r="R166" s="22">
        <v>156</v>
      </c>
      <c r="S166" s="22">
        <v>0.68466199999999999</v>
      </c>
      <c r="T166">
        <f t="shared" si="26"/>
        <v>16.574100000000001</v>
      </c>
      <c r="U166">
        <f t="shared" si="27"/>
        <v>11.362821755700001</v>
      </c>
      <c r="X166" s="9"/>
      <c r="Y166" s="22">
        <v>0.98449699999999996</v>
      </c>
      <c r="Z166" s="22">
        <v>189.53299999999999</v>
      </c>
      <c r="AA166" s="22">
        <v>-1.6342200000000001E-2</v>
      </c>
      <c r="AB166" s="22">
        <v>156</v>
      </c>
      <c r="AC166" s="22">
        <v>0.98358199999999996</v>
      </c>
      <c r="AD166">
        <f t="shared" si="28"/>
        <v>16.342200000000002</v>
      </c>
      <c r="AE166">
        <f t="shared" si="29"/>
        <v>16.088846873400001</v>
      </c>
      <c r="AF166" s="9"/>
      <c r="AG166" s="22">
        <v>0.68557699999999999</v>
      </c>
      <c r="AH166" s="22">
        <v>247.06200000000001</v>
      </c>
      <c r="AI166" s="22">
        <v>-1.6482500000000001E-2</v>
      </c>
      <c r="AJ166" s="22">
        <v>156</v>
      </c>
      <c r="AK166" s="22">
        <v>0.68481400000000003</v>
      </c>
      <c r="AL166">
        <f t="shared" si="30"/>
        <v>16.482500000000002</v>
      </c>
      <c r="AM166">
        <f t="shared" si="31"/>
        <v>11.3000229025</v>
      </c>
      <c r="AP166" s="9"/>
      <c r="AQ166" s="22">
        <v>0.98449699999999996</v>
      </c>
      <c r="AR166" s="22">
        <v>325.916</v>
      </c>
      <c r="AS166" s="22">
        <v>-1.6235400000000001E-2</v>
      </c>
      <c r="AT166" s="22">
        <v>156</v>
      </c>
      <c r="AU166" s="22">
        <v>0.98388699999999996</v>
      </c>
      <c r="AV166">
        <f t="shared" si="32"/>
        <v>16.235400000000002</v>
      </c>
      <c r="AW166">
        <f t="shared" si="33"/>
        <v>15.983702593800002</v>
      </c>
      <c r="AX166" s="9"/>
      <c r="AY166" s="22">
        <v>0.68557699999999999</v>
      </c>
      <c r="AZ166" s="22">
        <v>384.22699999999998</v>
      </c>
      <c r="BA166" s="22">
        <v>-1.64856E-2</v>
      </c>
      <c r="BB166" s="22">
        <v>156</v>
      </c>
      <c r="BC166" s="22">
        <v>0.68481400000000003</v>
      </c>
      <c r="BD166">
        <f t="shared" si="34"/>
        <v>16.485599999999998</v>
      </c>
      <c r="BE166">
        <f t="shared" si="35"/>
        <v>11.302148191199999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0.97946200000000005</v>
      </c>
      <c r="H167" s="22">
        <v>55.178699999999999</v>
      </c>
      <c r="I167" s="22">
        <v>-1.6326899999999998E-2</v>
      </c>
      <c r="J167" s="22">
        <v>157</v>
      </c>
      <c r="K167" s="22">
        <v>0.97747799999999996</v>
      </c>
      <c r="L167">
        <f t="shared" si="24"/>
        <v>16.326899999999998</v>
      </c>
      <c r="M167">
        <f t="shared" si="25"/>
        <v>15.991578127799999</v>
      </c>
      <c r="N167" s="9"/>
      <c r="O167" s="22">
        <v>0.69061300000000003</v>
      </c>
      <c r="P167" s="22">
        <v>119.501</v>
      </c>
      <c r="Q167" s="22">
        <v>-1.6555799999999999E-2</v>
      </c>
      <c r="R167" s="22">
        <v>157</v>
      </c>
      <c r="S167" s="22">
        <v>0.68975799999999998</v>
      </c>
      <c r="T167">
        <f t="shared" si="26"/>
        <v>16.555799999999998</v>
      </c>
      <c r="U167">
        <f t="shared" si="27"/>
        <v>11.4336507054</v>
      </c>
      <c r="X167" s="9"/>
      <c r="Y167" s="22">
        <v>0.97946200000000005</v>
      </c>
      <c r="Z167" s="22">
        <v>189.63399999999999</v>
      </c>
      <c r="AA167" s="22">
        <v>-1.6351299999999999E-2</v>
      </c>
      <c r="AB167" s="22">
        <v>157</v>
      </c>
      <c r="AC167" s="22">
        <v>0.97869899999999999</v>
      </c>
      <c r="AD167">
        <f t="shared" si="28"/>
        <v>16.351299999999998</v>
      </c>
      <c r="AE167">
        <f t="shared" si="29"/>
        <v>16.015477000600001</v>
      </c>
      <c r="AF167" s="9"/>
      <c r="AG167" s="22">
        <v>0.69061300000000003</v>
      </c>
      <c r="AH167" s="22">
        <v>247.16300000000001</v>
      </c>
      <c r="AI167" s="22">
        <v>-1.6479500000000001E-2</v>
      </c>
      <c r="AJ167" s="22">
        <v>157</v>
      </c>
      <c r="AK167" s="22">
        <v>0.68972800000000001</v>
      </c>
      <c r="AL167">
        <f t="shared" si="30"/>
        <v>16.479500000000002</v>
      </c>
      <c r="AM167">
        <f t="shared" si="31"/>
        <v>11.380956933500002</v>
      </c>
      <c r="AP167" s="9"/>
      <c r="AQ167" s="22">
        <v>0.97946200000000005</v>
      </c>
      <c r="AR167" s="22">
        <v>326.017</v>
      </c>
      <c r="AS167" s="22">
        <v>-1.6229199999999999E-2</v>
      </c>
      <c r="AT167" s="22">
        <v>157</v>
      </c>
      <c r="AU167" s="22">
        <v>0.97900399999999999</v>
      </c>
      <c r="AV167">
        <f t="shared" si="32"/>
        <v>16.229199999999999</v>
      </c>
      <c r="AW167">
        <f t="shared" si="33"/>
        <v>15.895884690399999</v>
      </c>
      <c r="AX167" s="9"/>
      <c r="AY167" s="22">
        <v>0.69061300000000003</v>
      </c>
      <c r="AZ167" s="22">
        <v>384.32799999999997</v>
      </c>
      <c r="BA167" s="22">
        <v>-1.6476399999999999E-2</v>
      </c>
      <c r="BB167" s="22">
        <v>157</v>
      </c>
      <c r="BC167" s="22">
        <v>0.68978899999999999</v>
      </c>
      <c r="BD167">
        <f t="shared" si="34"/>
        <v>16.476399999999998</v>
      </c>
      <c r="BE167">
        <f t="shared" si="35"/>
        <v>11.3788160332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0.97442600000000001</v>
      </c>
      <c r="H168" s="22">
        <v>55.279499999999999</v>
      </c>
      <c r="I168" s="22">
        <v>-1.6342200000000001E-2</v>
      </c>
      <c r="J168" s="22">
        <v>158</v>
      </c>
      <c r="K168" s="22">
        <v>0.97381600000000001</v>
      </c>
      <c r="L168">
        <f t="shared" si="24"/>
        <v>16.342200000000002</v>
      </c>
      <c r="M168">
        <f t="shared" si="25"/>
        <v>15.924264577200002</v>
      </c>
      <c r="N168" s="9"/>
      <c r="O168" s="22">
        <v>0.69564800000000004</v>
      </c>
      <c r="P168" s="22">
        <v>119.601</v>
      </c>
      <c r="Q168" s="22">
        <v>-1.6558799999999999E-2</v>
      </c>
      <c r="R168" s="22">
        <v>158</v>
      </c>
      <c r="S168" s="22">
        <v>0.69491599999999998</v>
      </c>
      <c r="T168">
        <f t="shared" si="26"/>
        <v>16.558799999999998</v>
      </c>
      <c r="U168">
        <f t="shared" si="27"/>
        <v>11.519096102399999</v>
      </c>
      <c r="X168" s="9"/>
      <c r="Y168" s="22">
        <v>0.97442600000000001</v>
      </c>
      <c r="Z168" s="22">
        <v>189.73500000000001</v>
      </c>
      <c r="AA168" s="22">
        <v>-1.6354400000000002E-2</v>
      </c>
      <c r="AB168" s="22">
        <v>158</v>
      </c>
      <c r="AC168" s="22">
        <v>0.97320600000000002</v>
      </c>
      <c r="AD168">
        <f t="shared" si="28"/>
        <v>16.354400000000002</v>
      </c>
      <c r="AE168">
        <f t="shared" si="29"/>
        <v>15.936152574400001</v>
      </c>
      <c r="AF168" s="9"/>
      <c r="AG168" s="22">
        <v>0.69564800000000004</v>
      </c>
      <c r="AH168" s="22">
        <v>247.26300000000001</v>
      </c>
      <c r="AI168" s="22">
        <v>-1.6479500000000001E-2</v>
      </c>
      <c r="AJ168" s="22">
        <v>158</v>
      </c>
      <c r="AK168" s="22">
        <v>0.69488499999999997</v>
      </c>
      <c r="AL168">
        <f t="shared" si="30"/>
        <v>16.479500000000002</v>
      </c>
      <c r="AM168">
        <f t="shared" si="31"/>
        <v>11.463931216000002</v>
      </c>
      <c r="AP168" s="9"/>
      <c r="AQ168" s="22">
        <v>0.97442600000000001</v>
      </c>
      <c r="AR168" s="22">
        <v>326.11799999999999</v>
      </c>
      <c r="AS168" s="22">
        <v>-1.6235400000000001E-2</v>
      </c>
      <c r="AT168" s="22">
        <v>158</v>
      </c>
      <c r="AU168" s="22">
        <v>0.97351100000000002</v>
      </c>
      <c r="AV168">
        <f t="shared" si="32"/>
        <v>16.235400000000002</v>
      </c>
      <c r="AW168">
        <f t="shared" si="33"/>
        <v>15.820195880400002</v>
      </c>
      <c r="AX168" s="9"/>
      <c r="AY168" s="22">
        <v>0.69564800000000004</v>
      </c>
      <c r="AZ168" s="22">
        <v>384.42899999999997</v>
      </c>
      <c r="BA168" s="22">
        <v>-1.6473399999999999E-2</v>
      </c>
      <c r="BB168" s="22">
        <v>158</v>
      </c>
      <c r="BC168" s="22">
        <v>0.694855</v>
      </c>
      <c r="BD168">
        <f t="shared" si="34"/>
        <v>16.473399999999998</v>
      </c>
      <c r="BE168">
        <f t="shared" si="35"/>
        <v>11.4596877632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0.969391</v>
      </c>
      <c r="H169" s="22">
        <v>55.380200000000002</v>
      </c>
      <c r="I169" s="22">
        <v>-1.6345200000000001E-2</v>
      </c>
      <c r="J169" s="22">
        <v>159</v>
      </c>
      <c r="K169" s="22">
        <v>0.96832300000000004</v>
      </c>
      <c r="L169">
        <f t="shared" si="24"/>
        <v>16.345200000000002</v>
      </c>
      <c r="M169">
        <f t="shared" si="25"/>
        <v>15.844889773200002</v>
      </c>
      <c r="N169" s="9"/>
      <c r="O169" s="22">
        <v>0.70068399999999997</v>
      </c>
      <c r="P169" s="22">
        <v>119.702</v>
      </c>
      <c r="Q169" s="22">
        <v>-1.6549700000000001E-2</v>
      </c>
      <c r="R169" s="22">
        <v>159</v>
      </c>
      <c r="S169" s="22">
        <v>0.69989000000000001</v>
      </c>
      <c r="T169">
        <f t="shared" si="26"/>
        <v>16.549700000000001</v>
      </c>
      <c r="U169">
        <f t="shared" si="27"/>
        <v>11.596109994800001</v>
      </c>
      <c r="X169" s="9"/>
      <c r="Y169" s="22">
        <v>0.969391</v>
      </c>
      <c r="Z169" s="22">
        <v>189.83500000000001</v>
      </c>
      <c r="AA169" s="22">
        <v>-1.6357400000000001E-2</v>
      </c>
      <c r="AB169" s="22">
        <v>159</v>
      </c>
      <c r="AC169" s="22">
        <v>0.96832300000000004</v>
      </c>
      <c r="AD169">
        <f t="shared" si="28"/>
        <v>16.357400000000002</v>
      </c>
      <c r="AE169">
        <f t="shared" si="29"/>
        <v>15.856716343400002</v>
      </c>
      <c r="AF169" s="9"/>
      <c r="AG169" s="22">
        <v>0.70068399999999997</v>
      </c>
      <c r="AH169" s="22">
        <v>247.364</v>
      </c>
      <c r="AI169" s="22">
        <v>-1.6479500000000001E-2</v>
      </c>
      <c r="AJ169" s="22">
        <v>159</v>
      </c>
      <c r="AK169" s="22">
        <v>0.69989000000000001</v>
      </c>
      <c r="AL169">
        <f t="shared" si="30"/>
        <v>16.479500000000002</v>
      </c>
      <c r="AM169">
        <f t="shared" si="31"/>
        <v>11.546921978</v>
      </c>
      <c r="AP169" s="9"/>
      <c r="AQ169" s="22">
        <v>0.969391</v>
      </c>
      <c r="AR169" s="22">
        <v>326.21800000000002</v>
      </c>
      <c r="AS169" s="22">
        <v>-1.6229199999999999E-2</v>
      </c>
      <c r="AT169" s="22">
        <v>159</v>
      </c>
      <c r="AU169" s="22">
        <v>0.96832300000000004</v>
      </c>
      <c r="AV169">
        <f t="shared" si="32"/>
        <v>16.229199999999999</v>
      </c>
      <c r="AW169">
        <f t="shared" si="33"/>
        <v>15.732440417199999</v>
      </c>
      <c r="AX169" s="9"/>
      <c r="AY169" s="22">
        <v>0.70068399999999997</v>
      </c>
      <c r="AZ169" s="22">
        <v>384.529</v>
      </c>
      <c r="BA169" s="22">
        <v>-1.6476399999999999E-2</v>
      </c>
      <c r="BB169" s="22">
        <v>159</v>
      </c>
      <c r="BC169" s="22">
        <v>0.69992100000000002</v>
      </c>
      <c r="BD169">
        <f t="shared" si="34"/>
        <v>16.476399999999998</v>
      </c>
      <c r="BE169">
        <f t="shared" si="35"/>
        <v>11.544749857599998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0.96435499999999996</v>
      </c>
      <c r="H170" s="22">
        <v>55.480899999999998</v>
      </c>
      <c r="I170" s="22">
        <v>-1.63483E-2</v>
      </c>
      <c r="J170" s="22">
        <v>160</v>
      </c>
      <c r="K170" s="22">
        <v>0.96343999999999996</v>
      </c>
      <c r="L170">
        <f t="shared" si="24"/>
        <v>16.348299999999998</v>
      </c>
      <c r="M170">
        <f t="shared" si="25"/>
        <v>15.765564846499998</v>
      </c>
      <c r="N170" s="9"/>
      <c r="O170" s="22">
        <v>0.70571899999999999</v>
      </c>
      <c r="P170" s="22">
        <v>119.803</v>
      </c>
      <c r="Q170" s="22">
        <v>-1.6546600000000002E-2</v>
      </c>
      <c r="R170" s="22">
        <v>160</v>
      </c>
      <c r="S170" s="22">
        <v>0.705017</v>
      </c>
      <c r="T170">
        <f t="shared" si="26"/>
        <v>16.546600000000002</v>
      </c>
      <c r="U170">
        <f t="shared" si="27"/>
        <v>11.677250005400001</v>
      </c>
      <c r="X170" s="9"/>
      <c r="Y170" s="22">
        <v>0.96435499999999996</v>
      </c>
      <c r="Z170" s="22">
        <v>189.93600000000001</v>
      </c>
      <c r="AA170" s="22">
        <v>-1.63757E-2</v>
      </c>
      <c r="AB170" s="22">
        <v>160</v>
      </c>
      <c r="AC170" s="22">
        <v>0.96313499999999996</v>
      </c>
      <c r="AD170">
        <f t="shared" si="28"/>
        <v>16.375699999999998</v>
      </c>
      <c r="AE170">
        <f t="shared" si="29"/>
        <v>15.791988173499998</v>
      </c>
      <c r="AF170" s="9"/>
      <c r="AG170" s="22">
        <v>0.70571899999999999</v>
      </c>
      <c r="AH170" s="22">
        <v>247.465</v>
      </c>
      <c r="AI170" s="22">
        <v>-1.64703E-2</v>
      </c>
      <c r="AJ170" s="22">
        <v>160</v>
      </c>
      <c r="AK170" s="22">
        <v>0.70489500000000005</v>
      </c>
      <c r="AL170">
        <f t="shared" si="30"/>
        <v>16.470300000000002</v>
      </c>
      <c r="AM170">
        <f t="shared" si="31"/>
        <v>11.623403645700002</v>
      </c>
      <c r="AP170" s="9"/>
      <c r="AQ170" s="22">
        <v>0.96435499999999996</v>
      </c>
      <c r="AR170" s="22">
        <v>326.31900000000002</v>
      </c>
      <c r="AS170" s="22">
        <v>-1.6232300000000002E-2</v>
      </c>
      <c r="AT170" s="22">
        <v>160</v>
      </c>
      <c r="AU170" s="22">
        <v>0.96313499999999996</v>
      </c>
      <c r="AV170">
        <f t="shared" si="32"/>
        <v>16.232300000000002</v>
      </c>
      <c r="AW170">
        <f t="shared" si="33"/>
        <v>15.653699666500001</v>
      </c>
      <c r="AX170" s="9"/>
      <c r="AY170" s="22">
        <v>0.70571899999999999</v>
      </c>
      <c r="AZ170" s="22">
        <v>384.63</v>
      </c>
      <c r="BA170" s="22">
        <v>-1.6467300000000001E-2</v>
      </c>
      <c r="BB170" s="22">
        <v>160</v>
      </c>
      <c r="BC170" s="22">
        <v>0.70504800000000001</v>
      </c>
      <c r="BD170">
        <f t="shared" si="34"/>
        <v>16.467300000000002</v>
      </c>
      <c r="BE170">
        <f t="shared" si="35"/>
        <v>11.621286488700001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0.95931999999999995</v>
      </c>
      <c r="H171" s="22">
        <v>55.581600000000002</v>
      </c>
      <c r="I171" s="22">
        <v>-1.6339099999999999E-2</v>
      </c>
      <c r="J171" s="22">
        <v>161</v>
      </c>
      <c r="K171" s="22">
        <v>0.95855699999999999</v>
      </c>
      <c r="L171">
        <f t="shared" si="24"/>
        <v>16.339099999999998</v>
      </c>
      <c r="M171">
        <f t="shared" si="25"/>
        <v>15.674425411999998</v>
      </c>
      <c r="N171" s="9"/>
      <c r="O171" s="22">
        <v>0.710754</v>
      </c>
      <c r="P171" s="22">
        <v>119.904</v>
      </c>
      <c r="Q171" s="22">
        <v>-1.6546600000000002E-2</v>
      </c>
      <c r="R171" s="22">
        <v>161</v>
      </c>
      <c r="S171" s="22">
        <v>0.70992999999999995</v>
      </c>
      <c r="T171">
        <f t="shared" si="26"/>
        <v>16.546600000000002</v>
      </c>
      <c r="U171">
        <f t="shared" si="27"/>
        <v>11.760562136400001</v>
      </c>
      <c r="X171" s="9"/>
      <c r="Y171" s="22">
        <v>0.95931999999999995</v>
      </c>
      <c r="Z171" s="22">
        <v>190.03700000000001</v>
      </c>
      <c r="AA171" s="22">
        <v>-1.6393999999999999E-2</v>
      </c>
      <c r="AB171" s="22">
        <v>161</v>
      </c>
      <c r="AC171" s="22">
        <v>0.95855699999999999</v>
      </c>
      <c r="AD171">
        <f t="shared" si="28"/>
        <v>16.393999999999998</v>
      </c>
      <c r="AE171">
        <f t="shared" si="29"/>
        <v>15.727092079999998</v>
      </c>
      <c r="AF171" s="9"/>
      <c r="AG171" s="22">
        <v>0.710754</v>
      </c>
      <c r="AH171" s="22">
        <v>247.566</v>
      </c>
      <c r="AI171" s="22">
        <v>-1.6488599999999999E-2</v>
      </c>
      <c r="AJ171" s="22">
        <v>161</v>
      </c>
      <c r="AK171" s="22">
        <v>0.70999100000000004</v>
      </c>
      <c r="AL171">
        <f t="shared" si="30"/>
        <v>16.488599999999998</v>
      </c>
      <c r="AM171">
        <f t="shared" si="31"/>
        <v>11.719338404399998</v>
      </c>
      <c r="AP171" s="9"/>
      <c r="AQ171" s="22">
        <v>0.95931999999999995</v>
      </c>
      <c r="AR171" s="22">
        <v>326.42</v>
      </c>
      <c r="AS171" s="22">
        <v>-1.6235400000000001E-2</v>
      </c>
      <c r="AT171" s="22">
        <v>161</v>
      </c>
      <c r="AU171" s="22">
        <v>0.95794699999999999</v>
      </c>
      <c r="AV171">
        <f t="shared" si="32"/>
        <v>16.235400000000002</v>
      </c>
      <c r="AW171">
        <f t="shared" si="33"/>
        <v>15.574943928000001</v>
      </c>
      <c r="AX171" s="9"/>
      <c r="AY171" s="22">
        <v>0.710754</v>
      </c>
      <c r="AZ171" s="22">
        <v>384.73099999999999</v>
      </c>
      <c r="BA171" s="22">
        <v>-1.6467300000000001E-2</v>
      </c>
      <c r="BB171" s="22">
        <v>161</v>
      </c>
      <c r="BC171" s="22">
        <v>0.71002200000000004</v>
      </c>
      <c r="BD171">
        <f t="shared" si="34"/>
        <v>16.467300000000002</v>
      </c>
      <c r="BE171">
        <f t="shared" si="35"/>
        <v>11.704199344200001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0.95428500000000005</v>
      </c>
      <c r="H172" s="22">
        <v>55.682299999999998</v>
      </c>
      <c r="I172" s="22">
        <v>-1.6326899999999998E-2</v>
      </c>
      <c r="J172" s="22">
        <v>162</v>
      </c>
      <c r="K172" s="22">
        <v>0.95367400000000002</v>
      </c>
      <c r="L172">
        <f t="shared" si="24"/>
        <v>16.326899999999998</v>
      </c>
      <c r="M172">
        <f t="shared" si="25"/>
        <v>15.5805157665</v>
      </c>
      <c r="N172" s="9"/>
      <c r="O172" s="22">
        <v>0.71579000000000004</v>
      </c>
      <c r="P172" s="22">
        <v>120.004</v>
      </c>
      <c r="Q172" s="22">
        <v>-1.6543599999999999E-2</v>
      </c>
      <c r="R172" s="22">
        <v>162</v>
      </c>
      <c r="S172" s="22">
        <v>0.71502699999999997</v>
      </c>
      <c r="T172">
        <f t="shared" si="26"/>
        <v>16.543599999999998</v>
      </c>
      <c r="U172">
        <f t="shared" si="27"/>
        <v>11.841743443999999</v>
      </c>
      <c r="X172" s="9"/>
      <c r="Y172" s="22">
        <v>0.95428500000000005</v>
      </c>
      <c r="Z172" s="22">
        <v>190.137</v>
      </c>
      <c r="AA172" s="22">
        <v>-1.6393999999999999E-2</v>
      </c>
      <c r="AB172" s="22">
        <v>162</v>
      </c>
      <c r="AC172" s="22">
        <v>0.95306400000000002</v>
      </c>
      <c r="AD172">
        <f t="shared" si="28"/>
        <v>16.393999999999998</v>
      </c>
      <c r="AE172">
        <f t="shared" si="29"/>
        <v>15.644548289999999</v>
      </c>
      <c r="AF172" s="9"/>
      <c r="AG172" s="22">
        <v>0.71579000000000004</v>
      </c>
      <c r="AH172" s="22">
        <v>247.666</v>
      </c>
      <c r="AI172" s="22">
        <v>-1.6479500000000001E-2</v>
      </c>
      <c r="AJ172" s="22">
        <v>162</v>
      </c>
      <c r="AK172" s="22">
        <v>0.71502699999999997</v>
      </c>
      <c r="AL172">
        <f t="shared" si="30"/>
        <v>16.479500000000002</v>
      </c>
      <c r="AM172">
        <f t="shared" si="31"/>
        <v>11.795861305000003</v>
      </c>
      <c r="AP172" s="9"/>
      <c r="AQ172" s="22">
        <v>0.95428500000000005</v>
      </c>
      <c r="AR172" s="22">
        <v>326.52100000000002</v>
      </c>
      <c r="AS172" s="22">
        <v>-1.62384E-2</v>
      </c>
      <c r="AT172" s="22">
        <v>162</v>
      </c>
      <c r="AU172" s="22">
        <v>0.95306400000000002</v>
      </c>
      <c r="AV172">
        <f t="shared" si="32"/>
        <v>16.238399999999999</v>
      </c>
      <c r="AW172">
        <f t="shared" si="33"/>
        <v>15.496061544</v>
      </c>
      <c r="AX172" s="9"/>
      <c r="AY172" s="22">
        <v>0.71579000000000004</v>
      </c>
      <c r="AZ172" s="22">
        <v>384.83199999999999</v>
      </c>
      <c r="BA172" s="22">
        <v>-1.64581E-2</v>
      </c>
      <c r="BB172" s="22">
        <v>162</v>
      </c>
      <c r="BC172" s="22">
        <v>0.71511800000000003</v>
      </c>
      <c r="BD172">
        <f t="shared" si="34"/>
        <v>16.458099999999998</v>
      </c>
      <c r="BE172">
        <f t="shared" si="35"/>
        <v>11.780543398999999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0.94924900000000001</v>
      </c>
      <c r="H173" s="22">
        <v>55.783000000000001</v>
      </c>
      <c r="I173" s="22">
        <v>-1.6336099999999999E-2</v>
      </c>
      <c r="J173" s="22">
        <v>163</v>
      </c>
      <c r="K173" s="22">
        <v>0.94787600000000005</v>
      </c>
      <c r="L173">
        <f t="shared" si="24"/>
        <v>16.336099999999998</v>
      </c>
      <c r="M173">
        <f t="shared" si="25"/>
        <v>15.507026588899999</v>
      </c>
      <c r="N173" s="9"/>
      <c r="O173" s="22">
        <v>0.72082500000000005</v>
      </c>
      <c r="P173" s="22">
        <v>120.105</v>
      </c>
      <c r="Q173" s="22">
        <v>-1.6534400000000001E-2</v>
      </c>
      <c r="R173" s="22">
        <v>163</v>
      </c>
      <c r="S173" s="22">
        <v>0.72012299999999996</v>
      </c>
      <c r="T173">
        <f t="shared" si="26"/>
        <v>16.534400000000002</v>
      </c>
      <c r="U173">
        <f t="shared" si="27"/>
        <v>11.918408880000001</v>
      </c>
      <c r="X173" s="9"/>
      <c r="Y173" s="22">
        <v>0.94924900000000001</v>
      </c>
      <c r="Z173" s="22">
        <v>190.238</v>
      </c>
      <c r="AA173" s="22">
        <v>-1.63879E-2</v>
      </c>
      <c r="AB173" s="22">
        <v>163</v>
      </c>
      <c r="AC173" s="22">
        <v>0.94787600000000005</v>
      </c>
      <c r="AD173">
        <f t="shared" si="28"/>
        <v>16.387900000000002</v>
      </c>
      <c r="AE173">
        <f t="shared" si="29"/>
        <v>15.556197687100003</v>
      </c>
      <c r="AF173" s="9"/>
      <c r="AG173" s="22">
        <v>0.72082500000000005</v>
      </c>
      <c r="AH173" s="22">
        <v>247.767</v>
      </c>
      <c r="AI173" s="22">
        <v>-1.6473399999999999E-2</v>
      </c>
      <c r="AJ173" s="22">
        <v>163</v>
      </c>
      <c r="AK173" s="22">
        <v>0.72009299999999998</v>
      </c>
      <c r="AL173">
        <f t="shared" si="30"/>
        <v>16.473399999999998</v>
      </c>
      <c r="AM173">
        <f t="shared" si="31"/>
        <v>11.874438554999999</v>
      </c>
      <c r="AP173" s="9"/>
      <c r="AQ173" s="22">
        <v>0.94924900000000001</v>
      </c>
      <c r="AR173" s="22">
        <v>326.62099999999998</v>
      </c>
      <c r="AS173" s="22">
        <v>-1.62384E-2</v>
      </c>
      <c r="AT173" s="22">
        <v>163</v>
      </c>
      <c r="AU173" s="22">
        <v>0.94879199999999997</v>
      </c>
      <c r="AV173">
        <f t="shared" si="32"/>
        <v>16.238399999999999</v>
      </c>
      <c r="AW173">
        <f t="shared" si="33"/>
        <v>15.414284961599998</v>
      </c>
      <c r="AX173" s="9"/>
      <c r="AY173" s="22">
        <v>0.72082500000000005</v>
      </c>
      <c r="AZ173" s="22">
        <v>384.93200000000002</v>
      </c>
      <c r="BA173" s="22">
        <v>-1.64551E-2</v>
      </c>
      <c r="BB173" s="22">
        <v>163</v>
      </c>
      <c r="BC173" s="22">
        <v>0.720001</v>
      </c>
      <c r="BD173">
        <f t="shared" si="34"/>
        <v>16.455100000000002</v>
      </c>
      <c r="BE173">
        <f t="shared" si="35"/>
        <v>11.861247457500001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0.944214</v>
      </c>
      <c r="H174" s="22">
        <v>55.883699999999997</v>
      </c>
      <c r="I174" s="22">
        <v>-1.6351299999999999E-2</v>
      </c>
      <c r="J174" s="22">
        <v>164</v>
      </c>
      <c r="K174" s="22">
        <v>0.94268799999999997</v>
      </c>
      <c r="L174">
        <f t="shared" si="24"/>
        <v>16.351299999999998</v>
      </c>
      <c r="M174">
        <f t="shared" si="25"/>
        <v>15.439126378199999</v>
      </c>
      <c r="N174" s="9"/>
      <c r="O174" s="22">
        <v>0.72586099999999998</v>
      </c>
      <c r="P174" s="22">
        <v>120.206</v>
      </c>
      <c r="Q174" s="22">
        <v>-1.65405E-2</v>
      </c>
      <c r="R174" s="22">
        <v>164</v>
      </c>
      <c r="S174" s="22">
        <v>0.72506700000000002</v>
      </c>
      <c r="T174">
        <f t="shared" si="26"/>
        <v>16.540499999999998</v>
      </c>
      <c r="U174">
        <f t="shared" si="27"/>
        <v>12.006103870499999</v>
      </c>
      <c r="X174" s="9"/>
      <c r="Y174" s="22">
        <v>0.944214</v>
      </c>
      <c r="Z174" s="22">
        <v>190.339</v>
      </c>
      <c r="AA174" s="22">
        <v>-1.6393999999999999E-2</v>
      </c>
      <c r="AB174" s="22">
        <v>164</v>
      </c>
      <c r="AC174" s="22">
        <v>0.943604</v>
      </c>
      <c r="AD174">
        <f t="shared" si="28"/>
        <v>16.393999999999998</v>
      </c>
      <c r="AE174">
        <f t="shared" si="29"/>
        <v>15.479444315999999</v>
      </c>
      <c r="AF174" s="9"/>
      <c r="AG174" s="22">
        <v>0.72586099999999998</v>
      </c>
      <c r="AH174" s="22">
        <v>247.86799999999999</v>
      </c>
      <c r="AI174" s="22">
        <v>-1.64429E-2</v>
      </c>
      <c r="AJ174" s="22">
        <v>164</v>
      </c>
      <c r="AK174" s="22">
        <v>0.72500600000000004</v>
      </c>
      <c r="AL174">
        <f t="shared" si="30"/>
        <v>16.442900000000002</v>
      </c>
      <c r="AM174">
        <f t="shared" si="31"/>
        <v>11.9352598369</v>
      </c>
      <c r="AP174" s="9"/>
      <c r="AQ174" s="22">
        <v>0.944214</v>
      </c>
      <c r="AR174" s="22">
        <v>326.72199999999998</v>
      </c>
      <c r="AS174" s="22">
        <v>-1.6235400000000001E-2</v>
      </c>
      <c r="AT174" s="22">
        <v>164</v>
      </c>
      <c r="AU174" s="22">
        <v>0.94329799999999997</v>
      </c>
      <c r="AV174">
        <f t="shared" si="32"/>
        <v>16.235400000000002</v>
      </c>
      <c r="AW174">
        <f t="shared" si="33"/>
        <v>15.329691975600001</v>
      </c>
      <c r="AX174" s="9"/>
      <c r="AY174" s="22">
        <v>0.72586099999999998</v>
      </c>
      <c r="AZ174" s="22">
        <v>385.03300000000002</v>
      </c>
      <c r="BA174" s="22">
        <v>-1.6452000000000001E-2</v>
      </c>
      <c r="BB174" s="22">
        <v>164</v>
      </c>
      <c r="BC174" s="22">
        <v>0.72506700000000002</v>
      </c>
      <c r="BD174">
        <f t="shared" si="34"/>
        <v>16.452000000000002</v>
      </c>
      <c r="BE174">
        <f t="shared" si="35"/>
        <v>11.941865172000002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0.93917799999999996</v>
      </c>
      <c r="H175" s="22">
        <v>55.984400000000001</v>
      </c>
      <c r="I175" s="22">
        <v>-1.6351299999999999E-2</v>
      </c>
      <c r="J175" s="22">
        <v>165</v>
      </c>
      <c r="K175" s="22">
        <v>0.93872100000000003</v>
      </c>
      <c r="L175">
        <f t="shared" si="24"/>
        <v>16.351299999999998</v>
      </c>
      <c r="M175">
        <f t="shared" si="25"/>
        <v>15.356781231399998</v>
      </c>
      <c r="N175" s="9"/>
      <c r="O175" s="22">
        <v>0.73089599999999999</v>
      </c>
      <c r="P175" s="22">
        <v>120.306</v>
      </c>
      <c r="Q175" s="22">
        <v>-1.65405E-2</v>
      </c>
      <c r="R175" s="22">
        <v>165</v>
      </c>
      <c r="S175" s="22">
        <v>0.72994999999999999</v>
      </c>
      <c r="T175">
        <f t="shared" si="26"/>
        <v>16.540499999999998</v>
      </c>
      <c r="U175">
        <f t="shared" si="27"/>
        <v>12.089385287999999</v>
      </c>
      <c r="X175" s="9"/>
      <c r="Y175" s="22">
        <v>0.93917799999999996</v>
      </c>
      <c r="Z175" s="22">
        <v>190.44</v>
      </c>
      <c r="AA175" s="22">
        <v>-1.6397100000000001E-2</v>
      </c>
      <c r="AB175" s="22">
        <v>165</v>
      </c>
      <c r="AC175" s="22">
        <v>0.93811</v>
      </c>
      <c r="AD175">
        <f t="shared" si="28"/>
        <v>16.397100000000002</v>
      </c>
      <c r="AE175">
        <f t="shared" si="29"/>
        <v>15.399795583800001</v>
      </c>
      <c r="AF175" s="9"/>
      <c r="AG175" s="22">
        <v>0.73089599999999999</v>
      </c>
      <c r="AH175" s="22">
        <v>247.96799999999999</v>
      </c>
      <c r="AI175" s="22">
        <v>-1.64429E-2</v>
      </c>
      <c r="AJ175" s="22">
        <v>165</v>
      </c>
      <c r="AK175" s="22">
        <v>0.72994999999999999</v>
      </c>
      <c r="AL175">
        <f t="shared" si="30"/>
        <v>16.442900000000002</v>
      </c>
      <c r="AM175">
        <f t="shared" si="31"/>
        <v>12.018049838400001</v>
      </c>
      <c r="AP175" s="9"/>
      <c r="AQ175" s="22">
        <v>0.93917799999999996</v>
      </c>
      <c r="AR175" s="22">
        <v>326.82299999999998</v>
      </c>
      <c r="AS175" s="22">
        <v>-1.6241499999999999E-2</v>
      </c>
      <c r="AT175" s="22">
        <v>165</v>
      </c>
      <c r="AU175" s="22">
        <v>0.93811</v>
      </c>
      <c r="AV175">
        <f t="shared" si="32"/>
        <v>16.241499999999998</v>
      </c>
      <c r="AW175">
        <f t="shared" si="33"/>
        <v>15.253659486999998</v>
      </c>
      <c r="AX175" s="9"/>
      <c r="AY175" s="22">
        <v>0.73089599999999999</v>
      </c>
      <c r="AZ175" s="22">
        <v>385.13400000000001</v>
      </c>
      <c r="BA175" s="22">
        <v>-1.6461199999999999E-2</v>
      </c>
      <c r="BB175" s="22">
        <v>165</v>
      </c>
      <c r="BC175" s="22">
        <v>0.72997999999999996</v>
      </c>
      <c r="BD175">
        <f t="shared" si="34"/>
        <v>16.461199999999998</v>
      </c>
      <c r="BE175">
        <f t="shared" si="35"/>
        <v>12.031425235199999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0.93414299999999995</v>
      </c>
      <c r="H176" s="22">
        <v>56.085099999999997</v>
      </c>
      <c r="I176" s="22">
        <v>-1.6354400000000002E-2</v>
      </c>
      <c r="J176" s="22">
        <v>166</v>
      </c>
      <c r="K176" s="22">
        <v>0.93322799999999995</v>
      </c>
      <c r="L176">
        <f t="shared" si="24"/>
        <v>16.354400000000002</v>
      </c>
      <c r="M176">
        <f t="shared" si="25"/>
        <v>15.2773482792</v>
      </c>
      <c r="N176" s="9"/>
      <c r="O176" s="22">
        <v>0.735931</v>
      </c>
      <c r="P176" s="22">
        <v>120.407</v>
      </c>
      <c r="Q176" s="22">
        <v>-1.6528299999999999E-2</v>
      </c>
      <c r="R176" s="22">
        <v>166</v>
      </c>
      <c r="S176" s="22">
        <v>0.73516800000000004</v>
      </c>
      <c r="T176">
        <f t="shared" si="26"/>
        <v>16.528299999999998</v>
      </c>
      <c r="U176">
        <f t="shared" si="27"/>
        <v>12.163688347299999</v>
      </c>
      <c r="X176" s="9"/>
      <c r="Y176" s="22">
        <v>0.93414299999999995</v>
      </c>
      <c r="Z176" s="22">
        <v>190.54</v>
      </c>
      <c r="AA176" s="22">
        <v>-1.6397100000000001E-2</v>
      </c>
      <c r="AB176" s="22">
        <v>166</v>
      </c>
      <c r="AC176" s="22">
        <v>0.93322799999999995</v>
      </c>
      <c r="AD176">
        <f t="shared" si="28"/>
        <v>16.397100000000002</v>
      </c>
      <c r="AE176">
        <f t="shared" si="29"/>
        <v>15.317236185300001</v>
      </c>
      <c r="AF176" s="9"/>
      <c r="AG176" s="22">
        <v>0.735931</v>
      </c>
      <c r="AH176" s="22">
        <v>248.06899999999999</v>
      </c>
      <c r="AI176" s="22">
        <v>-1.6430699999999999E-2</v>
      </c>
      <c r="AJ176" s="22">
        <v>166</v>
      </c>
      <c r="AK176" s="22">
        <v>0.73519900000000005</v>
      </c>
      <c r="AL176">
        <f t="shared" si="30"/>
        <v>16.430699999999998</v>
      </c>
      <c r="AM176">
        <f t="shared" si="31"/>
        <v>12.091861481699999</v>
      </c>
      <c r="AP176" s="9"/>
      <c r="AQ176" s="22">
        <v>0.93414299999999995</v>
      </c>
      <c r="AR176" s="22">
        <v>326.923</v>
      </c>
      <c r="AS176" s="22">
        <v>-1.62933E-2</v>
      </c>
      <c r="AT176" s="22">
        <v>166</v>
      </c>
      <c r="AU176" s="22">
        <v>0.93322799999999995</v>
      </c>
      <c r="AV176">
        <f t="shared" si="32"/>
        <v>16.293299999999999</v>
      </c>
      <c r="AW176">
        <f t="shared" si="33"/>
        <v>15.220272141899997</v>
      </c>
      <c r="AX176" s="9"/>
      <c r="AY176" s="22">
        <v>0.735931</v>
      </c>
      <c r="AZ176" s="22">
        <v>385.23399999999998</v>
      </c>
      <c r="BA176" s="22">
        <v>-1.6448999999999998E-2</v>
      </c>
      <c r="BB176" s="22">
        <v>166</v>
      </c>
      <c r="BC176" s="22">
        <v>0.73504599999999998</v>
      </c>
      <c r="BD176">
        <f t="shared" si="34"/>
        <v>16.448999999999998</v>
      </c>
      <c r="BE176">
        <f t="shared" si="35"/>
        <v>12.105329018999999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0.92910800000000004</v>
      </c>
      <c r="H177" s="22">
        <v>56.1858</v>
      </c>
      <c r="I177" s="22">
        <v>-1.6354400000000002E-2</v>
      </c>
      <c r="J177" s="22">
        <v>167</v>
      </c>
      <c r="K177" s="22">
        <v>0.92803999999999998</v>
      </c>
      <c r="L177">
        <f t="shared" si="24"/>
        <v>16.354400000000002</v>
      </c>
      <c r="M177">
        <f t="shared" si="25"/>
        <v>15.195003875200003</v>
      </c>
      <c r="N177" s="9"/>
      <c r="O177" s="22">
        <v>0.74096700000000004</v>
      </c>
      <c r="P177" s="22">
        <v>120.508</v>
      </c>
      <c r="Q177" s="22">
        <v>-1.65253E-2</v>
      </c>
      <c r="R177" s="22">
        <v>167</v>
      </c>
      <c r="S177" s="22">
        <v>0.74011199999999999</v>
      </c>
      <c r="T177">
        <f t="shared" si="26"/>
        <v>16.525300000000001</v>
      </c>
      <c r="U177">
        <f t="shared" si="27"/>
        <v>12.244701965100003</v>
      </c>
      <c r="X177" s="9"/>
      <c r="Y177" s="22">
        <v>0.92910800000000004</v>
      </c>
      <c r="Z177" s="22">
        <v>190.64099999999999</v>
      </c>
      <c r="AA177" s="22">
        <v>-1.64032E-2</v>
      </c>
      <c r="AB177" s="22">
        <v>167</v>
      </c>
      <c r="AC177" s="22">
        <v>0.92742899999999995</v>
      </c>
      <c r="AD177">
        <f t="shared" si="28"/>
        <v>16.403199999999998</v>
      </c>
      <c r="AE177">
        <f t="shared" si="29"/>
        <v>15.240344345599999</v>
      </c>
      <c r="AF177" s="9"/>
      <c r="AG177" s="22">
        <v>0.74096700000000004</v>
      </c>
      <c r="AH177" s="22">
        <v>248.17</v>
      </c>
      <c r="AI177" s="22">
        <v>-1.6433699999999999E-2</v>
      </c>
      <c r="AJ177" s="22">
        <v>167</v>
      </c>
      <c r="AK177" s="22">
        <v>0.74020399999999997</v>
      </c>
      <c r="AL177">
        <f t="shared" si="30"/>
        <v>16.433699999999998</v>
      </c>
      <c r="AM177">
        <f t="shared" si="31"/>
        <v>12.1768293879</v>
      </c>
      <c r="AP177" s="9"/>
      <c r="AQ177" s="22">
        <v>0.92910800000000004</v>
      </c>
      <c r="AR177" s="22">
        <v>327.024</v>
      </c>
      <c r="AS177" s="22">
        <v>-1.6299399999999999E-2</v>
      </c>
      <c r="AT177" s="22">
        <v>167</v>
      </c>
      <c r="AU177" s="22">
        <v>0.92834499999999998</v>
      </c>
      <c r="AV177">
        <f t="shared" si="32"/>
        <v>16.299399999999999</v>
      </c>
      <c r="AW177">
        <f t="shared" si="33"/>
        <v>15.1439029352</v>
      </c>
      <c r="AX177" s="9"/>
      <c r="AY177" s="22">
        <v>0.74096700000000004</v>
      </c>
      <c r="AZ177" s="22">
        <v>385.33499999999998</v>
      </c>
      <c r="BA177" s="22">
        <v>-1.6445899999999999E-2</v>
      </c>
      <c r="BB177" s="22">
        <v>167</v>
      </c>
      <c r="BC177" s="22">
        <v>0.74032600000000004</v>
      </c>
      <c r="BD177">
        <f t="shared" si="34"/>
        <v>16.445899999999998</v>
      </c>
      <c r="BE177">
        <f t="shared" si="35"/>
        <v>12.1858691853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0.924072</v>
      </c>
      <c r="H178" s="22">
        <v>56.286499999999997</v>
      </c>
      <c r="I178" s="22">
        <v>-1.6357400000000001E-2</v>
      </c>
      <c r="J178" s="22">
        <v>168</v>
      </c>
      <c r="K178" s="22">
        <v>0.92315700000000001</v>
      </c>
      <c r="L178">
        <f t="shared" si="24"/>
        <v>16.357400000000002</v>
      </c>
      <c r="M178">
        <f t="shared" si="25"/>
        <v>15.115415332800001</v>
      </c>
      <c r="N178" s="9"/>
      <c r="O178" s="22">
        <v>0.74600200000000005</v>
      </c>
      <c r="P178" s="22">
        <v>120.60899999999999</v>
      </c>
      <c r="Q178" s="22">
        <v>-1.6528299999999999E-2</v>
      </c>
      <c r="R178" s="22">
        <v>168</v>
      </c>
      <c r="S178" s="22">
        <v>0.74520900000000001</v>
      </c>
      <c r="T178">
        <f t="shared" si="26"/>
        <v>16.528299999999998</v>
      </c>
      <c r="U178">
        <f t="shared" si="27"/>
        <v>12.330144856599999</v>
      </c>
      <c r="X178" s="9"/>
      <c r="Y178" s="22">
        <v>0.924072</v>
      </c>
      <c r="Z178" s="22">
        <v>190.74199999999999</v>
      </c>
      <c r="AA178" s="22">
        <v>-1.6409300000000002E-2</v>
      </c>
      <c r="AB178" s="22">
        <v>168</v>
      </c>
      <c r="AC178" s="22">
        <v>0.92315700000000001</v>
      </c>
      <c r="AD178">
        <f t="shared" si="28"/>
        <v>16.409300000000002</v>
      </c>
      <c r="AE178">
        <f t="shared" si="29"/>
        <v>15.163374669600001</v>
      </c>
      <c r="AF178" s="9"/>
      <c r="AG178" s="22">
        <v>0.74600200000000005</v>
      </c>
      <c r="AH178" s="22">
        <v>248.27099999999999</v>
      </c>
      <c r="AI178" s="22">
        <v>-1.6436800000000001E-2</v>
      </c>
      <c r="AJ178" s="22">
        <v>168</v>
      </c>
      <c r="AK178" s="22">
        <v>0.74520900000000001</v>
      </c>
      <c r="AL178">
        <f t="shared" si="30"/>
        <v>16.436800000000002</v>
      </c>
      <c r="AM178">
        <f t="shared" si="31"/>
        <v>12.261885673600002</v>
      </c>
      <c r="AP178" s="9"/>
      <c r="AQ178" s="22">
        <v>0.924072</v>
      </c>
      <c r="AR178" s="22">
        <v>327.125</v>
      </c>
      <c r="AS178" s="22">
        <v>-1.6299399999999999E-2</v>
      </c>
      <c r="AT178" s="22">
        <v>168</v>
      </c>
      <c r="AU178" s="22">
        <v>0.92315700000000001</v>
      </c>
      <c r="AV178">
        <f t="shared" si="32"/>
        <v>16.299399999999999</v>
      </c>
      <c r="AW178">
        <f t="shared" si="33"/>
        <v>15.061819156799999</v>
      </c>
      <c r="AX178" s="9"/>
      <c r="AY178" s="22">
        <v>0.74600200000000005</v>
      </c>
      <c r="AZ178" s="22">
        <v>385.43599999999998</v>
      </c>
      <c r="BA178" s="22">
        <v>-1.6430699999999999E-2</v>
      </c>
      <c r="BB178" s="22">
        <v>168</v>
      </c>
      <c r="BC178" s="22">
        <v>0.74533099999999997</v>
      </c>
      <c r="BD178">
        <f t="shared" si="34"/>
        <v>16.430699999999998</v>
      </c>
      <c r="BE178">
        <f t="shared" si="35"/>
        <v>12.257335061399999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0.91903699999999999</v>
      </c>
      <c r="H179" s="22">
        <v>56.3872</v>
      </c>
      <c r="I179" s="22">
        <v>-1.6366599999999999E-2</v>
      </c>
      <c r="J179" s="22">
        <v>169</v>
      </c>
      <c r="K179" s="22">
        <v>0.91766400000000004</v>
      </c>
      <c r="L179">
        <f t="shared" si="24"/>
        <v>16.366599999999998</v>
      </c>
      <c r="M179">
        <f t="shared" si="25"/>
        <v>15.041510964199999</v>
      </c>
      <c r="N179" s="9"/>
      <c r="O179" s="22">
        <v>0.75103799999999998</v>
      </c>
      <c r="P179" s="22">
        <v>120.709</v>
      </c>
      <c r="Q179" s="22">
        <v>-1.6528299999999999E-2</v>
      </c>
      <c r="R179" s="22">
        <v>169</v>
      </c>
      <c r="S179" s="22">
        <v>0.75018300000000004</v>
      </c>
      <c r="T179">
        <f t="shared" si="26"/>
        <v>16.528299999999998</v>
      </c>
      <c r="U179">
        <f t="shared" si="27"/>
        <v>12.413381375399998</v>
      </c>
      <c r="X179" s="9"/>
      <c r="Y179" s="22">
        <v>0.91903699999999999</v>
      </c>
      <c r="Z179" s="22">
        <v>190.84200000000001</v>
      </c>
      <c r="AA179" s="22">
        <v>-1.6418499999999999E-2</v>
      </c>
      <c r="AB179" s="22">
        <v>169</v>
      </c>
      <c r="AC179" s="22">
        <v>0.91796900000000003</v>
      </c>
      <c r="AD179">
        <f t="shared" si="28"/>
        <v>16.418499999999998</v>
      </c>
      <c r="AE179">
        <f t="shared" si="29"/>
        <v>15.089208984499997</v>
      </c>
      <c r="AF179" s="9"/>
      <c r="AG179" s="22">
        <v>0.75103799999999998</v>
      </c>
      <c r="AH179" s="22">
        <v>248.37100000000001</v>
      </c>
      <c r="AI179" s="22">
        <v>-1.6418499999999999E-2</v>
      </c>
      <c r="AJ179" s="22">
        <v>169</v>
      </c>
      <c r="AK179" s="22">
        <v>0.75012199999999996</v>
      </c>
      <c r="AL179">
        <f t="shared" si="30"/>
        <v>16.418499999999998</v>
      </c>
      <c r="AM179">
        <f t="shared" si="31"/>
        <v>12.330917402999999</v>
      </c>
      <c r="AP179" s="9"/>
      <c r="AQ179" s="22">
        <v>0.91903699999999999</v>
      </c>
      <c r="AR179" s="22">
        <v>327.226</v>
      </c>
      <c r="AS179" s="22">
        <v>-1.6308599999999999E-2</v>
      </c>
      <c r="AT179" s="22">
        <v>169</v>
      </c>
      <c r="AU179" s="22">
        <v>0.91796900000000003</v>
      </c>
      <c r="AV179">
        <f t="shared" si="32"/>
        <v>16.308599999999998</v>
      </c>
      <c r="AW179">
        <f t="shared" si="33"/>
        <v>14.988206818199998</v>
      </c>
      <c r="AX179" s="9"/>
      <c r="AY179" s="22">
        <v>0.75103799999999998</v>
      </c>
      <c r="AZ179" s="22">
        <v>385.536</v>
      </c>
      <c r="BA179" s="22">
        <v>-1.6430699999999999E-2</v>
      </c>
      <c r="BB179" s="22">
        <v>169</v>
      </c>
      <c r="BC179" s="22">
        <v>0.75027500000000003</v>
      </c>
      <c r="BD179">
        <f t="shared" si="34"/>
        <v>16.430699999999998</v>
      </c>
      <c r="BE179">
        <f t="shared" si="35"/>
        <v>12.340080066599999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0.91400099999999995</v>
      </c>
      <c r="H180" s="22">
        <v>56.488</v>
      </c>
      <c r="I180" s="22">
        <v>-1.63635E-2</v>
      </c>
      <c r="J180" s="22">
        <v>170</v>
      </c>
      <c r="K180" s="22">
        <v>0.91278099999999995</v>
      </c>
      <c r="L180">
        <f t="shared" si="24"/>
        <v>16.363499999999998</v>
      </c>
      <c r="M180">
        <f t="shared" si="25"/>
        <v>14.956255363499999</v>
      </c>
      <c r="N180" s="9"/>
      <c r="O180" s="22">
        <v>0.756073</v>
      </c>
      <c r="P180" s="22">
        <v>120.81</v>
      </c>
      <c r="Q180" s="22">
        <v>-1.65253E-2</v>
      </c>
      <c r="R180" s="22">
        <v>170</v>
      </c>
      <c r="S180" s="22">
        <v>0.75531000000000004</v>
      </c>
      <c r="T180">
        <f t="shared" si="26"/>
        <v>16.525300000000001</v>
      </c>
      <c r="U180">
        <f t="shared" si="27"/>
        <v>12.494333146900001</v>
      </c>
      <c r="X180" s="9"/>
      <c r="Y180" s="22">
        <v>0.91400099999999995</v>
      </c>
      <c r="Z180" s="22">
        <v>190.94300000000001</v>
      </c>
      <c r="AA180" s="22">
        <v>-1.6400100000000001E-2</v>
      </c>
      <c r="AB180" s="22">
        <v>170</v>
      </c>
      <c r="AC180" s="22">
        <v>0.91308599999999995</v>
      </c>
      <c r="AD180">
        <f t="shared" si="28"/>
        <v>16.400100000000002</v>
      </c>
      <c r="AE180">
        <f t="shared" si="29"/>
        <v>14.989707800100001</v>
      </c>
      <c r="AF180" s="9"/>
      <c r="AG180" s="22">
        <v>0.756073</v>
      </c>
      <c r="AH180" s="22">
        <v>248.47200000000001</v>
      </c>
      <c r="AI180" s="22">
        <v>-1.6430699999999999E-2</v>
      </c>
      <c r="AJ180" s="22">
        <v>170</v>
      </c>
      <c r="AK180" s="22">
        <v>0.75500500000000004</v>
      </c>
      <c r="AL180">
        <f t="shared" si="30"/>
        <v>16.430699999999998</v>
      </c>
      <c r="AM180">
        <f t="shared" si="31"/>
        <v>12.422808641099998</v>
      </c>
      <c r="AP180" s="9"/>
      <c r="AQ180" s="22">
        <v>0.91400099999999995</v>
      </c>
      <c r="AR180" s="22">
        <v>327.32600000000002</v>
      </c>
      <c r="AS180" s="22">
        <v>-1.63208E-2</v>
      </c>
      <c r="AT180" s="22">
        <v>170</v>
      </c>
      <c r="AU180" s="22">
        <v>0.91278099999999995</v>
      </c>
      <c r="AV180">
        <f t="shared" si="32"/>
        <v>16.320799999999998</v>
      </c>
      <c r="AW180">
        <f t="shared" si="33"/>
        <v>14.917227520799997</v>
      </c>
      <c r="AX180" s="9"/>
      <c r="AY180" s="22">
        <v>0.756073</v>
      </c>
      <c r="AZ180" s="22">
        <v>385.637</v>
      </c>
      <c r="BA180" s="22">
        <v>-1.6424600000000001E-2</v>
      </c>
      <c r="BB180" s="22">
        <v>170</v>
      </c>
      <c r="BC180" s="22">
        <v>0.75561500000000004</v>
      </c>
      <c r="BD180">
        <f t="shared" si="34"/>
        <v>16.424600000000002</v>
      </c>
      <c r="BE180">
        <f t="shared" si="35"/>
        <v>12.418196595800001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0.90896600000000005</v>
      </c>
      <c r="H181" s="22">
        <v>56.588700000000003</v>
      </c>
      <c r="I181" s="22">
        <v>-1.63727E-2</v>
      </c>
      <c r="J181" s="22">
        <v>171</v>
      </c>
      <c r="K181" s="22">
        <v>0.90759299999999998</v>
      </c>
      <c r="L181">
        <f t="shared" si="24"/>
        <v>16.372700000000002</v>
      </c>
      <c r="M181">
        <f t="shared" si="25"/>
        <v>14.882227628200003</v>
      </c>
      <c r="N181" s="9"/>
      <c r="O181" s="22">
        <v>0.76110800000000001</v>
      </c>
      <c r="P181" s="22">
        <v>120.911</v>
      </c>
      <c r="Q181" s="22">
        <v>-1.6513099999999999E-2</v>
      </c>
      <c r="R181" s="22">
        <v>171</v>
      </c>
      <c r="S181" s="22">
        <v>0.75988800000000001</v>
      </c>
      <c r="T181">
        <f t="shared" si="26"/>
        <v>16.513099999999998</v>
      </c>
      <c r="U181">
        <f t="shared" si="27"/>
        <v>12.568252514799999</v>
      </c>
      <c r="X181" s="9"/>
      <c r="Y181" s="22">
        <v>0.90896600000000005</v>
      </c>
      <c r="Z181" s="22">
        <v>191.04400000000001</v>
      </c>
      <c r="AA181" s="22">
        <v>-1.6421499999999999E-2</v>
      </c>
      <c r="AB181" s="22">
        <v>171</v>
      </c>
      <c r="AC181" s="22">
        <v>0.90759299999999998</v>
      </c>
      <c r="AD181">
        <f t="shared" si="28"/>
        <v>16.421499999999998</v>
      </c>
      <c r="AE181">
        <f t="shared" si="29"/>
        <v>14.926585168999999</v>
      </c>
      <c r="AF181" s="9"/>
      <c r="AG181" s="22">
        <v>0.76110800000000001</v>
      </c>
      <c r="AH181" s="22">
        <v>248.57300000000001</v>
      </c>
      <c r="AI181" s="22">
        <v>-1.6430699999999999E-2</v>
      </c>
      <c r="AJ181" s="22">
        <v>171</v>
      </c>
      <c r="AK181" s="22">
        <v>0.75988800000000001</v>
      </c>
      <c r="AL181">
        <f t="shared" si="30"/>
        <v>16.430699999999998</v>
      </c>
      <c r="AM181">
        <f t="shared" si="31"/>
        <v>12.505537215599999</v>
      </c>
      <c r="AP181" s="9"/>
      <c r="AQ181" s="22">
        <v>0.90896600000000005</v>
      </c>
      <c r="AR181" s="22">
        <v>327.42700000000002</v>
      </c>
      <c r="AS181" s="22">
        <v>-1.6317700000000001E-2</v>
      </c>
      <c r="AT181" s="22">
        <v>171</v>
      </c>
      <c r="AU181" s="22">
        <v>0.90789799999999998</v>
      </c>
      <c r="AV181">
        <f t="shared" si="32"/>
        <v>16.317700000000002</v>
      </c>
      <c r="AW181">
        <f t="shared" si="33"/>
        <v>14.832234498200004</v>
      </c>
      <c r="AX181" s="9"/>
      <c r="AY181" s="22">
        <v>0.76110800000000001</v>
      </c>
      <c r="AZ181" s="22">
        <v>385.738</v>
      </c>
      <c r="BA181" s="22">
        <v>-1.6430699999999999E-2</v>
      </c>
      <c r="BB181" s="22">
        <v>171</v>
      </c>
      <c r="BC181" s="22">
        <v>0.76019300000000001</v>
      </c>
      <c r="BD181">
        <f t="shared" si="34"/>
        <v>16.430699999999998</v>
      </c>
      <c r="BE181">
        <f t="shared" si="35"/>
        <v>12.505537215599999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0.90393100000000004</v>
      </c>
      <c r="H182" s="22">
        <v>56.689399999999999</v>
      </c>
      <c r="I182" s="22">
        <v>-1.63757E-2</v>
      </c>
      <c r="J182" s="22">
        <v>172</v>
      </c>
      <c r="K182" s="22">
        <v>0.90301500000000001</v>
      </c>
      <c r="L182">
        <f t="shared" si="24"/>
        <v>16.375699999999998</v>
      </c>
      <c r="M182">
        <f t="shared" si="25"/>
        <v>14.802502876699998</v>
      </c>
      <c r="N182" s="9"/>
      <c r="O182" s="22">
        <v>0.76614400000000005</v>
      </c>
      <c r="P182" s="22">
        <v>121.011</v>
      </c>
      <c r="Q182" s="22">
        <v>-1.6519200000000001E-2</v>
      </c>
      <c r="R182" s="22">
        <v>172</v>
      </c>
      <c r="S182" s="22">
        <v>0.76477099999999998</v>
      </c>
      <c r="T182">
        <f t="shared" si="26"/>
        <v>16.519200000000001</v>
      </c>
      <c r="U182">
        <f t="shared" si="27"/>
        <v>12.656085964800003</v>
      </c>
      <c r="X182" s="9"/>
      <c r="Y182" s="22">
        <v>0.90393100000000004</v>
      </c>
      <c r="Z182" s="22">
        <v>191.14400000000001</v>
      </c>
      <c r="AA182" s="22">
        <v>-1.6412400000000001E-2</v>
      </c>
      <c r="AB182" s="22">
        <v>172</v>
      </c>
      <c r="AC182" s="22">
        <v>0.90240500000000001</v>
      </c>
      <c r="AD182">
        <f t="shared" si="28"/>
        <v>16.412400000000002</v>
      </c>
      <c r="AE182">
        <f t="shared" si="29"/>
        <v>14.835677144400002</v>
      </c>
      <c r="AF182" s="9"/>
      <c r="AG182" s="22">
        <v>0.76614400000000005</v>
      </c>
      <c r="AH182" s="22">
        <v>248.673</v>
      </c>
      <c r="AI182" s="22">
        <v>-1.6439800000000001E-2</v>
      </c>
      <c r="AJ182" s="22">
        <v>172</v>
      </c>
      <c r="AK182" s="22">
        <v>0.76538099999999998</v>
      </c>
      <c r="AL182">
        <f t="shared" si="30"/>
        <v>16.439800000000002</v>
      </c>
      <c r="AM182">
        <f t="shared" si="31"/>
        <v>12.595254131200003</v>
      </c>
      <c r="AP182" s="9"/>
      <c r="AQ182" s="22">
        <v>0.90393100000000004</v>
      </c>
      <c r="AR182" s="22">
        <v>327.52800000000002</v>
      </c>
      <c r="AS182" s="22">
        <v>-1.6323899999999999E-2</v>
      </c>
      <c r="AT182" s="22">
        <v>172</v>
      </c>
      <c r="AU182" s="22">
        <v>0.90332000000000001</v>
      </c>
      <c r="AV182">
        <f t="shared" si="32"/>
        <v>16.323899999999998</v>
      </c>
      <c r="AW182">
        <f t="shared" si="33"/>
        <v>14.755679250899998</v>
      </c>
      <c r="AX182" s="9"/>
      <c r="AY182" s="22">
        <v>0.76614400000000005</v>
      </c>
      <c r="AZ182" s="22">
        <v>385.839</v>
      </c>
      <c r="BA182" s="22">
        <v>-1.6418499999999999E-2</v>
      </c>
      <c r="BB182" s="22">
        <v>172</v>
      </c>
      <c r="BC182" s="22">
        <v>0.76507599999999998</v>
      </c>
      <c r="BD182">
        <f t="shared" si="34"/>
        <v>16.418499999999998</v>
      </c>
      <c r="BE182">
        <f t="shared" si="35"/>
        <v>12.578935264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0.898895</v>
      </c>
      <c r="H183" s="22">
        <v>56.790100000000002</v>
      </c>
      <c r="I183" s="22">
        <v>-1.6381799999999998E-2</v>
      </c>
      <c r="J183" s="22">
        <v>173</v>
      </c>
      <c r="K183" s="22">
        <v>0.89843799999999996</v>
      </c>
      <c r="L183">
        <f t="shared" si="24"/>
        <v>16.381799999999998</v>
      </c>
      <c r="M183">
        <f t="shared" si="25"/>
        <v>14.725518110999998</v>
      </c>
      <c r="N183" s="9"/>
      <c r="O183" s="22">
        <v>0.77117899999999995</v>
      </c>
      <c r="P183" s="22">
        <v>121.11199999999999</v>
      </c>
      <c r="Q183" s="22">
        <v>-1.6503899999999998E-2</v>
      </c>
      <c r="R183" s="22">
        <v>173</v>
      </c>
      <c r="S183" s="22">
        <v>0.76995800000000003</v>
      </c>
      <c r="T183">
        <f t="shared" si="26"/>
        <v>16.503899999999998</v>
      </c>
      <c r="U183">
        <f t="shared" si="27"/>
        <v>12.727461098099997</v>
      </c>
      <c r="X183" s="9"/>
      <c r="Y183" s="22">
        <v>0.898895</v>
      </c>
      <c r="Z183" s="22">
        <v>191.245</v>
      </c>
      <c r="AA183" s="22">
        <v>-1.6424600000000001E-2</v>
      </c>
      <c r="AB183" s="22">
        <v>173</v>
      </c>
      <c r="AC183" s="22">
        <v>0.89782700000000004</v>
      </c>
      <c r="AD183">
        <f t="shared" si="28"/>
        <v>16.424600000000002</v>
      </c>
      <c r="AE183">
        <f t="shared" si="29"/>
        <v>14.763990817000002</v>
      </c>
      <c r="AF183" s="9"/>
      <c r="AG183" s="22">
        <v>0.77117899999999995</v>
      </c>
      <c r="AH183" s="22">
        <v>248.774</v>
      </c>
      <c r="AI183" s="22">
        <v>-1.6424600000000001E-2</v>
      </c>
      <c r="AJ183" s="22">
        <v>173</v>
      </c>
      <c r="AK183" s="22">
        <v>0.77026399999999995</v>
      </c>
      <c r="AL183">
        <f t="shared" si="30"/>
        <v>16.424600000000002</v>
      </c>
      <c r="AM183">
        <f t="shared" si="31"/>
        <v>12.666306603400001</v>
      </c>
      <c r="AP183" s="9"/>
      <c r="AQ183" s="22">
        <v>0.898895</v>
      </c>
      <c r="AR183" s="22">
        <v>327.62799999999999</v>
      </c>
      <c r="AS183" s="22">
        <v>-1.6330000000000001E-2</v>
      </c>
      <c r="AT183" s="22">
        <v>173</v>
      </c>
      <c r="AU183" s="22">
        <v>0.89813200000000004</v>
      </c>
      <c r="AV183">
        <f t="shared" si="32"/>
        <v>16.330000000000002</v>
      </c>
      <c r="AW183">
        <f t="shared" si="33"/>
        <v>14.678955350000003</v>
      </c>
      <c r="AX183" s="9"/>
      <c r="AY183" s="22">
        <v>0.77117899999999995</v>
      </c>
      <c r="AZ183" s="22">
        <v>385.93900000000002</v>
      </c>
      <c r="BA183" s="22">
        <v>-1.6400100000000001E-2</v>
      </c>
      <c r="BB183" s="22">
        <v>173</v>
      </c>
      <c r="BC183" s="22">
        <v>0.77026399999999995</v>
      </c>
      <c r="BD183">
        <f t="shared" si="34"/>
        <v>16.400100000000002</v>
      </c>
      <c r="BE183">
        <f t="shared" si="35"/>
        <v>12.6474127179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0.89385999999999999</v>
      </c>
      <c r="H184" s="22">
        <v>56.890799999999999</v>
      </c>
      <c r="I184" s="22">
        <v>-1.63879E-2</v>
      </c>
      <c r="J184" s="22">
        <v>174</v>
      </c>
      <c r="K184" s="22">
        <v>0.89294399999999996</v>
      </c>
      <c r="L184">
        <f t="shared" si="24"/>
        <v>16.387900000000002</v>
      </c>
      <c r="M184">
        <f t="shared" si="25"/>
        <v>14.648488294000002</v>
      </c>
      <c r="N184" s="9"/>
      <c r="O184" s="22">
        <v>0.77621499999999999</v>
      </c>
      <c r="P184" s="22">
        <v>121.21299999999999</v>
      </c>
      <c r="Q184" s="22">
        <v>-1.6500899999999999E-2</v>
      </c>
      <c r="R184" s="22">
        <v>174</v>
      </c>
      <c r="S184" s="22">
        <v>0.774841</v>
      </c>
      <c r="T184">
        <f t="shared" si="26"/>
        <v>16.500899999999998</v>
      </c>
      <c r="U184">
        <f t="shared" si="27"/>
        <v>12.808246093499998</v>
      </c>
      <c r="X184" s="9"/>
      <c r="Y184" s="22">
        <v>0.89385999999999999</v>
      </c>
      <c r="Z184" s="22">
        <v>191.346</v>
      </c>
      <c r="AA184" s="22">
        <v>-1.6439800000000001E-2</v>
      </c>
      <c r="AB184" s="22">
        <v>174</v>
      </c>
      <c r="AC184" s="22">
        <v>0.89294399999999996</v>
      </c>
      <c r="AD184">
        <f t="shared" si="28"/>
        <v>16.439800000000002</v>
      </c>
      <c r="AE184">
        <f t="shared" si="29"/>
        <v>14.694879628000001</v>
      </c>
      <c r="AF184" s="9"/>
      <c r="AG184" s="22">
        <v>0.77621499999999999</v>
      </c>
      <c r="AH184" s="22">
        <v>248.875</v>
      </c>
      <c r="AI184" s="22">
        <v>-1.6409300000000002E-2</v>
      </c>
      <c r="AJ184" s="22">
        <v>174</v>
      </c>
      <c r="AK184" s="22">
        <v>0.775146</v>
      </c>
      <c r="AL184">
        <f t="shared" si="30"/>
        <v>16.409300000000002</v>
      </c>
      <c r="AM184">
        <f t="shared" si="31"/>
        <v>12.737144799500001</v>
      </c>
      <c r="AP184" s="9"/>
      <c r="AQ184" s="22">
        <v>0.89385999999999999</v>
      </c>
      <c r="AR184" s="22">
        <v>327.72899999999998</v>
      </c>
      <c r="AS184" s="22">
        <v>-1.6339099999999999E-2</v>
      </c>
      <c r="AT184" s="22">
        <v>174</v>
      </c>
      <c r="AU184" s="22">
        <v>0.89324999999999999</v>
      </c>
      <c r="AV184">
        <f t="shared" si="32"/>
        <v>16.339099999999998</v>
      </c>
      <c r="AW184">
        <f t="shared" si="33"/>
        <v>14.604867925999999</v>
      </c>
      <c r="AX184" s="9"/>
      <c r="AY184" s="22">
        <v>0.77621499999999999</v>
      </c>
      <c r="AZ184" s="22">
        <v>386.04</v>
      </c>
      <c r="BA184" s="22">
        <v>-1.6406299999999999E-2</v>
      </c>
      <c r="BB184" s="22">
        <v>174</v>
      </c>
      <c r="BC184" s="22">
        <v>0.77545200000000003</v>
      </c>
      <c r="BD184">
        <f t="shared" si="34"/>
        <v>16.406299999999998</v>
      </c>
      <c r="BE184">
        <f t="shared" si="35"/>
        <v>12.734816154499999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0.88882399999999995</v>
      </c>
      <c r="H185" s="22">
        <v>56.991500000000002</v>
      </c>
      <c r="I185" s="22">
        <v>-1.6409300000000002E-2</v>
      </c>
      <c r="J185" s="22">
        <v>175</v>
      </c>
      <c r="K185" s="22">
        <v>0.88745099999999999</v>
      </c>
      <c r="L185">
        <f t="shared" si="24"/>
        <v>16.409300000000002</v>
      </c>
      <c r="M185">
        <f t="shared" si="25"/>
        <v>14.5849796632</v>
      </c>
      <c r="N185" s="9"/>
      <c r="O185" s="22">
        <v>0.78125</v>
      </c>
      <c r="P185" s="22">
        <v>121.31399999999999</v>
      </c>
      <c r="Q185" s="22">
        <v>-1.6491700000000001E-2</v>
      </c>
      <c r="R185" s="22">
        <v>175</v>
      </c>
      <c r="S185" s="22">
        <v>0.78002899999999997</v>
      </c>
      <c r="T185">
        <f t="shared" si="26"/>
        <v>16.491700000000002</v>
      </c>
      <c r="U185">
        <f t="shared" si="27"/>
        <v>12.884140625000001</v>
      </c>
      <c r="X185" s="9"/>
      <c r="Y185" s="22">
        <v>0.88882399999999995</v>
      </c>
      <c r="Z185" s="22">
        <v>191.447</v>
      </c>
      <c r="AA185" s="22">
        <v>-1.64429E-2</v>
      </c>
      <c r="AB185" s="22">
        <v>175</v>
      </c>
      <c r="AC185" s="22">
        <v>0.88745099999999999</v>
      </c>
      <c r="AD185">
        <f t="shared" si="28"/>
        <v>16.442900000000002</v>
      </c>
      <c r="AE185">
        <f t="shared" si="29"/>
        <v>14.614844149600001</v>
      </c>
      <c r="AF185" s="9"/>
      <c r="AG185" s="22">
        <v>0.78125</v>
      </c>
      <c r="AH185" s="22">
        <v>248.976</v>
      </c>
      <c r="AI185" s="22">
        <v>-1.6418499999999999E-2</v>
      </c>
      <c r="AJ185" s="22">
        <v>175</v>
      </c>
      <c r="AK185" s="22">
        <v>0.77941899999999997</v>
      </c>
      <c r="AL185">
        <f t="shared" si="30"/>
        <v>16.418499999999998</v>
      </c>
      <c r="AM185">
        <f t="shared" si="31"/>
        <v>12.826953124999999</v>
      </c>
      <c r="AP185" s="9"/>
      <c r="AQ185" s="22">
        <v>0.88882399999999995</v>
      </c>
      <c r="AR185" s="22">
        <v>327.83</v>
      </c>
      <c r="AS185" s="22">
        <v>-1.6330000000000001E-2</v>
      </c>
      <c r="AT185" s="22">
        <v>175</v>
      </c>
      <c r="AU185" s="22">
        <v>0.88745099999999999</v>
      </c>
      <c r="AV185">
        <f t="shared" si="32"/>
        <v>16.330000000000002</v>
      </c>
      <c r="AW185">
        <f t="shared" si="33"/>
        <v>14.514495920000002</v>
      </c>
      <c r="AX185" s="9"/>
      <c r="AY185" s="22">
        <v>0.78125</v>
      </c>
      <c r="AZ185" s="22">
        <v>386.14100000000002</v>
      </c>
      <c r="BA185" s="22">
        <v>-1.64032E-2</v>
      </c>
      <c r="BB185" s="22">
        <v>175</v>
      </c>
      <c r="BC185" s="22">
        <v>0.78064</v>
      </c>
      <c r="BD185">
        <f t="shared" si="34"/>
        <v>16.403199999999998</v>
      </c>
      <c r="BE185">
        <f t="shared" si="35"/>
        <v>12.814999999999998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0.88378900000000005</v>
      </c>
      <c r="H186" s="22">
        <v>57.092199999999998</v>
      </c>
      <c r="I186" s="22">
        <v>-1.6400100000000001E-2</v>
      </c>
      <c r="J186" s="22">
        <v>176</v>
      </c>
      <c r="K186" s="22">
        <v>0.88287400000000005</v>
      </c>
      <c r="L186">
        <f t="shared" si="24"/>
        <v>16.400100000000002</v>
      </c>
      <c r="M186">
        <f t="shared" si="25"/>
        <v>14.494227978900003</v>
      </c>
      <c r="N186" s="9"/>
      <c r="O186" s="22">
        <v>0.78628500000000001</v>
      </c>
      <c r="P186" s="22">
        <v>121.414</v>
      </c>
      <c r="Q186" s="22">
        <v>-1.64856E-2</v>
      </c>
      <c r="R186" s="22">
        <v>176</v>
      </c>
      <c r="S186" s="22">
        <v>0.78460700000000005</v>
      </c>
      <c r="T186">
        <f t="shared" si="26"/>
        <v>16.485599999999998</v>
      </c>
      <c r="U186">
        <f t="shared" si="27"/>
        <v>12.962379995999999</v>
      </c>
      <c r="X186" s="9"/>
      <c r="Y186" s="22">
        <v>0.88378900000000005</v>
      </c>
      <c r="Z186" s="22">
        <v>191.547</v>
      </c>
      <c r="AA186" s="22">
        <v>-1.64551E-2</v>
      </c>
      <c r="AB186" s="22">
        <v>176</v>
      </c>
      <c r="AC186" s="22">
        <v>0.88287400000000005</v>
      </c>
      <c r="AD186">
        <f t="shared" si="28"/>
        <v>16.455100000000002</v>
      </c>
      <c r="AE186">
        <f t="shared" si="29"/>
        <v>14.542836373900002</v>
      </c>
      <c r="AF186" s="9"/>
      <c r="AG186" s="22">
        <v>0.78628500000000001</v>
      </c>
      <c r="AH186" s="22">
        <v>249.07599999999999</v>
      </c>
      <c r="AI186" s="22">
        <v>-1.6418499999999999E-2</v>
      </c>
      <c r="AJ186" s="22">
        <v>176</v>
      </c>
      <c r="AK186" s="22">
        <v>0.78430200000000005</v>
      </c>
      <c r="AL186">
        <f t="shared" si="30"/>
        <v>16.418499999999998</v>
      </c>
      <c r="AM186">
        <f t="shared" si="31"/>
        <v>12.909620272499998</v>
      </c>
      <c r="AP186" s="9"/>
      <c r="AQ186" s="22">
        <v>0.88378900000000005</v>
      </c>
      <c r="AR186" s="22">
        <v>327.93099999999998</v>
      </c>
      <c r="AS186" s="22">
        <v>-1.6342200000000001E-2</v>
      </c>
      <c r="AT186" s="22">
        <v>176</v>
      </c>
      <c r="AU186" s="22">
        <v>0.88287400000000005</v>
      </c>
      <c r="AV186">
        <f t="shared" si="32"/>
        <v>16.342200000000002</v>
      </c>
      <c r="AW186">
        <f t="shared" si="33"/>
        <v>14.443056595800002</v>
      </c>
      <c r="AX186" s="9"/>
      <c r="AY186" s="22">
        <v>0.78628500000000001</v>
      </c>
      <c r="AZ186" s="22">
        <v>386.24099999999999</v>
      </c>
      <c r="BA186" s="22">
        <v>-1.6400100000000001E-2</v>
      </c>
      <c r="BB186" s="22">
        <v>176</v>
      </c>
      <c r="BC186" s="22">
        <v>0.78552200000000005</v>
      </c>
      <c r="BD186">
        <f t="shared" si="34"/>
        <v>16.400100000000002</v>
      </c>
      <c r="BE186">
        <f t="shared" si="35"/>
        <v>12.895152628500002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0.87875400000000004</v>
      </c>
      <c r="H187" s="22">
        <v>57.192900000000002</v>
      </c>
      <c r="I187" s="22">
        <v>-1.6406299999999999E-2</v>
      </c>
      <c r="J187" s="22">
        <v>177</v>
      </c>
      <c r="K187" s="22">
        <v>0.87768599999999997</v>
      </c>
      <c r="L187">
        <f t="shared" si="24"/>
        <v>16.406299999999998</v>
      </c>
      <c r="M187">
        <f t="shared" si="25"/>
        <v>14.417101750199999</v>
      </c>
      <c r="N187" s="9"/>
      <c r="O187" s="22">
        <v>0.79132100000000005</v>
      </c>
      <c r="P187" s="22">
        <v>121.515</v>
      </c>
      <c r="Q187" s="22">
        <v>-1.6476399999999999E-2</v>
      </c>
      <c r="R187" s="22">
        <v>177</v>
      </c>
      <c r="S187" s="22">
        <v>0.79071000000000002</v>
      </c>
      <c r="T187">
        <f t="shared" si="26"/>
        <v>16.476399999999998</v>
      </c>
      <c r="U187">
        <f t="shared" si="27"/>
        <v>13.038121324399999</v>
      </c>
      <c r="X187" s="9"/>
      <c r="Y187" s="22">
        <v>0.87875400000000004</v>
      </c>
      <c r="Z187" s="22">
        <v>191.648</v>
      </c>
      <c r="AA187" s="22">
        <v>-1.6464199999999998E-2</v>
      </c>
      <c r="AB187" s="22">
        <v>177</v>
      </c>
      <c r="AC187" s="22">
        <v>0.87799099999999997</v>
      </c>
      <c r="AD187">
        <f t="shared" si="28"/>
        <v>16.464199999999998</v>
      </c>
      <c r="AE187">
        <f t="shared" si="29"/>
        <v>14.467981606799999</v>
      </c>
      <c r="AF187" s="9"/>
      <c r="AG187" s="22">
        <v>0.79132100000000005</v>
      </c>
      <c r="AH187" s="22">
        <v>249.17699999999999</v>
      </c>
      <c r="AI187" s="22">
        <v>-1.6393999999999999E-2</v>
      </c>
      <c r="AJ187" s="22">
        <v>177</v>
      </c>
      <c r="AK187" s="22">
        <v>0.79010000000000002</v>
      </c>
      <c r="AL187">
        <f t="shared" si="30"/>
        <v>16.393999999999998</v>
      </c>
      <c r="AM187">
        <f t="shared" si="31"/>
        <v>12.972916474</v>
      </c>
      <c r="AP187" s="9"/>
      <c r="AQ187" s="22">
        <v>0.87875400000000004</v>
      </c>
      <c r="AR187" s="22">
        <v>328.03100000000001</v>
      </c>
      <c r="AS187" s="22">
        <v>-1.6333E-2</v>
      </c>
      <c r="AT187" s="22">
        <v>177</v>
      </c>
      <c r="AU187" s="22">
        <v>0.87799099999999997</v>
      </c>
      <c r="AV187">
        <f t="shared" si="32"/>
        <v>16.333000000000002</v>
      </c>
      <c r="AW187">
        <f t="shared" si="33"/>
        <v>14.352689082000003</v>
      </c>
      <c r="AX187" s="9"/>
      <c r="AY187" s="22">
        <v>0.79132100000000005</v>
      </c>
      <c r="AZ187" s="22">
        <v>386.34199999999998</v>
      </c>
      <c r="BA187" s="22">
        <v>-1.6390999999999999E-2</v>
      </c>
      <c r="BB187" s="22">
        <v>177</v>
      </c>
      <c r="BC187" s="22">
        <v>0.79071000000000002</v>
      </c>
      <c r="BD187">
        <f t="shared" si="34"/>
        <v>16.390999999999998</v>
      </c>
      <c r="BE187">
        <f t="shared" si="35"/>
        <v>12.970542511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0.87371799999999999</v>
      </c>
      <c r="H188" s="22">
        <v>57.293599999999998</v>
      </c>
      <c r="I188" s="22">
        <v>-1.64032E-2</v>
      </c>
      <c r="J188" s="22">
        <v>178</v>
      </c>
      <c r="K188" s="22">
        <v>0.873108</v>
      </c>
      <c r="L188">
        <f t="shared" si="24"/>
        <v>16.403199999999998</v>
      </c>
      <c r="M188">
        <f t="shared" si="25"/>
        <v>14.331771097599999</v>
      </c>
      <c r="N188" s="9"/>
      <c r="O188" s="22">
        <v>0.79635599999999995</v>
      </c>
      <c r="P188" s="22">
        <v>121.616</v>
      </c>
      <c r="Q188" s="22">
        <v>-1.6488599999999999E-2</v>
      </c>
      <c r="R188" s="22">
        <v>178</v>
      </c>
      <c r="S188" s="22">
        <v>0.79559299999999999</v>
      </c>
      <c r="T188">
        <f t="shared" si="26"/>
        <v>16.488599999999998</v>
      </c>
      <c r="U188">
        <f t="shared" si="27"/>
        <v>13.130795541599998</v>
      </c>
      <c r="X188" s="9"/>
      <c r="Y188" s="22">
        <v>0.87371799999999999</v>
      </c>
      <c r="Z188" s="22">
        <v>191.749</v>
      </c>
      <c r="AA188" s="22">
        <v>-1.6448999999999998E-2</v>
      </c>
      <c r="AB188" s="22">
        <v>178</v>
      </c>
      <c r="AC188" s="22">
        <v>0.872498</v>
      </c>
      <c r="AD188">
        <f t="shared" si="28"/>
        <v>16.448999999999998</v>
      </c>
      <c r="AE188">
        <f t="shared" si="29"/>
        <v>14.371787381999999</v>
      </c>
      <c r="AF188" s="9"/>
      <c r="AG188" s="22">
        <v>0.79635599999999995</v>
      </c>
      <c r="AH188" s="22">
        <v>249.27799999999999</v>
      </c>
      <c r="AI188" s="22">
        <v>-1.6406299999999999E-2</v>
      </c>
      <c r="AJ188" s="22">
        <v>178</v>
      </c>
      <c r="AK188" s="22">
        <v>0.79528799999999999</v>
      </c>
      <c r="AL188">
        <f t="shared" si="30"/>
        <v>16.406299999999998</v>
      </c>
      <c r="AM188">
        <f t="shared" si="31"/>
        <v>13.065255442799998</v>
      </c>
      <c r="AP188" s="9"/>
      <c r="AQ188" s="22">
        <v>0.87371799999999999</v>
      </c>
      <c r="AR188" s="22">
        <v>328.13200000000001</v>
      </c>
      <c r="AS188" s="22">
        <v>-1.6339099999999999E-2</v>
      </c>
      <c r="AT188" s="22">
        <v>178</v>
      </c>
      <c r="AU188" s="22">
        <v>0.873108</v>
      </c>
      <c r="AV188">
        <f t="shared" si="32"/>
        <v>16.339099999999998</v>
      </c>
      <c r="AW188">
        <f t="shared" si="33"/>
        <v>14.275765773799998</v>
      </c>
      <c r="AX188" s="9"/>
      <c r="AY188" s="22">
        <v>0.79635599999999995</v>
      </c>
      <c r="AZ188" s="22">
        <v>386.44299999999998</v>
      </c>
      <c r="BA188" s="22">
        <v>-1.6397100000000001E-2</v>
      </c>
      <c r="BB188" s="22">
        <v>178</v>
      </c>
      <c r="BC188" s="22">
        <v>0.794983</v>
      </c>
      <c r="BD188">
        <f t="shared" si="34"/>
        <v>16.397100000000002</v>
      </c>
      <c r="BE188">
        <f t="shared" si="35"/>
        <v>13.057928967600001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0.86868299999999998</v>
      </c>
      <c r="H189" s="22">
        <v>57.394300000000001</v>
      </c>
      <c r="I189" s="22">
        <v>-1.6400100000000001E-2</v>
      </c>
      <c r="J189" s="22">
        <v>179</v>
      </c>
      <c r="K189" s="22">
        <v>0.86822500000000002</v>
      </c>
      <c r="L189">
        <f t="shared" si="24"/>
        <v>16.400100000000002</v>
      </c>
      <c r="M189">
        <f t="shared" si="25"/>
        <v>14.246488068300001</v>
      </c>
      <c r="N189" s="9"/>
      <c r="O189" s="22">
        <v>0.80139199999999999</v>
      </c>
      <c r="P189" s="22">
        <v>121.71599999999999</v>
      </c>
      <c r="Q189" s="22">
        <v>-1.6461199999999999E-2</v>
      </c>
      <c r="R189" s="22">
        <v>179</v>
      </c>
      <c r="S189" s="22">
        <v>0.80078099999999997</v>
      </c>
      <c r="T189">
        <f t="shared" si="26"/>
        <v>16.461199999999998</v>
      </c>
      <c r="U189">
        <f t="shared" si="27"/>
        <v>13.191873990399998</v>
      </c>
      <c r="X189" s="9"/>
      <c r="Y189" s="22">
        <v>0.86868299999999998</v>
      </c>
      <c r="Z189" s="22">
        <v>191.84899999999999</v>
      </c>
      <c r="AA189" s="22">
        <v>-1.64551E-2</v>
      </c>
      <c r="AB189" s="22">
        <v>179</v>
      </c>
      <c r="AC189" s="22">
        <v>0.86853000000000002</v>
      </c>
      <c r="AD189">
        <f t="shared" si="28"/>
        <v>16.455100000000002</v>
      </c>
      <c r="AE189">
        <f t="shared" si="29"/>
        <v>14.294265633300002</v>
      </c>
      <c r="AF189" s="9"/>
      <c r="AG189" s="22">
        <v>0.80139199999999999</v>
      </c>
      <c r="AH189" s="22">
        <v>249.37799999999999</v>
      </c>
      <c r="AI189" s="22">
        <v>-1.64032E-2</v>
      </c>
      <c r="AJ189" s="22">
        <v>179</v>
      </c>
      <c r="AK189" s="22">
        <v>0.80047599999999997</v>
      </c>
      <c r="AL189">
        <f t="shared" si="30"/>
        <v>16.403199999999998</v>
      </c>
      <c r="AM189">
        <f t="shared" si="31"/>
        <v>13.145393254399998</v>
      </c>
      <c r="AP189" s="9"/>
      <c r="AQ189" s="22">
        <v>0.86868299999999998</v>
      </c>
      <c r="AR189" s="22">
        <v>328.233</v>
      </c>
      <c r="AS189" s="22">
        <v>-1.6345200000000001E-2</v>
      </c>
      <c r="AT189" s="22">
        <v>179</v>
      </c>
      <c r="AU189" s="22">
        <v>0.86761500000000003</v>
      </c>
      <c r="AV189">
        <f t="shared" si="32"/>
        <v>16.345200000000002</v>
      </c>
      <c r="AW189">
        <f t="shared" si="33"/>
        <v>14.198797371600001</v>
      </c>
      <c r="AX189" s="9"/>
      <c r="AY189" s="22">
        <v>0.80139199999999999</v>
      </c>
      <c r="AZ189" s="22">
        <v>386.54399999999998</v>
      </c>
      <c r="BA189" s="22">
        <v>-1.63879E-2</v>
      </c>
      <c r="BB189" s="22">
        <v>179</v>
      </c>
      <c r="BC189" s="22">
        <v>0.80108599999999996</v>
      </c>
      <c r="BD189">
        <f t="shared" si="34"/>
        <v>16.387900000000002</v>
      </c>
      <c r="BE189">
        <f t="shared" si="35"/>
        <v>13.133131956800002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0.86364700000000005</v>
      </c>
      <c r="H190" s="22">
        <v>57.494999999999997</v>
      </c>
      <c r="I190" s="22">
        <v>-1.6412400000000001E-2</v>
      </c>
      <c r="J190" s="22">
        <v>180</v>
      </c>
      <c r="K190" s="22">
        <v>0.86273200000000005</v>
      </c>
      <c r="L190">
        <f t="shared" si="24"/>
        <v>16.412400000000002</v>
      </c>
      <c r="M190">
        <f t="shared" si="25"/>
        <v>14.174520022800003</v>
      </c>
      <c r="N190" s="9"/>
      <c r="O190" s="22">
        <v>0.806427</v>
      </c>
      <c r="P190" s="22">
        <v>121.81699999999999</v>
      </c>
      <c r="Q190" s="22">
        <v>-1.6464199999999998E-2</v>
      </c>
      <c r="R190" s="22">
        <v>180</v>
      </c>
      <c r="S190" s="22">
        <v>0.80566400000000005</v>
      </c>
      <c r="T190">
        <f t="shared" si="26"/>
        <v>16.464199999999998</v>
      </c>
      <c r="U190">
        <f t="shared" si="27"/>
        <v>13.277175413399998</v>
      </c>
      <c r="X190" s="9"/>
      <c r="Y190" s="22">
        <v>0.86364700000000005</v>
      </c>
      <c r="Z190" s="22">
        <v>191.95</v>
      </c>
      <c r="AA190" s="22">
        <v>-1.6461199999999999E-2</v>
      </c>
      <c r="AB190" s="22">
        <v>180</v>
      </c>
      <c r="AC190" s="22">
        <v>0.86242700000000005</v>
      </c>
      <c r="AD190">
        <f t="shared" si="28"/>
        <v>16.461199999999998</v>
      </c>
      <c r="AE190">
        <f t="shared" si="29"/>
        <v>14.2166659964</v>
      </c>
      <c r="AF190" s="9"/>
      <c r="AG190" s="22">
        <v>0.806427</v>
      </c>
      <c r="AH190" s="22">
        <v>249.47900000000001</v>
      </c>
      <c r="AI190" s="22">
        <v>-1.6384900000000001E-2</v>
      </c>
      <c r="AJ190" s="22">
        <v>180</v>
      </c>
      <c r="AK190" s="22">
        <v>0.80505400000000005</v>
      </c>
      <c r="AL190">
        <f t="shared" si="30"/>
        <v>16.384900000000002</v>
      </c>
      <c r="AM190">
        <f t="shared" si="31"/>
        <v>13.213225752300001</v>
      </c>
      <c r="AP190" s="9"/>
      <c r="AQ190" s="22">
        <v>0.86364700000000005</v>
      </c>
      <c r="AR190" s="22">
        <v>328.33300000000003</v>
      </c>
      <c r="AS190" s="22">
        <v>-1.63483E-2</v>
      </c>
      <c r="AT190" s="22">
        <v>180</v>
      </c>
      <c r="AU190" s="22">
        <v>0.86273200000000005</v>
      </c>
      <c r="AV190">
        <f t="shared" si="32"/>
        <v>16.348299999999998</v>
      </c>
      <c r="AW190">
        <f t="shared" si="33"/>
        <v>14.1191602501</v>
      </c>
      <c r="AX190" s="9"/>
      <c r="AY190" s="22">
        <v>0.806427</v>
      </c>
      <c r="AZ190" s="22">
        <v>386.64400000000001</v>
      </c>
      <c r="BA190" s="22">
        <v>-1.6378799999999999E-2</v>
      </c>
      <c r="BB190" s="22">
        <v>180</v>
      </c>
      <c r="BC190" s="22">
        <v>0.80596900000000005</v>
      </c>
      <c r="BD190">
        <f t="shared" si="34"/>
        <v>16.378799999999998</v>
      </c>
      <c r="BE190">
        <f t="shared" si="35"/>
        <v>13.208306547599999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0.85861200000000004</v>
      </c>
      <c r="H191" s="22">
        <v>57.595700000000001</v>
      </c>
      <c r="I191" s="22">
        <v>-1.64032E-2</v>
      </c>
      <c r="J191" s="22">
        <v>181</v>
      </c>
      <c r="K191" s="22">
        <v>0.85723899999999997</v>
      </c>
      <c r="L191">
        <f t="shared" si="24"/>
        <v>16.403199999999998</v>
      </c>
      <c r="M191">
        <f t="shared" si="25"/>
        <v>14.083984358399999</v>
      </c>
      <c r="N191" s="9"/>
      <c r="O191" s="22">
        <v>0.81146200000000002</v>
      </c>
      <c r="P191" s="22">
        <v>121.91800000000001</v>
      </c>
      <c r="Q191" s="22">
        <v>-1.6461199999999999E-2</v>
      </c>
      <c r="R191" s="22">
        <v>181</v>
      </c>
      <c r="S191" s="22">
        <v>0.81085200000000002</v>
      </c>
      <c r="T191">
        <f t="shared" si="26"/>
        <v>16.461199999999998</v>
      </c>
      <c r="U191">
        <f t="shared" si="27"/>
        <v>13.357638274399999</v>
      </c>
      <c r="X191" s="9"/>
      <c r="Y191" s="22">
        <v>0.85861200000000004</v>
      </c>
      <c r="Z191" s="22">
        <v>192.05099999999999</v>
      </c>
      <c r="AA191" s="22">
        <v>-1.64703E-2</v>
      </c>
      <c r="AB191" s="22">
        <v>181</v>
      </c>
      <c r="AC191" s="22">
        <v>0.85784899999999997</v>
      </c>
      <c r="AD191">
        <f t="shared" si="28"/>
        <v>16.470300000000002</v>
      </c>
      <c r="AE191">
        <f t="shared" si="29"/>
        <v>14.141597223600002</v>
      </c>
      <c r="AF191" s="9"/>
      <c r="AG191" s="22">
        <v>0.81146200000000002</v>
      </c>
      <c r="AH191" s="22">
        <v>249.58</v>
      </c>
      <c r="AI191" s="22">
        <v>-1.63757E-2</v>
      </c>
      <c r="AJ191" s="22">
        <v>181</v>
      </c>
      <c r="AK191" s="22">
        <v>0.81054700000000002</v>
      </c>
      <c r="AL191">
        <f t="shared" si="30"/>
        <v>16.375699999999998</v>
      </c>
      <c r="AM191">
        <f t="shared" si="31"/>
        <v>13.288258273399999</v>
      </c>
      <c r="AP191" s="9"/>
      <c r="AQ191" s="22">
        <v>0.85861200000000004</v>
      </c>
      <c r="AR191" s="22">
        <v>328.43400000000003</v>
      </c>
      <c r="AS191" s="22">
        <v>-1.63483E-2</v>
      </c>
      <c r="AT191" s="22">
        <v>181</v>
      </c>
      <c r="AU191" s="22">
        <v>0.85784899999999997</v>
      </c>
      <c r="AV191">
        <f t="shared" si="32"/>
        <v>16.348299999999998</v>
      </c>
      <c r="AW191">
        <f t="shared" si="33"/>
        <v>14.036846559599999</v>
      </c>
      <c r="AX191" s="9"/>
      <c r="AY191" s="22">
        <v>0.81146200000000002</v>
      </c>
      <c r="AZ191" s="22">
        <v>386.745</v>
      </c>
      <c r="BA191" s="22">
        <v>-1.6381799999999998E-2</v>
      </c>
      <c r="BB191" s="22">
        <v>181</v>
      </c>
      <c r="BC191" s="22">
        <v>0.81085200000000002</v>
      </c>
      <c r="BD191">
        <f t="shared" si="34"/>
        <v>16.381799999999998</v>
      </c>
      <c r="BE191">
        <f t="shared" si="35"/>
        <v>13.2932081916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0.85357700000000003</v>
      </c>
      <c r="H192" s="22">
        <v>57.696399999999997</v>
      </c>
      <c r="I192" s="22">
        <v>-1.6421499999999999E-2</v>
      </c>
      <c r="J192" s="22">
        <v>182</v>
      </c>
      <c r="K192" s="22">
        <v>0.852661</v>
      </c>
      <c r="L192">
        <f t="shared" si="24"/>
        <v>16.421499999999998</v>
      </c>
      <c r="M192">
        <f t="shared" si="25"/>
        <v>14.017014705499999</v>
      </c>
      <c r="N192" s="9"/>
      <c r="O192" s="22">
        <v>0.81649799999999995</v>
      </c>
      <c r="P192" s="22">
        <v>122.018</v>
      </c>
      <c r="Q192" s="22">
        <v>-1.64581E-2</v>
      </c>
      <c r="R192" s="22">
        <v>182</v>
      </c>
      <c r="S192" s="22">
        <v>0.81542999999999999</v>
      </c>
      <c r="T192">
        <f t="shared" si="26"/>
        <v>16.458099999999998</v>
      </c>
      <c r="U192">
        <f t="shared" si="27"/>
        <v>13.438005733799997</v>
      </c>
      <c r="X192" s="9"/>
      <c r="Y192" s="22">
        <v>0.85357700000000003</v>
      </c>
      <c r="Z192" s="22">
        <v>192.15199999999999</v>
      </c>
      <c r="AA192" s="22">
        <v>-1.6488599999999999E-2</v>
      </c>
      <c r="AB192" s="22">
        <v>182</v>
      </c>
      <c r="AC192" s="22">
        <v>0.852661</v>
      </c>
      <c r="AD192">
        <f t="shared" si="28"/>
        <v>16.488599999999998</v>
      </c>
      <c r="AE192">
        <f t="shared" si="29"/>
        <v>14.0742897222</v>
      </c>
      <c r="AF192" s="9"/>
      <c r="AG192" s="22">
        <v>0.81649799999999995</v>
      </c>
      <c r="AH192" s="22">
        <v>249.68</v>
      </c>
      <c r="AI192" s="22">
        <v>-1.6357400000000001E-2</v>
      </c>
      <c r="AJ192" s="22">
        <v>182</v>
      </c>
      <c r="AK192" s="22">
        <v>0.81542999999999999</v>
      </c>
      <c r="AL192">
        <f t="shared" si="30"/>
        <v>16.357400000000002</v>
      </c>
      <c r="AM192">
        <f t="shared" si="31"/>
        <v>13.355784385200002</v>
      </c>
      <c r="AP192" s="9"/>
      <c r="AQ192" s="22">
        <v>0.85357700000000003</v>
      </c>
      <c r="AR192" s="22">
        <v>328.53500000000003</v>
      </c>
      <c r="AS192" s="22">
        <v>-1.6351299999999999E-2</v>
      </c>
      <c r="AT192" s="22">
        <v>182</v>
      </c>
      <c r="AU192" s="22">
        <v>0.852966</v>
      </c>
      <c r="AV192">
        <f t="shared" si="32"/>
        <v>16.351299999999998</v>
      </c>
      <c r="AW192">
        <f t="shared" si="33"/>
        <v>13.957093600099999</v>
      </c>
      <c r="AX192" s="9"/>
      <c r="AY192" s="22">
        <v>0.81649799999999995</v>
      </c>
      <c r="AZ192" s="22">
        <v>386.846</v>
      </c>
      <c r="BA192" s="22">
        <v>-1.63727E-2</v>
      </c>
      <c r="BB192" s="22">
        <v>182</v>
      </c>
      <c r="BC192" s="22">
        <v>0.81603999999999999</v>
      </c>
      <c r="BD192">
        <f t="shared" si="34"/>
        <v>16.372700000000002</v>
      </c>
      <c r="BE192">
        <f t="shared" si="35"/>
        <v>13.368276804600001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0.84854099999999999</v>
      </c>
      <c r="H193" s="22">
        <v>57.797199999999997</v>
      </c>
      <c r="I193" s="22">
        <v>-1.6427600000000001E-2</v>
      </c>
      <c r="J193" s="22">
        <v>183</v>
      </c>
      <c r="K193" s="22">
        <v>0.84808300000000003</v>
      </c>
      <c r="L193">
        <f t="shared" si="24"/>
        <v>16.427600000000002</v>
      </c>
      <c r="M193">
        <f t="shared" si="25"/>
        <v>13.939492131600002</v>
      </c>
      <c r="N193" s="9"/>
      <c r="O193" s="22">
        <v>0.82153299999999996</v>
      </c>
      <c r="P193" s="22">
        <v>122.119</v>
      </c>
      <c r="Q193" s="22">
        <v>-1.64581E-2</v>
      </c>
      <c r="R193" s="22">
        <v>183</v>
      </c>
      <c r="S193" s="22">
        <v>0.82122799999999996</v>
      </c>
      <c r="T193">
        <f t="shared" si="26"/>
        <v>16.458099999999998</v>
      </c>
      <c r="U193">
        <f t="shared" si="27"/>
        <v>13.520872267299998</v>
      </c>
      <c r="X193" s="9"/>
      <c r="Y193" s="22">
        <v>0.84854099999999999</v>
      </c>
      <c r="Z193" s="22">
        <v>192.25200000000001</v>
      </c>
      <c r="AA193" s="22">
        <v>-1.64856E-2</v>
      </c>
      <c r="AB193" s="22">
        <v>183</v>
      </c>
      <c r="AC193" s="22">
        <v>0.84777800000000003</v>
      </c>
      <c r="AD193">
        <f t="shared" si="28"/>
        <v>16.485599999999998</v>
      </c>
      <c r="AE193">
        <f t="shared" si="29"/>
        <v>13.988707509599998</v>
      </c>
      <c r="AF193" s="9"/>
      <c r="AG193" s="22">
        <v>0.82153299999999996</v>
      </c>
      <c r="AH193" s="22">
        <v>249.78100000000001</v>
      </c>
      <c r="AI193" s="22">
        <v>-1.63635E-2</v>
      </c>
      <c r="AJ193" s="22">
        <v>183</v>
      </c>
      <c r="AK193" s="22">
        <v>0.82031299999999996</v>
      </c>
      <c r="AL193">
        <f t="shared" si="30"/>
        <v>16.363499999999998</v>
      </c>
      <c r="AM193">
        <f t="shared" si="31"/>
        <v>13.443155245499998</v>
      </c>
      <c r="AP193" s="9"/>
      <c r="AQ193" s="22">
        <v>0.84854099999999999</v>
      </c>
      <c r="AR193" s="22">
        <v>328.63499999999999</v>
      </c>
      <c r="AS193" s="22">
        <v>-1.6345200000000001E-2</v>
      </c>
      <c r="AT193" s="22">
        <v>183</v>
      </c>
      <c r="AU193" s="22">
        <v>0.84747300000000003</v>
      </c>
      <c r="AV193">
        <f t="shared" si="32"/>
        <v>16.345200000000002</v>
      </c>
      <c r="AW193">
        <f t="shared" si="33"/>
        <v>13.869572353200002</v>
      </c>
      <c r="AX193" s="9"/>
      <c r="AY193" s="22">
        <v>0.82153299999999996</v>
      </c>
      <c r="AZ193" s="22">
        <v>386.94600000000003</v>
      </c>
      <c r="BA193" s="22">
        <v>-1.6369600000000002E-2</v>
      </c>
      <c r="BB193" s="22">
        <v>183</v>
      </c>
      <c r="BC193" s="22">
        <v>0.82061799999999996</v>
      </c>
      <c r="BD193">
        <f t="shared" si="34"/>
        <v>16.369600000000002</v>
      </c>
      <c r="BE193">
        <f t="shared" si="35"/>
        <v>13.4481665968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0.84350599999999998</v>
      </c>
      <c r="H194" s="22">
        <v>57.8979</v>
      </c>
      <c r="I194" s="22">
        <v>-1.6421499999999999E-2</v>
      </c>
      <c r="J194" s="22">
        <v>184</v>
      </c>
      <c r="K194" s="22">
        <v>0.84258999999999995</v>
      </c>
      <c r="L194">
        <f t="shared" si="24"/>
        <v>16.421499999999998</v>
      </c>
      <c r="M194">
        <f t="shared" si="25"/>
        <v>13.851633778999998</v>
      </c>
      <c r="N194" s="9"/>
      <c r="O194" s="22">
        <v>0.826569</v>
      </c>
      <c r="P194" s="22">
        <v>122.22</v>
      </c>
      <c r="Q194" s="22">
        <v>-1.6464199999999998E-2</v>
      </c>
      <c r="R194" s="22">
        <v>184</v>
      </c>
      <c r="S194" s="22">
        <v>0.82550000000000001</v>
      </c>
      <c r="T194">
        <f t="shared" si="26"/>
        <v>16.464199999999998</v>
      </c>
      <c r="U194">
        <f t="shared" si="27"/>
        <v>13.608797329799998</v>
      </c>
      <c r="X194" s="9"/>
      <c r="Y194" s="22">
        <v>0.84350599999999998</v>
      </c>
      <c r="Z194" s="22">
        <v>192.35300000000001</v>
      </c>
      <c r="AA194" s="22">
        <v>-1.6488599999999999E-2</v>
      </c>
      <c r="AB194" s="22">
        <v>184</v>
      </c>
      <c r="AC194" s="22">
        <v>0.84320099999999998</v>
      </c>
      <c r="AD194">
        <f t="shared" si="28"/>
        <v>16.488599999999998</v>
      </c>
      <c r="AE194">
        <f t="shared" si="29"/>
        <v>13.908233031599998</v>
      </c>
      <c r="AF194" s="9"/>
      <c r="AG194" s="22">
        <v>0.826569</v>
      </c>
      <c r="AH194" s="22">
        <v>249.88200000000001</v>
      </c>
      <c r="AI194" s="22">
        <v>-1.63605E-2</v>
      </c>
      <c r="AJ194" s="22">
        <v>184</v>
      </c>
      <c r="AK194" s="22">
        <v>0.82489000000000001</v>
      </c>
      <c r="AL194">
        <f t="shared" si="30"/>
        <v>16.360500000000002</v>
      </c>
      <c r="AM194">
        <f t="shared" si="31"/>
        <v>13.523082124500002</v>
      </c>
      <c r="AP194" s="9"/>
      <c r="AQ194" s="22">
        <v>0.84350599999999998</v>
      </c>
      <c r="AR194" s="22">
        <v>328.73599999999999</v>
      </c>
      <c r="AS194" s="22">
        <v>-1.6357400000000001E-2</v>
      </c>
      <c r="AT194" s="22">
        <v>184</v>
      </c>
      <c r="AU194" s="22">
        <v>0.84258999999999995</v>
      </c>
      <c r="AV194">
        <f t="shared" si="32"/>
        <v>16.357400000000002</v>
      </c>
      <c r="AW194">
        <f t="shared" si="33"/>
        <v>13.797565044400001</v>
      </c>
      <c r="AX194" s="9"/>
      <c r="AY194" s="22">
        <v>0.826569</v>
      </c>
      <c r="AZ194" s="22">
        <v>387.04700000000003</v>
      </c>
      <c r="BA194" s="22">
        <v>-1.63605E-2</v>
      </c>
      <c r="BB194" s="22">
        <v>184</v>
      </c>
      <c r="BC194" s="22">
        <v>0.82580600000000004</v>
      </c>
      <c r="BD194">
        <f t="shared" si="34"/>
        <v>16.360500000000002</v>
      </c>
      <c r="BE194">
        <f t="shared" si="35"/>
        <v>13.523082124500002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0.83847000000000005</v>
      </c>
      <c r="H195" s="22">
        <v>57.998600000000003</v>
      </c>
      <c r="I195" s="22">
        <v>-1.6412400000000001E-2</v>
      </c>
      <c r="J195" s="22">
        <v>185</v>
      </c>
      <c r="K195" s="22">
        <v>0.83740199999999998</v>
      </c>
      <c r="L195">
        <f t="shared" si="24"/>
        <v>16.412400000000002</v>
      </c>
      <c r="M195">
        <f t="shared" si="25"/>
        <v>13.761305028000002</v>
      </c>
      <c r="N195" s="9"/>
      <c r="O195" s="22">
        <v>0.83160400000000001</v>
      </c>
      <c r="P195" s="22">
        <v>122.321</v>
      </c>
      <c r="Q195" s="22">
        <v>-1.6452000000000001E-2</v>
      </c>
      <c r="R195" s="22">
        <v>185</v>
      </c>
      <c r="S195" s="22">
        <v>0.83038299999999998</v>
      </c>
      <c r="T195">
        <f t="shared" si="26"/>
        <v>16.452000000000002</v>
      </c>
      <c r="U195">
        <f t="shared" si="27"/>
        <v>13.681549008000001</v>
      </c>
      <c r="X195" s="9"/>
      <c r="Y195" s="22">
        <v>0.83847000000000005</v>
      </c>
      <c r="Z195" s="22">
        <v>192.45400000000001</v>
      </c>
      <c r="AA195" s="22">
        <v>-1.6491700000000001E-2</v>
      </c>
      <c r="AB195" s="22">
        <v>185</v>
      </c>
      <c r="AC195" s="22">
        <v>0.83740199999999998</v>
      </c>
      <c r="AD195">
        <f t="shared" si="28"/>
        <v>16.491700000000002</v>
      </c>
      <c r="AE195">
        <f t="shared" si="29"/>
        <v>13.827795699000003</v>
      </c>
      <c r="AF195" s="9"/>
      <c r="AG195" s="22">
        <v>0.83160400000000001</v>
      </c>
      <c r="AH195" s="22">
        <v>249.983</v>
      </c>
      <c r="AI195" s="22">
        <v>-1.63605E-2</v>
      </c>
      <c r="AJ195" s="22">
        <v>185</v>
      </c>
      <c r="AK195" s="22">
        <v>0.83038299999999998</v>
      </c>
      <c r="AL195">
        <f t="shared" si="30"/>
        <v>16.360500000000002</v>
      </c>
      <c r="AM195">
        <f t="shared" si="31"/>
        <v>13.605457242000002</v>
      </c>
      <c r="AP195" s="9"/>
      <c r="AQ195" s="22">
        <v>0.83847000000000005</v>
      </c>
      <c r="AR195" s="22">
        <v>328.83699999999999</v>
      </c>
      <c r="AS195" s="22">
        <v>-1.63635E-2</v>
      </c>
      <c r="AT195" s="22">
        <v>185</v>
      </c>
      <c r="AU195" s="22">
        <v>0.83770800000000001</v>
      </c>
      <c r="AV195">
        <f t="shared" si="32"/>
        <v>16.363499999999998</v>
      </c>
      <c r="AW195">
        <f t="shared" si="33"/>
        <v>13.720303845</v>
      </c>
      <c r="AX195" s="9"/>
      <c r="AY195" s="22">
        <v>0.83160400000000001</v>
      </c>
      <c r="AZ195" s="22">
        <v>387.14800000000002</v>
      </c>
      <c r="BA195" s="22">
        <v>-1.6351299999999999E-2</v>
      </c>
      <c r="BB195" s="22">
        <v>185</v>
      </c>
      <c r="BC195" s="22">
        <v>0.83099400000000001</v>
      </c>
      <c r="BD195">
        <f t="shared" si="34"/>
        <v>16.351299999999998</v>
      </c>
      <c r="BE195">
        <f t="shared" si="35"/>
        <v>13.5978064852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0.83343500000000004</v>
      </c>
      <c r="H196" s="22">
        <v>58.099299999999999</v>
      </c>
      <c r="I196" s="22">
        <v>-1.6427600000000001E-2</v>
      </c>
      <c r="J196" s="22">
        <v>186</v>
      </c>
      <c r="K196" s="22">
        <v>0.83313000000000004</v>
      </c>
      <c r="L196">
        <f t="shared" si="24"/>
        <v>16.427600000000002</v>
      </c>
      <c r="M196">
        <f t="shared" si="25"/>
        <v>13.691336806000002</v>
      </c>
      <c r="N196" s="9"/>
      <c r="O196" s="22">
        <v>0.83663900000000002</v>
      </c>
      <c r="P196" s="22">
        <v>122.42100000000001</v>
      </c>
      <c r="Q196" s="22">
        <v>-1.6445899999999999E-2</v>
      </c>
      <c r="R196" s="22">
        <v>186</v>
      </c>
      <c r="S196" s="22">
        <v>0.83557099999999995</v>
      </c>
      <c r="T196">
        <f t="shared" si="26"/>
        <v>16.445899999999998</v>
      </c>
      <c r="U196">
        <f t="shared" si="27"/>
        <v>13.759281330099999</v>
      </c>
      <c r="X196" s="9"/>
      <c r="Y196" s="22">
        <v>0.83343500000000004</v>
      </c>
      <c r="Z196" s="22">
        <v>192.554</v>
      </c>
      <c r="AA196" s="22">
        <v>-1.64948E-2</v>
      </c>
      <c r="AB196" s="22">
        <v>186</v>
      </c>
      <c r="AC196" s="22">
        <v>0.83252000000000004</v>
      </c>
      <c r="AD196">
        <f t="shared" si="28"/>
        <v>16.494800000000001</v>
      </c>
      <c r="AE196">
        <f t="shared" si="29"/>
        <v>13.747343638000002</v>
      </c>
      <c r="AF196" s="9"/>
      <c r="AG196" s="22">
        <v>0.83663900000000002</v>
      </c>
      <c r="AH196" s="22">
        <v>250.083</v>
      </c>
      <c r="AI196" s="22">
        <v>-1.6345200000000001E-2</v>
      </c>
      <c r="AJ196" s="22">
        <v>186</v>
      </c>
      <c r="AK196" s="22">
        <v>0.83587599999999995</v>
      </c>
      <c r="AL196">
        <f t="shared" si="30"/>
        <v>16.345200000000002</v>
      </c>
      <c r="AM196">
        <f t="shared" si="31"/>
        <v>13.675031782800001</v>
      </c>
      <c r="AP196" s="9"/>
      <c r="AQ196" s="22">
        <v>0.83343500000000004</v>
      </c>
      <c r="AR196" s="22">
        <v>328.93799999999999</v>
      </c>
      <c r="AS196" s="22">
        <v>-1.6357400000000001E-2</v>
      </c>
      <c r="AT196" s="22">
        <v>186</v>
      </c>
      <c r="AU196" s="22">
        <v>0.83313000000000004</v>
      </c>
      <c r="AV196">
        <f t="shared" si="32"/>
        <v>16.357400000000002</v>
      </c>
      <c r="AW196">
        <f t="shared" si="33"/>
        <v>13.632829669000003</v>
      </c>
      <c r="AX196" s="9"/>
      <c r="AY196" s="22">
        <v>0.83663900000000002</v>
      </c>
      <c r="AZ196" s="22">
        <v>387.24900000000002</v>
      </c>
      <c r="BA196" s="22">
        <v>-1.6357400000000001E-2</v>
      </c>
      <c r="BB196" s="22">
        <v>186</v>
      </c>
      <c r="BC196" s="22">
        <v>0.83557099999999995</v>
      </c>
      <c r="BD196">
        <f t="shared" si="34"/>
        <v>16.357400000000002</v>
      </c>
      <c r="BE196">
        <f t="shared" si="35"/>
        <v>13.685238778600002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0.82840000000000003</v>
      </c>
      <c r="H197" s="22">
        <v>58.2</v>
      </c>
      <c r="I197" s="22">
        <v>-1.6439800000000001E-2</v>
      </c>
      <c r="J197" s="22">
        <v>187</v>
      </c>
      <c r="K197" s="22">
        <v>0.82733199999999996</v>
      </c>
      <c r="L197">
        <f t="shared" si="24"/>
        <v>16.439800000000002</v>
      </c>
      <c r="M197">
        <f t="shared" si="25"/>
        <v>13.618730320000003</v>
      </c>
      <c r="N197" s="9"/>
      <c r="O197" s="22">
        <v>0.84167499999999995</v>
      </c>
      <c r="P197" s="22">
        <v>122.52200000000001</v>
      </c>
      <c r="Q197" s="22">
        <v>-1.6436800000000001E-2</v>
      </c>
      <c r="R197" s="22">
        <v>187</v>
      </c>
      <c r="S197" s="22">
        <v>0.84075900000000003</v>
      </c>
      <c r="T197">
        <f t="shared" si="26"/>
        <v>16.436800000000002</v>
      </c>
      <c r="U197">
        <f t="shared" si="27"/>
        <v>13.83444364</v>
      </c>
      <c r="X197" s="9"/>
      <c r="Y197" s="22">
        <v>0.82840000000000003</v>
      </c>
      <c r="Z197" s="22">
        <v>192.655</v>
      </c>
      <c r="AA197" s="22">
        <v>-1.64948E-2</v>
      </c>
      <c r="AB197" s="22">
        <v>187</v>
      </c>
      <c r="AC197" s="22">
        <v>0.82763699999999996</v>
      </c>
      <c r="AD197">
        <f t="shared" si="28"/>
        <v>16.494800000000001</v>
      </c>
      <c r="AE197">
        <f t="shared" si="29"/>
        <v>13.664292320000001</v>
      </c>
      <c r="AF197" s="9"/>
      <c r="AG197" s="22">
        <v>0.84167499999999995</v>
      </c>
      <c r="AH197" s="22">
        <v>250.184</v>
      </c>
      <c r="AI197" s="22">
        <v>-1.6342200000000001E-2</v>
      </c>
      <c r="AJ197" s="22">
        <v>187</v>
      </c>
      <c r="AK197" s="22">
        <v>0.84106400000000003</v>
      </c>
      <c r="AL197">
        <f t="shared" si="30"/>
        <v>16.342200000000002</v>
      </c>
      <c r="AM197">
        <f t="shared" si="31"/>
        <v>13.754821185000001</v>
      </c>
      <c r="AP197" s="9"/>
      <c r="AQ197" s="22">
        <v>0.82840000000000003</v>
      </c>
      <c r="AR197" s="22">
        <v>329.03800000000001</v>
      </c>
      <c r="AS197" s="22">
        <v>-1.6366599999999999E-2</v>
      </c>
      <c r="AT197" s="22">
        <v>187</v>
      </c>
      <c r="AU197" s="22">
        <v>0.82794199999999996</v>
      </c>
      <c r="AV197">
        <f t="shared" si="32"/>
        <v>16.366599999999998</v>
      </c>
      <c r="AW197">
        <f t="shared" si="33"/>
        <v>13.558091439999998</v>
      </c>
      <c r="AX197" s="9"/>
      <c r="AY197" s="22">
        <v>0.84167499999999995</v>
      </c>
      <c r="AZ197" s="22">
        <v>387.34899999999999</v>
      </c>
      <c r="BA197" s="22">
        <v>-1.6336099999999999E-2</v>
      </c>
      <c r="BB197" s="22">
        <v>187</v>
      </c>
      <c r="BC197" s="22">
        <v>0.84045400000000003</v>
      </c>
      <c r="BD197">
        <f t="shared" si="34"/>
        <v>16.336099999999998</v>
      </c>
      <c r="BE197">
        <f t="shared" si="35"/>
        <v>13.749686967499997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0.82336399999999998</v>
      </c>
      <c r="H198" s="22">
        <v>58.300699999999999</v>
      </c>
      <c r="I198" s="22">
        <v>-1.6445899999999999E-2</v>
      </c>
      <c r="J198" s="22">
        <v>188</v>
      </c>
      <c r="K198" s="22">
        <v>0.82214399999999999</v>
      </c>
      <c r="L198">
        <f t="shared" si="24"/>
        <v>16.445899999999998</v>
      </c>
      <c r="M198">
        <f t="shared" si="25"/>
        <v>13.540962007599997</v>
      </c>
      <c r="N198" s="9"/>
      <c r="O198" s="22">
        <v>0.84670999999999996</v>
      </c>
      <c r="P198" s="22">
        <v>122.623</v>
      </c>
      <c r="Q198" s="22">
        <v>-1.6427600000000001E-2</v>
      </c>
      <c r="R198" s="22">
        <v>188</v>
      </c>
      <c r="S198" s="22">
        <v>0.845642</v>
      </c>
      <c r="T198">
        <f t="shared" si="26"/>
        <v>16.427600000000002</v>
      </c>
      <c r="U198">
        <f t="shared" si="27"/>
        <v>13.909413196000001</v>
      </c>
      <c r="X198" s="9"/>
      <c r="Y198" s="22">
        <v>0.82336399999999998</v>
      </c>
      <c r="Z198" s="22">
        <v>192.756</v>
      </c>
      <c r="AA198" s="22">
        <v>-1.651E-2</v>
      </c>
      <c r="AB198" s="22">
        <v>188</v>
      </c>
      <c r="AC198" s="22">
        <v>0.82244899999999999</v>
      </c>
      <c r="AD198">
        <f t="shared" si="28"/>
        <v>16.510000000000002</v>
      </c>
      <c r="AE198">
        <f t="shared" si="29"/>
        <v>13.593739640000001</v>
      </c>
      <c r="AF198" s="9"/>
      <c r="AG198" s="22">
        <v>0.84670999999999996</v>
      </c>
      <c r="AH198" s="22">
        <v>250.285</v>
      </c>
      <c r="AI198" s="22">
        <v>-1.6339099999999999E-2</v>
      </c>
      <c r="AJ198" s="22">
        <v>188</v>
      </c>
      <c r="AK198" s="22">
        <v>0.845947</v>
      </c>
      <c r="AL198">
        <f t="shared" si="30"/>
        <v>16.339099999999998</v>
      </c>
      <c r="AM198">
        <f t="shared" si="31"/>
        <v>13.834479360999998</v>
      </c>
      <c r="AP198" s="9"/>
      <c r="AQ198" s="22">
        <v>0.82336399999999998</v>
      </c>
      <c r="AR198" s="22">
        <v>329.13900000000001</v>
      </c>
      <c r="AS198" s="22">
        <v>-1.6369600000000002E-2</v>
      </c>
      <c r="AT198" s="22">
        <v>188</v>
      </c>
      <c r="AU198" s="22">
        <v>0.82214399999999999</v>
      </c>
      <c r="AV198">
        <f t="shared" si="32"/>
        <v>16.369600000000002</v>
      </c>
      <c r="AW198">
        <f t="shared" si="33"/>
        <v>13.478139334400002</v>
      </c>
      <c r="AX198" s="9"/>
      <c r="AY198" s="22">
        <v>0.84670999999999996</v>
      </c>
      <c r="AZ198" s="22">
        <v>387.45</v>
      </c>
      <c r="BA198" s="22">
        <v>-1.6339099999999999E-2</v>
      </c>
      <c r="BB198" s="22">
        <v>188</v>
      </c>
      <c r="BC198" s="22">
        <v>0.845947</v>
      </c>
      <c r="BD198">
        <f t="shared" si="34"/>
        <v>16.339099999999998</v>
      </c>
      <c r="BE198">
        <f t="shared" si="35"/>
        <v>13.834479360999998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0.81832899999999997</v>
      </c>
      <c r="H199" s="22">
        <v>58.401400000000002</v>
      </c>
      <c r="I199" s="22">
        <v>-1.6448999999999998E-2</v>
      </c>
      <c r="J199" s="22">
        <v>189</v>
      </c>
      <c r="K199" s="22">
        <v>0.81756600000000001</v>
      </c>
      <c r="L199">
        <f t="shared" si="24"/>
        <v>16.448999999999998</v>
      </c>
      <c r="M199">
        <f t="shared" si="25"/>
        <v>13.460693720999998</v>
      </c>
      <c r="N199" s="9"/>
      <c r="O199" s="22">
        <v>0.851746</v>
      </c>
      <c r="P199" s="22">
        <v>122.723</v>
      </c>
      <c r="Q199" s="22">
        <v>-1.64429E-2</v>
      </c>
      <c r="R199" s="22">
        <v>189</v>
      </c>
      <c r="S199" s="22">
        <v>0.85052499999999998</v>
      </c>
      <c r="T199">
        <f t="shared" si="26"/>
        <v>16.442900000000002</v>
      </c>
      <c r="U199">
        <f t="shared" si="27"/>
        <v>14.005174303400002</v>
      </c>
      <c r="X199" s="9"/>
      <c r="Y199" s="22">
        <v>0.81832899999999997</v>
      </c>
      <c r="Z199" s="22">
        <v>192.857</v>
      </c>
      <c r="AA199" s="22">
        <v>-1.651E-2</v>
      </c>
      <c r="AB199" s="22">
        <v>189</v>
      </c>
      <c r="AC199" s="22">
        <v>0.81726100000000002</v>
      </c>
      <c r="AD199">
        <f t="shared" si="28"/>
        <v>16.510000000000002</v>
      </c>
      <c r="AE199">
        <f t="shared" si="29"/>
        <v>13.51061179</v>
      </c>
      <c r="AF199" s="9"/>
      <c r="AG199" s="22">
        <v>0.851746</v>
      </c>
      <c r="AH199" s="22">
        <v>250.38499999999999</v>
      </c>
      <c r="AI199" s="22">
        <v>-1.6330000000000001E-2</v>
      </c>
      <c r="AJ199" s="22">
        <v>189</v>
      </c>
      <c r="AK199" s="22">
        <v>0.85082999999999998</v>
      </c>
      <c r="AL199">
        <f t="shared" si="30"/>
        <v>16.330000000000002</v>
      </c>
      <c r="AM199">
        <f t="shared" si="31"/>
        <v>13.909012180000001</v>
      </c>
      <c r="AP199" s="9"/>
      <c r="AQ199" s="22">
        <v>0.81832899999999997</v>
      </c>
      <c r="AR199" s="22">
        <v>329.24</v>
      </c>
      <c r="AS199" s="22">
        <v>-1.63727E-2</v>
      </c>
      <c r="AT199" s="22">
        <v>189</v>
      </c>
      <c r="AU199" s="22">
        <v>0.81726100000000002</v>
      </c>
      <c r="AV199">
        <f t="shared" si="32"/>
        <v>16.372700000000002</v>
      </c>
      <c r="AW199">
        <f t="shared" si="33"/>
        <v>13.398255218300001</v>
      </c>
      <c r="AX199" s="9"/>
      <c r="AY199" s="22">
        <v>0.851746</v>
      </c>
      <c r="AZ199" s="22">
        <v>387.55099999999999</v>
      </c>
      <c r="BA199" s="22">
        <v>-1.6339099999999999E-2</v>
      </c>
      <c r="BB199" s="22">
        <v>189</v>
      </c>
      <c r="BC199" s="22">
        <v>0.85082999999999998</v>
      </c>
      <c r="BD199">
        <f t="shared" si="34"/>
        <v>16.339099999999998</v>
      </c>
      <c r="BE199">
        <f t="shared" si="35"/>
        <v>13.916763068599998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0.81329300000000004</v>
      </c>
      <c r="H200" s="22">
        <v>58.502099999999999</v>
      </c>
      <c r="I200" s="22">
        <v>-1.64429E-2</v>
      </c>
      <c r="J200" s="22">
        <v>190</v>
      </c>
      <c r="K200" s="22">
        <v>0.81207300000000004</v>
      </c>
      <c r="L200">
        <f t="shared" si="24"/>
        <v>16.442900000000002</v>
      </c>
      <c r="M200">
        <f t="shared" si="25"/>
        <v>13.372895469700001</v>
      </c>
      <c r="N200" s="9"/>
      <c r="O200" s="22">
        <v>0.85678100000000001</v>
      </c>
      <c r="P200" s="22">
        <v>122.824</v>
      </c>
      <c r="Q200" s="22">
        <v>-1.6418499999999999E-2</v>
      </c>
      <c r="R200" s="22">
        <v>190</v>
      </c>
      <c r="S200" s="22">
        <v>0.85601799999999995</v>
      </c>
      <c r="T200">
        <f t="shared" si="26"/>
        <v>16.418499999999998</v>
      </c>
      <c r="U200">
        <f t="shared" si="27"/>
        <v>14.067058848499999</v>
      </c>
      <c r="X200" s="9"/>
      <c r="Y200" s="22">
        <v>0.81329300000000004</v>
      </c>
      <c r="Z200" s="22">
        <v>192.95699999999999</v>
      </c>
      <c r="AA200" s="22">
        <v>-1.6522200000000001E-2</v>
      </c>
      <c r="AB200" s="22">
        <v>190</v>
      </c>
      <c r="AC200" s="22">
        <v>0.81268300000000004</v>
      </c>
      <c r="AD200">
        <f t="shared" si="28"/>
        <v>16.522200000000002</v>
      </c>
      <c r="AE200">
        <f t="shared" si="29"/>
        <v>13.437389604600002</v>
      </c>
      <c r="AF200" s="9"/>
      <c r="AG200" s="22">
        <v>0.85678100000000001</v>
      </c>
      <c r="AH200" s="22">
        <v>250.48599999999999</v>
      </c>
      <c r="AI200" s="22">
        <v>-1.6326899999999998E-2</v>
      </c>
      <c r="AJ200" s="22">
        <v>190</v>
      </c>
      <c r="AK200" s="22">
        <v>0.85540799999999995</v>
      </c>
      <c r="AL200">
        <f t="shared" si="30"/>
        <v>16.326899999999998</v>
      </c>
      <c r="AM200">
        <f t="shared" si="31"/>
        <v>13.988577708899999</v>
      </c>
      <c r="AP200" s="9"/>
      <c r="AQ200" s="22">
        <v>0.81329300000000004</v>
      </c>
      <c r="AR200" s="22">
        <v>329.34</v>
      </c>
      <c r="AS200" s="22">
        <v>-1.6369600000000002E-2</v>
      </c>
      <c r="AT200" s="22">
        <v>190</v>
      </c>
      <c r="AU200" s="22">
        <v>0.81237800000000004</v>
      </c>
      <c r="AV200">
        <f t="shared" si="32"/>
        <v>16.369600000000002</v>
      </c>
      <c r="AW200">
        <f t="shared" si="33"/>
        <v>13.313281092800002</v>
      </c>
      <c r="AX200" s="9"/>
      <c r="AY200" s="22">
        <v>0.85678100000000001</v>
      </c>
      <c r="AZ200" s="22">
        <v>387.65100000000001</v>
      </c>
      <c r="BA200" s="22">
        <v>-1.6323899999999999E-2</v>
      </c>
      <c r="BB200" s="22">
        <v>190</v>
      </c>
      <c r="BC200" s="22">
        <v>0.85632299999999995</v>
      </c>
      <c r="BD200">
        <f t="shared" si="34"/>
        <v>16.323899999999998</v>
      </c>
      <c r="BE200">
        <f t="shared" si="35"/>
        <v>13.986007365899999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0.80825800000000003</v>
      </c>
      <c r="H201" s="22">
        <v>58.602800000000002</v>
      </c>
      <c r="I201" s="22">
        <v>-1.6445899999999999E-2</v>
      </c>
      <c r="J201" s="22">
        <v>191</v>
      </c>
      <c r="K201" s="22">
        <v>0.80718999999999996</v>
      </c>
      <c r="L201">
        <f t="shared" si="24"/>
        <v>16.445899999999998</v>
      </c>
      <c r="M201">
        <f t="shared" si="25"/>
        <v>13.2925302422</v>
      </c>
      <c r="N201" s="9"/>
      <c r="O201" s="22">
        <v>0.86181600000000003</v>
      </c>
      <c r="P201" s="22">
        <v>122.925</v>
      </c>
      <c r="Q201" s="22">
        <v>-1.6406299999999999E-2</v>
      </c>
      <c r="R201" s="22">
        <v>191</v>
      </c>
      <c r="S201" s="22">
        <v>0.86090100000000003</v>
      </c>
      <c r="T201">
        <f t="shared" si="26"/>
        <v>16.406299999999998</v>
      </c>
      <c r="U201">
        <f t="shared" si="27"/>
        <v>14.139211840799998</v>
      </c>
      <c r="X201" s="9"/>
      <c r="Y201" s="22">
        <v>0.80825800000000003</v>
      </c>
      <c r="Z201" s="22">
        <v>193.05799999999999</v>
      </c>
      <c r="AA201" s="22">
        <v>-1.6528299999999999E-2</v>
      </c>
      <c r="AB201" s="22">
        <v>191</v>
      </c>
      <c r="AC201" s="22">
        <v>0.80810499999999996</v>
      </c>
      <c r="AD201">
        <f t="shared" si="28"/>
        <v>16.528299999999998</v>
      </c>
      <c r="AE201">
        <f t="shared" si="29"/>
        <v>13.359130701399998</v>
      </c>
      <c r="AF201" s="9"/>
      <c r="AG201" s="22">
        <v>0.86181600000000003</v>
      </c>
      <c r="AH201" s="22">
        <v>250.58699999999999</v>
      </c>
      <c r="AI201" s="22">
        <v>-1.6323899999999999E-2</v>
      </c>
      <c r="AJ201" s="22">
        <v>191</v>
      </c>
      <c r="AK201" s="22">
        <v>0.86120600000000003</v>
      </c>
      <c r="AL201">
        <f t="shared" si="30"/>
        <v>16.323899999999998</v>
      </c>
      <c r="AM201">
        <f t="shared" si="31"/>
        <v>14.0681982024</v>
      </c>
      <c r="AP201" s="9"/>
      <c r="AQ201" s="22">
        <v>0.80825800000000003</v>
      </c>
      <c r="AR201" s="22">
        <v>329.44099999999997</v>
      </c>
      <c r="AS201" s="22">
        <v>-1.6384900000000001E-2</v>
      </c>
      <c r="AT201" s="22">
        <v>191</v>
      </c>
      <c r="AU201" s="22">
        <v>0.80749499999999996</v>
      </c>
      <c r="AV201">
        <f t="shared" si="32"/>
        <v>16.384900000000002</v>
      </c>
      <c r="AW201">
        <f t="shared" si="33"/>
        <v>13.243226504200003</v>
      </c>
      <c r="AX201" s="9"/>
      <c r="AY201" s="22">
        <v>0.86181600000000003</v>
      </c>
      <c r="AZ201" s="22">
        <v>387.75200000000001</v>
      </c>
      <c r="BA201" s="22">
        <v>-1.6323899999999999E-2</v>
      </c>
      <c r="BB201" s="22">
        <v>191</v>
      </c>
      <c r="BC201" s="22">
        <v>0.86029100000000003</v>
      </c>
      <c r="BD201">
        <f t="shared" si="34"/>
        <v>16.323899999999998</v>
      </c>
      <c r="BE201">
        <f t="shared" si="35"/>
        <v>14.0681982024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0.80322300000000002</v>
      </c>
      <c r="H202" s="22">
        <v>58.703499999999998</v>
      </c>
      <c r="I202" s="22">
        <v>-1.6461199999999999E-2</v>
      </c>
      <c r="J202" s="22">
        <v>192</v>
      </c>
      <c r="K202" s="22">
        <v>0.80230699999999999</v>
      </c>
      <c r="L202">
        <f t="shared" si="24"/>
        <v>16.461199999999998</v>
      </c>
      <c r="M202">
        <f t="shared" si="25"/>
        <v>13.222014447599999</v>
      </c>
      <c r="N202" s="9"/>
      <c r="O202" s="22">
        <v>0.86685199999999996</v>
      </c>
      <c r="P202" s="22">
        <v>123.026</v>
      </c>
      <c r="Q202" s="22">
        <v>-1.6397100000000001E-2</v>
      </c>
      <c r="R202" s="22">
        <v>192</v>
      </c>
      <c r="S202" s="22">
        <v>0.866089</v>
      </c>
      <c r="T202">
        <f t="shared" si="26"/>
        <v>16.397100000000002</v>
      </c>
      <c r="U202">
        <f t="shared" si="27"/>
        <v>14.213858929200001</v>
      </c>
      <c r="X202" s="9"/>
      <c r="Y202" s="22">
        <v>0.80322300000000002</v>
      </c>
      <c r="Z202" s="22">
        <v>193.15899999999999</v>
      </c>
      <c r="AA202" s="22">
        <v>-1.6528299999999999E-2</v>
      </c>
      <c r="AB202" s="22">
        <v>192</v>
      </c>
      <c r="AC202" s="22">
        <v>0.80200199999999999</v>
      </c>
      <c r="AD202">
        <f t="shared" si="28"/>
        <v>16.528299999999998</v>
      </c>
      <c r="AE202">
        <f t="shared" si="29"/>
        <v>13.275910710899998</v>
      </c>
      <c r="AF202" s="9"/>
      <c r="AG202" s="22">
        <v>0.86685199999999996</v>
      </c>
      <c r="AH202" s="22">
        <v>250.68799999999999</v>
      </c>
      <c r="AI202" s="22">
        <v>-1.6323899999999999E-2</v>
      </c>
      <c r="AJ202" s="22">
        <v>192</v>
      </c>
      <c r="AK202" s="22">
        <v>0.866089</v>
      </c>
      <c r="AL202">
        <f t="shared" si="30"/>
        <v>16.323899999999998</v>
      </c>
      <c r="AM202">
        <f t="shared" si="31"/>
        <v>14.150405362799997</v>
      </c>
      <c r="AP202" s="9"/>
      <c r="AQ202" s="22">
        <v>0.80322300000000002</v>
      </c>
      <c r="AR202" s="22">
        <v>329.54199999999997</v>
      </c>
      <c r="AS202" s="22">
        <v>-1.6378799999999999E-2</v>
      </c>
      <c r="AT202" s="22">
        <v>192</v>
      </c>
      <c r="AU202" s="22">
        <v>0.80230699999999999</v>
      </c>
      <c r="AV202">
        <f t="shared" si="32"/>
        <v>16.378799999999998</v>
      </c>
      <c r="AW202">
        <f t="shared" si="33"/>
        <v>13.155828872399999</v>
      </c>
      <c r="AX202" s="9"/>
      <c r="AY202" s="22">
        <v>0.86685199999999996</v>
      </c>
      <c r="AZ202" s="22">
        <v>387.85300000000001</v>
      </c>
      <c r="BA202" s="22">
        <v>-1.63208E-2</v>
      </c>
      <c r="BB202" s="22">
        <v>192</v>
      </c>
      <c r="BC202" s="22">
        <v>0.865784</v>
      </c>
      <c r="BD202">
        <f t="shared" si="34"/>
        <v>16.320799999999998</v>
      </c>
      <c r="BE202">
        <f t="shared" si="35"/>
        <v>14.147718121599999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0.79818699999999998</v>
      </c>
      <c r="H203" s="22">
        <v>58.804200000000002</v>
      </c>
      <c r="I203" s="22">
        <v>-1.6464199999999998E-2</v>
      </c>
      <c r="J203" s="22">
        <v>193</v>
      </c>
      <c r="K203" s="22">
        <v>0.79742400000000002</v>
      </c>
      <c r="L203">
        <f t="shared" si="24"/>
        <v>16.464199999999998</v>
      </c>
      <c r="M203">
        <f t="shared" si="25"/>
        <v>13.141510405399998</v>
      </c>
      <c r="N203" s="9"/>
      <c r="O203" s="22">
        <v>0.87188699999999997</v>
      </c>
      <c r="P203" s="22">
        <v>123.126</v>
      </c>
      <c r="Q203" s="22">
        <v>-1.6393999999999999E-2</v>
      </c>
      <c r="R203" s="22">
        <v>193</v>
      </c>
      <c r="S203" s="22">
        <v>0.87127699999999997</v>
      </c>
      <c r="T203">
        <f t="shared" si="26"/>
        <v>16.393999999999998</v>
      </c>
      <c r="U203">
        <f t="shared" si="27"/>
        <v>14.293715477999998</v>
      </c>
      <c r="X203" s="9"/>
      <c r="Y203" s="22">
        <v>0.79818699999999998</v>
      </c>
      <c r="Z203" s="22">
        <v>193.25899999999999</v>
      </c>
      <c r="AA203" s="22">
        <v>-1.65405E-2</v>
      </c>
      <c r="AB203" s="22">
        <v>193</v>
      </c>
      <c r="AC203" s="22">
        <v>0.79772900000000002</v>
      </c>
      <c r="AD203">
        <f t="shared" si="28"/>
        <v>16.540499999999998</v>
      </c>
      <c r="AE203">
        <f t="shared" si="29"/>
        <v>13.202412073499998</v>
      </c>
      <c r="AF203" s="9"/>
      <c r="AG203" s="22">
        <v>0.87188699999999997</v>
      </c>
      <c r="AH203" s="22">
        <v>250.78800000000001</v>
      </c>
      <c r="AI203" s="22">
        <v>-1.6333E-2</v>
      </c>
      <c r="AJ203" s="22">
        <v>193</v>
      </c>
      <c r="AK203" s="22">
        <v>0.87066699999999997</v>
      </c>
      <c r="AL203">
        <f t="shared" si="30"/>
        <v>16.333000000000002</v>
      </c>
      <c r="AM203">
        <f t="shared" si="31"/>
        <v>14.240530371000002</v>
      </c>
      <c r="AP203" s="9"/>
      <c r="AQ203" s="22">
        <v>0.79818699999999998</v>
      </c>
      <c r="AR203" s="22">
        <v>329.64299999999997</v>
      </c>
      <c r="AS203" s="22">
        <v>-1.6378799999999999E-2</v>
      </c>
      <c r="AT203" s="22">
        <v>193</v>
      </c>
      <c r="AU203" s="22">
        <v>0.79742400000000002</v>
      </c>
      <c r="AV203">
        <f t="shared" si="32"/>
        <v>16.378799999999998</v>
      </c>
      <c r="AW203">
        <f t="shared" si="33"/>
        <v>13.073345235599998</v>
      </c>
      <c r="AX203" s="9"/>
      <c r="AY203" s="22">
        <v>0.87188699999999997</v>
      </c>
      <c r="AZ203" s="22">
        <v>387.95299999999997</v>
      </c>
      <c r="BA203" s="22">
        <v>-1.62933E-2</v>
      </c>
      <c r="BB203" s="22">
        <v>193</v>
      </c>
      <c r="BC203" s="22">
        <v>0.87097199999999997</v>
      </c>
      <c r="BD203">
        <f t="shared" si="34"/>
        <v>16.293299999999999</v>
      </c>
      <c r="BE203">
        <f t="shared" si="35"/>
        <v>14.205916457099999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0.79315199999999997</v>
      </c>
      <c r="H204" s="22">
        <v>58.904899999999998</v>
      </c>
      <c r="I204" s="22">
        <v>-1.64703E-2</v>
      </c>
      <c r="J204" s="22">
        <v>194</v>
      </c>
      <c r="K204" s="22">
        <v>0.79223600000000005</v>
      </c>
      <c r="L204">
        <f t="shared" ref="L204:L267" si="36">-I204/$F$2*1000</f>
        <v>16.470300000000002</v>
      </c>
      <c r="M204">
        <f t="shared" ref="M204:M267" si="37">L204*G204</f>
        <v>13.063451385600001</v>
      </c>
      <c r="N204" s="9"/>
      <c r="O204" s="22">
        <v>0.87692300000000001</v>
      </c>
      <c r="P204" s="22">
        <v>123.227</v>
      </c>
      <c r="Q204" s="22">
        <v>-1.6381799999999998E-2</v>
      </c>
      <c r="R204" s="22">
        <v>194</v>
      </c>
      <c r="S204" s="22">
        <v>0.87554900000000002</v>
      </c>
      <c r="T204">
        <f t="shared" ref="T204:T267" si="38">-Q204/$F$2*1000</f>
        <v>16.381799999999998</v>
      </c>
      <c r="U204">
        <f t="shared" ref="U204:U267" si="39">T204*O204</f>
        <v>14.365577201399999</v>
      </c>
      <c r="X204" s="9"/>
      <c r="Y204" s="22">
        <v>0.79315199999999997</v>
      </c>
      <c r="Z204" s="22">
        <v>193.36</v>
      </c>
      <c r="AA204" s="22">
        <v>-1.6555799999999999E-2</v>
      </c>
      <c r="AB204" s="22">
        <v>194</v>
      </c>
      <c r="AC204" s="22">
        <v>0.79193100000000005</v>
      </c>
      <c r="AD204">
        <f t="shared" ref="AD204:AD267" si="40">-AA204/$F$2*1000</f>
        <v>16.555799999999998</v>
      </c>
      <c r="AE204">
        <f t="shared" ref="AE204:AE267" si="41">AD204*Y204</f>
        <v>13.131265881599997</v>
      </c>
      <c r="AF204" s="9"/>
      <c r="AG204" s="22">
        <v>0.87692300000000001</v>
      </c>
      <c r="AH204" s="22">
        <v>250.88900000000001</v>
      </c>
      <c r="AI204" s="22">
        <v>-1.6308599999999999E-2</v>
      </c>
      <c r="AJ204" s="22">
        <v>194</v>
      </c>
      <c r="AK204" s="22">
        <v>0.87585400000000002</v>
      </c>
      <c r="AL204">
        <f t="shared" ref="AL204:AL267" si="42">-AI204/$F$2*1000</f>
        <v>16.308599999999998</v>
      </c>
      <c r="AM204">
        <f t="shared" ref="AM204:AM267" si="43">AL204*AG204</f>
        <v>14.301386437799998</v>
      </c>
      <c r="AP204" s="9"/>
      <c r="AQ204" s="22">
        <v>0.79315199999999997</v>
      </c>
      <c r="AR204" s="22">
        <v>329.74299999999999</v>
      </c>
      <c r="AS204" s="22">
        <v>-1.6409300000000002E-2</v>
      </c>
      <c r="AT204" s="22">
        <v>194</v>
      </c>
      <c r="AU204" s="22">
        <v>0.79223600000000005</v>
      </c>
      <c r="AV204">
        <f t="shared" ref="AV204:AV267" si="44">-AS204/$F$2*1000</f>
        <v>16.409300000000002</v>
      </c>
      <c r="AW204">
        <f t="shared" ref="AW204:AW267" si="45">AV204*AQ204</f>
        <v>13.015069113600001</v>
      </c>
      <c r="AX204" s="9"/>
      <c r="AY204" s="22">
        <v>0.87692300000000001</v>
      </c>
      <c r="AZ204" s="22">
        <v>388.05399999999997</v>
      </c>
      <c r="BA204" s="22">
        <v>-1.6305500000000001E-2</v>
      </c>
      <c r="BB204" s="22">
        <v>194</v>
      </c>
      <c r="BC204" s="22">
        <v>0.87585400000000002</v>
      </c>
      <c r="BD204">
        <f t="shared" ref="BD204:BD267" si="46">-BA204/$F$2*1000</f>
        <v>16.305500000000002</v>
      </c>
      <c r="BE204">
        <f t="shared" ref="BE204:BE267" si="47">BD204*AY204</f>
        <v>14.298667976500003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0.78811600000000004</v>
      </c>
      <c r="H205" s="22">
        <v>59.005699999999997</v>
      </c>
      <c r="I205" s="22">
        <v>-1.64581E-2</v>
      </c>
      <c r="J205" s="22">
        <v>195</v>
      </c>
      <c r="K205" s="22">
        <v>0.78674299999999997</v>
      </c>
      <c r="L205">
        <f t="shared" si="36"/>
        <v>16.458099999999998</v>
      </c>
      <c r="M205">
        <f t="shared" si="37"/>
        <v>12.9708919396</v>
      </c>
      <c r="N205" s="9"/>
      <c r="O205" s="22">
        <v>0.88195800000000002</v>
      </c>
      <c r="P205" s="22">
        <v>123.328</v>
      </c>
      <c r="Q205" s="22">
        <v>-1.63727E-2</v>
      </c>
      <c r="R205" s="22">
        <v>195</v>
      </c>
      <c r="S205" s="22">
        <v>0.88073699999999999</v>
      </c>
      <c r="T205">
        <f t="shared" si="38"/>
        <v>16.372700000000002</v>
      </c>
      <c r="U205">
        <f t="shared" si="39"/>
        <v>14.440033746600001</v>
      </c>
      <c r="X205" s="9"/>
      <c r="Y205" s="22">
        <v>0.78811600000000004</v>
      </c>
      <c r="Z205" s="22">
        <v>193.46100000000001</v>
      </c>
      <c r="AA205" s="22">
        <v>-1.6549700000000001E-2</v>
      </c>
      <c r="AB205" s="22">
        <v>195</v>
      </c>
      <c r="AC205" s="22">
        <v>0.787354</v>
      </c>
      <c r="AD205">
        <f t="shared" si="40"/>
        <v>16.549700000000001</v>
      </c>
      <c r="AE205">
        <f t="shared" si="41"/>
        <v>13.043083365200001</v>
      </c>
      <c r="AF205" s="9"/>
      <c r="AG205" s="22">
        <v>0.88195800000000002</v>
      </c>
      <c r="AH205" s="22">
        <v>250.99</v>
      </c>
      <c r="AI205" s="22">
        <v>-1.6317700000000001E-2</v>
      </c>
      <c r="AJ205" s="22">
        <v>195</v>
      </c>
      <c r="AK205" s="22">
        <v>0.88134800000000002</v>
      </c>
      <c r="AL205">
        <f t="shared" si="42"/>
        <v>16.317700000000002</v>
      </c>
      <c r="AM205">
        <f t="shared" si="43"/>
        <v>14.391526056600002</v>
      </c>
      <c r="AP205" s="9"/>
      <c r="AQ205" s="22">
        <v>0.78811600000000004</v>
      </c>
      <c r="AR205" s="22">
        <v>329.84399999999999</v>
      </c>
      <c r="AS205" s="22">
        <v>-1.6400100000000001E-2</v>
      </c>
      <c r="AT205" s="22">
        <v>195</v>
      </c>
      <c r="AU205" s="22">
        <v>0.787354</v>
      </c>
      <c r="AV205">
        <f t="shared" si="44"/>
        <v>16.400100000000002</v>
      </c>
      <c r="AW205">
        <f t="shared" si="45"/>
        <v>12.925181211600002</v>
      </c>
      <c r="AX205" s="9"/>
      <c r="AY205" s="22">
        <v>0.88195800000000002</v>
      </c>
      <c r="AZ205" s="22">
        <v>388.15499999999997</v>
      </c>
      <c r="BA205" s="22">
        <v>-1.6305500000000001E-2</v>
      </c>
      <c r="BB205" s="22">
        <v>195</v>
      </c>
      <c r="BC205" s="22">
        <v>0.88104199999999999</v>
      </c>
      <c r="BD205">
        <f t="shared" si="46"/>
        <v>16.305500000000002</v>
      </c>
      <c r="BE205">
        <f t="shared" si="47"/>
        <v>14.380766169000003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0.78308100000000003</v>
      </c>
      <c r="H206" s="22">
        <v>59.106400000000001</v>
      </c>
      <c r="I206" s="22">
        <v>-1.6473399999999999E-2</v>
      </c>
      <c r="J206" s="22">
        <v>196</v>
      </c>
      <c r="K206" s="22">
        <v>0.78247100000000003</v>
      </c>
      <c r="L206">
        <f t="shared" si="36"/>
        <v>16.473399999999998</v>
      </c>
      <c r="M206">
        <f t="shared" si="37"/>
        <v>12.900006545399998</v>
      </c>
      <c r="N206" s="9"/>
      <c r="O206" s="22">
        <v>0.88699300000000003</v>
      </c>
      <c r="P206" s="22">
        <v>123.428</v>
      </c>
      <c r="Q206" s="22">
        <v>-1.63605E-2</v>
      </c>
      <c r="R206" s="22">
        <v>196</v>
      </c>
      <c r="S206" s="22">
        <v>0.88622999999999996</v>
      </c>
      <c r="T206">
        <f t="shared" si="38"/>
        <v>16.360500000000002</v>
      </c>
      <c r="U206">
        <f t="shared" si="39"/>
        <v>14.511648976500002</v>
      </c>
      <c r="X206" s="9"/>
      <c r="Y206" s="22">
        <v>0.78308100000000003</v>
      </c>
      <c r="Z206" s="22">
        <v>193.56100000000001</v>
      </c>
      <c r="AA206" s="22">
        <v>-1.6555799999999999E-2</v>
      </c>
      <c r="AB206" s="22">
        <v>196</v>
      </c>
      <c r="AC206" s="22">
        <v>0.78216600000000003</v>
      </c>
      <c r="AD206">
        <f t="shared" si="40"/>
        <v>16.555799999999998</v>
      </c>
      <c r="AE206">
        <f t="shared" si="41"/>
        <v>12.964532419799999</v>
      </c>
      <c r="AF206" s="9"/>
      <c r="AG206" s="22">
        <v>0.88699300000000003</v>
      </c>
      <c r="AH206" s="22">
        <v>251.09</v>
      </c>
      <c r="AI206" s="22">
        <v>-1.6323899999999999E-2</v>
      </c>
      <c r="AJ206" s="22">
        <v>196</v>
      </c>
      <c r="AK206" s="22">
        <v>0.88592499999999996</v>
      </c>
      <c r="AL206">
        <f t="shared" si="42"/>
        <v>16.323899999999998</v>
      </c>
      <c r="AM206">
        <f t="shared" si="43"/>
        <v>14.479185032699998</v>
      </c>
      <c r="AP206" s="9"/>
      <c r="AQ206" s="22">
        <v>0.78308100000000003</v>
      </c>
      <c r="AR206" s="22">
        <v>329.94499999999999</v>
      </c>
      <c r="AS206" s="22">
        <v>-1.6427600000000001E-2</v>
      </c>
      <c r="AT206" s="22">
        <v>196</v>
      </c>
      <c r="AU206" s="22">
        <v>0.78216600000000003</v>
      </c>
      <c r="AV206">
        <f t="shared" si="44"/>
        <v>16.427600000000002</v>
      </c>
      <c r="AW206">
        <f t="shared" si="45"/>
        <v>12.864141435600002</v>
      </c>
      <c r="AX206" s="9"/>
      <c r="AY206" s="22">
        <v>0.88699300000000003</v>
      </c>
      <c r="AZ206" s="22">
        <v>388.25599999999997</v>
      </c>
      <c r="BA206" s="22">
        <v>-1.62933E-2</v>
      </c>
      <c r="BB206" s="22">
        <v>196</v>
      </c>
      <c r="BC206" s="22">
        <v>0.88622999999999996</v>
      </c>
      <c r="BD206">
        <f t="shared" si="46"/>
        <v>16.293299999999999</v>
      </c>
      <c r="BE206">
        <f t="shared" si="47"/>
        <v>14.4520430469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0.77804600000000002</v>
      </c>
      <c r="H207" s="22">
        <v>59.207099999999997</v>
      </c>
      <c r="I207" s="22">
        <v>-1.64551E-2</v>
      </c>
      <c r="J207" s="22">
        <v>197</v>
      </c>
      <c r="K207" s="22">
        <v>0.77667200000000003</v>
      </c>
      <c r="L207">
        <f t="shared" si="36"/>
        <v>16.455100000000002</v>
      </c>
      <c r="M207">
        <f t="shared" si="37"/>
        <v>12.802824734600001</v>
      </c>
      <c r="N207" s="9"/>
      <c r="O207" s="22">
        <v>0.89202899999999996</v>
      </c>
      <c r="P207" s="22">
        <v>123.529</v>
      </c>
      <c r="Q207" s="22">
        <v>-1.6357400000000001E-2</v>
      </c>
      <c r="R207" s="22">
        <v>197</v>
      </c>
      <c r="S207" s="22">
        <v>0.89141800000000004</v>
      </c>
      <c r="T207">
        <f t="shared" si="38"/>
        <v>16.357400000000002</v>
      </c>
      <c r="U207">
        <f t="shared" si="39"/>
        <v>14.591275164600001</v>
      </c>
      <c r="X207" s="9"/>
      <c r="Y207" s="22">
        <v>0.77804600000000002</v>
      </c>
      <c r="Z207" s="22">
        <v>193.66200000000001</v>
      </c>
      <c r="AA207" s="22">
        <v>-1.6549700000000001E-2</v>
      </c>
      <c r="AB207" s="22">
        <v>197</v>
      </c>
      <c r="AC207" s="22">
        <v>0.77758799999999995</v>
      </c>
      <c r="AD207">
        <f t="shared" si="40"/>
        <v>16.549700000000001</v>
      </c>
      <c r="AE207">
        <f t="shared" si="41"/>
        <v>12.876427886200002</v>
      </c>
      <c r="AF207" s="9"/>
      <c r="AG207" s="22">
        <v>0.89202899999999996</v>
      </c>
      <c r="AH207" s="22">
        <v>251.191</v>
      </c>
      <c r="AI207" s="22">
        <v>-1.6314700000000001E-2</v>
      </c>
      <c r="AJ207" s="22">
        <v>197</v>
      </c>
      <c r="AK207" s="22">
        <v>0.89080800000000004</v>
      </c>
      <c r="AL207">
        <f t="shared" si="42"/>
        <v>16.314700000000002</v>
      </c>
      <c r="AM207">
        <f t="shared" si="43"/>
        <v>14.553185526300002</v>
      </c>
      <c r="AP207" s="9"/>
      <c r="AQ207" s="22">
        <v>0.77804600000000002</v>
      </c>
      <c r="AR207" s="22">
        <v>330.04500000000002</v>
      </c>
      <c r="AS207" s="22">
        <v>-1.6436800000000001E-2</v>
      </c>
      <c r="AT207" s="22">
        <v>197</v>
      </c>
      <c r="AU207" s="22">
        <v>0.77758799999999995</v>
      </c>
      <c r="AV207">
        <f t="shared" si="44"/>
        <v>16.436800000000002</v>
      </c>
      <c r="AW207">
        <f t="shared" si="45"/>
        <v>12.788586492800002</v>
      </c>
      <c r="AX207" s="9"/>
      <c r="AY207" s="22">
        <v>0.89202899999999996</v>
      </c>
      <c r="AZ207" s="22">
        <v>388.35599999999999</v>
      </c>
      <c r="BA207" s="22">
        <v>-1.6290300000000001E-2</v>
      </c>
      <c r="BB207" s="22">
        <v>197</v>
      </c>
      <c r="BC207" s="22">
        <v>0.89080800000000004</v>
      </c>
      <c r="BD207">
        <f t="shared" si="46"/>
        <v>16.290300000000002</v>
      </c>
      <c r="BE207">
        <f t="shared" si="47"/>
        <v>14.5314200187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0.77300999999999997</v>
      </c>
      <c r="H208" s="22">
        <v>59.3078</v>
      </c>
      <c r="I208" s="22">
        <v>-1.64581E-2</v>
      </c>
      <c r="J208" s="22">
        <v>198</v>
      </c>
      <c r="K208" s="22">
        <v>0.77148399999999995</v>
      </c>
      <c r="L208">
        <f t="shared" si="36"/>
        <v>16.458099999999998</v>
      </c>
      <c r="M208">
        <f t="shared" si="37"/>
        <v>12.722275880999998</v>
      </c>
      <c r="N208" s="9"/>
      <c r="O208" s="22">
        <v>0.89706399999999997</v>
      </c>
      <c r="P208" s="22">
        <v>123.63</v>
      </c>
      <c r="Q208" s="22">
        <v>-1.6351299999999999E-2</v>
      </c>
      <c r="R208" s="22">
        <v>198</v>
      </c>
      <c r="S208" s="22">
        <v>0.89599600000000001</v>
      </c>
      <c r="T208">
        <f t="shared" si="38"/>
        <v>16.351299999999998</v>
      </c>
      <c r="U208">
        <f t="shared" si="39"/>
        <v>14.668162583199997</v>
      </c>
      <c r="X208" s="9"/>
      <c r="Y208" s="22">
        <v>0.77300999999999997</v>
      </c>
      <c r="Z208" s="22">
        <v>193.76300000000001</v>
      </c>
      <c r="AA208" s="22">
        <v>-1.6561900000000001E-2</v>
      </c>
      <c r="AB208" s="22">
        <v>198</v>
      </c>
      <c r="AC208" s="22">
        <v>0.77178999999999998</v>
      </c>
      <c r="AD208">
        <f t="shared" si="40"/>
        <v>16.561900000000001</v>
      </c>
      <c r="AE208">
        <f t="shared" si="41"/>
        <v>12.802514319</v>
      </c>
      <c r="AF208" s="9"/>
      <c r="AG208" s="22">
        <v>0.89706399999999997</v>
      </c>
      <c r="AH208" s="22">
        <v>251.292</v>
      </c>
      <c r="AI208" s="22">
        <v>-1.6314700000000001E-2</v>
      </c>
      <c r="AJ208" s="22">
        <v>198</v>
      </c>
      <c r="AK208" s="22">
        <v>0.89599600000000001</v>
      </c>
      <c r="AL208">
        <f t="shared" si="42"/>
        <v>16.314700000000002</v>
      </c>
      <c r="AM208">
        <f t="shared" si="43"/>
        <v>14.635330040800001</v>
      </c>
      <c r="AP208" s="9"/>
      <c r="AQ208" s="22">
        <v>0.77300999999999997</v>
      </c>
      <c r="AR208" s="22">
        <v>330.14600000000002</v>
      </c>
      <c r="AS208" s="22">
        <v>-1.6424600000000001E-2</v>
      </c>
      <c r="AT208" s="22">
        <v>198</v>
      </c>
      <c r="AU208" s="22">
        <v>0.77209499999999998</v>
      </c>
      <c r="AV208">
        <f t="shared" si="44"/>
        <v>16.424600000000002</v>
      </c>
      <c r="AW208">
        <f t="shared" si="45"/>
        <v>12.696380046000002</v>
      </c>
      <c r="AX208" s="9"/>
      <c r="AY208" s="22">
        <v>0.89706399999999997</v>
      </c>
      <c r="AZ208" s="22">
        <v>388.45699999999999</v>
      </c>
      <c r="BA208" s="22">
        <v>-1.6290300000000001E-2</v>
      </c>
      <c r="BB208" s="22">
        <v>198</v>
      </c>
      <c r="BC208" s="22">
        <v>0.89599600000000001</v>
      </c>
      <c r="BD208">
        <f t="shared" si="46"/>
        <v>16.290300000000002</v>
      </c>
      <c r="BE208">
        <f t="shared" si="47"/>
        <v>14.613441679200001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0.76797499999999996</v>
      </c>
      <c r="H209" s="22">
        <v>59.408499999999997</v>
      </c>
      <c r="I209" s="22">
        <v>-1.64581E-2</v>
      </c>
      <c r="J209" s="22">
        <v>199</v>
      </c>
      <c r="K209" s="22">
        <v>0.76660200000000001</v>
      </c>
      <c r="L209">
        <f t="shared" si="36"/>
        <v>16.458099999999998</v>
      </c>
      <c r="M209">
        <f t="shared" si="37"/>
        <v>12.639409347499997</v>
      </c>
      <c r="N209" s="9"/>
      <c r="O209" s="22">
        <v>0.90210000000000001</v>
      </c>
      <c r="P209" s="22">
        <v>123.73099999999999</v>
      </c>
      <c r="Q209" s="22">
        <v>-1.63483E-2</v>
      </c>
      <c r="R209" s="22">
        <v>199</v>
      </c>
      <c r="S209" s="22">
        <v>0.90118399999999999</v>
      </c>
      <c r="T209">
        <f t="shared" si="38"/>
        <v>16.348299999999998</v>
      </c>
      <c r="U209">
        <f t="shared" si="39"/>
        <v>14.747801429999999</v>
      </c>
      <c r="X209" s="9"/>
      <c r="Y209" s="22">
        <v>0.76797499999999996</v>
      </c>
      <c r="Z209" s="22">
        <v>193.864</v>
      </c>
      <c r="AA209" s="22">
        <v>-1.6558799999999999E-2</v>
      </c>
      <c r="AB209" s="22">
        <v>199</v>
      </c>
      <c r="AC209" s="22">
        <v>0.76629599999999998</v>
      </c>
      <c r="AD209">
        <f t="shared" si="40"/>
        <v>16.558799999999998</v>
      </c>
      <c r="AE209">
        <f t="shared" si="41"/>
        <v>12.716744429999999</v>
      </c>
      <c r="AF209" s="9"/>
      <c r="AG209" s="22">
        <v>0.90210000000000001</v>
      </c>
      <c r="AH209" s="22">
        <v>251.393</v>
      </c>
      <c r="AI209" s="22">
        <v>-1.6314700000000001E-2</v>
      </c>
      <c r="AJ209" s="22">
        <v>199</v>
      </c>
      <c r="AK209" s="22">
        <v>0.90148899999999998</v>
      </c>
      <c r="AL209">
        <f t="shared" si="42"/>
        <v>16.314700000000002</v>
      </c>
      <c r="AM209">
        <f t="shared" si="43"/>
        <v>14.717490870000002</v>
      </c>
      <c r="AP209" s="9"/>
      <c r="AQ209" s="22">
        <v>0.76797499999999996</v>
      </c>
      <c r="AR209" s="22">
        <v>330.24700000000001</v>
      </c>
      <c r="AS209" s="22">
        <v>-1.6436800000000001E-2</v>
      </c>
      <c r="AT209" s="22">
        <v>199</v>
      </c>
      <c r="AU209" s="22">
        <v>0.76690700000000001</v>
      </c>
      <c r="AV209">
        <f t="shared" si="44"/>
        <v>16.436800000000002</v>
      </c>
      <c r="AW209">
        <f t="shared" si="45"/>
        <v>12.623051480000001</v>
      </c>
      <c r="AX209" s="9"/>
      <c r="AY209" s="22">
        <v>0.90210000000000001</v>
      </c>
      <c r="AZ209" s="22">
        <v>388.55799999999999</v>
      </c>
      <c r="BA209" s="22">
        <v>-1.62811E-2</v>
      </c>
      <c r="BB209" s="22">
        <v>199</v>
      </c>
      <c r="BC209" s="22">
        <v>0.90148899999999998</v>
      </c>
      <c r="BD209">
        <f t="shared" si="46"/>
        <v>16.281099999999999</v>
      </c>
      <c r="BE209">
        <f t="shared" si="47"/>
        <v>14.687180309999999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0.76293900000000003</v>
      </c>
      <c r="H210" s="22">
        <v>59.5092</v>
      </c>
      <c r="I210" s="22">
        <v>-1.6473399999999999E-2</v>
      </c>
      <c r="J210" s="22">
        <v>200</v>
      </c>
      <c r="K210" s="22">
        <v>0.76202400000000003</v>
      </c>
      <c r="L210">
        <f t="shared" si="36"/>
        <v>16.473399999999998</v>
      </c>
      <c r="M210">
        <f t="shared" si="37"/>
        <v>12.5681993226</v>
      </c>
      <c r="N210" s="9"/>
      <c r="O210" s="22">
        <v>0.90713500000000002</v>
      </c>
      <c r="P210" s="22">
        <v>123.831</v>
      </c>
      <c r="Q210" s="22">
        <v>-1.6369600000000002E-2</v>
      </c>
      <c r="R210" s="22">
        <v>200</v>
      </c>
      <c r="S210" s="22">
        <v>0.90606699999999996</v>
      </c>
      <c r="T210">
        <f t="shared" si="38"/>
        <v>16.369600000000002</v>
      </c>
      <c r="U210">
        <f t="shared" si="39"/>
        <v>14.849437096000003</v>
      </c>
      <c r="X210" s="9"/>
      <c r="Y210" s="22">
        <v>0.76293900000000003</v>
      </c>
      <c r="Z210" s="22">
        <v>193.964</v>
      </c>
      <c r="AA210" s="22">
        <v>-1.65527E-2</v>
      </c>
      <c r="AB210" s="22">
        <v>200</v>
      </c>
      <c r="AC210" s="22">
        <v>0.76110800000000001</v>
      </c>
      <c r="AD210">
        <f t="shared" si="40"/>
        <v>16.552700000000002</v>
      </c>
      <c r="AE210">
        <f t="shared" si="41"/>
        <v>12.628700385300002</v>
      </c>
      <c r="AF210" s="9"/>
      <c r="AG210" s="22">
        <v>0.90713500000000002</v>
      </c>
      <c r="AH210" s="22">
        <v>251.49299999999999</v>
      </c>
      <c r="AI210" s="22">
        <v>-1.6314700000000001E-2</v>
      </c>
      <c r="AJ210" s="22">
        <v>200</v>
      </c>
      <c r="AK210" s="22">
        <v>0.90606699999999996</v>
      </c>
      <c r="AL210">
        <f t="shared" si="42"/>
        <v>16.314700000000002</v>
      </c>
      <c r="AM210">
        <f t="shared" si="43"/>
        <v>14.799635384500002</v>
      </c>
      <c r="AP210" s="9"/>
      <c r="AQ210" s="22">
        <v>0.76293900000000003</v>
      </c>
      <c r="AR210" s="22">
        <v>330.34699999999998</v>
      </c>
      <c r="AS210" s="22">
        <v>-1.64429E-2</v>
      </c>
      <c r="AT210" s="22">
        <v>200</v>
      </c>
      <c r="AU210" s="22">
        <v>0.76171900000000003</v>
      </c>
      <c r="AV210">
        <f t="shared" si="44"/>
        <v>16.442900000000002</v>
      </c>
      <c r="AW210">
        <f t="shared" si="45"/>
        <v>12.544929683100001</v>
      </c>
      <c r="AX210" s="9"/>
      <c r="AY210" s="22">
        <v>0.90713500000000002</v>
      </c>
      <c r="AZ210" s="22">
        <v>388.65800000000002</v>
      </c>
      <c r="BA210" s="22">
        <v>-1.6271999999999998E-2</v>
      </c>
      <c r="BB210" s="22">
        <v>200</v>
      </c>
      <c r="BC210" s="22">
        <v>0.90637199999999996</v>
      </c>
      <c r="BD210">
        <f t="shared" si="46"/>
        <v>16.271999999999998</v>
      </c>
      <c r="BE210">
        <f t="shared" si="47"/>
        <v>14.760900719999999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0.75790400000000002</v>
      </c>
      <c r="H211" s="22">
        <v>59.609900000000003</v>
      </c>
      <c r="I211" s="22">
        <v>-1.6482500000000001E-2</v>
      </c>
      <c r="J211" s="22">
        <v>201</v>
      </c>
      <c r="K211" s="22">
        <v>0.75683599999999995</v>
      </c>
      <c r="L211">
        <f t="shared" si="36"/>
        <v>16.482500000000002</v>
      </c>
      <c r="M211">
        <f t="shared" si="37"/>
        <v>12.492152680000002</v>
      </c>
      <c r="N211" s="9"/>
      <c r="O211" s="22">
        <v>0.91217000000000004</v>
      </c>
      <c r="P211" s="22">
        <v>123.932</v>
      </c>
      <c r="Q211" s="22">
        <v>-1.63727E-2</v>
      </c>
      <c r="R211" s="22">
        <v>201</v>
      </c>
      <c r="S211" s="22">
        <v>0.91125500000000004</v>
      </c>
      <c r="T211">
        <f t="shared" si="38"/>
        <v>16.372700000000002</v>
      </c>
      <c r="U211">
        <f t="shared" si="39"/>
        <v>14.934685759000002</v>
      </c>
      <c r="X211" s="9"/>
      <c r="Y211" s="22">
        <v>0.75790400000000002</v>
      </c>
      <c r="Z211" s="22">
        <v>194.065</v>
      </c>
      <c r="AA211" s="22">
        <v>-1.6567999999999999E-2</v>
      </c>
      <c r="AB211" s="22">
        <v>201</v>
      </c>
      <c r="AC211" s="22">
        <v>0.75683599999999995</v>
      </c>
      <c r="AD211">
        <f t="shared" si="40"/>
        <v>16.567999999999998</v>
      </c>
      <c r="AE211">
        <f t="shared" si="41"/>
        <v>12.556953471999998</v>
      </c>
      <c r="AF211" s="9"/>
      <c r="AG211" s="22">
        <v>0.91217000000000004</v>
      </c>
      <c r="AH211" s="22">
        <v>251.59399999999999</v>
      </c>
      <c r="AI211" s="22">
        <v>-1.6275000000000001E-2</v>
      </c>
      <c r="AJ211" s="22">
        <v>201</v>
      </c>
      <c r="AK211" s="22">
        <v>0.91156000000000004</v>
      </c>
      <c r="AL211">
        <f t="shared" si="42"/>
        <v>16.275000000000002</v>
      </c>
      <c r="AM211">
        <f t="shared" si="43"/>
        <v>14.845566750000003</v>
      </c>
      <c r="AP211" s="9"/>
      <c r="AQ211" s="22">
        <v>0.75790400000000002</v>
      </c>
      <c r="AR211" s="22">
        <v>330.44799999999998</v>
      </c>
      <c r="AS211" s="22">
        <v>-1.6424600000000001E-2</v>
      </c>
      <c r="AT211" s="22">
        <v>201</v>
      </c>
      <c r="AU211" s="22">
        <v>0.75683599999999995</v>
      </c>
      <c r="AV211">
        <f t="shared" si="44"/>
        <v>16.424600000000002</v>
      </c>
      <c r="AW211">
        <f t="shared" si="45"/>
        <v>12.448270038400002</v>
      </c>
      <c r="AX211" s="9"/>
      <c r="AY211" s="22">
        <v>0.91217000000000004</v>
      </c>
      <c r="AZ211" s="22">
        <v>388.75900000000001</v>
      </c>
      <c r="BA211" s="22">
        <v>-1.62659E-2</v>
      </c>
      <c r="BB211" s="22">
        <v>201</v>
      </c>
      <c r="BC211" s="22">
        <v>0.91125500000000004</v>
      </c>
      <c r="BD211">
        <f t="shared" si="46"/>
        <v>16.265899999999998</v>
      </c>
      <c r="BE211">
        <f t="shared" si="47"/>
        <v>14.837266003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0.75286900000000001</v>
      </c>
      <c r="H212" s="22">
        <v>59.710599999999999</v>
      </c>
      <c r="I212" s="22">
        <v>-1.6491700000000001E-2</v>
      </c>
      <c r="J212" s="22">
        <v>202</v>
      </c>
      <c r="K212" s="22">
        <v>0.75195299999999998</v>
      </c>
      <c r="L212">
        <f t="shared" si="36"/>
        <v>16.491700000000002</v>
      </c>
      <c r="M212">
        <f t="shared" si="37"/>
        <v>12.416089687300001</v>
      </c>
      <c r="N212" s="9"/>
      <c r="O212" s="22">
        <v>0.91720599999999997</v>
      </c>
      <c r="P212" s="22">
        <v>124.033</v>
      </c>
      <c r="Q212" s="22">
        <v>-1.63635E-2</v>
      </c>
      <c r="R212" s="22">
        <v>202</v>
      </c>
      <c r="S212" s="22">
        <v>0.91613800000000001</v>
      </c>
      <c r="T212">
        <f t="shared" si="38"/>
        <v>16.363499999999998</v>
      </c>
      <c r="U212">
        <f t="shared" si="39"/>
        <v>15.008700380999999</v>
      </c>
      <c r="X212" s="9"/>
      <c r="Y212" s="22">
        <v>0.75286900000000001</v>
      </c>
      <c r="Z212" s="22">
        <v>194.166</v>
      </c>
      <c r="AA212" s="22">
        <v>-1.6558799999999999E-2</v>
      </c>
      <c r="AB212" s="22">
        <v>202</v>
      </c>
      <c r="AC212" s="22">
        <v>0.75164799999999998</v>
      </c>
      <c r="AD212">
        <f t="shared" si="40"/>
        <v>16.558799999999998</v>
      </c>
      <c r="AE212">
        <f t="shared" si="41"/>
        <v>12.466607197199998</v>
      </c>
      <c r="AF212" s="9"/>
      <c r="AG212" s="22">
        <v>0.91720599999999997</v>
      </c>
      <c r="AH212" s="22">
        <v>251.69499999999999</v>
      </c>
      <c r="AI212" s="22">
        <v>-1.6268899999999999E-2</v>
      </c>
      <c r="AJ212" s="22">
        <v>202</v>
      </c>
      <c r="AK212" s="22">
        <v>0.91613800000000001</v>
      </c>
      <c r="AL212">
        <f t="shared" si="42"/>
        <v>16.268899999999999</v>
      </c>
      <c r="AM212">
        <f t="shared" si="43"/>
        <v>14.921932693399999</v>
      </c>
      <c r="AP212" s="9"/>
      <c r="AQ212" s="22">
        <v>0.75286900000000001</v>
      </c>
      <c r="AR212" s="22">
        <v>330.54899999999998</v>
      </c>
      <c r="AS212" s="22">
        <v>-1.6430699999999999E-2</v>
      </c>
      <c r="AT212" s="22">
        <v>202</v>
      </c>
      <c r="AU212" s="22">
        <v>0.75195299999999998</v>
      </c>
      <c r="AV212">
        <f t="shared" si="44"/>
        <v>16.430699999999998</v>
      </c>
      <c r="AW212">
        <f t="shared" si="45"/>
        <v>12.370164678299998</v>
      </c>
      <c r="AX212" s="9"/>
      <c r="AY212" s="22">
        <v>0.91720599999999997</v>
      </c>
      <c r="AZ212" s="22">
        <v>388.86</v>
      </c>
      <c r="BA212" s="22">
        <v>-1.6259800000000001E-2</v>
      </c>
      <c r="BB212" s="22">
        <v>202</v>
      </c>
      <c r="BC212" s="22">
        <v>0.91644300000000001</v>
      </c>
      <c r="BD212">
        <f t="shared" si="46"/>
        <v>16.259800000000002</v>
      </c>
      <c r="BE212">
        <f t="shared" si="47"/>
        <v>14.913586118800001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0.74783299999999997</v>
      </c>
      <c r="H213" s="22">
        <v>59.811300000000003</v>
      </c>
      <c r="I213" s="22">
        <v>-1.64978E-2</v>
      </c>
      <c r="J213" s="22">
        <v>203</v>
      </c>
      <c r="K213" s="22">
        <v>0.74710100000000002</v>
      </c>
      <c r="L213">
        <f t="shared" si="36"/>
        <v>16.497800000000002</v>
      </c>
      <c r="M213">
        <f t="shared" si="37"/>
        <v>12.3375992674</v>
      </c>
      <c r="N213" s="9"/>
      <c r="O213" s="22">
        <v>0.92224099999999998</v>
      </c>
      <c r="P213" s="22">
        <v>124.133</v>
      </c>
      <c r="Q213" s="22">
        <v>-1.63605E-2</v>
      </c>
      <c r="R213" s="22">
        <v>203</v>
      </c>
      <c r="S213" s="22">
        <v>0.92163099999999998</v>
      </c>
      <c r="T213">
        <f t="shared" si="38"/>
        <v>16.360500000000002</v>
      </c>
      <c r="U213">
        <f t="shared" si="39"/>
        <v>15.088323880500001</v>
      </c>
      <c r="X213" s="9"/>
      <c r="Y213" s="22">
        <v>0.74783299999999997</v>
      </c>
      <c r="Z213" s="22">
        <v>194.26599999999999</v>
      </c>
      <c r="AA213" s="22">
        <v>-1.6558799999999999E-2</v>
      </c>
      <c r="AB213" s="22">
        <v>203</v>
      </c>
      <c r="AC213" s="22">
        <v>0.74688699999999997</v>
      </c>
      <c r="AD213">
        <f t="shared" si="40"/>
        <v>16.558799999999998</v>
      </c>
      <c r="AE213">
        <f t="shared" si="41"/>
        <v>12.383217080399998</v>
      </c>
      <c r="AF213" s="9"/>
      <c r="AG213" s="22">
        <v>0.92224099999999998</v>
      </c>
      <c r="AH213" s="22">
        <v>251.79499999999999</v>
      </c>
      <c r="AI213" s="22">
        <v>-1.62659E-2</v>
      </c>
      <c r="AJ213" s="22">
        <v>203</v>
      </c>
      <c r="AK213" s="22">
        <v>0.92132599999999998</v>
      </c>
      <c r="AL213">
        <f t="shared" si="42"/>
        <v>16.265899999999998</v>
      </c>
      <c r="AM213">
        <f t="shared" si="43"/>
        <v>15.001079881899999</v>
      </c>
      <c r="AP213" s="9"/>
      <c r="AQ213" s="22">
        <v>0.74783299999999997</v>
      </c>
      <c r="AR213" s="22">
        <v>330.65</v>
      </c>
      <c r="AS213" s="22">
        <v>-1.6436800000000001E-2</v>
      </c>
      <c r="AT213" s="22">
        <v>203</v>
      </c>
      <c r="AU213" s="22">
        <v>0.74700900000000003</v>
      </c>
      <c r="AV213">
        <f t="shared" si="44"/>
        <v>16.436800000000002</v>
      </c>
      <c r="AW213">
        <f t="shared" si="45"/>
        <v>12.2919814544</v>
      </c>
      <c r="AX213" s="9"/>
      <c r="AY213" s="22">
        <v>0.92224099999999998</v>
      </c>
      <c r="AZ213" s="22">
        <v>388.96100000000001</v>
      </c>
      <c r="BA213" s="22">
        <v>-1.62506E-2</v>
      </c>
      <c r="BB213" s="22">
        <v>203</v>
      </c>
      <c r="BC213" s="22">
        <v>0.92071499999999995</v>
      </c>
      <c r="BD213">
        <f t="shared" si="46"/>
        <v>16.250600000000002</v>
      </c>
      <c r="BE213">
        <f t="shared" si="47"/>
        <v>14.986969594600001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0.74279799999999996</v>
      </c>
      <c r="H214" s="22">
        <v>59.911999999999999</v>
      </c>
      <c r="I214" s="22">
        <v>-1.64948E-2</v>
      </c>
      <c r="J214" s="22">
        <v>204</v>
      </c>
      <c r="K214" s="22">
        <v>0.74185199999999996</v>
      </c>
      <c r="L214">
        <f t="shared" si="36"/>
        <v>16.494800000000001</v>
      </c>
      <c r="M214">
        <f t="shared" si="37"/>
        <v>12.2523044504</v>
      </c>
      <c r="N214" s="9"/>
      <c r="O214" s="22">
        <v>0.92727700000000002</v>
      </c>
      <c r="P214" s="22">
        <v>124.23399999999999</v>
      </c>
      <c r="Q214" s="22">
        <v>-1.6354400000000002E-2</v>
      </c>
      <c r="R214" s="22">
        <v>204</v>
      </c>
      <c r="S214" s="22">
        <v>0.92651399999999995</v>
      </c>
      <c r="T214">
        <f t="shared" si="38"/>
        <v>16.354400000000002</v>
      </c>
      <c r="U214">
        <f t="shared" si="39"/>
        <v>15.165058968800002</v>
      </c>
      <c r="X214" s="9"/>
      <c r="Y214" s="22">
        <v>0.74279799999999996</v>
      </c>
      <c r="Z214" s="22">
        <v>194.36699999999999</v>
      </c>
      <c r="AA214" s="22">
        <v>-1.6574100000000001E-2</v>
      </c>
      <c r="AB214" s="22">
        <v>204</v>
      </c>
      <c r="AC214" s="22">
        <v>0.74206499999999997</v>
      </c>
      <c r="AD214">
        <f t="shared" si="40"/>
        <v>16.574100000000001</v>
      </c>
      <c r="AE214">
        <f t="shared" si="41"/>
        <v>12.3112083318</v>
      </c>
      <c r="AF214" s="9"/>
      <c r="AG214" s="22">
        <v>0.92727700000000002</v>
      </c>
      <c r="AH214" s="22">
        <v>251.89599999999999</v>
      </c>
      <c r="AI214" s="22">
        <v>-1.62781E-2</v>
      </c>
      <c r="AJ214" s="22">
        <v>204</v>
      </c>
      <c r="AK214" s="22">
        <v>0.92651399999999995</v>
      </c>
      <c r="AL214">
        <f t="shared" si="42"/>
        <v>16.278099999999998</v>
      </c>
      <c r="AM214">
        <f t="shared" si="43"/>
        <v>15.094307733699999</v>
      </c>
      <c r="AP214" s="9"/>
      <c r="AQ214" s="22">
        <v>0.74279799999999996</v>
      </c>
      <c r="AR214" s="22">
        <v>330.75</v>
      </c>
      <c r="AS214" s="22">
        <v>-1.6452000000000001E-2</v>
      </c>
      <c r="AT214" s="22">
        <v>204</v>
      </c>
      <c r="AU214" s="22">
        <v>0.74221800000000004</v>
      </c>
      <c r="AV214">
        <f t="shared" si="44"/>
        <v>16.452000000000002</v>
      </c>
      <c r="AW214">
        <f t="shared" si="45"/>
        <v>12.220512696</v>
      </c>
      <c r="AX214" s="9"/>
      <c r="AY214" s="22">
        <v>0.92727700000000002</v>
      </c>
      <c r="AZ214" s="22">
        <v>389.06099999999998</v>
      </c>
      <c r="BA214" s="22">
        <v>-1.6244499999999999E-2</v>
      </c>
      <c r="BB214" s="22">
        <v>204</v>
      </c>
      <c r="BC214" s="22">
        <v>0.92681899999999995</v>
      </c>
      <c r="BD214">
        <f t="shared" si="46"/>
        <v>16.244499999999999</v>
      </c>
      <c r="BE214">
        <f t="shared" si="47"/>
        <v>15.063151226499999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0.73776200000000003</v>
      </c>
      <c r="H215" s="22">
        <v>60.012700000000002</v>
      </c>
      <c r="I215" s="22">
        <v>-1.6519200000000001E-2</v>
      </c>
      <c r="J215" s="22">
        <v>205</v>
      </c>
      <c r="K215" s="22">
        <v>0.73715200000000003</v>
      </c>
      <c r="L215">
        <f t="shared" si="36"/>
        <v>16.519200000000001</v>
      </c>
      <c r="M215">
        <f t="shared" si="37"/>
        <v>12.187238030400001</v>
      </c>
      <c r="N215" s="9"/>
      <c r="O215" s="22">
        <v>0.93231200000000003</v>
      </c>
      <c r="P215" s="22">
        <v>124.33499999999999</v>
      </c>
      <c r="Q215" s="22">
        <v>-1.6330000000000001E-2</v>
      </c>
      <c r="R215" s="22">
        <v>205</v>
      </c>
      <c r="S215" s="22">
        <v>0.931396</v>
      </c>
      <c r="T215">
        <f t="shared" si="38"/>
        <v>16.330000000000002</v>
      </c>
      <c r="U215">
        <f t="shared" si="39"/>
        <v>15.224654960000002</v>
      </c>
      <c r="X215" s="9"/>
      <c r="Y215" s="22">
        <v>0.73776200000000003</v>
      </c>
      <c r="Z215" s="22">
        <v>194.46799999999999</v>
      </c>
      <c r="AA215" s="22">
        <v>-1.6574100000000001E-2</v>
      </c>
      <c r="AB215" s="22">
        <v>205</v>
      </c>
      <c r="AC215" s="22">
        <v>0.73690800000000001</v>
      </c>
      <c r="AD215">
        <f t="shared" si="40"/>
        <v>16.574100000000001</v>
      </c>
      <c r="AE215">
        <f t="shared" si="41"/>
        <v>12.227741164200001</v>
      </c>
      <c r="AF215" s="9"/>
      <c r="AG215" s="22">
        <v>0.93231200000000003</v>
      </c>
      <c r="AH215" s="22">
        <v>251.99700000000001</v>
      </c>
      <c r="AI215" s="22">
        <v>-1.6253699999999999E-2</v>
      </c>
      <c r="AJ215" s="22">
        <v>205</v>
      </c>
      <c r="AK215" s="22">
        <v>0.930786</v>
      </c>
      <c r="AL215">
        <f t="shared" si="42"/>
        <v>16.253699999999998</v>
      </c>
      <c r="AM215">
        <f t="shared" si="43"/>
        <v>15.153519554399999</v>
      </c>
      <c r="AP215" s="9"/>
      <c r="AQ215" s="22">
        <v>0.73776200000000003</v>
      </c>
      <c r="AR215" s="22">
        <v>330.851</v>
      </c>
      <c r="AS215" s="22">
        <v>-1.6439800000000001E-2</v>
      </c>
      <c r="AT215" s="22">
        <v>205</v>
      </c>
      <c r="AU215" s="22">
        <v>0.73693799999999998</v>
      </c>
      <c r="AV215">
        <f t="shared" si="44"/>
        <v>16.439800000000002</v>
      </c>
      <c r="AW215">
        <f t="shared" si="45"/>
        <v>12.128659727600002</v>
      </c>
      <c r="AX215" s="9"/>
      <c r="AY215" s="22">
        <v>0.93231200000000003</v>
      </c>
      <c r="AZ215" s="22">
        <v>389.16199999999998</v>
      </c>
      <c r="BA215" s="22">
        <v>-1.6241499999999999E-2</v>
      </c>
      <c r="BB215" s="22">
        <v>205</v>
      </c>
      <c r="BC215" s="22">
        <v>0.93200700000000003</v>
      </c>
      <c r="BD215">
        <f t="shared" si="46"/>
        <v>16.241499999999998</v>
      </c>
      <c r="BE215">
        <f t="shared" si="47"/>
        <v>15.142145348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0.73272700000000002</v>
      </c>
      <c r="H216" s="22">
        <v>60.113399999999999</v>
      </c>
      <c r="I216" s="22">
        <v>-1.6503899999999998E-2</v>
      </c>
      <c r="J216" s="22">
        <v>206</v>
      </c>
      <c r="K216" s="22">
        <v>0.731873</v>
      </c>
      <c r="L216">
        <f t="shared" si="36"/>
        <v>16.503899999999998</v>
      </c>
      <c r="M216">
        <f t="shared" si="37"/>
        <v>12.092853135299999</v>
      </c>
      <c r="N216" s="9"/>
      <c r="O216" s="22">
        <v>0.93734700000000004</v>
      </c>
      <c r="P216" s="22">
        <v>124.435</v>
      </c>
      <c r="Q216" s="22">
        <v>-1.6330000000000001E-2</v>
      </c>
      <c r="R216" s="22">
        <v>206</v>
      </c>
      <c r="S216" s="22">
        <v>0.93627899999999997</v>
      </c>
      <c r="T216">
        <f t="shared" si="38"/>
        <v>16.330000000000002</v>
      </c>
      <c r="U216">
        <f t="shared" si="39"/>
        <v>15.306876510000002</v>
      </c>
      <c r="X216" s="9"/>
      <c r="Y216" s="22">
        <v>0.73272700000000002</v>
      </c>
      <c r="Z216" s="22">
        <v>194.56899999999999</v>
      </c>
      <c r="AA216" s="22">
        <v>-1.6583299999999999E-2</v>
      </c>
      <c r="AB216" s="22">
        <v>206</v>
      </c>
      <c r="AC216" s="22">
        <v>0.73199499999999995</v>
      </c>
      <c r="AD216">
        <f t="shared" si="40"/>
        <v>16.583299999999998</v>
      </c>
      <c r="AE216">
        <f t="shared" si="41"/>
        <v>12.151031659099999</v>
      </c>
      <c r="AF216" s="9"/>
      <c r="AG216" s="22">
        <v>0.93734700000000004</v>
      </c>
      <c r="AH216" s="22">
        <v>252.09700000000001</v>
      </c>
      <c r="AI216" s="22">
        <v>-1.62384E-2</v>
      </c>
      <c r="AJ216" s="22">
        <v>206</v>
      </c>
      <c r="AK216" s="22">
        <v>0.93627899999999997</v>
      </c>
      <c r="AL216">
        <f t="shared" si="42"/>
        <v>16.238399999999999</v>
      </c>
      <c r="AM216">
        <f t="shared" si="43"/>
        <v>15.221015524799999</v>
      </c>
      <c r="AP216" s="9"/>
      <c r="AQ216" s="22">
        <v>0.73272700000000002</v>
      </c>
      <c r="AR216" s="22">
        <v>330.952</v>
      </c>
      <c r="AS216" s="22">
        <v>-1.64581E-2</v>
      </c>
      <c r="AT216" s="22">
        <v>206</v>
      </c>
      <c r="AU216" s="22">
        <v>0.73184199999999999</v>
      </c>
      <c r="AV216">
        <f t="shared" si="44"/>
        <v>16.458099999999998</v>
      </c>
      <c r="AW216">
        <f t="shared" si="45"/>
        <v>12.0592942387</v>
      </c>
      <c r="AX216" s="9"/>
      <c r="AY216" s="22">
        <v>0.93734700000000004</v>
      </c>
      <c r="AZ216" s="22">
        <v>389.26299999999998</v>
      </c>
      <c r="BA216" s="22">
        <v>-1.62384E-2</v>
      </c>
      <c r="BB216" s="22">
        <v>206</v>
      </c>
      <c r="BC216" s="22">
        <v>0.93627899999999997</v>
      </c>
      <c r="BD216">
        <f t="shared" si="46"/>
        <v>16.238399999999999</v>
      </c>
      <c r="BE216">
        <f t="shared" si="47"/>
        <v>15.221015524799999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0.72769200000000001</v>
      </c>
      <c r="H217" s="22">
        <v>60.214100000000002</v>
      </c>
      <c r="I217" s="22">
        <v>-1.6507000000000001E-2</v>
      </c>
      <c r="J217" s="22">
        <v>207</v>
      </c>
      <c r="K217" s="22">
        <v>0.72686799999999996</v>
      </c>
      <c r="L217">
        <f t="shared" si="36"/>
        <v>16.507000000000001</v>
      </c>
      <c r="M217">
        <f t="shared" si="37"/>
        <v>12.012011844000002</v>
      </c>
      <c r="N217" s="9"/>
      <c r="O217" s="22">
        <v>0.94238299999999997</v>
      </c>
      <c r="P217" s="22">
        <v>124.536</v>
      </c>
      <c r="Q217" s="22">
        <v>-1.6339099999999999E-2</v>
      </c>
      <c r="R217" s="22">
        <v>207</v>
      </c>
      <c r="S217" s="22">
        <v>0.94146700000000005</v>
      </c>
      <c r="T217">
        <f t="shared" si="38"/>
        <v>16.339099999999998</v>
      </c>
      <c r="U217">
        <f t="shared" si="39"/>
        <v>15.397690075299998</v>
      </c>
      <c r="X217" s="9"/>
      <c r="Y217" s="22">
        <v>0.72769200000000001</v>
      </c>
      <c r="Z217" s="22">
        <v>194.66900000000001</v>
      </c>
      <c r="AA217" s="22">
        <v>-1.65924E-2</v>
      </c>
      <c r="AB217" s="22">
        <v>207</v>
      </c>
      <c r="AC217" s="22">
        <v>0.72680699999999998</v>
      </c>
      <c r="AD217">
        <f t="shared" si="40"/>
        <v>16.592400000000001</v>
      </c>
      <c r="AE217">
        <f t="shared" si="41"/>
        <v>12.074156740800001</v>
      </c>
      <c r="AF217" s="9"/>
      <c r="AG217" s="22">
        <v>0.94238299999999997</v>
      </c>
      <c r="AH217" s="22">
        <v>252.19800000000001</v>
      </c>
      <c r="AI217" s="22">
        <v>-1.6229199999999999E-2</v>
      </c>
      <c r="AJ217" s="22">
        <v>207</v>
      </c>
      <c r="AK217" s="22">
        <v>0.94146700000000005</v>
      </c>
      <c r="AL217">
        <f t="shared" si="42"/>
        <v>16.229199999999999</v>
      </c>
      <c r="AM217">
        <f t="shared" si="43"/>
        <v>15.294122183599999</v>
      </c>
      <c r="AP217" s="9"/>
      <c r="AQ217" s="22">
        <v>0.72769200000000001</v>
      </c>
      <c r="AR217" s="22">
        <v>331.05200000000002</v>
      </c>
      <c r="AS217" s="22">
        <v>-1.6479500000000001E-2</v>
      </c>
      <c r="AT217" s="22">
        <v>207</v>
      </c>
      <c r="AU217" s="22">
        <v>0.72680699999999998</v>
      </c>
      <c r="AV217">
        <f t="shared" si="44"/>
        <v>16.479500000000002</v>
      </c>
      <c r="AW217">
        <f t="shared" si="45"/>
        <v>11.992000314000002</v>
      </c>
      <c r="AX217" s="9"/>
      <c r="AY217" s="22">
        <v>0.94238299999999997</v>
      </c>
      <c r="AZ217" s="22">
        <v>389.363</v>
      </c>
      <c r="BA217" s="22">
        <v>-1.6235400000000001E-2</v>
      </c>
      <c r="BB217" s="22">
        <v>207</v>
      </c>
      <c r="BC217" s="22">
        <v>0.94085700000000005</v>
      </c>
      <c r="BD217">
        <f t="shared" si="46"/>
        <v>16.235400000000002</v>
      </c>
      <c r="BE217">
        <f t="shared" si="47"/>
        <v>15.299964958200002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0.72265599999999997</v>
      </c>
      <c r="H218" s="22">
        <v>60.314900000000002</v>
      </c>
      <c r="I218" s="22">
        <v>-1.65253E-2</v>
      </c>
      <c r="J218" s="22">
        <v>208</v>
      </c>
      <c r="K218" s="22">
        <v>0.72195399999999998</v>
      </c>
      <c r="L218">
        <f t="shared" si="36"/>
        <v>16.525300000000001</v>
      </c>
      <c r="M218">
        <f t="shared" si="37"/>
        <v>11.9421071968</v>
      </c>
      <c r="N218" s="9"/>
      <c r="O218" s="22">
        <v>0.94741799999999998</v>
      </c>
      <c r="P218" s="22">
        <v>124.637</v>
      </c>
      <c r="Q218" s="22">
        <v>-1.6330000000000001E-2</v>
      </c>
      <c r="R218" s="22">
        <v>208</v>
      </c>
      <c r="S218" s="22">
        <v>0.94635000000000002</v>
      </c>
      <c r="T218">
        <f t="shared" si="38"/>
        <v>16.330000000000002</v>
      </c>
      <c r="U218">
        <f t="shared" si="39"/>
        <v>15.471335940000001</v>
      </c>
      <c r="X218" s="9"/>
      <c r="Y218" s="22">
        <v>0.72265599999999997</v>
      </c>
      <c r="Z218" s="22">
        <v>194.77</v>
      </c>
      <c r="AA218" s="22">
        <v>-1.6601600000000001E-2</v>
      </c>
      <c r="AB218" s="22">
        <v>208</v>
      </c>
      <c r="AC218" s="22">
        <v>0.72183200000000003</v>
      </c>
      <c r="AD218">
        <f t="shared" si="40"/>
        <v>16.601600000000001</v>
      </c>
      <c r="AE218">
        <f t="shared" si="41"/>
        <v>11.997245849600001</v>
      </c>
      <c r="AF218" s="9"/>
      <c r="AG218" s="22">
        <v>0.94741799999999998</v>
      </c>
      <c r="AH218" s="22">
        <v>252.29900000000001</v>
      </c>
      <c r="AI218" s="22">
        <v>-1.6235400000000001E-2</v>
      </c>
      <c r="AJ218" s="22">
        <v>208</v>
      </c>
      <c r="AK218" s="22">
        <v>0.94635000000000002</v>
      </c>
      <c r="AL218">
        <f t="shared" si="42"/>
        <v>16.235400000000002</v>
      </c>
      <c r="AM218">
        <f t="shared" si="43"/>
        <v>15.381710197200002</v>
      </c>
      <c r="AP218" s="9"/>
      <c r="AQ218" s="22">
        <v>0.72265599999999997</v>
      </c>
      <c r="AR218" s="22">
        <v>331.15300000000002</v>
      </c>
      <c r="AS218" s="22">
        <v>-1.6479500000000001E-2</v>
      </c>
      <c r="AT218" s="22">
        <v>208</v>
      </c>
      <c r="AU218" s="22">
        <v>0.72195399999999998</v>
      </c>
      <c r="AV218">
        <f t="shared" si="44"/>
        <v>16.479500000000002</v>
      </c>
      <c r="AW218">
        <f t="shared" si="45"/>
        <v>11.909009552000001</v>
      </c>
      <c r="AX218" s="9"/>
      <c r="AY218" s="22">
        <v>0.94741799999999998</v>
      </c>
      <c r="AZ218" s="22">
        <v>389.464</v>
      </c>
      <c r="BA218" s="22">
        <v>-1.6223100000000001E-2</v>
      </c>
      <c r="BB218" s="22">
        <v>208</v>
      </c>
      <c r="BC218" s="22">
        <v>0.94604500000000002</v>
      </c>
      <c r="BD218">
        <f t="shared" si="46"/>
        <v>16.223100000000002</v>
      </c>
      <c r="BE218">
        <f t="shared" si="47"/>
        <v>15.370056955800003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0.71762099999999995</v>
      </c>
      <c r="H219" s="22">
        <v>60.415599999999998</v>
      </c>
      <c r="I219" s="22">
        <v>-1.6555799999999999E-2</v>
      </c>
      <c r="J219" s="22">
        <v>209</v>
      </c>
      <c r="K219" s="22">
        <v>0.71707200000000004</v>
      </c>
      <c r="L219">
        <f t="shared" si="36"/>
        <v>16.555799999999998</v>
      </c>
      <c r="M219">
        <f t="shared" si="37"/>
        <v>11.880789751799998</v>
      </c>
      <c r="N219" s="9"/>
      <c r="O219" s="22">
        <v>0.95245400000000002</v>
      </c>
      <c r="P219" s="22">
        <v>124.738</v>
      </c>
      <c r="Q219" s="22">
        <v>-1.6317700000000001E-2</v>
      </c>
      <c r="R219" s="22">
        <v>209</v>
      </c>
      <c r="S219" s="22">
        <v>0.951233</v>
      </c>
      <c r="T219">
        <f t="shared" si="38"/>
        <v>16.317700000000002</v>
      </c>
      <c r="U219">
        <f t="shared" si="39"/>
        <v>15.541858635800002</v>
      </c>
      <c r="X219" s="9"/>
      <c r="Y219" s="22">
        <v>0.71762099999999995</v>
      </c>
      <c r="Z219" s="22">
        <v>194.87100000000001</v>
      </c>
      <c r="AA219" s="22">
        <v>-1.6622899999999999E-2</v>
      </c>
      <c r="AB219" s="22">
        <v>209</v>
      </c>
      <c r="AC219" s="22">
        <v>0.71697999999999995</v>
      </c>
      <c r="AD219">
        <f t="shared" si="40"/>
        <v>16.622899999999998</v>
      </c>
      <c r="AE219">
        <f t="shared" si="41"/>
        <v>11.928942120899997</v>
      </c>
      <c r="AF219" s="9"/>
      <c r="AG219" s="22">
        <v>0.95245400000000002</v>
      </c>
      <c r="AH219" s="22">
        <v>252.4</v>
      </c>
      <c r="AI219" s="22">
        <v>-1.62262E-2</v>
      </c>
      <c r="AJ219" s="22">
        <v>209</v>
      </c>
      <c r="AK219" s="22">
        <v>0.951233</v>
      </c>
      <c r="AL219">
        <f t="shared" si="42"/>
        <v>16.226199999999999</v>
      </c>
      <c r="AM219">
        <f t="shared" si="43"/>
        <v>15.454709094799998</v>
      </c>
      <c r="AP219" s="9"/>
      <c r="AQ219" s="22">
        <v>0.71762099999999995</v>
      </c>
      <c r="AR219" s="22">
        <v>331.25400000000002</v>
      </c>
      <c r="AS219" s="22">
        <v>-1.64978E-2</v>
      </c>
      <c r="AT219" s="22">
        <v>209</v>
      </c>
      <c r="AU219" s="22">
        <v>0.71707200000000004</v>
      </c>
      <c r="AV219">
        <f t="shared" si="44"/>
        <v>16.497800000000002</v>
      </c>
      <c r="AW219">
        <f t="shared" si="45"/>
        <v>11.8391677338</v>
      </c>
      <c r="AX219" s="9"/>
      <c r="AY219" s="22">
        <v>0.95245400000000002</v>
      </c>
      <c r="AZ219" s="22">
        <v>389.565</v>
      </c>
      <c r="BA219" s="22">
        <v>-1.6223100000000001E-2</v>
      </c>
      <c r="BB219" s="22">
        <v>209</v>
      </c>
      <c r="BC219" s="22">
        <v>0.951233</v>
      </c>
      <c r="BD219">
        <f t="shared" si="46"/>
        <v>16.223100000000002</v>
      </c>
      <c r="BE219">
        <f t="shared" si="47"/>
        <v>15.451756487400003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0.71258500000000002</v>
      </c>
      <c r="H220" s="22">
        <v>60.516300000000001</v>
      </c>
      <c r="I220" s="22">
        <v>-1.6546600000000002E-2</v>
      </c>
      <c r="J220" s="22">
        <v>210</v>
      </c>
      <c r="K220" s="22">
        <v>0.71167000000000002</v>
      </c>
      <c r="L220">
        <f t="shared" si="36"/>
        <v>16.546600000000002</v>
      </c>
      <c r="M220">
        <f t="shared" si="37"/>
        <v>11.790858961000001</v>
      </c>
      <c r="N220" s="9"/>
      <c r="O220" s="22">
        <v>0.95748900000000003</v>
      </c>
      <c r="P220" s="22">
        <v>124.83799999999999</v>
      </c>
      <c r="Q220" s="22">
        <v>-1.63208E-2</v>
      </c>
      <c r="R220" s="22">
        <v>210</v>
      </c>
      <c r="S220" s="22">
        <v>0.95611599999999997</v>
      </c>
      <c r="T220">
        <f t="shared" si="38"/>
        <v>16.320799999999998</v>
      </c>
      <c r="U220">
        <f t="shared" si="39"/>
        <v>15.626986471199999</v>
      </c>
      <c r="X220" s="9"/>
      <c r="Y220" s="22">
        <v>0.71258500000000002</v>
      </c>
      <c r="Z220" s="22">
        <v>194.971</v>
      </c>
      <c r="AA220" s="22">
        <v>-1.6604600000000001E-2</v>
      </c>
      <c r="AB220" s="22">
        <v>210</v>
      </c>
      <c r="AC220" s="22">
        <v>0.7117</v>
      </c>
      <c r="AD220">
        <f t="shared" si="40"/>
        <v>16.604600000000001</v>
      </c>
      <c r="AE220">
        <f t="shared" si="41"/>
        <v>11.832188891000001</v>
      </c>
      <c r="AF220" s="9"/>
      <c r="AG220" s="22">
        <v>0.95748900000000003</v>
      </c>
      <c r="AH220" s="22">
        <v>252.5</v>
      </c>
      <c r="AI220" s="22">
        <v>-1.6204799999999998E-2</v>
      </c>
      <c r="AJ220" s="22">
        <v>210</v>
      </c>
      <c r="AK220" s="22">
        <v>0.95611599999999997</v>
      </c>
      <c r="AL220">
        <f t="shared" si="42"/>
        <v>16.204799999999999</v>
      </c>
      <c r="AM220">
        <f t="shared" si="43"/>
        <v>15.5159177472</v>
      </c>
      <c r="AP220" s="9"/>
      <c r="AQ220" s="22">
        <v>0.71258500000000002</v>
      </c>
      <c r="AR220" s="22">
        <v>331.35500000000002</v>
      </c>
      <c r="AS220" s="22">
        <v>-1.64948E-2</v>
      </c>
      <c r="AT220" s="22">
        <v>210</v>
      </c>
      <c r="AU220" s="22">
        <v>0.71179199999999998</v>
      </c>
      <c r="AV220">
        <f t="shared" si="44"/>
        <v>16.494800000000001</v>
      </c>
      <c r="AW220">
        <f t="shared" si="45"/>
        <v>11.753947058000001</v>
      </c>
      <c r="AX220" s="9"/>
      <c r="AY220" s="22">
        <v>0.95748900000000003</v>
      </c>
      <c r="AZ220" s="22">
        <v>389.66500000000002</v>
      </c>
      <c r="BA220" s="22">
        <v>-1.62262E-2</v>
      </c>
      <c r="BB220" s="22">
        <v>210</v>
      </c>
      <c r="BC220" s="22">
        <v>0.95642099999999997</v>
      </c>
      <c r="BD220">
        <f t="shared" si="46"/>
        <v>16.226199999999999</v>
      </c>
      <c r="BE220">
        <f t="shared" si="47"/>
        <v>15.536408011799999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0.70755000000000001</v>
      </c>
      <c r="H221" s="22">
        <v>60.616999999999997</v>
      </c>
      <c r="I221" s="22">
        <v>-1.6561900000000001E-2</v>
      </c>
      <c r="J221" s="22">
        <v>211</v>
      </c>
      <c r="K221" s="22">
        <v>0.70675699999999997</v>
      </c>
      <c r="L221">
        <f t="shared" si="36"/>
        <v>16.561900000000001</v>
      </c>
      <c r="M221">
        <f t="shared" si="37"/>
        <v>11.718372345000001</v>
      </c>
      <c r="N221" s="9"/>
      <c r="O221" s="22">
        <v>0.96252400000000005</v>
      </c>
      <c r="P221" s="22">
        <v>124.93899999999999</v>
      </c>
      <c r="Q221" s="22">
        <v>-1.6314700000000001E-2</v>
      </c>
      <c r="R221" s="22">
        <v>211</v>
      </c>
      <c r="S221" s="22">
        <v>0.96191400000000005</v>
      </c>
      <c r="T221">
        <f t="shared" si="38"/>
        <v>16.314700000000002</v>
      </c>
      <c r="U221">
        <f t="shared" si="39"/>
        <v>15.703290302800003</v>
      </c>
      <c r="X221" s="9"/>
      <c r="Y221" s="22">
        <v>0.70755000000000001</v>
      </c>
      <c r="Z221" s="22">
        <v>195.072</v>
      </c>
      <c r="AA221" s="22">
        <v>-1.6601600000000001E-2</v>
      </c>
      <c r="AB221" s="22">
        <v>211</v>
      </c>
      <c r="AC221" s="22">
        <v>0.70678700000000005</v>
      </c>
      <c r="AD221">
        <f t="shared" si="40"/>
        <v>16.601600000000001</v>
      </c>
      <c r="AE221">
        <f t="shared" si="41"/>
        <v>11.746462080000001</v>
      </c>
      <c r="AF221" s="9"/>
      <c r="AG221" s="22">
        <v>0.96252400000000005</v>
      </c>
      <c r="AH221" s="22">
        <v>252.601</v>
      </c>
      <c r="AI221" s="22">
        <v>-1.6220100000000001E-2</v>
      </c>
      <c r="AJ221" s="22">
        <v>211</v>
      </c>
      <c r="AK221" s="22">
        <v>0.96130400000000005</v>
      </c>
      <c r="AL221">
        <f t="shared" si="42"/>
        <v>16.220100000000002</v>
      </c>
      <c r="AM221">
        <f t="shared" si="43"/>
        <v>15.612235532400003</v>
      </c>
      <c r="AP221" s="9"/>
      <c r="AQ221" s="22">
        <v>0.70755000000000001</v>
      </c>
      <c r="AR221" s="22">
        <v>331.45499999999998</v>
      </c>
      <c r="AS221" s="22">
        <v>-1.64948E-2</v>
      </c>
      <c r="AT221" s="22">
        <v>211</v>
      </c>
      <c r="AU221" s="22">
        <v>0.70678700000000005</v>
      </c>
      <c r="AV221">
        <f t="shared" si="44"/>
        <v>16.494800000000001</v>
      </c>
      <c r="AW221">
        <f t="shared" si="45"/>
        <v>11.670895740000001</v>
      </c>
      <c r="AX221" s="9"/>
      <c r="AY221" s="22">
        <v>0.96252400000000005</v>
      </c>
      <c r="AZ221" s="22">
        <v>389.76600000000002</v>
      </c>
      <c r="BA221" s="22">
        <v>-1.6213999999999999E-2</v>
      </c>
      <c r="BB221" s="22">
        <v>211</v>
      </c>
      <c r="BC221" s="22">
        <v>0.96130400000000005</v>
      </c>
      <c r="BD221">
        <f t="shared" si="46"/>
        <v>16.213999999999999</v>
      </c>
      <c r="BE221">
        <f t="shared" si="47"/>
        <v>15.606364136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0.702515</v>
      </c>
      <c r="H222" s="22">
        <v>60.717700000000001</v>
      </c>
      <c r="I222" s="22">
        <v>-1.65802E-2</v>
      </c>
      <c r="J222" s="22">
        <v>212</v>
      </c>
      <c r="K222" s="22">
        <v>0.70175200000000004</v>
      </c>
      <c r="L222">
        <f t="shared" si="36"/>
        <v>16.580200000000001</v>
      </c>
      <c r="M222">
        <f t="shared" si="37"/>
        <v>11.647839203</v>
      </c>
      <c r="N222" s="9"/>
      <c r="O222" s="22">
        <v>0.96755999999999998</v>
      </c>
      <c r="P222" s="22">
        <v>125.04</v>
      </c>
      <c r="Q222" s="22">
        <v>-1.6308599999999999E-2</v>
      </c>
      <c r="R222" s="22">
        <v>212</v>
      </c>
      <c r="S222" s="22">
        <v>0.96588099999999999</v>
      </c>
      <c r="T222">
        <f t="shared" si="38"/>
        <v>16.308599999999998</v>
      </c>
      <c r="U222">
        <f t="shared" si="39"/>
        <v>15.779549015999999</v>
      </c>
      <c r="X222" s="9"/>
      <c r="Y222" s="22">
        <v>0.702515</v>
      </c>
      <c r="Z222" s="22">
        <v>195.173</v>
      </c>
      <c r="AA222" s="22">
        <v>-1.6613800000000001E-2</v>
      </c>
      <c r="AB222" s="22">
        <v>212</v>
      </c>
      <c r="AC222" s="22">
        <v>0.70165999999999995</v>
      </c>
      <c r="AD222">
        <f t="shared" si="40"/>
        <v>16.613800000000001</v>
      </c>
      <c r="AE222">
        <f t="shared" si="41"/>
        <v>11.671443707000002</v>
      </c>
      <c r="AF222" s="9"/>
      <c r="AG222" s="22">
        <v>0.96755999999999998</v>
      </c>
      <c r="AH222" s="22">
        <v>252.702</v>
      </c>
      <c r="AI222" s="22">
        <v>-1.6207900000000001E-2</v>
      </c>
      <c r="AJ222" s="22">
        <v>212</v>
      </c>
      <c r="AK222" s="22">
        <v>0.96679700000000002</v>
      </c>
      <c r="AL222">
        <f t="shared" si="42"/>
        <v>16.207900000000002</v>
      </c>
      <c r="AM222">
        <f t="shared" si="43"/>
        <v>15.682115724000001</v>
      </c>
      <c r="AP222" s="9"/>
      <c r="AQ222" s="22">
        <v>0.702515</v>
      </c>
      <c r="AR222" s="22">
        <v>331.55599999999998</v>
      </c>
      <c r="AS222" s="22">
        <v>-1.6500899999999999E-2</v>
      </c>
      <c r="AT222" s="22">
        <v>212</v>
      </c>
      <c r="AU222" s="22">
        <v>0.70150800000000002</v>
      </c>
      <c r="AV222">
        <f t="shared" si="44"/>
        <v>16.500899999999998</v>
      </c>
      <c r="AW222">
        <f t="shared" si="45"/>
        <v>11.592129763499999</v>
      </c>
      <c r="AX222" s="9"/>
      <c r="AY222" s="22">
        <v>0.96755999999999998</v>
      </c>
      <c r="AZ222" s="22">
        <v>389.86700000000002</v>
      </c>
      <c r="BA222" s="22">
        <v>-1.61987E-2</v>
      </c>
      <c r="BB222" s="22">
        <v>212</v>
      </c>
      <c r="BC222" s="22">
        <v>0.96679700000000002</v>
      </c>
      <c r="BD222">
        <f t="shared" si="46"/>
        <v>16.198699999999999</v>
      </c>
      <c r="BE222">
        <f t="shared" si="47"/>
        <v>15.673214171999998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0.69747899999999996</v>
      </c>
      <c r="H223" s="22">
        <v>60.818399999999997</v>
      </c>
      <c r="I223" s="22">
        <v>-1.65802E-2</v>
      </c>
      <c r="J223" s="22">
        <v>213</v>
      </c>
      <c r="K223" s="22">
        <v>0.69653299999999996</v>
      </c>
      <c r="L223">
        <f t="shared" si="36"/>
        <v>16.580200000000001</v>
      </c>
      <c r="M223">
        <f t="shared" si="37"/>
        <v>11.5643413158</v>
      </c>
      <c r="N223" s="9"/>
      <c r="O223" s="22">
        <v>0.97259499999999999</v>
      </c>
      <c r="P223" s="22">
        <v>125.14</v>
      </c>
      <c r="Q223" s="22">
        <v>-1.6302500000000001E-2</v>
      </c>
      <c r="R223" s="22">
        <v>213</v>
      </c>
      <c r="S223" s="22">
        <v>0.97106899999999996</v>
      </c>
      <c r="T223">
        <f t="shared" si="38"/>
        <v>16.302500000000002</v>
      </c>
      <c r="U223">
        <f t="shared" si="39"/>
        <v>15.855729987500002</v>
      </c>
      <c r="X223" s="9"/>
      <c r="Y223" s="22">
        <v>0.69747899999999996</v>
      </c>
      <c r="Z223" s="22">
        <v>195.274</v>
      </c>
      <c r="AA223" s="22">
        <v>-1.6613800000000001E-2</v>
      </c>
      <c r="AB223" s="22">
        <v>213</v>
      </c>
      <c r="AC223" s="22">
        <v>0.696716</v>
      </c>
      <c r="AD223">
        <f t="shared" si="40"/>
        <v>16.613800000000001</v>
      </c>
      <c r="AE223">
        <f t="shared" si="41"/>
        <v>11.587776610200001</v>
      </c>
      <c r="AF223" s="9"/>
      <c r="AG223" s="22">
        <v>0.97259499999999999</v>
      </c>
      <c r="AH223" s="22">
        <v>252.80199999999999</v>
      </c>
      <c r="AI223" s="22">
        <v>-1.6189599999999998E-2</v>
      </c>
      <c r="AJ223" s="22">
        <v>213</v>
      </c>
      <c r="AK223" s="22">
        <v>0.97106899999999996</v>
      </c>
      <c r="AL223">
        <f t="shared" si="42"/>
        <v>16.189599999999999</v>
      </c>
      <c r="AM223">
        <f t="shared" si="43"/>
        <v>15.745924011999998</v>
      </c>
      <c r="AP223" s="9"/>
      <c r="AQ223" s="22">
        <v>0.69747899999999996</v>
      </c>
      <c r="AR223" s="22">
        <v>331.65699999999998</v>
      </c>
      <c r="AS223" s="22">
        <v>-1.6519200000000001E-2</v>
      </c>
      <c r="AT223" s="22">
        <v>213</v>
      </c>
      <c r="AU223" s="22">
        <v>0.69668600000000003</v>
      </c>
      <c r="AV223">
        <f t="shared" si="44"/>
        <v>16.519200000000001</v>
      </c>
      <c r="AW223">
        <f t="shared" si="45"/>
        <v>11.5217950968</v>
      </c>
      <c r="AX223" s="9"/>
      <c r="AY223" s="22">
        <v>0.97259499999999999</v>
      </c>
      <c r="AZ223" s="22">
        <v>389.96800000000002</v>
      </c>
      <c r="BA223" s="22">
        <v>-1.61987E-2</v>
      </c>
      <c r="BB223" s="22">
        <v>213</v>
      </c>
      <c r="BC223" s="22">
        <v>0.97106899999999996</v>
      </c>
      <c r="BD223">
        <f t="shared" si="46"/>
        <v>16.198699999999999</v>
      </c>
      <c r="BE223">
        <f t="shared" si="47"/>
        <v>15.754774626499998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0.69244399999999995</v>
      </c>
      <c r="H224" s="22">
        <v>60.9191</v>
      </c>
      <c r="I224" s="22">
        <v>-1.6577100000000001E-2</v>
      </c>
      <c r="J224" s="22">
        <v>214</v>
      </c>
      <c r="K224" s="22">
        <v>0.69140599999999997</v>
      </c>
      <c r="L224">
        <f t="shared" si="36"/>
        <v>16.577100000000002</v>
      </c>
      <c r="M224">
        <f t="shared" si="37"/>
        <v>11.478713432399999</v>
      </c>
      <c r="N224" s="9"/>
      <c r="O224" s="22">
        <v>0.97763100000000003</v>
      </c>
      <c r="P224" s="22">
        <v>125.241</v>
      </c>
      <c r="Q224" s="22">
        <v>-1.6290300000000001E-2</v>
      </c>
      <c r="R224" s="22">
        <v>214</v>
      </c>
      <c r="S224" s="22">
        <v>0.97656299999999996</v>
      </c>
      <c r="T224">
        <f t="shared" si="38"/>
        <v>16.290300000000002</v>
      </c>
      <c r="U224">
        <f t="shared" si="39"/>
        <v>15.925902279300002</v>
      </c>
      <c r="X224" s="9"/>
      <c r="Y224" s="22">
        <v>0.69244399999999995</v>
      </c>
      <c r="Z224" s="22">
        <v>195.374</v>
      </c>
      <c r="AA224" s="22">
        <v>-1.6625999999999998E-2</v>
      </c>
      <c r="AB224" s="22">
        <v>214</v>
      </c>
      <c r="AC224" s="22">
        <v>0.69162000000000001</v>
      </c>
      <c r="AD224">
        <f t="shared" si="40"/>
        <v>16.625999999999998</v>
      </c>
      <c r="AE224">
        <f t="shared" si="41"/>
        <v>11.512573943999998</v>
      </c>
      <c r="AF224" s="9"/>
      <c r="AG224" s="22">
        <v>0.97763100000000003</v>
      </c>
      <c r="AH224" s="22">
        <v>252.90299999999999</v>
      </c>
      <c r="AI224" s="22">
        <v>-1.6189599999999998E-2</v>
      </c>
      <c r="AJ224" s="22">
        <v>214</v>
      </c>
      <c r="AK224" s="22">
        <v>0.97656299999999996</v>
      </c>
      <c r="AL224">
        <f t="shared" si="42"/>
        <v>16.189599999999999</v>
      </c>
      <c r="AM224">
        <f t="shared" si="43"/>
        <v>15.827454837599999</v>
      </c>
      <c r="AP224" s="9"/>
      <c r="AQ224" s="22">
        <v>0.69244399999999995</v>
      </c>
      <c r="AR224" s="22">
        <v>331.75700000000001</v>
      </c>
      <c r="AS224" s="22">
        <v>-1.6513099999999999E-2</v>
      </c>
      <c r="AT224" s="22">
        <v>214</v>
      </c>
      <c r="AU224" s="22">
        <v>0.69162000000000001</v>
      </c>
      <c r="AV224">
        <f t="shared" si="44"/>
        <v>16.513099999999998</v>
      </c>
      <c r="AW224">
        <f t="shared" si="45"/>
        <v>11.434397016399998</v>
      </c>
      <c r="AX224" s="9"/>
      <c r="AY224" s="22">
        <v>0.97763100000000003</v>
      </c>
      <c r="AZ224" s="22">
        <v>390.06799999999998</v>
      </c>
      <c r="BA224" s="22">
        <v>-1.6201799999999999E-2</v>
      </c>
      <c r="BB224" s="22">
        <v>214</v>
      </c>
      <c r="BC224" s="22">
        <v>0.97625700000000004</v>
      </c>
      <c r="BD224">
        <f t="shared" si="46"/>
        <v>16.201799999999999</v>
      </c>
      <c r="BE224">
        <f t="shared" si="47"/>
        <v>15.839381935799999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0.68740800000000002</v>
      </c>
      <c r="H225" s="22">
        <v>61.019799999999996</v>
      </c>
      <c r="I225" s="22">
        <v>-1.6574100000000001E-2</v>
      </c>
      <c r="J225" s="22">
        <v>215</v>
      </c>
      <c r="K225" s="22">
        <v>0.68664599999999998</v>
      </c>
      <c r="L225">
        <f t="shared" si="36"/>
        <v>16.574100000000001</v>
      </c>
      <c r="M225">
        <f t="shared" si="37"/>
        <v>11.393168932800002</v>
      </c>
      <c r="N225" s="9"/>
      <c r="O225" s="22">
        <v>0.98266600000000004</v>
      </c>
      <c r="P225" s="22">
        <v>125.342</v>
      </c>
      <c r="Q225" s="22">
        <v>-1.62933E-2</v>
      </c>
      <c r="R225" s="22">
        <v>215</v>
      </c>
      <c r="S225" s="22">
        <v>0.98175000000000001</v>
      </c>
      <c r="T225">
        <f t="shared" si="38"/>
        <v>16.293299999999999</v>
      </c>
      <c r="U225">
        <f t="shared" si="39"/>
        <v>16.010871937799998</v>
      </c>
      <c r="X225" s="9"/>
      <c r="Y225" s="22">
        <v>0.68740800000000002</v>
      </c>
      <c r="Z225" s="22">
        <v>195.47499999999999</v>
      </c>
      <c r="AA225" s="22">
        <v>-1.6629000000000001E-2</v>
      </c>
      <c r="AB225" s="22">
        <v>215</v>
      </c>
      <c r="AC225" s="22">
        <v>0.686554</v>
      </c>
      <c r="AD225">
        <f t="shared" si="40"/>
        <v>16.629000000000001</v>
      </c>
      <c r="AE225">
        <f t="shared" si="41"/>
        <v>11.430907632000002</v>
      </c>
      <c r="AF225" s="9"/>
      <c r="AG225" s="22">
        <v>0.98266600000000004</v>
      </c>
      <c r="AH225" s="22">
        <v>253.00399999999999</v>
      </c>
      <c r="AI225" s="22">
        <v>-1.6174299999999999E-2</v>
      </c>
      <c r="AJ225" s="22">
        <v>215</v>
      </c>
      <c r="AK225" s="22">
        <v>0.98175000000000001</v>
      </c>
      <c r="AL225">
        <f t="shared" si="42"/>
        <v>16.174299999999999</v>
      </c>
      <c r="AM225">
        <f t="shared" si="43"/>
        <v>15.8939346838</v>
      </c>
      <c r="AP225" s="9"/>
      <c r="AQ225" s="22">
        <v>0.68740800000000002</v>
      </c>
      <c r="AR225" s="22">
        <v>331.858</v>
      </c>
      <c r="AS225" s="22">
        <v>-1.6516099999999999E-2</v>
      </c>
      <c r="AT225" s="22">
        <v>215</v>
      </c>
      <c r="AU225" s="22">
        <v>0.68664599999999998</v>
      </c>
      <c r="AV225">
        <f t="shared" si="44"/>
        <v>16.516099999999998</v>
      </c>
      <c r="AW225">
        <f t="shared" si="45"/>
        <v>11.353299268799999</v>
      </c>
      <c r="AX225" s="9"/>
      <c r="AY225" s="22">
        <v>0.98266600000000004</v>
      </c>
      <c r="AZ225" s="22">
        <v>390.16899999999998</v>
      </c>
      <c r="BA225" s="22">
        <v>-1.61957E-2</v>
      </c>
      <c r="BB225" s="22">
        <v>215</v>
      </c>
      <c r="BC225" s="22">
        <v>0.98175000000000001</v>
      </c>
      <c r="BD225">
        <f t="shared" si="46"/>
        <v>16.195699999999999</v>
      </c>
      <c r="BE225">
        <f t="shared" si="47"/>
        <v>15.914963736199999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0.68237300000000001</v>
      </c>
      <c r="H226" s="22">
        <v>61.1205</v>
      </c>
      <c r="I226" s="22">
        <v>-1.65802E-2</v>
      </c>
      <c r="J226" s="22">
        <v>216</v>
      </c>
      <c r="K226" s="22">
        <v>0.68157999999999996</v>
      </c>
      <c r="L226">
        <f t="shared" si="36"/>
        <v>16.580200000000001</v>
      </c>
      <c r="M226">
        <f t="shared" si="37"/>
        <v>11.313880814600001</v>
      </c>
      <c r="N226" s="9"/>
      <c r="O226" s="22">
        <v>0.98770100000000005</v>
      </c>
      <c r="P226" s="22">
        <v>125.443</v>
      </c>
      <c r="Q226" s="22">
        <v>-1.6284199999999999E-2</v>
      </c>
      <c r="R226" s="22">
        <v>216</v>
      </c>
      <c r="S226" s="22">
        <v>0.98663299999999998</v>
      </c>
      <c r="T226">
        <f t="shared" si="38"/>
        <v>16.284199999999998</v>
      </c>
      <c r="U226">
        <f t="shared" si="39"/>
        <v>16.083920624200001</v>
      </c>
      <c r="X226" s="9"/>
      <c r="Y226" s="22">
        <v>0.68237300000000001</v>
      </c>
      <c r="Z226" s="22">
        <v>195.57599999999999</v>
      </c>
      <c r="AA226" s="22">
        <v>-1.6622899999999999E-2</v>
      </c>
      <c r="AB226" s="22">
        <v>216</v>
      </c>
      <c r="AC226" s="22">
        <v>0.68161000000000005</v>
      </c>
      <c r="AD226">
        <f t="shared" si="40"/>
        <v>16.622899999999998</v>
      </c>
      <c r="AE226">
        <f t="shared" si="41"/>
        <v>11.343018141699998</v>
      </c>
      <c r="AF226" s="9"/>
      <c r="AG226" s="22">
        <v>0.98770100000000005</v>
      </c>
      <c r="AH226" s="22">
        <v>253.10499999999999</v>
      </c>
      <c r="AI226" s="22">
        <v>-1.6180400000000001E-2</v>
      </c>
      <c r="AJ226" s="22">
        <v>216</v>
      </c>
      <c r="AK226" s="22">
        <v>0.98632799999999998</v>
      </c>
      <c r="AL226">
        <f t="shared" si="42"/>
        <v>16.180400000000002</v>
      </c>
      <c r="AM226">
        <f t="shared" si="43"/>
        <v>15.981397260400003</v>
      </c>
      <c r="AP226" s="9"/>
      <c r="AQ226" s="22">
        <v>0.68237300000000001</v>
      </c>
      <c r="AR226" s="22">
        <v>331.959</v>
      </c>
      <c r="AS226" s="22">
        <v>-1.6534400000000001E-2</v>
      </c>
      <c r="AT226" s="22">
        <v>216</v>
      </c>
      <c r="AU226" s="22">
        <v>0.68154899999999996</v>
      </c>
      <c r="AV226">
        <f t="shared" si="44"/>
        <v>16.534400000000002</v>
      </c>
      <c r="AW226">
        <f t="shared" si="45"/>
        <v>11.282628131200001</v>
      </c>
      <c r="AX226" s="9"/>
      <c r="AY226" s="22">
        <v>0.98770100000000005</v>
      </c>
      <c r="AZ226" s="22">
        <v>390.27</v>
      </c>
      <c r="BA226" s="22">
        <v>-1.61835E-2</v>
      </c>
      <c r="BB226" s="22">
        <v>216</v>
      </c>
      <c r="BC226" s="22">
        <v>0.98602299999999998</v>
      </c>
      <c r="BD226">
        <f t="shared" si="46"/>
        <v>16.183499999999999</v>
      </c>
      <c r="BE226">
        <f t="shared" si="47"/>
        <v>15.9844591335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0.677338</v>
      </c>
      <c r="H227" s="22">
        <v>61.221200000000003</v>
      </c>
      <c r="I227" s="22">
        <v>-1.6586299999999998E-2</v>
      </c>
      <c r="J227" s="22">
        <v>217</v>
      </c>
      <c r="K227" s="22">
        <v>0.67645299999999997</v>
      </c>
      <c r="L227">
        <f t="shared" si="36"/>
        <v>16.586299999999998</v>
      </c>
      <c r="M227">
        <f t="shared" si="37"/>
        <v>11.234531269399998</v>
      </c>
      <c r="N227" s="9"/>
      <c r="O227" s="22">
        <v>0.99273699999999998</v>
      </c>
      <c r="P227" s="22">
        <v>125.54300000000001</v>
      </c>
      <c r="Q227" s="22">
        <v>-1.6290300000000001E-2</v>
      </c>
      <c r="R227" s="22">
        <v>217</v>
      </c>
      <c r="S227" s="22">
        <v>0.99151599999999995</v>
      </c>
      <c r="T227">
        <f t="shared" si="38"/>
        <v>16.290300000000002</v>
      </c>
      <c r="U227">
        <f t="shared" si="39"/>
        <v>16.171983551100002</v>
      </c>
      <c r="X227" s="9"/>
      <c r="Y227" s="22">
        <v>0.677338</v>
      </c>
      <c r="Z227" s="22">
        <v>195.67599999999999</v>
      </c>
      <c r="AA227" s="22">
        <v>-1.6625999999999998E-2</v>
      </c>
      <c r="AB227" s="22">
        <v>217</v>
      </c>
      <c r="AC227" s="22">
        <v>0.67666599999999999</v>
      </c>
      <c r="AD227">
        <f t="shared" si="40"/>
        <v>16.625999999999998</v>
      </c>
      <c r="AE227">
        <f t="shared" si="41"/>
        <v>11.261421587999997</v>
      </c>
      <c r="AF227" s="9"/>
      <c r="AG227" s="22">
        <v>0.99273699999999998</v>
      </c>
      <c r="AH227" s="22">
        <v>253.20500000000001</v>
      </c>
      <c r="AI227" s="22">
        <v>-1.6177400000000002E-2</v>
      </c>
      <c r="AJ227" s="22">
        <v>217</v>
      </c>
      <c r="AK227" s="22">
        <v>0.99182099999999995</v>
      </c>
      <c r="AL227">
        <f t="shared" si="42"/>
        <v>16.177400000000002</v>
      </c>
      <c r="AM227">
        <f t="shared" si="43"/>
        <v>16.059903543800001</v>
      </c>
      <c r="AP227" s="9"/>
      <c r="AQ227" s="22">
        <v>0.677338</v>
      </c>
      <c r="AR227" s="22">
        <v>332.06</v>
      </c>
      <c r="AS227" s="22">
        <v>-1.6534400000000001E-2</v>
      </c>
      <c r="AT227" s="22">
        <v>217</v>
      </c>
      <c r="AU227" s="22">
        <v>0.67654400000000003</v>
      </c>
      <c r="AV227">
        <f t="shared" si="44"/>
        <v>16.534400000000002</v>
      </c>
      <c r="AW227">
        <f t="shared" si="45"/>
        <v>11.199377427200002</v>
      </c>
      <c r="AX227" s="9"/>
      <c r="AY227" s="22">
        <v>0.99273699999999998</v>
      </c>
      <c r="AZ227" s="22">
        <v>390.37</v>
      </c>
      <c r="BA227" s="22">
        <v>-1.6168200000000001E-2</v>
      </c>
      <c r="BB227" s="22">
        <v>217</v>
      </c>
      <c r="BC227" s="22">
        <v>0.99151599999999995</v>
      </c>
      <c r="BD227">
        <f t="shared" si="46"/>
        <v>16.168200000000002</v>
      </c>
      <c r="BE227">
        <f t="shared" si="47"/>
        <v>16.050770363400002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0.67230199999999996</v>
      </c>
      <c r="H228" s="22">
        <v>61.321899999999999</v>
      </c>
      <c r="I228" s="22">
        <v>-1.65802E-2</v>
      </c>
      <c r="J228" s="22">
        <v>218</v>
      </c>
      <c r="K228" s="22">
        <v>0.67150900000000002</v>
      </c>
      <c r="L228">
        <f t="shared" si="36"/>
        <v>16.580200000000001</v>
      </c>
      <c r="M228">
        <f t="shared" si="37"/>
        <v>11.1469016204</v>
      </c>
      <c r="N228" s="9"/>
      <c r="O228" s="22">
        <v>0.99777199999999999</v>
      </c>
      <c r="P228" s="22">
        <v>125.64400000000001</v>
      </c>
      <c r="Q228" s="22">
        <v>-1.6287200000000002E-2</v>
      </c>
      <c r="R228" s="22">
        <v>218</v>
      </c>
      <c r="S228" s="22">
        <v>0.99639900000000003</v>
      </c>
      <c r="T228">
        <f t="shared" si="38"/>
        <v>16.287200000000002</v>
      </c>
      <c r="U228">
        <f t="shared" si="39"/>
        <v>16.250912118400002</v>
      </c>
      <c r="X228" s="9"/>
      <c r="Y228" s="22">
        <v>0.67230199999999996</v>
      </c>
      <c r="Z228" s="22">
        <v>195.77699999999999</v>
      </c>
      <c r="AA228" s="22">
        <v>-1.6638199999999999E-2</v>
      </c>
      <c r="AB228" s="22">
        <v>218</v>
      </c>
      <c r="AC228" s="22">
        <v>0.67147800000000002</v>
      </c>
      <c r="AD228">
        <f t="shared" si="40"/>
        <v>16.638199999999998</v>
      </c>
      <c r="AE228">
        <f t="shared" si="41"/>
        <v>11.185895136399997</v>
      </c>
      <c r="AF228" s="9"/>
      <c r="AG228" s="22">
        <v>0.99777199999999999</v>
      </c>
      <c r="AH228" s="22">
        <v>253.30600000000001</v>
      </c>
      <c r="AI228" s="22">
        <v>-1.6180400000000001E-2</v>
      </c>
      <c r="AJ228" s="22">
        <v>218</v>
      </c>
      <c r="AK228" s="22">
        <v>0.99670400000000003</v>
      </c>
      <c r="AL228">
        <f t="shared" si="42"/>
        <v>16.180400000000002</v>
      </c>
      <c r="AM228">
        <f t="shared" si="43"/>
        <v>16.144350068800001</v>
      </c>
      <c r="AP228" s="9"/>
      <c r="AQ228" s="22">
        <v>0.67230199999999996</v>
      </c>
      <c r="AR228" s="22">
        <v>332.16</v>
      </c>
      <c r="AS228" s="22">
        <v>-1.65405E-2</v>
      </c>
      <c r="AT228" s="22">
        <v>218</v>
      </c>
      <c r="AU228" s="22">
        <v>0.67138699999999996</v>
      </c>
      <c r="AV228">
        <f t="shared" si="44"/>
        <v>16.540499999999998</v>
      </c>
      <c r="AW228">
        <f t="shared" si="45"/>
        <v>11.120211230999997</v>
      </c>
      <c r="AX228" s="9"/>
      <c r="AY228" s="22">
        <v>0.99777199999999999</v>
      </c>
      <c r="AZ228" s="22">
        <v>390.471</v>
      </c>
      <c r="BA228" s="22">
        <v>-1.6165200000000001E-2</v>
      </c>
      <c r="BB228" s="22">
        <v>218</v>
      </c>
      <c r="BC228" s="22">
        <v>0.99639900000000003</v>
      </c>
      <c r="BD228">
        <f t="shared" si="46"/>
        <v>16.165200000000002</v>
      </c>
      <c r="BE228">
        <f t="shared" si="47"/>
        <v>16.129183934400004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0.66726700000000005</v>
      </c>
      <c r="H229" s="22">
        <v>61.422600000000003</v>
      </c>
      <c r="I229" s="22">
        <v>-1.6574100000000001E-2</v>
      </c>
      <c r="J229" s="22">
        <v>219</v>
      </c>
      <c r="K229" s="22">
        <v>0.66662600000000005</v>
      </c>
      <c r="L229">
        <f t="shared" si="36"/>
        <v>16.574100000000001</v>
      </c>
      <c r="M229">
        <f t="shared" si="37"/>
        <v>11.059349984700003</v>
      </c>
      <c r="N229" s="9"/>
      <c r="O229" s="22">
        <v>1.00281</v>
      </c>
      <c r="P229" s="22">
        <v>125.745</v>
      </c>
      <c r="Q229" s="22">
        <v>-1.6256699999999999E-2</v>
      </c>
      <c r="R229" s="22">
        <v>219</v>
      </c>
      <c r="S229" s="22">
        <v>1.00159</v>
      </c>
      <c r="T229">
        <f t="shared" si="38"/>
        <v>16.256699999999999</v>
      </c>
      <c r="U229">
        <f t="shared" si="39"/>
        <v>16.302381326999999</v>
      </c>
      <c r="X229" s="9"/>
      <c r="Y229" s="22">
        <v>0.66726700000000005</v>
      </c>
      <c r="Z229" s="22">
        <v>195.87799999999999</v>
      </c>
      <c r="AA229" s="22">
        <v>-1.6629000000000001E-2</v>
      </c>
      <c r="AB229" s="22">
        <v>219</v>
      </c>
      <c r="AC229" s="22">
        <v>0.66638200000000003</v>
      </c>
      <c r="AD229">
        <f t="shared" si="40"/>
        <v>16.629000000000001</v>
      </c>
      <c r="AE229">
        <f t="shared" si="41"/>
        <v>11.095982943000001</v>
      </c>
      <c r="AF229" s="9"/>
      <c r="AG229" s="22">
        <v>1.00281</v>
      </c>
      <c r="AH229" s="22">
        <v>253.40700000000001</v>
      </c>
      <c r="AI229" s="22">
        <v>-1.6168200000000001E-2</v>
      </c>
      <c r="AJ229" s="22">
        <v>219</v>
      </c>
      <c r="AK229" s="22">
        <v>1.0018899999999999</v>
      </c>
      <c r="AL229">
        <f t="shared" si="42"/>
        <v>16.168200000000002</v>
      </c>
      <c r="AM229">
        <f t="shared" si="43"/>
        <v>16.213632642</v>
      </c>
      <c r="AP229" s="9"/>
      <c r="AQ229" s="22">
        <v>0.66726700000000005</v>
      </c>
      <c r="AR229" s="22">
        <v>332.26100000000002</v>
      </c>
      <c r="AS229" s="22">
        <v>-1.65375E-2</v>
      </c>
      <c r="AT229" s="22">
        <v>219</v>
      </c>
      <c r="AU229" s="22">
        <v>0.66650399999999999</v>
      </c>
      <c r="AV229">
        <f t="shared" si="44"/>
        <v>16.537500000000001</v>
      </c>
      <c r="AW229">
        <f t="shared" si="45"/>
        <v>11.034928012500002</v>
      </c>
      <c r="AX229" s="9"/>
      <c r="AY229" s="22">
        <v>1.00281</v>
      </c>
      <c r="AZ229" s="22">
        <v>390.572</v>
      </c>
      <c r="BA229" s="22">
        <v>-1.6159099999999999E-2</v>
      </c>
      <c r="BB229" s="22">
        <v>219</v>
      </c>
      <c r="BC229" s="22">
        <v>1.0018899999999999</v>
      </c>
      <c r="BD229">
        <f t="shared" si="46"/>
        <v>16.159099999999999</v>
      </c>
      <c r="BE229">
        <f t="shared" si="47"/>
        <v>16.204507070999998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0.66223100000000001</v>
      </c>
      <c r="H230" s="22">
        <v>61.523400000000002</v>
      </c>
      <c r="I230" s="22">
        <v>-1.6577100000000001E-2</v>
      </c>
      <c r="J230" s="22">
        <v>220</v>
      </c>
      <c r="K230" s="22">
        <v>0.66131600000000001</v>
      </c>
      <c r="L230">
        <f t="shared" si="36"/>
        <v>16.577100000000002</v>
      </c>
      <c r="M230">
        <f t="shared" si="37"/>
        <v>10.977869510100001</v>
      </c>
      <c r="N230" s="9"/>
      <c r="O230" s="22">
        <v>1.0078400000000001</v>
      </c>
      <c r="P230" s="22">
        <v>125.845</v>
      </c>
      <c r="Q230" s="22">
        <v>-1.6262800000000001E-2</v>
      </c>
      <c r="R230" s="22">
        <v>220</v>
      </c>
      <c r="S230" s="22">
        <v>1.00708</v>
      </c>
      <c r="T230">
        <f t="shared" si="38"/>
        <v>16.262800000000002</v>
      </c>
      <c r="U230">
        <f t="shared" si="39"/>
        <v>16.390300352000004</v>
      </c>
      <c r="X230" s="9"/>
      <c r="Y230" s="22">
        <v>0.66223100000000001</v>
      </c>
      <c r="Z230" s="22">
        <v>195.97800000000001</v>
      </c>
      <c r="AA230" s="22">
        <v>-1.6625999999999998E-2</v>
      </c>
      <c r="AB230" s="22">
        <v>220</v>
      </c>
      <c r="AC230" s="22">
        <v>0.66146899999999997</v>
      </c>
      <c r="AD230">
        <f t="shared" si="40"/>
        <v>16.625999999999998</v>
      </c>
      <c r="AE230">
        <f t="shared" si="41"/>
        <v>11.010252605999998</v>
      </c>
      <c r="AF230" s="9"/>
      <c r="AG230" s="22">
        <v>1.0078400000000001</v>
      </c>
      <c r="AH230" s="22">
        <v>253.50700000000001</v>
      </c>
      <c r="AI230" s="22">
        <v>-1.6180400000000001E-2</v>
      </c>
      <c r="AJ230" s="22">
        <v>220</v>
      </c>
      <c r="AK230" s="22">
        <v>1.00739</v>
      </c>
      <c r="AL230">
        <f t="shared" si="42"/>
        <v>16.180400000000002</v>
      </c>
      <c r="AM230">
        <f t="shared" si="43"/>
        <v>16.307254336000003</v>
      </c>
      <c r="AP230" s="9"/>
      <c r="AQ230" s="22">
        <v>0.66223100000000001</v>
      </c>
      <c r="AR230" s="22">
        <v>332.36200000000002</v>
      </c>
      <c r="AS230" s="22">
        <v>-1.6543599999999999E-2</v>
      </c>
      <c r="AT230" s="22">
        <v>220</v>
      </c>
      <c r="AU230" s="22">
        <v>0.66134599999999999</v>
      </c>
      <c r="AV230">
        <f t="shared" si="44"/>
        <v>16.543599999999998</v>
      </c>
      <c r="AW230">
        <f t="shared" si="45"/>
        <v>10.9556847716</v>
      </c>
      <c r="AX230" s="9"/>
      <c r="AY230" s="22">
        <v>1.0078400000000001</v>
      </c>
      <c r="AZ230" s="22">
        <v>390.673</v>
      </c>
      <c r="BA230" s="22">
        <v>-1.6137700000000001E-2</v>
      </c>
      <c r="BB230" s="22">
        <v>220</v>
      </c>
      <c r="BC230" s="22">
        <v>1.00647</v>
      </c>
      <c r="BD230">
        <f t="shared" si="46"/>
        <v>16.137700000000002</v>
      </c>
      <c r="BE230">
        <f t="shared" si="47"/>
        <v>16.264219568000005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0.657196</v>
      </c>
      <c r="H231" s="22">
        <v>61.624099999999999</v>
      </c>
      <c r="I231" s="22">
        <v>-1.6601600000000001E-2</v>
      </c>
      <c r="J231" s="22">
        <v>221</v>
      </c>
      <c r="K231" s="22">
        <v>0.65649400000000002</v>
      </c>
      <c r="L231">
        <f t="shared" si="36"/>
        <v>16.601600000000001</v>
      </c>
      <c r="M231">
        <f t="shared" si="37"/>
        <v>10.910505113600001</v>
      </c>
      <c r="N231" s="9"/>
      <c r="O231" s="22">
        <v>1.01288</v>
      </c>
      <c r="P231" s="22">
        <v>125.946</v>
      </c>
      <c r="Q231" s="22">
        <v>-1.6268899999999999E-2</v>
      </c>
      <c r="R231" s="22">
        <v>221</v>
      </c>
      <c r="S231" s="22">
        <v>1.01196</v>
      </c>
      <c r="T231">
        <f t="shared" si="38"/>
        <v>16.268899999999999</v>
      </c>
      <c r="U231">
        <f t="shared" si="39"/>
        <v>16.478443431999999</v>
      </c>
      <c r="X231" s="9"/>
      <c r="Y231" s="22">
        <v>0.657196</v>
      </c>
      <c r="Z231" s="22">
        <v>196.07900000000001</v>
      </c>
      <c r="AA231" s="22">
        <v>-1.6613800000000001E-2</v>
      </c>
      <c r="AB231" s="22">
        <v>221</v>
      </c>
      <c r="AC231" s="22">
        <v>0.65634199999999998</v>
      </c>
      <c r="AD231">
        <f t="shared" si="40"/>
        <v>16.613800000000001</v>
      </c>
      <c r="AE231">
        <f t="shared" si="41"/>
        <v>10.918522904800001</v>
      </c>
      <c r="AF231" s="9"/>
      <c r="AG231" s="22">
        <v>1.01288</v>
      </c>
      <c r="AH231" s="22">
        <v>253.608</v>
      </c>
      <c r="AI231" s="22">
        <v>-1.6162099999999999E-2</v>
      </c>
      <c r="AJ231" s="22">
        <v>221</v>
      </c>
      <c r="AK231" s="22">
        <v>1.01227</v>
      </c>
      <c r="AL231">
        <f t="shared" si="42"/>
        <v>16.162099999999999</v>
      </c>
      <c r="AM231">
        <f t="shared" si="43"/>
        <v>16.370267847999997</v>
      </c>
      <c r="AP231" s="9"/>
      <c r="AQ231" s="22">
        <v>0.657196</v>
      </c>
      <c r="AR231" s="22">
        <v>332.46199999999999</v>
      </c>
      <c r="AS231" s="22">
        <v>-1.65375E-2</v>
      </c>
      <c r="AT231" s="22">
        <v>221</v>
      </c>
      <c r="AU231" s="22">
        <v>0.65643300000000004</v>
      </c>
      <c r="AV231">
        <f t="shared" si="44"/>
        <v>16.537500000000001</v>
      </c>
      <c r="AW231">
        <f t="shared" si="45"/>
        <v>10.868378850000001</v>
      </c>
      <c r="AX231" s="9"/>
      <c r="AY231" s="22">
        <v>1.01288</v>
      </c>
      <c r="AZ231" s="22">
        <v>390.77300000000002</v>
      </c>
      <c r="BA231" s="22">
        <v>-1.6137700000000001E-2</v>
      </c>
      <c r="BB231" s="22">
        <v>221</v>
      </c>
      <c r="BC231" s="22">
        <v>1.01227</v>
      </c>
      <c r="BD231">
        <f t="shared" si="46"/>
        <v>16.137700000000002</v>
      </c>
      <c r="BE231">
        <f t="shared" si="47"/>
        <v>16.345553576000004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0.65216099999999999</v>
      </c>
      <c r="H232" s="22">
        <v>61.724800000000002</v>
      </c>
      <c r="I232" s="22">
        <v>-1.6601600000000001E-2</v>
      </c>
      <c r="J232" s="22">
        <v>222</v>
      </c>
      <c r="K232" s="22">
        <v>0.65151999999999999</v>
      </c>
      <c r="L232">
        <f t="shared" si="36"/>
        <v>16.601600000000001</v>
      </c>
      <c r="M232">
        <f t="shared" si="37"/>
        <v>10.8269160576</v>
      </c>
      <c r="N232" s="9"/>
      <c r="O232" s="22">
        <v>1.0179100000000001</v>
      </c>
      <c r="P232" s="22">
        <v>126.047</v>
      </c>
      <c r="Q232" s="22">
        <v>-1.6241499999999999E-2</v>
      </c>
      <c r="R232" s="22">
        <v>222</v>
      </c>
      <c r="S232" s="22">
        <v>1.01685</v>
      </c>
      <c r="T232">
        <f t="shared" si="38"/>
        <v>16.241499999999998</v>
      </c>
      <c r="U232">
        <f t="shared" si="39"/>
        <v>16.532385264999998</v>
      </c>
      <c r="X232" s="9"/>
      <c r="Y232" s="22">
        <v>0.65216099999999999</v>
      </c>
      <c r="Z232" s="22">
        <v>196.18</v>
      </c>
      <c r="AA232" s="22">
        <v>-1.66351E-2</v>
      </c>
      <c r="AB232" s="22">
        <v>222</v>
      </c>
      <c r="AC232" s="22">
        <v>0.65145900000000001</v>
      </c>
      <c r="AD232">
        <f t="shared" si="40"/>
        <v>16.635100000000001</v>
      </c>
      <c r="AE232">
        <f t="shared" si="41"/>
        <v>10.8487634511</v>
      </c>
      <c r="AF232" s="9"/>
      <c r="AG232" s="22">
        <v>1.0179100000000001</v>
      </c>
      <c r="AH232" s="22">
        <v>253.709</v>
      </c>
      <c r="AI232" s="22">
        <v>-1.6134599999999999E-2</v>
      </c>
      <c r="AJ232" s="22">
        <v>222</v>
      </c>
      <c r="AK232" s="22">
        <v>1.01685</v>
      </c>
      <c r="AL232">
        <f t="shared" si="42"/>
        <v>16.134599999999999</v>
      </c>
      <c r="AM232">
        <f t="shared" si="43"/>
        <v>16.423570686000001</v>
      </c>
      <c r="AP232" s="9"/>
      <c r="AQ232" s="22">
        <v>0.65216099999999999</v>
      </c>
      <c r="AR232" s="22">
        <v>332.56299999999999</v>
      </c>
      <c r="AS232" s="22">
        <v>-1.6543599999999999E-2</v>
      </c>
      <c r="AT232" s="22">
        <v>222</v>
      </c>
      <c r="AU232" s="22">
        <v>0.65130600000000005</v>
      </c>
      <c r="AV232">
        <f t="shared" si="44"/>
        <v>16.543599999999998</v>
      </c>
      <c r="AW232">
        <f t="shared" si="45"/>
        <v>10.789090719599999</v>
      </c>
      <c r="AX232" s="9"/>
      <c r="AY232" s="22">
        <v>1.0179100000000001</v>
      </c>
      <c r="AZ232" s="22">
        <v>390.87400000000002</v>
      </c>
      <c r="BA232" s="22">
        <v>-1.6125500000000001E-2</v>
      </c>
      <c r="BB232" s="22">
        <v>222</v>
      </c>
      <c r="BC232" s="22">
        <v>1.01685</v>
      </c>
      <c r="BD232">
        <f t="shared" si="46"/>
        <v>16.125500000000002</v>
      </c>
      <c r="BE232">
        <f t="shared" si="47"/>
        <v>16.414307705000002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0.64712499999999995</v>
      </c>
      <c r="H233" s="22">
        <v>61.825499999999998</v>
      </c>
      <c r="I233" s="22">
        <v>-1.6595499999999999E-2</v>
      </c>
      <c r="J233" s="22">
        <v>223</v>
      </c>
      <c r="K233" s="22">
        <v>0.64633200000000002</v>
      </c>
      <c r="L233">
        <f t="shared" si="36"/>
        <v>16.595499999999998</v>
      </c>
      <c r="M233">
        <f t="shared" si="37"/>
        <v>10.739362937499997</v>
      </c>
      <c r="N233" s="9"/>
      <c r="O233" s="22">
        <v>1.02295</v>
      </c>
      <c r="P233" s="22">
        <v>126.14700000000001</v>
      </c>
      <c r="Q233" s="22">
        <v>-1.62384E-2</v>
      </c>
      <c r="R233" s="22">
        <v>223</v>
      </c>
      <c r="S233" s="22">
        <v>1.02234</v>
      </c>
      <c r="T233">
        <f t="shared" si="38"/>
        <v>16.238399999999999</v>
      </c>
      <c r="U233">
        <f t="shared" si="39"/>
        <v>16.611071279999997</v>
      </c>
      <c r="X233" s="9"/>
      <c r="Y233" s="22">
        <v>0.64712499999999995</v>
      </c>
      <c r="Z233" s="22">
        <v>196.28100000000001</v>
      </c>
      <c r="AA233" s="22">
        <v>-1.66199E-2</v>
      </c>
      <c r="AB233" s="22">
        <v>223</v>
      </c>
      <c r="AC233" s="22">
        <v>0.64627100000000004</v>
      </c>
      <c r="AD233">
        <f t="shared" si="40"/>
        <v>16.619900000000001</v>
      </c>
      <c r="AE233">
        <f t="shared" si="41"/>
        <v>10.7551527875</v>
      </c>
      <c r="AF233" s="9"/>
      <c r="AG233" s="22">
        <v>1.02295</v>
      </c>
      <c r="AH233" s="22">
        <v>253.81</v>
      </c>
      <c r="AI233" s="22">
        <v>-1.6125500000000001E-2</v>
      </c>
      <c r="AJ233" s="22">
        <v>223</v>
      </c>
      <c r="AK233" s="22">
        <v>1.02142</v>
      </c>
      <c r="AL233">
        <f t="shared" si="42"/>
        <v>16.125500000000002</v>
      </c>
      <c r="AM233">
        <f t="shared" si="43"/>
        <v>16.495580225000001</v>
      </c>
      <c r="AP233" s="9"/>
      <c r="AQ233" s="22">
        <v>0.64712499999999995</v>
      </c>
      <c r="AR233" s="22">
        <v>332.66399999999999</v>
      </c>
      <c r="AS233" s="22">
        <v>-1.6546600000000002E-2</v>
      </c>
      <c r="AT233" s="22">
        <v>223</v>
      </c>
      <c r="AU233" s="22">
        <v>0.646393</v>
      </c>
      <c r="AV233">
        <f t="shared" si="44"/>
        <v>16.546600000000002</v>
      </c>
      <c r="AW233">
        <f t="shared" si="45"/>
        <v>10.707718525000001</v>
      </c>
      <c r="AX233" s="9"/>
      <c r="AY233" s="22">
        <v>1.02295</v>
      </c>
      <c r="AZ233" s="22">
        <v>390.97500000000002</v>
      </c>
      <c r="BA233" s="22">
        <v>-1.6122399999999999E-2</v>
      </c>
      <c r="BB233" s="22">
        <v>223</v>
      </c>
      <c r="BC233" s="22">
        <v>1.02234</v>
      </c>
      <c r="BD233">
        <f t="shared" si="46"/>
        <v>16.122399999999999</v>
      </c>
      <c r="BE233">
        <f t="shared" si="47"/>
        <v>16.492409079999998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0.64209000000000005</v>
      </c>
      <c r="H234" s="22">
        <v>61.926200000000001</v>
      </c>
      <c r="I234" s="22">
        <v>-1.6595499999999999E-2</v>
      </c>
      <c r="J234" s="22">
        <v>224</v>
      </c>
      <c r="K234" s="22">
        <v>0.64129599999999998</v>
      </c>
      <c r="L234">
        <f t="shared" si="36"/>
        <v>16.595499999999998</v>
      </c>
      <c r="M234">
        <f t="shared" si="37"/>
        <v>10.655804594999999</v>
      </c>
      <c r="N234" s="9"/>
      <c r="O234" s="22">
        <v>1.0279799999999999</v>
      </c>
      <c r="P234" s="22">
        <v>126.248</v>
      </c>
      <c r="Q234" s="22">
        <v>-1.6235400000000001E-2</v>
      </c>
      <c r="R234" s="22">
        <v>224</v>
      </c>
      <c r="S234" s="22">
        <v>1.02722</v>
      </c>
      <c r="T234">
        <f t="shared" si="38"/>
        <v>16.235400000000002</v>
      </c>
      <c r="U234">
        <f t="shared" si="39"/>
        <v>16.689666492000001</v>
      </c>
      <c r="X234" s="9"/>
      <c r="Y234" s="22">
        <v>0.64209000000000005</v>
      </c>
      <c r="Z234" s="22">
        <v>196.381</v>
      </c>
      <c r="AA234" s="22">
        <v>-1.66351E-2</v>
      </c>
      <c r="AB234" s="22">
        <v>224</v>
      </c>
      <c r="AC234" s="22">
        <v>0.64129599999999998</v>
      </c>
      <c r="AD234">
        <f t="shared" si="40"/>
        <v>16.635100000000001</v>
      </c>
      <c r="AE234">
        <f t="shared" si="41"/>
        <v>10.681231359000002</v>
      </c>
      <c r="AF234" s="9"/>
      <c r="AG234" s="22">
        <v>1.0279799999999999</v>
      </c>
      <c r="AH234" s="22">
        <v>253.91</v>
      </c>
      <c r="AI234" s="22">
        <v>-1.6125500000000001E-2</v>
      </c>
      <c r="AJ234" s="22">
        <v>224</v>
      </c>
      <c r="AK234" s="22">
        <v>1.0263100000000001</v>
      </c>
      <c r="AL234">
        <f t="shared" si="42"/>
        <v>16.125500000000002</v>
      </c>
      <c r="AM234">
        <f t="shared" si="43"/>
        <v>16.576691490000002</v>
      </c>
      <c r="AP234" s="9"/>
      <c r="AQ234" s="22">
        <v>0.64209000000000005</v>
      </c>
      <c r="AR234" s="22">
        <v>332.76400000000001</v>
      </c>
      <c r="AS234" s="22">
        <v>-1.65649E-2</v>
      </c>
      <c r="AT234" s="22">
        <v>224</v>
      </c>
      <c r="AU234" s="22">
        <v>0.641266</v>
      </c>
      <c r="AV234">
        <f t="shared" si="44"/>
        <v>16.564900000000002</v>
      </c>
      <c r="AW234">
        <f t="shared" si="45"/>
        <v>10.636156641000001</v>
      </c>
      <c r="AX234" s="9"/>
      <c r="AY234" s="22">
        <v>1.0279799999999999</v>
      </c>
      <c r="AZ234" s="22">
        <v>391.07499999999999</v>
      </c>
      <c r="BA234" s="22">
        <v>-1.6113300000000001E-2</v>
      </c>
      <c r="BB234" s="22">
        <v>224</v>
      </c>
      <c r="BC234" s="22">
        <v>1.02661</v>
      </c>
      <c r="BD234">
        <f t="shared" si="46"/>
        <v>16.113299999999999</v>
      </c>
      <c r="BE234">
        <f t="shared" si="47"/>
        <v>16.564150133999998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0.63705400000000001</v>
      </c>
      <c r="H235" s="22">
        <v>62.026899999999998</v>
      </c>
      <c r="I235" s="22">
        <v>-1.6604600000000001E-2</v>
      </c>
      <c r="J235" s="22">
        <v>225</v>
      </c>
      <c r="K235" s="22">
        <v>0.63622999999999996</v>
      </c>
      <c r="L235">
        <f t="shared" si="36"/>
        <v>16.604600000000001</v>
      </c>
      <c r="M235">
        <f t="shared" si="37"/>
        <v>10.5780268484</v>
      </c>
      <c r="N235" s="9"/>
      <c r="O235" s="22">
        <v>1.03302</v>
      </c>
      <c r="P235" s="22">
        <v>126.349</v>
      </c>
      <c r="Q235" s="22">
        <v>-1.6253699999999999E-2</v>
      </c>
      <c r="R235" s="22">
        <v>225</v>
      </c>
      <c r="S235" s="22">
        <v>1.03149</v>
      </c>
      <c r="T235">
        <f t="shared" si="38"/>
        <v>16.253699999999998</v>
      </c>
      <c r="U235">
        <f t="shared" si="39"/>
        <v>16.790397173999999</v>
      </c>
      <c r="X235" s="9"/>
      <c r="Y235" s="22">
        <v>0.63705400000000001</v>
      </c>
      <c r="Z235" s="22">
        <v>196.482</v>
      </c>
      <c r="AA235" s="22">
        <v>-1.6644300000000001E-2</v>
      </c>
      <c r="AB235" s="22">
        <v>225</v>
      </c>
      <c r="AC235" s="22">
        <v>0.63616899999999998</v>
      </c>
      <c r="AD235">
        <f t="shared" si="40"/>
        <v>16.644300000000001</v>
      </c>
      <c r="AE235">
        <f t="shared" si="41"/>
        <v>10.603317892200002</v>
      </c>
      <c r="AF235" s="9"/>
      <c r="AG235" s="22">
        <v>1.03302</v>
      </c>
      <c r="AH235" s="22">
        <v>254.011</v>
      </c>
      <c r="AI235" s="22">
        <v>-1.61163E-2</v>
      </c>
      <c r="AJ235" s="22">
        <v>225</v>
      </c>
      <c r="AK235" s="22">
        <v>1.03271</v>
      </c>
      <c r="AL235">
        <f t="shared" si="42"/>
        <v>16.116299999999999</v>
      </c>
      <c r="AM235">
        <f t="shared" si="43"/>
        <v>16.648460226000001</v>
      </c>
      <c r="AP235" s="9"/>
      <c r="AQ235" s="22">
        <v>0.63705400000000001</v>
      </c>
      <c r="AR235" s="22">
        <v>332.86500000000001</v>
      </c>
      <c r="AS235" s="22">
        <v>-1.6549700000000001E-2</v>
      </c>
      <c r="AT235" s="22">
        <v>225</v>
      </c>
      <c r="AU235" s="22">
        <v>0.63629199999999997</v>
      </c>
      <c r="AV235">
        <f t="shared" si="44"/>
        <v>16.549700000000001</v>
      </c>
      <c r="AW235">
        <f t="shared" si="45"/>
        <v>10.543052583800002</v>
      </c>
      <c r="AX235" s="9"/>
      <c r="AY235" s="22">
        <v>1.03302</v>
      </c>
      <c r="AZ235" s="22">
        <v>391.17599999999999</v>
      </c>
      <c r="BA235" s="22">
        <v>-1.6107199999999999E-2</v>
      </c>
      <c r="BB235" s="22">
        <v>225</v>
      </c>
      <c r="BC235" s="22">
        <v>1.0318000000000001</v>
      </c>
      <c r="BD235">
        <f t="shared" si="46"/>
        <v>16.107199999999999</v>
      </c>
      <c r="BE235">
        <f t="shared" si="47"/>
        <v>16.639059744000001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0.632019</v>
      </c>
      <c r="H236" s="22">
        <v>62.127600000000001</v>
      </c>
      <c r="I236" s="22">
        <v>-1.6622899999999999E-2</v>
      </c>
      <c r="J236" s="22">
        <v>226</v>
      </c>
      <c r="K236" s="22">
        <v>0.63125600000000004</v>
      </c>
      <c r="L236">
        <f t="shared" si="36"/>
        <v>16.622899999999998</v>
      </c>
      <c r="M236">
        <f t="shared" si="37"/>
        <v>10.505988635099998</v>
      </c>
      <c r="N236" s="9"/>
      <c r="O236" s="22">
        <v>1.03806</v>
      </c>
      <c r="P236" s="22">
        <v>126.45</v>
      </c>
      <c r="Q236" s="22">
        <v>-1.6262800000000001E-2</v>
      </c>
      <c r="R236" s="22">
        <v>226</v>
      </c>
      <c r="S236" s="22">
        <v>1.0369900000000001</v>
      </c>
      <c r="T236">
        <f t="shared" si="38"/>
        <v>16.262800000000002</v>
      </c>
      <c r="U236">
        <f t="shared" si="39"/>
        <v>16.881762168000002</v>
      </c>
      <c r="X236" s="9"/>
      <c r="Y236" s="22">
        <v>0.632019</v>
      </c>
      <c r="Z236" s="22">
        <v>196.583</v>
      </c>
      <c r="AA236" s="22">
        <v>-1.6622899999999999E-2</v>
      </c>
      <c r="AB236" s="22">
        <v>226</v>
      </c>
      <c r="AC236" s="22">
        <v>0.63116499999999998</v>
      </c>
      <c r="AD236">
        <f t="shared" si="40"/>
        <v>16.622899999999998</v>
      </c>
      <c r="AE236">
        <f t="shared" si="41"/>
        <v>10.505988635099998</v>
      </c>
      <c r="AF236" s="9"/>
      <c r="AG236" s="22">
        <v>1.03806</v>
      </c>
      <c r="AH236" s="22">
        <v>254.11199999999999</v>
      </c>
      <c r="AI236" s="22">
        <v>-1.61011E-2</v>
      </c>
      <c r="AJ236" s="22">
        <v>226</v>
      </c>
      <c r="AK236" s="22">
        <v>1.0369900000000001</v>
      </c>
      <c r="AL236">
        <f t="shared" si="42"/>
        <v>16.101099999999999</v>
      </c>
      <c r="AM236">
        <f t="shared" si="43"/>
        <v>16.713907866</v>
      </c>
      <c r="AP236" s="9"/>
      <c r="AQ236" s="22">
        <v>0.632019</v>
      </c>
      <c r="AR236" s="22">
        <v>332.96600000000001</v>
      </c>
      <c r="AS236" s="22">
        <v>-1.6546600000000002E-2</v>
      </c>
      <c r="AT236" s="22">
        <v>226</v>
      </c>
      <c r="AU236" s="22">
        <v>0.63119499999999995</v>
      </c>
      <c r="AV236">
        <f t="shared" si="44"/>
        <v>16.546600000000002</v>
      </c>
      <c r="AW236">
        <f t="shared" si="45"/>
        <v>10.457765585400001</v>
      </c>
      <c r="AX236" s="9"/>
      <c r="AY236" s="22">
        <v>1.03806</v>
      </c>
      <c r="AZ236" s="22">
        <v>391.27699999999999</v>
      </c>
      <c r="BA236" s="22">
        <v>-1.6095000000000002E-2</v>
      </c>
      <c r="BB236" s="22">
        <v>226</v>
      </c>
      <c r="BC236" s="22">
        <v>1.0369900000000001</v>
      </c>
      <c r="BD236">
        <f t="shared" si="46"/>
        <v>16.095000000000002</v>
      </c>
      <c r="BE236">
        <f t="shared" si="47"/>
        <v>16.707575700000003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0.62698399999999999</v>
      </c>
      <c r="H237" s="22">
        <v>62.228299999999997</v>
      </c>
      <c r="I237" s="22">
        <v>-1.6622899999999999E-2</v>
      </c>
      <c r="J237" s="22">
        <v>227</v>
      </c>
      <c r="K237" s="22">
        <v>0.62606799999999996</v>
      </c>
      <c r="L237">
        <f t="shared" si="36"/>
        <v>16.622899999999998</v>
      </c>
      <c r="M237">
        <f t="shared" si="37"/>
        <v>10.422292333599998</v>
      </c>
      <c r="N237" s="9"/>
      <c r="O237" s="22">
        <v>1.0430900000000001</v>
      </c>
      <c r="P237" s="22">
        <v>126.55</v>
      </c>
      <c r="Q237" s="22">
        <v>-1.6244499999999999E-2</v>
      </c>
      <c r="R237" s="22">
        <v>227</v>
      </c>
      <c r="S237" s="22">
        <v>1.0418700000000001</v>
      </c>
      <c r="T237">
        <f t="shared" si="38"/>
        <v>16.244499999999999</v>
      </c>
      <c r="U237">
        <f t="shared" si="39"/>
        <v>16.944475505</v>
      </c>
      <c r="X237" s="9"/>
      <c r="Y237" s="22">
        <v>0.62698399999999999</v>
      </c>
      <c r="Z237" s="22">
        <v>196.68299999999999</v>
      </c>
      <c r="AA237" s="22">
        <v>-1.6638199999999999E-2</v>
      </c>
      <c r="AB237" s="22">
        <v>227</v>
      </c>
      <c r="AC237" s="22">
        <v>0.62609899999999996</v>
      </c>
      <c r="AD237">
        <f t="shared" si="40"/>
        <v>16.638199999999998</v>
      </c>
      <c r="AE237">
        <f t="shared" si="41"/>
        <v>10.431885188799999</v>
      </c>
      <c r="AF237" s="9"/>
      <c r="AG237" s="22">
        <v>1.0430900000000001</v>
      </c>
      <c r="AH237" s="22">
        <v>254.21199999999999</v>
      </c>
      <c r="AI237" s="22">
        <v>-1.60889E-2</v>
      </c>
      <c r="AJ237" s="22">
        <v>227</v>
      </c>
      <c r="AK237" s="22">
        <v>1.04156</v>
      </c>
      <c r="AL237">
        <f t="shared" si="42"/>
        <v>16.088899999999999</v>
      </c>
      <c r="AM237">
        <f t="shared" si="43"/>
        <v>16.782170700999998</v>
      </c>
      <c r="AP237" s="9"/>
      <c r="AQ237" s="22">
        <v>0.62698399999999999</v>
      </c>
      <c r="AR237" s="22">
        <v>333.06700000000001</v>
      </c>
      <c r="AS237" s="22">
        <v>-1.6558799999999999E-2</v>
      </c>
      <c r="AT237" s="22">
        <v>227</v>
      </c>
      <c r="AU237" s="22">
        <v>0.62634299999999998</v>
      </c>
      <c r="AV237">
        <f t="shared" si="44"/>
        <v>16.558799999999998</v>
      </c>
      <c r="AW237">
        <f t="shared" si="45"/>
        <v>10.382102659199999</v>
      </c>
      <c r="AX237" s="9"/>
      <c r="AY237" s="22">
        <v>1.0430900000000001</v>
      </c>
      <c r="AZ237" s="22">
        <v>391.37799999999999</v>
      </c>
      <c r="BA237" s="22">
        <v>-1.6095000000000002E-2</v>
      </c>
      <c r="BB237" s="22">
        <v>227</v>
      </c>
      <c r="BC237" s="22">
        <v>1.0412600000000001</v>
      </c>
      <c r="BD237">
        <f t="shared" si="46"/>
        <v>16.095000000000002</v>
      </c>
      <c r="BE237">
        <f t="shared" si="47"/>
        <v>16.788533550000004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0.62194799999999995</v>
      </c>
      <c r="H238" s="22">
        <v>62.329000000000001</v>
      </c>
      <c r="I238" s="22">
        <v>-1.6616800000000001E-2</v>
      </c>
      <c r="J238" s="22">
        <v>228</v>
      </c>
      <c r="K238" s="22">
        <v>0.62106300000000003</v>
      </c>
      <c r="L238">
        <f t="shared" si="36"/>
        <v>16.616800000000001</v>
      </c>
      <c r="M238">
        <f t="shared" si="37"/>
        <v>10.334785526399999</v>
      </c>
      <c r="N238" s="9"/>
      <c r="O238" s="22">
        <v>1.04813</v>
      </c>
      <c r="P238" s="22">
        <v>126.651</v>
      </c>
      <c r="Q238" s="22">
        <v>-1.62506E-2</v>
      </c>
      <c r="R238" s="22">
        <v>228</v>
      </c>
      <c r="S238" s="22">
        <v>1.0467500000000001</v>
      </c>
      <c r="T238">
        <f t="shared" si="38"/>
        <v>16.250600000000002</v>
      </c>
      <c r="U238">
        <f t="shared" si="39"/>
        <v>17.032741378000001</v>
      </c>
      <c r="X238" s="9"/>
      <c r="Y238" s="22">
        <v>0.62194799999999995</v>
      </c>
      <c r="Z238" s="22">
        <v>196.78399999999999</v>
      </c>
      <c r="AA238" s="22">
        <v>-1.6638199999999999E-2</v>
      </c>
      <c r="AB238" s="22">
        <v>228</v>
      </c>
      <c r="AC238" s="22">
        <v>0.62118499999999999</v>
      </c>
      <c r="AD238">
        <f t="shared" si="40"/>
        <v>16.638199999999998</v>
      </c>
      <c r="AE238">
        <f t="shared" si="41"/>
        <v>10.348095213599997</v>
      </c>
      <c r="AF238" s="9"/>
      <c r="AG238" s="22">
        <v>1.04813</v>
      </c>
      <c r="AH238" s="22">
        <v>254.31299999999999</v>
      </c>
      <c r="AI238" s="22">
        <v>-1.6082800000000001E-2</v>
      </c>
      <c r="AJ238" s="22">
        <v>228</v>
      </c>
      <c r="AK238" s="22">
        <v>1.0473600000000001</v>
      </c>
      <c r="AL238">
        <f t="shared" si="42"/>
        <v>16.082800000000002</v>
      </c>
      <c r="AM238">
        <f t="shared" si="43"/>
        <v>16.856865164000002</v>
      </c>
      <c r="AP238" s="9"/>
      <c r="AQ238" s="22">
        <v>0.62194799999999995</v>
      </c>
      <c r="AR238" s="22">
        <v>333.16699999999997</v>
      </c>
      <c r="AS238" s="22">
        <v>-1.65527E-2</v>
      </c>
      <c r="AT238" s="22">
        <v>228</v>
      </c>
      <c r="AU238" s="22">
        <v>0.62121599999999999</v>
      </c>
      <c r="AV238">
        <f t="shared" si="44"/>
        <v>16.552700000000002</v>
      </c>
      <c r="AW238">
        <f t="shared" si="45"/>
        <v>10.2949186596</v>
      </c>
      <c r="AX238" s="9"/>
      <c r="AY238" s="22">
        <v>1.04813</v>
      </c>
      <c r="AZ238" s="22">
        <v>391.47800000000001</v>
      </c>
      <c r="BA238" s="22">
        <v>-1.60736E-2</v>
      </c>
      <c r="BB238" s="22">
        <v>228</v>
      </c>
      <c r="BC238" s="22">
        <v>1.0473600000000001</v>
      </c>
      <c r="BD238">
        <f t="shared" si="46"/>
        <v>16.073599999999999</v>
      </c>
      <c r="BE238">
        <f t="shared" si="47"/>
        <v>16.847222368000001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0.61691300000000004</v>
      </c>
      <c r="H239" s="22">
        <v>62.429699999999997</v>
      </c>
      <c r="I239" s="22">
        <v>-1.6613800000000001E-2</v>
      </c>
      <c r="J239" s="22">
        <v>229</v>
      </c>
      <c r="K239" s="22">
        <v>0.61611899999999997</v>
      </c>
      <c r="L239">
        <f t="shared" si="36"/>
        <v>16.613800000000001</v>
      </c>
      <c r="M239">
        <f t="shared" si="37"/>
        <v>10.249269199400002</v>
      </c>
      <c r="N239" s="9"/>
      <c r="O239" s="22">
        <v>1.0531600000000001</v>
      </c>
      <c r="P239" s="22">
        <v>126.752</v>
      </c>
      <c r="Q239" s="22">
        <v>-1.6244499999999999E-2</v>
      </c>
      <c r="R239" s="22">
        <v>229</v>
      </c>
      <c r="S239" s="22">
        <v>1.0519400000000001</v>
      </c>
      <c r="T239">
        <f t="shared" si="38"/>
        <v>16.244499999999999</v>
      </c>
      <c r="U239">
        <f t="shared" si="39"/>
        <v>17.10805762</v>
      </c>
      <c r="X239" s="9"/>
      <c r="Y239" s="22">
        <v>0.61691300000000004</v>
      </c>
      <c r="Z239" s="22">
        <v>196.88499999999999</v>
      </c>
      <c r="AA239" s="22">
        <v>-1.66351E-2</v>
      </c>
      <c r="AB239" s="22">
        <v>229</v>
      </c>
      <c r="AC239" s="22">
        <v>0.61611899999999997</v>
      </c>
      <c r="AD239">
        <f t="shared" si="40"/>
        <v>16.635100000000001</v>
      </c>
      <c r="AE239">
        <f t="shared" si="41"/>
        <v>10.262409446300001</v>
      </c>
      <c r="AF239" s="9"/>
      <c r="AG239" s="22">
        <v>1.0531600000000001</v>
      </c>
      <c r="AH239" s="22">
        <v>254.41399999999999</v>
      </c>
      <c r="AI239" s="22">
        <v>-1.6085800000000001E-2</v>
      </c>
      <c r="AJ239" s="22">
        <v>229</v>
      </c>
      <c r="AK239" s="22">
        <v>1.0519400000000001</v>
      </c>
      <c r="AL239">
        <f t="shared" si="42"/>
        <v>16.085800000000003</v>
      </c>
      <c r="AM239">
        <f t="shared" si="43"/>
        <v>16.940921128000003</v>
      </c>
      <c r="AP239" s="9"/>
      <c r="AQ239" s="22">
        <v>0.61691300000000004</v>
      </c>
      <c r="AR239" s="22">
        <v>333.26799999999997</v>
      </c>
      <c r="AS239" s="22">
        <v>-1.6558799999999999E-2</v>
      </c>
      <c r="AT239" s="22">
        <v>229</v>
      </c>
      <c r="AU239" s="22">
        <v>0.616089</v>
      </c>
      <c r="AV239">
        <f t="shared" si="44"/>
        <v>16.558799999999998</v>
      </c>
      <c r="AW239">
        <f t="shared" si="45"/>
        <v>10.215338984399999</v>
      </c>
      <c r="AX239" s="9"/>
      <c r="AY239" s="22">
        <v>1.0531600000000001</v>
      </c>
      <c r="AZ239" s="22">
        <v>391.57900000000001</v>
      </c>
      <c r="BA239" s="22">
        <v>-1.6070600000000001E-2</v>
      </c>
      <c r="BB239" s="22">
        <v>229</v>
      </c>
      <c r="BC239" s="22">
        <v>1.0519400000000001</v>
      </c>
      <c r="BD239">
        <f t="shared" si="46"/>
        <v>16.070600000000002</v>
      </c>
      <c r="BE239">
        <f t="shared" si="47"/>
        <v>16.924913096000004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0.611877</v>
      </c>
      <c r="H240" s="22">
        <v>62.5304</v>
      </c>
      <c r="I240" s="22">
        <v>-1.6604600000000001E-2</v>
      </c>
      <c r="J240" s="22">
        <v>230</v>
      </c>
      <c r="K240" s="22">
        <v>0.61090100000000003</v>
      </c>
      <c r="L240">
        <f t="shared" si="36"/>
        <v>16.604600000000001</v>
      </c>
      <c r="M240">
        <f t="shared" si="37"/>
        <v>10.159972834200001</v>
      </c>
      <c r="N240" s="9"/>
      <c r="O240" s="22">
        <v>1.0582</v>
      </c>
      <c r="P240" s="22">
        <v>126.852</v>
      </c>
      <c r="Q240" s="22">
        <v>-1.6220100000000001E-2</v>
      </c>
      <c r="R240" s="22">
        <v>230</v>
      </c>
      <c r="S240" s="22">
        <v>1.0571299999999999</v>
      </c>
      <c r="T240">
        <f t="shared" si="38"/>
        <v>16.220100000000002</v>
      </c>
      <c r="U240">
        <f t="shared" si="39"/>
        <v>17.164109820000004</v>
      </c>
      <c r="X240" s="9"/>
      <c r="Y240" s="22">
        <v>0.611877</v>
      </c>
      <c r="Z240" s="22">
        <v>196.98599999999999</v>
      </c>
      <c r="AA240" s="22">
        <v>-1.66321E-2</v>
      </c>
      <c r="AB240" s="22">
        <v>230</v>
      </c>
      <c r="AC240" s="22">
        <v>0.61114500000000005</v>
      </c>
      <c r="AD240">
        <f t="shared" si="40"/>
        <v>16.632100000000001</v>
      </c>
      <c r="AE240">
        <f t="shared" si="41"/>
        <v>10.176799451700001</v>
      </c>
      <c r="AF240" s="9"/>
      <c r="AG240" s="22">
        <v>1.0582</v>
      </c>
      <c r="AH240" s="22">
        <v>254.51400000000001</v>
      </c>
      <c r="AI240" s="22">
        <v>-1.6076699999999999E-2</v>
      </c>
      <c r="AJ240" s="22">
        <v>230</v>
      </c>
      <c r="AK240" s="22">
        <v>1.0571299999999999</v>
      </c>
      <c r="AL240">
        <f t="shared" si="42"/>
        <v>16.076699999999999</v>
      </c>
      <c r="AM240">
        <f t="shared" si="43"/>
        <v>17.01236394</v>
      </c>
      <c r="AP240" s="9"/>
      <c r="AQ240" s="22">
        <v>0.611877</v>
      </c>
      <c r="AR240" s="22">
        <v>333.36900000000003</v>
      </c>
      <c r="AS240" s="22">
        <v>-1.65802E-2</v>
      </c>
      <c r="AT240" s="22">
        <v>230</v>
      </c>
      <c r="AU240" s="22">
        <v>0.61102299999999998</v>
      </c>
      <c r="AV240">
        <f t="shared" si="44"/>
        <v>16.580200000000001</v>
      </c>
      <c r="AW240">
        <f t="shared" si="45"/>
        <v>10.145043035400001</v>
      </c>
      <c r="AX240" s="9"/>
      <c r="AY240" s="22">
        <v>1.0582</v>
      </c>
      <c r="AZ240" s="22">
        <v>391.68</v>
      </c>
      <c r="BA240" s="22">
        <v>-1.6064499999999999E-2</v>
      </c>
      <c r="BB240" s="22">
        <v>230</v>
      </c>
      <c r="BC240" s="22">
        <v>1.0571299999999999</v>
      </c>
      <c r="BD240">
        <f t="shared" si="46"/>
        <v>16.064499999999999</v>
      </c>
      <c r="BE240">
        <f t="shared" si="47"/>
        <v>16.999453899999999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0.60684199999999999</v>
      </c>
      <c r="H241" s="22">
        <v>62.631100000000004</v>
      </c>
      <c r="I241" s="22">
        <v>-1.6629000000000001E-2</v>
      </c>
      <c r="J241" s="22">
        <v>231</v>
      </c>
      <c r="K241" s="22">
        <v>0.60601799999999995</v>
      </c>
      <c r="L241">
        <f t="shared" si="36"/>
        <v>16.629000000000001</v>
      </c>
      <c r="M241">
        <f t="shared" si="37"/>
        <v>10.091175618000001</v>
      </c>
      <c r="N241" s="9"/>
      <c r="O241" s="22">
        <v>1.0632299999999999</v>
      </c>
      <c r="P241" s="22">
        <v>126.953</v>
      </c>
      <c r="Q241" s="22">
        <v>-1.62109E-2</v>
      </c>
      <c r="R241" s="22">
        <v>231</v>
      </c>
      <c r="S241" s="22">
        <v>1.0623199999999999</v>
      </c>
      <c r="T241">
        <f t="shared" si="38"/>
        <v>16.210899999999999</v>
      </c>
      <c r="U241">
        <f t="shared" si="39"/>
        <v>17.235915206999998</v>
      </c>
      <c r="X241" s="9"/>
      <c r="Y241" s="22">
        <v>0.60684199999999999</v>
      </c>
      <c r="Z241" s="22">
        <v>197.08600000000001</v>
      </c>
      <c r="AA241" s="22">
        <v>-1.66321E-2</v>
      </c>
      <c r="AB241" s="22">
        <v>231</v>
      </c>
      <c r="AC241" s="22">
        <v>0.60601799999999995</v>
      </c>
      <c r="AD241">
        <f t="shared" si="40"/>
        <v>16.632100000000001</v>
      </c>
      <c r="AE241">
        <f t="shared" si="41"/>
        <v>10.0930568282</v>
      </c>
      <c r="AF241" s="9"/>
      <c r="AG241" s="22">
        <v>1.0632299999999999</v>
      </c>
      <c r="AH241" s="22">
        <v>254.61500000000001</v>
      </c>
      <c r="AI241" s="22">
        <v>-1.6067499999999998E-2</v>
      </c>
      <c r="AJ241" s="22">
        <v>231</v>
      </c>
      <c r="AK241" s="22">
        <v>1.0620099999999999</v>
      </c>
      <c r="AL241">
        <f t="shared" si="42"/>
        <v>16.067499999999999</v>
      </c>
      <c r="AM241">
        <f t="shared" si="43"/>
        <v>17.083448024999996</v>
      </c>
      <c r="AP241" s="9"/>
      <c r="AQ241" s="22">
        <v>0.60684199999999999</v>
      </c>
      <c r="AR241" s="22">
        <v>333.46899999999999</v>
      </c>
      <c r="AS241" s="22">
        <v>-1.6570999999999999E-2</v>
      </c>
      <c r="AT241" s="22">
        <v>231</v>
      </c>
      <c r="AU241" s="22">
        <v>0.60601799999999995</v>
      </c>
      <c r="AV241">
        <f t="shared" si="44"/>
        <v>16.570999999999998</v>
      </c>
      <c r="AW241">
        <f t="shared" si="45"/>
        <v>10.055978781999999</v>
      </c>
      <c r="AX241" s="9"/>
      <c r="AY241" s="22">
        <v>1.0632299999999999</v>
      </c>
      <c r="AZ241" s="22">
        <v>391.78</v>
      </c>
      <c r="BA241" s="22">
        <v>-1.6052199999999999E-2</v>
      </c>
      <c r="BB241" s="22">
        <v>231</v>
      </c>
      <c r="BC241" s="22">
        <v>1.0623199999999999</v>
      </c>
      <c r="BD241">
        <f t="shared" si="46"/>
        <v>16.052199999999999</v>
      </c>
      <c r="BE241">
        <f t="shared" si="47"/>
        <v>17.067180605999997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0.60180699999999998</v>
      </c>
      <c r="H242" s="22">
        <v>62.7318</v>
      </c>
      <c r="I242" s="22">
        <v>-1.66077E-2</v>
      </c>
      <c r="J242" s="22">
        <v>232</v>
      </c>
      <c r="K242" s="22">
        <v>0.60089099999999995</v>
      </c>
      <c r="L242">
        <f t="shared" si="36"/>
        <v>16.607700000000001</v>
      </c>
      <c r="M242">
        <f t="shared" si="37"/>
        <v>9.9946301138999996</v>
      </c>
      <c r="N242" s="9"/>
      <c r="O242" s="22">
        <v>1.0682700000000001</v>
      </c>
      <c r="P242" s="22">
        <v>127.054</v>
      </c>
      <c r="Q242" s="22">
        <v>-1.6204799999999998E-2</v>
      </c>
      <c r="R242" s="22">
        <v>232</v>
      </c>
      <c r="S242" s="22">
        <v>1.0668899999999999</v>
      </c>
      <c r="T242">
        <f t="shared" si="38"/>
        <v>16.204799999999999</v>
      </c>
      <c r="U242">
        <f t="shared" si="39"/>
        <v>17.311101695999998</v>
      </c>
      <c r="X242" s="9"/>
      <c r="Y242" s="22">
        <v>0.60180699999999998</v>
      </c>
      <c r="Z242" s="22">
        <v>197.18700000000001</v>
      </c>
      <c r="AA242" s="22">
        <v>-1.6638199999999999E-2</v>
      </c>
      <c r="AB242" s="22">
        <v>232</v>
      </c>
      <c r="AC242" s="22">
        <v>0.60101300000000002</v>
      </c>
      <c r="AD242">
        <f t="shared" si="40"/>
        <v>16.638199999999998</v>
      </c>
      <c r="AE242">
        <f t="shared" si="41"/>
        <v>10.012985227399998</v>
      </c>
      <c r="AF242" s="9"/>
      <c r="AG242" s="22">
        <v>1.0682700000000001</v>
      </c>
      <c r="AH242" s="22">
        <v>254.71600000000001</v>
      </c>
      <c r="AI242" s="22">
        <v>-1.6039999999999999E-2</v>
      </c>
      <c r="AJ242" s="22">
        <v>232</v>
      </c>
      <c r="AK242" s="22">
        <v>1.0665899999999999</v>
      </c>
      <c r="AL242">
        <f t="shared" si="42"/>
        <v>16.04</v>
      </c>
      <c r="AM242">
        <f t="shared" si="43"/>
        <v>17.135050799999998</v>
      </c>
      <c r="AP242" s="9"/>
      <c r="AQ242" s="22">
        <v>0.60180699999999998</v>
      </c>
      <c r="AR242" s="22">
        <v>333.57</v>
      </c>
      <c r="AS242" s="22">
        <v>-1.6583299999999999E-2</v>
      </c>
      <c r="AT242" s="22">
        <v>232</v>
      </c>
      <c r="AU242" s="22">
        <v>0.601105</v>
      </c>
      <c r="AV242">
        <f t="shared" si="44"/>
        <v>16.583299999999998</v>
      </c>
      <c r="AW242">
        <f t="shared" si="45"/>
        <v>9.9799460230999983</v>
      </c>
      <c r="AX242" s="9"/>
      <c r="AY242" s="22">
        <v>1.0682700000000001</v>
      </c>
      <c r="AZ242" s="22">
        <v>391.88099999999997</v>
      </c>
      <c r="BA242" s="22">
        <v>-1.6039999999999999E-2</v>
      </c>
      <c r="BB242" s="22">
        <v>232</v>
      </c>
      <c r="BC242" s="22">
        <v>1.0671999999999999</v>
      </c>
      <c r="BD242">
        <f t="shared" si="46"/>
        <v>16.04</v>
      </c>
      <c r="BE242">
        <f t="shared" si="47"/>
        <v>17.135050799999998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0.59677100000000005</v>
      </c>
      <c r="H243" s="22">
        <v>62.832599999999999</v>
      </c>
      <c r="I243" s="22">
        <v>-1.6629000000000001E-2</v>
      </c>
      <c r="J243" s="22">
        <v>233</v>
      </c>
      <c r="K243" s="22">
        <v>0.59606899999999996</v>
      </c>
      <c r="L243">
        <f t="shared" si="36"/>
        <v>16.629000000000001</v>
      </c>
      <c r="M243">
        <f t="shared" si="37"/>
        <v>9.9237049590000019</v>
      </c>
      <c r="N243" s="9"/>
      <c r="O243" s="22">
        <v>1.0732999999999999</v>
      </c>
      <c r="P243" s="22">
        <v>127.155</v>
      </c>
      <c r="Q243" s="22">
        <v>-1.6192600000000001E-2</v>
      </c>
      <c r="R243" s="22">
        <v>233</v>
      </c>
      <c r="S243" s="22">
        <v>1.0720799999999999</v>
      </c>
      <c r="T243">
        <f t="shared" si="38"/>
        <v>16.192600000000002</v>
      </c>
      <c r="U243">
        <f t="shared" si="39"/>
        <v>17.379517580000002</v>
      </c>
      <c r="X243" s="9"/>
      <c r="Y243" s="22">
        <v>0.59677100000000005</v>
      </c>
      <c r="Z243" s="22">
        <v>197.28800000000001</v>
      </c>
      <c r="AA243" s="22">
        <v>-1.6629000000000001E-2</v>
      </c>
      <c r="AB243" s="22">
        <v>233</v>
      </c>
      <c r="AC243" s="22">
        <v>0.59588600000000003</v>
      </c>
      <c r="AD243">
        <f t="shared" si="40"/>
        <v>16.629000000000001</v>
      </c>
      <c r="AE243">
        <f t="shared" si="41"/>
        <v>9.9237049590000019</v>
      </c>
      <c r="AF243" s="9"/>
      <c r="AG243" s="22">
        <v>1.0732999999999999</v>
      </c>
      <c r="AH243" s="22">
        <v>254.81700000000001</v>
      </c>
      <c r="AI243" s="22">
        <v>-1.6030900000000001E-2</v>
      </c>
      <c r="AJ243" s="22">
        <v>233</v>
      </c>
      <c r="AK243" s="22">
        <v>1.07239</v>
      </c>
      <c r="AL243">
        <f t="shared" si="42"/>
        <v>16.030899999999999</v>
      </c>
      <c r="AM243">
        <f t="shared" si="43"/>
        <v>17.205964969999997</v>
      </c>
      <c r="AP243" s="9"/>
      <c r="AQ243" s="22">
        <v>0.59677100000000005</v>
      </c>
      <c r="AR243" s="22">
        <v>333.67099999999999</v>
      </c>
      <c r="AS243" s="22">
        <v>-1.6567999999999999E-2</v>
      </c>
      <c r="AT243" s="22">
        <v>233</v>
      </c>
      <c r="AU243" s="22">
        <v>0.59588600000000003</v>
      </c>
      <c r="AV243">
        <f t="shared" si="44"/>
        <v>16.567999999999998</v>
      </c>
      <c r="AW243">
        <f t="shared" si="45"/>
        <v>9.8873019279999994</v>
      </c>
      <c r="AX243" s="9"/>
      <c r="AY243" s="22">
        <v>1.0732999999999999</v>
      </c>
      <c r="AZ243" s="22">
        <v>391.98200000000003</v>
      </c>
      <c r="BA243" s="22">
        <v>-1.60217E-2</v>
      </c>
      <c r="BB243" s="22">
        <v>233</v>
      </c>
      <c r="BC243" s="22">
        <v>1.0726899999999999</v>
      </c>
      <c r="BD243">
        <f t="shared" si="46"/>
        <v>16.021699999999999</v>
      </c>
      <c r="BE243">
        <f t="shared" si="47"/>
        <v>17.196090609999999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0.59173600000000004</v>
      </c>
      <c r="H244" s="22">
        <v>62.933300000000003</v>
      </c>
      <c r="I244" s="22">
        <v>-1.66351E-2</v>
      </c>
      <c r="J244" s="22">
        <v>234</v>
      </c>
      <c r="K244" s="22">
        <v>0.59097299999999997</v>
      </c>
      <c r="L244">
        <f t="shared" si="36"/>
        <v>16.635100000000001</v>
      </c>
      <c r="M244">
        <f t="shared" si="37"/>
        <v>9.8435875336000009</v>
      </c>
      <c r="N244" s="9"/>
      <c r="O244" s="22">
        <v>1.0783400000000001</v>
      </c>
      <c r="P244" s="22">
        <v>127.255</v>
      </c>
      <c r="Q244" s="22">
        <v>-1.6186499999999999E-2</v>
      </c>
      <c r="R244" s="22">
        <v>234</v>
      </c>
      <c r="S244" s="22">
        <v>1.07758</v>
      </c>
      <c r="T244">
        <f t="shared" si="38"/>
        <v>16.186499999999999</v>
      </c>
      <c r="U244">
        <f t="shared" si="39"/>
        <v>17.45455041</v>
      </c>
      <c r="X244" s="9"/>
      <c r="Y244" s="22">
        <v>0.59173600000000004</v>
      </c>
      <c r="Z244" s="22">
        <v>197.38800000000001</v>
      </c>
      <c r="AA244" s="22">
        <v>-1.66351E-2</v>
      </c>
      <c r="AB244" s="22">
        <v>234</v>
      </c>
      <c r="AC244" s="22">
        <v>0.59103399999999995</v>
      </c>
      <c r="AD244">
        <f t="shared" si="40"/>
        <v>16.635100000000001</v>
      </c>
      <c r="AE244">
        <f t="shared" si="41"/>
        <v>9.8435875336000009</v>
      </c>
      <c r="AF244" s="9"/>
      <c r="AG244" s="22">
        <v>1.0783400000000001</v>
      </c>
      <c r="AH244" s="22">
        <v>254.917</v>
      </c>
      <c r="AI244" s="22">
        <v>-1.60187E-2</v>
      </c>
      <c r="AJ244" s="22">
        <v>234</v>
      </c>
      <c r="AK244" s="22">
        <v>1.0772699999999999</v>
      </c>
      <c r="AL244">
        <f t="shared" si="42"/>
        <v>16.018699999999999</v>
      </c>
      <c r="AM244">
        <f t="shared" si="43"/>
        <v>17.273604958</v>
      </c>
      <c r="AP244" s="9"/>
      <c r="AQ244" s="22">
        <v>0.59173600000000004</v>
      </c>
      <c r="AR244" s="22">
        <v>333.77199999999999</v>
      </c>
      <c r="AS244" s="22">
        <v>-1.6570999999999999E-2</v>
      </c>
      <c r="AT244" s="22">
        <v>234</v>
      </c>
      <c r="AU244" s="22">
        <v>0.59091199999999999</v>
      </c>
      <c r="AV244">
        <f t="shared" si="44"/>
        <v>16.570999999999998</v>
      </c>
      <c r="AW244">
        <f t="shared" si="45"/>
        <v>9.8056572559999999</v>
      </c>
      <c r="AX244" s="9"/>
      <c r="AY244" s="22">
        <v>1.0783400000000001</v>
      </c>
      <c r="AZ244" s="22">
        <v>392.08199999999999</v>
      </c>
      <c r="BA244" s="22">
        <v>-1.6009499999999999E-2</v>
      </c>
      <c r="BB244" s="22">
        <v>234</v>
      </c>
      <c r="BC244" s="22">
        <v>1.0772699999999999</v>
      </c>
      <c r="BD244">
        <f t="shared" si="46"/>
        <v>16.009499999999999</v>
      </c>
      <c r="BE244">
        <f t="shared" si="47"/>
        <v>17.263684229999999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0.5867</v>
      </c>
      <c r="H245" s="22">
        <v>63.033999999999999</v>
      </c>
      <c r="I245" s="22">
        <v>-1.66199E-2</v>
      </c>
      <c r="J245" s="22">
        <v>235</v>
      </c>
      <c r="K245" s="22">
        <v>0.58596800000000004</v>
      </c>
      <c r="L245">
        <f t="shared" si="36"/>
        <v>16.619900000000001</v>
      </c>
      <c r="M245">
        <f t="shared" si="37"/>
        <v>9.7508953300000005</v>
      </c>
      <c r="N245" s="9"/>
      <c r="O245" s="22">
        <v>1.0833699999999999</v>
      </c>
      <c r="P245" s="22">
        <v>127.35599999999999</v>
      </c>
      <c r="Q245" s="22">
        <v>-1.6168200000000001E-2</v>
      </c>
      <c r="R245" s="22">
        <v>235</v>
      </c>
      <c r="S245" s="22">
        <v>1.08246</v>
      </c>
      <c r="T245">
        <f t="shared" si="38"/>
        <v>16.168200000000002</v>
      </c>
      <c r="U245">
        <f t="shared" si="39"/>
        <v>17.516142834</v>
      </c>
      <c r="X245" s="9"/>
      <c r="Y245" s="22">
        <v>0.5867</v>
      </c>
      <c r="Z245" s="22">
        <v>197.489</v>
      </c>
      <c r="AA245" s="22">
        <v>-1.66321E-2</v>
      </c>
      <c r="AB245" s="22">
        <v>235</v>
      </c>
      <c r="AC245" s="22">
        <v>0.58590699999999996</v>
      </c>
      <c r="AD245">
        <f t="shared" si="40"/>
        <v>16.632100000000001</v>
      </c>
      <c r="AE245">
        <f t="shared" si="41"/>
        <v>9.7580530700000008</v>
      </c>
      <c r="AF245" s="9"/>
      <c r="AG245" s="22">
        <v>1.0833699999999999</v>
      </c>
      <c r="AH245" s="22">
        <v>255.018</v>
      </c>
      <c r="AI245" s="22">
        <v>-1.6046100000000001E-2</v>
      </c>
      <c r="AJ245" s="22">
        <v>235</v>
      </c>
      <c r="AK245" s="22">
        <v>1.0821499999999999</v>
      </c>
      <c r="AL245">
        <f t="shared" si="42"/>
        <v>16.046099999999999</v>
      </c>
      <c r="AM245">
        <f t="shared" si="43"/>
        <v>17.383863356999999</v>
      </c>
      <c r="AP245" s="9"/>
      <c r="AQ245" s="22">
        <v>0.5867</v>
      </c>
      <c r="AR245" s="22">
        <v>333.87200000000001</v>
      </c>
      <c r="AS245" s="22">
        <v>-1.6586299999999998E-2</v>
      </c>
      <c r="AT245" s="22">
        <v>235</v>
      </c>
      <c r="AU245" s="22">
        <v>0.58581499999999997</v>
      </c>
      <c r="AV245">
        <f t="shared" si="44"/>
        <v>16.586299999999998</v>
      </c>
      <c r="AW245">
        <f t="shared" si="45"/>
        <v>9.7311822099999983</v>
      </c>
      <c r="AX245" s="9"/>
      <c r="AY245" s="22">
        <v>1.0833699999999999</v>
      </c>
      <c r="AZ245" s="22">
        <v>392.18299999999999</v>
      </c>
      <c r="BA245" s="22">
        <v>-1.5988200000000001E-2</v>
      </c>
      <c r="BB245" s="22">
        <v>235</v>
      </c>
      <c r="BC245" s="22">
        <v>1.08185</v>
      </c>
      <c r="BD245">
        <f t="shared" si="46"/>
        <v>15.988200000000001</v>
      </c>
      <c r="BE245">
        <f t="shared" si="47"/>
        <v>17.321136234000001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0.58166499999999999</v>
      </c>
      <c r="H246" s="22">
        <v>63.134700000000002</v>
      </c>
      <c r="I246" s="22">
        <v>-1.66321E-2</v>
      </c>
      <c r="J246" s="22">
        <v>236</v>
      </c>
      <c r="K246" s="22">
        <v>0.58090200000000003</v>
      </c>
      <c r="L246">
        <f t="shared" si="36"/>
        <v>16.632100000000001</v>
      </c>
      <c r="M246">
        <f t="shared" si="37"/>
        <v>9.6743104464999998</v>
      </c>
      <c r="N246" s="9"/>
      <c r="O246" s="22">
        <v>1.0884100000000001</v>
      </c>
      <c r="P246" s="22">
        <v>127.45699999999999</v>
      </c>
      <c r="Q246" s="22">
        <v>-1.6165200000000001E-2</v>
      </c>
      <c r="R246" s="22">
        <v>236</v>
      </c>
      <c r="S246" s="22">
        <v>1.08734</v>
      </c>
      <c r="T246">
        <f t="shared" si="38"/>
        <v>16.165200000000002</v>
      </c>
      <c r="U246">
        <f t="shared" si="39"/>
        <v>17.594365332000002</v>
      </c>
      <c r="X246" s="9"/>
      <c r="Y246" s="22">
        <v>0.58166499999999999</v>
      </c>
      <c r="Z246" s="22">
        <v>197.59</v>
      </c>
      <c r="AA246" s="22">
        <v>-1.6638199999999999E-2</v>
      </c>
      <c r="AB246" s="22">
        <v>236</v>
      </c>
      <c r="AC246" s="22">
        <v>0.58090200000000003</v>
      </c>
      <c r="AD246">
        <f t="shared" si="40"/>
        <v>16.638199999999998</v>
      </c>
      <c r="AE246">
        <f t="shared" si="41"/>
        <v>9.6778586029999989</v>
      </c>
      <c r="AF246" s="9"/>
      <c r="AG246" s="22">
        <v>1.0884100000000001</v>
      </c>
      <c r="AH246" s="22">
        <v>255.119</v>
      </c>
      <c r="AI246" s="22">
        <v>-1.60187E-2</v>
      </c>
      <c r="AJ246" s="22">
        <v>236</v>
      </c>
      <c r="AK246" s="22">
        <v>1.08765</v>
      </c>
      <c r="AL246">
        <f t="shared" si="42"/>
        <v>16.018699999999999</v>
      </c>
      <c r="AM246">
        <f t="shared" si="43"/>
        <v>17.434913266999999</v>
      </c>
      <c r="AP246" s="9"/>
      <c r="AQ246" s="22">
        <v>0.58166499999999999</v>
      </c>
      <c r="AR246" s="22">
        <v>333.97300000000001</v>
      </c>
      <c r="AS246" s="22">
        <v>-1.6586299999999998E-2</v>
      </c>
      <c r="AT246" s="22">
        <v>236</v>
      </c>
      <c r="AU246" s="22">
        <v>0.58093300000000003</v>
      </c>
      <c r="AV246">
        <f t="shared" si="44"/>
        <v>16.586299999999998</v>
      </c>
      <c r="AW246">
        <f t="shared" si="45"/>
        <v>9.6476701894999977</v>
      </c>
      <c r="AX246" s="9"/>
      <c r="AY246" s="22">
        <v>1.0884100000000001</v>
      </c>
      <c r="AZ246" s="22">
        <v>392.28399999999999</v>
      </c>
      <c r="BA246" s="22">
        <v>-1.5985099999999999E-2</v>
      </c>
      <c r="BB246" s="22">
        <v>236</v>
      </c>
      <c r="BC246" s="22">
        <v>1.08704</v>
      </c>
      <c r="BD246">
        <f t="shared" si="46"/>
        <v>15.985099999999999</v>
      </c>
      <c r="BE246">
        <f t="shared" si="47"/>
        <v>17.398342691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0.57662999999999998</v>
      </c>
      <c r="H247" s="22">
        <v>63.235399999999998</v>
      </c>
      <c r="I247" s="22">
        <v>-1.6625999999999998E-2</v>
      </c>
      <c r="J247" s="22">
        <v>237</v>
      </c>
      <c r="K247" s="22">
        <v>0.57571399999999995</v>
      </c>
      <c r="L247">
        <f t="shared" si="36"/>
        <v>16.625999999999998</v>
      </c>
      <c r="M247">
        <f t="shared" si="37"/>
        <v>9.5870503799999991</v>
      </c>
      <c r="N247" s="9"/>
      <c r="O247" s="22">
        <v>1.09344</v>
      </c>
      <c r="P247" s="22">
        <v>127.557</v>
      </c>
      <c r="Q247" s="22">
        <v>-1.6162099999999999E-2</v>
      </c>
      <c r="R247" s="22">
        <v>237</v>
      </c>
      <c r="S247" s="22">
        <v>1.09283</v>
      </c>
      <c r="T247">
        <f t="shared" si="38"/>
        <v>16.162099999999999</v>
      </c>
      <c r="U247">
        <f t="shared" si="39"/>
        <v>17.672286623999998</v>
      </c>
      <c r="X247" s="9"/>
      <c r="Y247" s="22">
        <v>0.57662999999999998</v>
      </c>
      <c r="Z247" s="22">
        <v>197.691</v>
      </c>
      <c r="AA247" s="22">
        <v>-1.6653399999999999E-2</v>
      </c>
      <c r="AB247" s="22">
        <v>237</v>
      </c>
      <c r="AC247" s="22">
        <v>0.57611100000000004</v>
      </c>
      <c r="AD247">
        <f t="shared" si="40"/>
        <v>16.653399999999998</v>
      </c>
      <c r="AE247">
        <f t="shared" si="41"/>
        <v>9.6028500419999983</v>
      </c>
      <c r="AF247" s="9"/>
      <c r="AG247" s="22">
        <v>1.09344</v>
      </c>
      <c r="AH247" s="22">
        <v>255.21899999999999</v>
      </c>
      <c r="AI247" s="22">
        <v>-1.5997299999999999E-2</v>
      </c>
      <c r="AJ247" s="22">
        <v>237</v>
      </c>
      <c r="AK247" s="22">
        <v>1.09253</v>
      </c>
      <c r="AL247">
        <f t="shared" si="42"/>
        <v>15.997299999999999</v>
      </c>
      <c r="AM247">
        <f t="shared" si="43"/>
        <v>17.492087712</v>
      </c>
      <c r="AP247" s="9"/>
      <c r="AQ247" s="22">
        <v>0.57662999999999998</v>
      </c>
      <c r="AR247" s="22">
        <v>334.07400000000001</v>
      </c>
      <c r="AS247" s="22">
        <v>-1.6586299999999998E-2</v>
      </c>
      <c r="AT247" s="22">
        <v>237</v>
      </c>
      <c r="AU247" s="22">
        <v>0.57586700000000002</v>
      </c>
      <c r="AV247">
        <f t="shared" si="44"/>
        <v>16.586299999999998</v>
      </c>
      <c r="AW247">
        <f t="shared" si="45"/>
        <v>9.5641581689999988</v>
      </c>
      <c r="AX247" s="9"/>
      <c r="AY247" s="22">
        <v>1.09344</v>
      </c>
      <c r="AZ247" s="22">
        <v>392.38499999999999</v>
      </c>
      <c r="BA247" s="22">
        <v>-1.5979E-2</v>
      </c>
      <c r="BB247" s="22">
        <v>237</v>
      </c>
      <c r="BC247" s="22">
        <v>1.09222</v>
      </c>
      <c r="BD247">
        <f t="shared" si="46"/>
        <v>15.979000000000001</v>
      </c>
      <c r="BE247">
        <f t="shared" si="47"/>
        <v>17.472077760000001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0.57159400000000005</v>
      </c>
      <c r="H248" s="22">
        <v>63.336100000000002</v>
      </c>
      <c r="I248" s="22">
        <v>-1.6629000000000001E-2</v>
      </c>
      <c r="J248" s="22">
        <v>238</v>
      </c>
      <c r="K248" s="22">
        <v>0.57086199999999998</v>
      </c>
      <c r="L248">
        <f t="shared" si="36"/>
        <v>16.629000000000001</v>
      </c>
      <c r="M248">
        <f t="shared" si="37"/>
        <v>9.5050366260000008</v>
      </c>
      <c r="N248" s="9"/>
      <c r="O248" s="22">
        <v>1.0984799999999999</v>
      </c>
      <c r="P248" s="22">
        <v>127.658</v>
      </c>
      <c r="Q248" s="22">
        <v>-1.61713E-2</v>
      </c>
      <c r="R248" s="22">
        <v>238</v>
      </c>
      <c r="S248" s="22">
        <v>1.09772</v>
      </c>
      <c r="T248">
        <f t="shared" si="38"/>
        <v>16.171299999999999</v>
      </c>
      <c r="U248">
        <f t="shared" si="39"/>
        <v>17.763849623999995</v>
      </c>
      <c r="X248" s="9"/>
      <c r="Y248" s="22">
        <v>0.57159400000000005</v>
      </c>
      <c r="Z248" s="22">
        <v>197.791</v>
      </c>
      <c r="AA248" s="22">
        <v>-1.6653399999999999E-2</v>
      </c>
      <c r="AB248" s="22">
        <v>238</v>
      </c>
      <c r="AC248" s="22">
        <v>0.57092299999999996</v>
      </c>
      <c r="AD248">
        <f t="shared" si="40"/>
        <v>16.653399999999998</v>
      </c>
      <c r="AE248">
        <f t="shared" si="41"/>
        <v>9.518983519599999</v>
      </c>
      <c r="AF248" s="9"/>
      <c r="AG248" s="22">
        <v>1.0984799999999999</v>
      </c>
      <c r="AH248" s="22">
        <v>255.32</v>
      </c>
      <c r="AI248" s="22">
        <v>-1.5997299999999999E-2</v>
      </c>
      <c r="AJ248" s="22">
        <v>238</v>
      </c>
      <c r="AK248" s="22">
        <v>1.0968</v>
      </c>
      <c r="AL248">
        <f t="shared" si="42"/>
        <v>15.997299999999999</v>
      </c>
      <c r="AM248">
        <f t="shared" si="43"/>
        <v>17.572714103999999</v>
      </c>
      <c r="AP248" s="9"/>
      <c r="AQ248" s="22">
        <v>0.57159400000000005</v>
      </c>
      <c r="AR248" s="22">
        <v>334.17399999999998</v>
      </c>
      <c r="AS248" s="22">
        <v>-1.6589400000000001E-2</v>
      </c>
      <c r="AT248" s="22">
        <v>238</v>
      </c>
      <c r="AU248" s="22">
        <v>0.570801</v>
      </c>
      <c r="AV248">
        <f t="shared" si="44"/>
        <v>16.589400000000001</v>
      </c>
      <c r="AW248">
        <f t="shared" si="45"/>
        <v>9.482401503600002</v>
      </c>
      <c r="AX248" s="9"/>
      <c r="AY248" s="22">
        <v>1.0984799999999999</v>
      </c>
      <c r="AZ248" s="22">
        <v>392.48500000000001</v>
      </c>
      <c r="BA248" s="22">
        <v>-1.59515E-2</v>
      </c>
      <c r="BB248" s="22">
        <v>238</v>
      </c>
      <c r="BC248" s="22">
        <v>1.09741</v>
      </c>
      <c r="BD248">
        <f t="shared" si="46"/>
        <v>15.951500000000001</v>
      </c>
      <c r="BE248">
        <f t="shared" si="47"/>
        <v>17.52240372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0.56655900000000003</v>
      </c>
      <c r="H249" s="22">
        <v>63.436799999999998</v>
      </c>
      <c r="I249" s="22">
        <v>-1.6638199999999999E-2</v>
      </c>
      <c r="J249" s="22">
        <v>239</v>
      </c>
      <c r="K249" s="22">
        <v>0.56555200000000005</v>
      </c>
      <c r="L249">
        <f t="shared" si="36"/>
        <v>16.638199999999998</v>
      </c>
      <c r="M249">
        <f t="shared" si="37"/>
        <v>9.4265219538</v>
      </c>
      <c r="N249" s="9"/>
      <c r="O249" s="22">
        <v>1.1035200000000001</v>
      </c>
      <c r="P249" s="22">
        <v>127.759</v>
      </c>
      <c r="Q249" s="22">
        <v>-1.6146899999999999E-2</v>
      </c>
      <c r="R249" s="22">
        <v>239</v>
      </c>
      <c r="S249" s="22">
        <v>1.1026</v>
      </c>
      <c r="T249">
        <f t="shared" si="38"/>
        <v>16.146899999999999</v>
      </c>
      <c r="U249">
        <f t="shared" si="39"/>
        <v>17.818427088</v>
      </c>
      <c r="X249" s="9"/>
      <c r="Y249" s="22">
        <v>0.56655900000000003</v>
      </c>
      <c r="Z249" s="22">
        <v>197.892</v>
      </c>
      <c r="AA249" s="22">
        <v>-1.66626E-2</v>
      </c>
      <c r="AB249" s="22">
        <v>239</v>
      </c>
      <c r="AC249" s="22">
        <v>0.56591800000000003</v>
      </c>
      <c r="AD249">
        <f t="shared" si="40"/>
        <v>16.662600000000001</v>
      </c>
      <c r="AE249">
        <f t="shared" si="41"/>
        <v>9.4403459934000011</v>
      </c>
      <c r="AF249" s="9"/>
      <c r="AG249" s="22">
        <v>1.1035200000000001</v>
      </c>
      <c r="AH249" s="22">
        <v>255.42099999999999</v>
      </c>
      <c r="AI249" s="22">
        <v>-1.5997299999999999E-2</v>
      </c>
      <c r="AJ249" s="22">
        <v>239</v>
      </c>
      <c r="AK249" s="22">
        <v>1.1026</v>
      </c>
      <c r="AL249">
        <f t="shared" si="42"/>
        <v>15.997299999999999</v>
      </c>
      <c r="AM249">
        <f t="shared" si="43"/>
        <v>17.653340495999998</v>
      </c>
      <c r="AP249" s="9"/>
      <c r="AQ249" s="22">
        <v>0.56655900000000003</v>
      </c>
      <c r="AR249" s="22">
        <v>334.27499999999998</v>
      </c>
      <c r="AS249" s="22">
        <v>-1.6595499999999999E-2</v>
      </c>
      <c r="AT249" s="22">
        <v>239</v>
      </c>
      <c r="AU249" s="22">
        <v>0.56570399999999998</v>
      </c>
      <c r="AV249">
        <f t="shared" si="44"/>
        <v>16.595499999999998</v>
      </c>
      <c r="AW249">
        <f t="shared" si="45"/>
        <v>9.4023298844999985</v>
      </c>
      <c r="AX249" s="9"/>
      <c r="AY249" s="22">
        <v>1.1035200000000001</v>
      </c>
      <c r="AZ249" s="22">
        <v>392.58600000000001</v>
      </c>
      <c r="BA249" s="22">
        <v>-1.5933200000000002E-2</v>
      </c>
      <c r="BB249" s="22">
        <v>239</v>
      </c>
      <c r="BC249" s="22">
        <v>1.1026</v>
      </c>
      <c r="BD249">
        <f t="shared" si="46"/>
        <v>15.933200000000001</v>
      </c>
      <c r="BE249">
        <f t="shared" si="47"/>
        <v>17.582604864000004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0.56152299999999999</v>
      </c>
      <c r="H250" s="22">
        <v>63.537500000000001</v>
      </c>
      <c r="I250" s="22">
        <v>-1.6641199999999998E-2</v>
      </c>
      <c r="J250" s="22">
        <v>240</v>
      </c>
      <c r="K250" s="22">
        <v>0.56066899999999997</v>
      </c>
      <c r="L250">
        <f t="shared" si="36"/>
        <v>16.641199999999998</v>
      </c>
      <c r="M250">
        <f t="shared" si="37"/>
        <v>9.3444165475999981</v>
      </c>
      <c r="N250" s="9"/>
      <c r="O250" s="22">
        <v>1.1085499999999999</v>
      </c>
      <c r="P250" s="22">
        <v>127.86</v>
      </c>
      <c r="Q250" s="22">
        <v>-1.61285E-2</v>
      </c>
      <c r="R250" s="22">
        <v>240</v>
      </c>
      <c r="S250" s="22">
        <v>1.10748</v>
      </c>
      <c r="T250">
        <f t="shared" si="38"/>
        <v>16.128499999999999</v>
      </c>
      <c r="U250">
        <f t="shared" si="39"/>
        <v>17.879248674999996</v>
      </c>
      <c r="X250" s="9"/>
      <c r="Y250" s="22">
        <v>0.56152299999999999</v>
      </c>
      <c r="Z250" s="22">
        <v>197.99299999999999</v>
      </c>
      <c r="AA250" s="22">
        <v>-1.6665599999999999E-2</v>
      </c>
      <c r="AB250" s="22">
        <v>240</v>
      </c>
      <c r="AC250" s="22">
        <v>0.56072999999999995</v>
      </c>
      <c r="AD250">
        <f t="shared" si="40"/>
        <v>16.665599999999998</v>
      </c>
      <c r="AE250">
        <f t="shared" si="41"/>
        <v>9.3581177087999983</v>
      </c>
      <c r="AF250" s="9"/>
      <c r="AG250" s="22">
        <v>1.1085499999999999</v>
      </c>
      <c r="AH250" s="22">
        <v>255.52199999999999</v>
      </c>
      <c r="AI250" s="22">
        <v>-1.5985099999999999E-2</v>
      </c>
      <c r="AJ250" s="22">
        <v>240</v>
      </c>
      <c r="AK250" s="22">
        <v>1.1077900000000001</v>
      </c>
      <c r="AL250">
        <f t="shared" si="42"/>
        <v>15.985099999999999</v>
      </c>
      <c r="AM250">
        <f t="shared" si="43"/>
        <v>17.720282604999998</v>
      </c>
      <c r="AP250" s="9"/>
      <c r="AQ250" s="22">
        <v>0.56152299999999999</v>
      </c>
      <c r="AR250" s="22">
        <v>334.37599999999998</v>
      </c>
      <c r="AS250" s="22">
        <v>-1.6601600000000001E-2</v>
      </c>
      <c r="AT250" s="22">
        <v>240</v>
      </c>
      <c r="AU250" s="22">
        <v>0.56076000000000004</v>
      </c>
      <c r="AV250">
        <f t="shared" si="44"/>
        <v>16.601600000000001</v>
      </c>
      <c r="AW250">
        <f t="shared" si="45"/>
        <v>9.3221802368000013</v>
      </c>
      <c r="AX250" s="9"/>
      <c r="AY250" s="22">
        <v>1.1085499999999999</v>
      </c>
      <c r="AZ250" s="22">
        <v>392.68700000000001</v>
      </c>
      <c r="BA250" s="22">
        <v>-1.59241E-2</v>
      </c>
      <c r="BB250" s="22">
        <v>240</v>
      </c>
      <c r="BC250" s="22">
        <v>1.1077900000000001</v>
      </c>
      <c r="BD250">
        <f t="shared" si="46"/>
        <v>15.924099999999999</v>
      </c>
      <c r="BE250">
        <f t="shared" si="47"/>
        <v>17.652661054999999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0.55648799999999998</v>
      </c>
      <c r="H251" s="22">
        <v>63.638199999999998</v>
      </c>
      <c r="I251" s="22">
        <v>-1.66321E-2</v>
      </c>
      <c r="J251" s="22">
        <v>241</v>
      </c>
      <c r="K251" s="22">
        <v>0.55554199999999998</v>
      </c>
      <c r="L251">
        <f t="shared" si="36"/>
        <v>16.632100000000001</v>
      </c>
      <c r="M251">
        <f t="shared" si="37"/>
        <v>9.2555640647999997</v>
      </c>
      <c r="N251" s="9"/>
      <c r="O251" s="22">
        <v>1.1135900000000001</v>
      </c>
      <c r="P251" s="22">
        <v>127.96</v>
      </c>
      <c r="Q251" s="22">
        <v>-1.6119399999999999E-2</v>
      </c>
      <c r="R251" s="22">
        <v>241</v>
      </c>
      <c r="S251" s="22">
        <v>1.11267</v>
      </c>
      <c r="T251">
        <f t="shared" si="38"/>
        <v>16.119399999999999</v>
      </c>
      <c r="U251">
        <f t="shared" si="39"/>
        <v>17.950402646000001</v>
      </c>
      <c r="X251" s="9"/>
      <c r="Y251" s="22">
        <v>0.55648799999999998</v>
      </c>
      <c r="Z251" s="22">
        <v>198.09299999999999</v>
      </c>
      <c r="AA251" s="22">
        <v>-1.6656500000000001E-2</v>
      </c>
      <c r="AB251" s="22">
        <v>241</v>
      </c>
      <c r="AC251" s="22">
        <v>0.55554199999999998</v>
      </c>
      <c r="AD251">
        <f t="shared" si="40"/>
        <v>16.656500000000001</v>
      </c>
      <c r="AE251">
        <f t="shared" si="41"/>
        <v>9.269142372000001</v>
      </c>
      <c r="AF251" s="9"/>
      <c r="AG251" s="22">
        <v>1.1135900000000001</v>
      </c>
      <c r="AH251" s="22">
        <v>255.62200000000001</v>
      </c>
      <c r="AI251" s="22">
        <v>-1.5972900000000002E-2</v>
      </c>
      <c r="AJ251" s="22">
        <v>241</v>
      </c>
      <c r="AK251" s="22">
        <v>1.11206</v>
      </c>
      <c r="AL251">
        <f t="shared" si="42"/>
        <v>15.972900000000001</v>
      </c>
      <c r="AM251">
        <f t="shared" si="43"/>
        <v>17.787261711000003</v>
      </c>
      <c r="AP251" s="9"/>
      <c r="AQ251" s="22">
        <v>0.55648799999999998</v>
      </c>
      <c r="AR251" s="22">
        <v>334.47699999999998</v>
      </c>
      <c r="AS251" s="22">
        <v>-1.6604600000000001E-2</v>
      </c>
      <c r="AT251" s="22">
        <v>241</v>
      </c>
      <c r="AU251" s="22">
        <v>0.55569500000000005</v>
      </c>
      <c r="AV251">
        <f t="shared" si="44"/>
        <v>16.604600000000001</v>
      </c>
      <c r="AW251">
        <f t="shared" si="45"/>
        <v>9.2402606448000011</v>
      </c>
      <c r="AX251" s="9"/>
      <c r="AY251" s="22">
        <v>1.1135900000000001</v>
      </c>
      <c r="AZ251" s="22">
        <v>392.78699999999998</v>
      </c>
      <c r="BA251" s="22">
        <v>-1.5918000000000002E-2</v>
      </c>
      <c r="BB251" s="22">
        <v>241</v>
      </c>
      <c r="BC251" s="22">
        <v>1.11267</v>
      </c>
      <c r="BD251">
        <f t="shared" si="46"/>
        <v>15.918000000000001</v>
      </c>
      <c r="BE251">
        <f t="shared" si="47"/>
        <v>17.726125620000001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0.55145299999999997</v>
      </c>
      <c r="H252" s="22">
        <v>63.738900000000001</v>
      </c>
      <c r="I252" s="22">
        <v>-1.6641199999999998E-2</v>
      </c>
      <c r="J252" s="22">
        <v>242</v>
      </c>
      <c r="K252" s="22">
        <v>0.55038500000000001</v>
      </c>
      <c r="L252">
        <f t="shared" si="36"/>
        <v>16.641199999999998</v>
      </c>
      <c r="M252">
        <f t="shared" si="37"/>
        <v>9.1768396635999991</v>
      </c>
      <c r="N252" s="9"/>
      <c r="O252" s="22">
        <v>1.1186199999999999</v>
      </c>
      <c r="P252" s="22">
        <v>128.06100000000001</v>
      </c>
      <c r="Q252" s="22">
        <v>-1.6107199999999999E-2</v>
      </c>
      <c r="R252" s="22">
        <v>242</v>
      </c>
      <c r="S252" s="22">
        <v>1.1172500000000001</v>
      </c>
      <c r="T252">
        <f t="shared" si="38"/>
        <v>16.107199999999999</v>
      </c>
      <c r="U252">
        <f t="shared" si="39"/>
        <v>18.017836063999997</v>
      </c>
      <c r="X252" s="9"/>
      <c r="Y252" s="22">
        <v>0.55145299999999997</v>
      </c>
      <c r="Z252" s="22">
        <v>198.19399999999999</v>
      </c>
      <c r="AA252" s="22">
        <v>-1.6671800000000001E-2</v>
      </c>
      <c r="AB252" s="22">
        <v>242</v>
      </c>
      <c r="AC252" s="22">
        <v>0.55075099999999999</v>
      </c>
      <c r="AD252">
        <f t="shared" si="40"/>
        <v>16.671800000000001</v>
      </c>
      <c r="AE252">
        <f t="shared" si="41"/>
        <v>9.1937141253999997</v>
      </c>
      <c r="AF252" s="9"/>
      <c r="AG252" s="22">
        <v>1.1186199999999999</v>
      </c>
      <c r="AH252" s="22">
        <v>255.72300000000001</v>
      </c>
      <c r="AI252" s="22">
        <v>-1.59393E-2</v>
      </c>
      <c r="AJ252" s="22">
        <v>242</v>
      </c>
      <c r="AK252" s="22">
        <v>1.1172500000000001</v>
      </c>
      <c r="AL252">
        <f t="shared" si="42"/>
        <v>15.939299999999999</v>
      </c>
      <c r="AM252">
        <f t="shared" si="43"/>
        <v>17.830019765999999</v>
      </c>
      <c r="AP252" s="9"/>
      <c r="AQ252" s="22">
        <v>0.55145299999999997</v>
      </c>
      <c r="AR252" s="22">
        <v>334.577</v>
      </c>
      <c r="AS252" s="22">
        <v>-1.6601600000000001E-2</v>
      </c>
      <c r="AT252" s="22">
        <v>242</v>
      </c>
      <c r="AU252" s="22">
        <v>0.55069000000000001</v>
      </c>
      <c r="AV252">
        <f t="shared" si="44"/>
        <v>16.601600000000001</v>
      </c>
      <c r="AW252">
        <f t="shared" si="45"/>
        <v>9.1550021248000011</v>
      </c>
      <c r="AX252" s="9"/>
      <c r="AY252" s="22">
        <v>1.1186199999999999</v>
      </c>
      <c r="AZ252" s="22">
        <v>392.88799999999998</v>
      </c>
      <c r="BA252" s="22">
        <v>-1.59119E-2</v>
      </c>
      <c r="BB252" s="22">
        <v>242</v>
      </c>
      <c r="BC252" s="22">
        <v>1.11755</v>
      </c>
      <c r="BD252">
        <f t="shared" si="46"/>
        <v>15.911899999999999</v>
      </c>
      <c r="BE252">
        <f t="shared" si="47"/>
        <v>17.799369577999997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0.54641700000000004</v>
      </c>
      <c r="H253" s="22">
        <v>63.839599999999997</v>
      </c>
      <c r="I253" s="22">
        <v>-1.6656500000000001E-2</v>
      </c>
      <c r="J253" s="22">
        <v>243</v>
      </c>
      <c r="K253" s="22">
        <v>0.545624</v>
      </c>
      <c r="L253">
        <f t="shared" si="36"/>
        <v>16.656500000000001</v>
      </c>
      <c r="M253">
        <f t="shared" si="37"/>
        <v>9.1013947605000016</v>
      </c>
      <c r="N253" s="9"/>
      <c r="O253" s="22">
        <v>1.1236600000000001</v>
      </c>
      <c r="P253" s="22">
        <v>128.16200000000001</v>
      </c>
      <c r="Q253" s="22">
        <v>-1.61041E-2</v>
      </c>
      <c r="R253" s="22">
        <v>243</v>
      </c>
      <c r="S253" s="22">
        <v>1.1224400000000001</v>
      </c>
      <c r="T253">
        <f t="shared" si="38"/>
        <v>16.104099999999999</v>
      </c>
      <c r="U253">
        <f t="shared" si="39"/>
        <v>18.095533006</v>
      </c>
      <c r="X253" s="9"/>
      <c r="Y253" s="22">
        <v>0.54641700000000004</v>
      </c>
      <c r="Z253" s="22">
        <v>198.29499999999999</v>
      </c>
      <c r="AA253" s="22">
        <v>-1.66748E-2</v>
      </c>
      <c r="AB253" s="22">
        <v>243</v>
      </c>
      <c r="AC253" s="22">
        <v>0.54559299999999999</v>
      </c>
      <c r="AD253">
        <f t="shared" si="40"/>
        <v>16.674800000000001</v>
      </c>
      <c r="AE253">
        <f t="shared" si="41"/>
        <v>9.1113941916000005</v>
      </c>
      <c r="AF253" s="9"/>
      <c r="AG253" s="22">
        <v>1.1236600000000001</v>
      </c>
      <c r="AH253" s="22">
        <v>255.82400000000001</v>
      </c>
      <c r="AI253" s="22">
        <v>-1.5902699999999999E-2</v>
      </c>
      <c r="AJ253" s="22">
        <v>243</v>
      </c>
      <c r="AK253" s="22">
        <v>1.1233500000000001</v>
      </c>
      <c r="AL253">
        <f t="shared" si="42"/>
        <v>15.902699999999999</v>
      </c>
      <c r="AM253">
        <f t="shared" si="43"/>
        <v>17.869227882000001</v>
      </c>
      <c r="AP253" s="9"/>
      <c r="AQ253" s="22">
        <v>0.54641700000000004</v>
      </c>
      <c r="AR253" s="22">
        <v>334.678</v>
      </c>
      <c r="AS253" s="22">
        <v>-1.6595499999999999E-2</v>
      </c>
      <c r="AT253" s="22">
        <v>243</v>
      </c>
      <c r="AU253" s="22">
        <v>0.54553200000000002</v>
      </c>
      <c r="AV253">
        <f t="shared" si="44"/>
        <v>16.595499999999998</v>
      </c>
      <c r="AW253">
        <f t="shared" si="45"/>
        <v>9.0680633234999988</v>
      </c>
      <c r="AX253" s="9"/>
      <c r="AY253" s="22">
        <v>1.1236600000000001</v>
      </c>
      <c r="AZ253" s="22">
        <v>392.98899999999998</v>
      </c>
      <c r="BA253" s="22">
        <v>-1.5899699999999999E-2</v>
      </c>
      <c r="BB253" s="22">
        <v>243</v>
      </c>
      <c r="BC253" s="22">
        <v>1.1224400000000001</v>
      </c>
      <c r="BD253">
        <f t="shared" si="46"/>
        <v>15.899699999999999</v>
      </c>
      <c r="BE253">
        <f t="shared" si="47"/>
        <v>17.865856902000001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0.54138200000000003</v>
      </c>
      <c r="H254" s="22">
        <v>63.940300000000001</v>
      </c>
      <c r="I254" s="22">
        <v>-1.6653399999999999E-2</v>
      </c>
      <c r="J254" s="22">
        <v>244</v>
      </c>
      <c r="K254" s="22">
        <v>0.54055799999999998</v>
      </c>
      <c r="L254">
        <f t="shared" si="36"/>
        <v>16.653399999999998</v>
      </c>
      <c r="M254">
        <f t="shared" si="37"/>
        <v>9.0158509987999995</v>
      </c>
      <c r="N254" s="9"/>
      <c r="O254" s="22">
        <v>1.12869</v>
      </c>
      <c r="P254" s="22">
        <v>128.262</v>
      </c>
      <c r="Q254" s="22">
        <v>-1.6107199999999999E-2</v>
      </c>
      <c r="R254" s="22">
        <v>244</v>
      </c>
      <c r="S254" s="22">
        <v>1.1270100000000001</v>
      </c>
      <c r="T254">
        <f t="shared" si="38"/>
        <v>16.107199999999999</v>
      </c>
      <c r="U254">
        <f t="shared" si="39"/>
        <v>18.180035567999997</v>
      </c>
      <c r="X254" s="9"/>
      <c r="Y254" s="22">
        <v>0.54138200000000003</v>
      </c>
      <c r="Z254" s="22">
        <v>198.39500000000001</v>
      </c>
      <c r="AA254" s="22">
        <v>-1.6665599999999999E-2</v>
      </c>
      <c r="AB254" s="22">
        <v>244</v>
      </c>
      <c r="AC254" s="22">
        <v>0.54052699999999998</v>
      </c>
      <c r="AD254">
        <f t="shared" si="40"/>
        <v>16.665599999999998</v>
      </c>
      <c r="AE254">
        <f t="shared" si="41"/>
        <v>9.022455859199999</v>
      </c>
      <c r="AF254" s="9"/>
      <c r="AG254" s="22">
        <v>1.12869</v>
      </c>
      <c r="AH254" s="22">
        <v>255.92400000000001</v>
      </c>
      <c r="AI254" s="22">
        <v>-1.5890499999999998E-2</v>
      </c>
      <c r="AJ254" s="22">
        <v>244</v>
      </c>
      <c r="AK254" s="22">
        <v>1.1273200000000001</v>
      </c>
      <c r="AL254">
        <f t="shared" si="42"/>
        <v>15.890499999999998</v>
      </c>
      <c r="AM254">
        <f t="shared" si="43"/>
        <v>17.935448444999995</v>
      </c>
      <c r="AP254" s="9"/>
      <c r="AQ254" s="22">
        <v>0.54138200000000003</v>
      </c>
      <c r="AR254" s="22">
        <v>334.779</v>
      </c>
      <c r="AS254" s="22">
        <v>-1.6613800000000001E-2</v>
      </c>
      <c r="AT254" s="22">
        <v>244</v>
      </c>
      <c r="AU254" s="22">
        <v>0.54055799999999998</v>
      </c>
      <c r="AV254">
        <f t="shared" si="44"/>
        <v>16.613800000000001</v>
      </c>
      <c r="AW254">
        <f t="shared" si="45"/>
        <v>8.9944122716000017</v>
      </c>
      <c r="AX254" s="9"/>
      <c r="AY254" s="22">
        <v>1.12869</v>
      </c>
      <c r="AZ254" s="22">
        <v>393.09</v>
      </c>
      <c r="BA254" s="22">
        <v>-1.5881300000000001E-2</v>
      </c>
      <c r="BB254" s="22">
        <v>244</v>
      </c>
      <c r="BC254" s="22">
        <v>1.1276200000000001</v>
      </c>
      <c r="BD254">
        <f t="shared" si="46"/>
        <v>15.881300000000001</v>
      </c>
      <c r="BE254">
        <f t="shared" si="47"/>
        <v>17.925064497000001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0.53634599999999999</v>
      </c>
      <c r="H255" s="22">
        <v>64.0411</v>
      </c>
      <c r="I255" s="22">
        <v>-1.66473E-2</v>
      </c>
      <c r="J255" s="22">
        <v>245</v>
      </c>
      <c r="K255" s="22">
        <v>0.53555299999999995</v>
      </c>
      <c r="L255">
        <f t="shared" si="36"/>
        <v>16.647300000000001</v>
      </c>
      <c r="M255">
        <f t="shared" si="37"/>
        <v>8.9287127658000003</v>
      </c>
      <c r="N255" s="9"/>
      <c r="O255" s="22">
        <v>1.1337299999999999</v>
      </c>
      <c r="P255" s="22">
        <v>128.363</v>
      </c>
      <c r="Q255" s="22">
        <v>-1.6082800000000001E-2</v>
      </c>
      <c r="R255" s="22">
        <v>245</v>
      </c>
      <c r="S255" s="22">
        <v>1.1325099999999999</v>
      </c>
      <c r="T255">
        <f t="shared" si="38"/>
        <v>16.082800000000002</v>
      </c>
      <c r="U255">
        <f t="shared" si="39"/>
        <v>18.233552844000002</v>
      </c>
      <c r="X255" s="9"/>
      <c r="Y255" s="22">
        <v>0.53634599999999999</v>
      </c>
      <c r="Z255" s="22">
        <v>198.49600000000001</v>
      </c>
      <c r="AA255" s="22">
        <v>-1.6677899999999999E-2</v>
      </c>
      <c r="AB255" s="22">
        <v>245</v>
      </c>
      <c r="AC255" s="22">
        <v>0.53552200000000005</v>
      </c>
      <c r="AD255">
        <f t="shared" si="40"/>
        <v>16.677899999999998</v>
      </c>
      <c r="AE255">
        <f t="shared" si="41"/>
        <v>8.9451249533999988</v>
      </c>
      <c r="AF255" s="9"/>
      <c r="AG255" s="22">
        <v>1.1337299999999999</v>
      </c>
      <c r="AH255" s="22">
        <v>256.02499999999998</v>
      </c>
      <c r="AI255" s="22">
        <v>-1.5859999999999999E-2</v>
      </c>
      <c r="AJ255" s="22">
        <v>245</v>
      </c>
      <c r="AK255" s="22">
        <v>1.1328100000000001</v>
      </c>
      <c r="AL255">
        <f t="shared" si="42"/>
        <v>15.86</v>
      </c>
      <c r="AM255">
        <f t="shared" si="43"/>
        <v>17.980957799999999</v>
      </c>
      <c r="AP255" s="9"/>
      <c r="AQ255" s="22">
        <v>0.53634599999999999</v>
      </c>
      <c r="AR255" s="22">
        <v>334.87900000000002</v>
      </c>
      <c r="AS255" s="22">
        <v>-1.6616800000000001E-2</v>
      </c>
      <c r="AT255" s="22">
        <v>245</v>
      </c>
      <c r="AU255" s="22">
        <v>0.53552200000000005</v>
      </c>
      <c r="AV255">
        <f t="shared" si="44"/>
        <v>16.616800000000001</v>
      </c>
      <c r="AW255">
        <f t="shared" si="45"/>
        <v>8.9123542128000004</v>
      </c>
      <c r="AX255" s="9"/>
      <c r="AY255" s="22">
        <v>1.1337299999999999</v>
      </c>
      <c r="AZ255" s="22">
        <v>393.19</v>
      </c>
      <c r="BA255" s="22">
        <v>-1.5878300000000001E-2</v>
      </c>
      <c r="BB255" s="22">
        <v>245</v>
      </c>
      <c r="BC255" s="22">
        <v>1.1331199999999999</v>
      </c>
      <c r="BD255">
        <f t="shared" si="46"/>
        <v>15.878300000000001</v>
      </c>
      <c r="BE255">
        <f t="shared" si="47"/>
        <v>18.001705058999999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0.53131099999999998</v>
      </c>
      <c r="H256" s="22">
        <v>64.141800000000003</v>
      </c>
      <c r="I256" s="22">
        <v>-1.66626E-2</v>
      </c>
      <c r="J256" s="22">
        <v>246</v>
      </c>
      <c r="K256" s="22">
        <v>0.53045699999999996</v>
      </c>
      <c r="L256">
        <f t="shared" si="36"/>
        <v>16.662600000000001</v>
      </c>
      <c r="M256">
        <f t="shared" si="37"/>
        <v>8.8530226685999995</v>
      </c>
      <c r="N256" s="9"/>
      <c r="O256" s="22">
        <v>1.13876</v>
      </c>
      <c r="P256" s="22">
        <v>128.464</v>
      </c>
      <c r="Q256" s="22">
        <v>-1.6085800000000001E-2</v>
      </c>
      <c r="R256" s="22">
        <v>246</v>
      </c>
      <c r="S256" s="22">
        <v>1.1370800000000001</v>
      </c>
      <c r="T256">
        <f t="shared" si="38"/>
        <v>16.085800000000003</v>
      </c>
      <c r="U256">
        <f t="shared" si="39"/>
        <v>18.317865608000002</v>
      </c>
      <c r="X256" s="9"/>
      <c r="Y256" s="22">
        <v>0.53131099999999998</v>
      </c>
      <c r="Z256" s="22">
        <v>198.59700000000001</v>
      </c>
      <c r="AA256" s="22">
        <v>-1.6677899999999999E-2</v>
      </c>
      <c r="AB256" s="22">
        <v>246</v>
      </c>
      <c r="AC256" s="22">
        <v>0.53054800000000002</v>
      </c>
      <c r="AD256">
        <f t="shared" si="40"/>
        <v>16.677899999999998</v>
      </c>
      <c r="AE256">
        <f t="shared" si="41"/>
        <v>8.8611517268999975</v>
      </c>
      <c r="AF256" s="9"/>
      <c r="AG256" s="22">
        <v>1.13876</v>
      </c>
      <c r="AH256" s="22">
        <v>256.12599999999998</v>
      </c>
      <c r="AI256" s="22">
        <v>-1.5850800000000002E-2</v>
      </c>
      <c r="AJ256" s="22">
        <v>246</v>
      </c>
      <c r="AK256" s="22">
        <v>1.1379999999999999</v>
      </c>
      <c r="AL256">
        <f t="shared" si="42"/>
        <v>15.850800000000001</v>
      </c>
      <c r="AM256">
        <f t="shared" si="43"/>
        <v>18.050257008000003</v>
      </c>
      <c r="AP256" s="9"/>
      <c r="AQ256" s="22">
        <v>0.53131099999999998</v>
      </c>
      <c r="AR256" s="22">
        <v>334.98</v>
      </c>
      <c r="AS256" s="22">
        <v>-1.6613800000000001E-2</v>
      </c>
      <c r="AT256" s="22">
        <v>246</v>
      </c>
      <c r="AU256" s="22">
        <v>0.530609</v>
      </c>
      <c r="AV256">
        <f t="shared" si="44"/>
        <v>16.613800000000001</v>
      </c>
      <c r="AW256">
        <f t="shared" si="45"/>
        <v>8.8270946918000011</v>
      </c>
      <c r="AX256" s="9"/>
      <c r="AY256" s="22">
        <v>1.13876</v>
      </c>
      <c r="AZ256" s="22">
        <v>393.291</v>
      </c>
      <c r="BA256" s="22">
        <v>-1.5866100000000001E-2</v>
      </c>
      <c r="BB256" s="22">
        <v>246</v>
      </c>
      <c r="BC256" s="22">
        <v>1.1379999999999999</v>
      </c>
      <c r="BD256">
        <f t="shared" si="46"/>
        <v>15.866100000000001</v>
      </c>
      <c r="BE256">
        <f t="shared" si="47"/>
        <v>18.067680036000002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0.52627599999999997</v>
      </c>
      <c r="H257" s="22">
        <v>64.242500000000007</v>
      </c>
      <c r="I257" s="22">
        <v>-1.6659500000000001E-2</v>
      </c>
      <c r="J257" s="22">
        <v>247</v>
      </c>
      <c r="K257" s="22">
        <v>0.525482</v>
      </c>
      <c r="L257">
        <f t="shared" si="36"/>
        <v>16.659500000000001</v>
      </c>
      <c r="M257">
        <f t="shared" si="37"/>
        <v>8.7674950220000003</v>
      </c>
      <c r="N257" s="9"/>
      <c r="O257" s="22">
        <v>1.1437999999999999</v>
      </c>
      <c r="P257" s="22">
        <v>128.56399999999999</v>
      </c>
      <c r="Q257" s="22">
        <v>-1.6082800000000001E-2</v>
      </c>
      <c r="R257" s="22">
        <v>247</v>
      </c>
      <c r="S257" s="22">
        <v>1.1425799999999999</v>
      </c>
      <c r="T257">
        <f t="shared" si="38"/>
        <v>16.082800000000002</v>
      </c>
      <c r="U257">
        <f t="shared" si="39"/>
        <v>18.395506640000001</v>
      </c>
      <c r="X257" s="9"/>
      <c r="Y257" s="22">
        <v>0.52627599999999997</v>
      </c>
      <c r="Z257" s="22">
        <v>198.69800000000001</v>
      </c>
      <c r="AA257" s="22">
        <v>-1.6684000000000001E-2</v>
      </c>
      <c r="AB257" s="22">
        <v>247</v>
      </c>
      <c r="AC257" s="22">
        <v>0.52554299999999998</v>
      </c>
      <c r="AD257">
        <f t="shared" si="40"/>
        <v>16.684000000000001</v>
      </c>
      <c r="AE257">
        <f t="shared" si="41"/>
        <v>8.7803887839999994</v>
      </c>
      <c r="AF257" s="9"/>
      <c r="AG257" s="22">
        <v>1.1437999999999999</v>
      </c>
      <c r="AH257" s="22">
        <v>256.22699999999998</v>
      </c>
      <c r="AI257" s="22">
        <v>-1.5835599999999998E-2</v>
      </c>
      <c r="AJ257" s="22">
        <v>247</v>
      </c>
      <c r="AK257" s="22">
        <v>1.1431899999999999</v>
      </c>
      <c r="AL257">
        <f t="shared" si="42"/>
        <v>15.835599999999998</v>
      </c>
      <c r="AM257">
        <f t="shared" si="43"/>
        <v>18.112759279999995</v>
      </c>
      <c r="AP257" s="9"/>
      <c r="AQ257" s="22">
        <v>0.52627599999999997</v>
      </c>
      <c r="AR257" s="22">
        <v>335.08100000000002</v>
      </c>
      <c r="AS257" s="22">
        <v>-1.6616800000000001E-2</v>
      </c>
      <c r="AT257" s="22">
        <v>247</v>
      </c>
      <c r="AU257" s="22">
        <v>0.52563499999999996</v>
      </c>
      <c r="AV257">
        <f t="shared" si="44"/>
        <v>16.616800000000001</v>
      </c>
      <c r="AW257">
        <f t="shared" si="45"/>
        <v>8.7450230367999993</v>
      </c>
      <c r="AX257" s="9"/>
      <c r="AY257" s="22">
        <v>1.1437999999999999</v>
      </c>
      <c r="AZ257" s="22">
        <v>393.392</v>
      </c>
      <c r="BA257" s="22">
        <v>-1.58569E-2</v>
      </c>
      <c r="BB257" s="22">
        <v>247</v>
      </c>
      <c r="BC257" s="22">
        <v>1.1419699999999999</v>
      </c>
      <c r="BD257">
        <f t="shared" si="46"/>
        <v>15.8569</v>
      </c>
      <c r="BE257">
        <f t="shared" si="47"/>
        <v>18.137122219999998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0.52124000000000004</v>
      </c>
      <c r="H258" s="22">
        <v>64.343199999999996</v>
      </c>
      <c r="I258" s="22">
        <v>-1.66626E-2</v>
      </c>
      <c r="J258" s="22">
        <v>248</v>
      </c>
      <c r="K258" s="22">
        <v>0.52035500000000001</v>
      </c>
      <c r="L258">
        <f t="shared" si="36"/>
        <v>16.662600000000001</v>
      </c>
      <c r="M258">
        <f t="shared" si="37"/>
        <v>8.6852136240000011</v>
      </c>
      <c r="N258" s="9"/>
      <c r="O258" s="22">
        <v>1.14883</v>
      </c>
      <c r="P258" s="22">
        <v>128.66499999999999</v>
      </c>
      <c r="Q258" s="22">
        <v>-1.6082800000000001E-2</v>
      </c>
      <c r="R258" s="22">
        <v>248</v>
      </c>
      <c r="S258" s="22">
        <v>1.14838</v>
      </c>
      <c r="T258">
        <f t="shared" si="38"/>
        <v>16.082800000000002</v>
      </c>
      <c r="U258">
        <f t="shared" si="39"/>
        <v>18.476403124000004</v>
      </c>
      <c r="X258" s="9"/>
      <c r="Y258" s="22">
        <v>0.52124000000000004</v>
      </c>
      <c r="Z258" s="22">
        <v>198.798</v>
      </c>
      <c r="AA258" s="22">
        <v>-1.6699200000000001E-2</v>
      </c>
      <c r="AB258" s="22">
        <v>248</v>
      </c>
      <c r="AC258" s="22">
        <v>0.52056899999999995</v>
      </c>
      <c r="AD258">
        <f t="shared" si="40"/>
        <v>16.699200000000001</v>
      </c>
      <c r="AE258">
        <f t="shared" si="41"/>
        <v>8.704291008000002</v>
      </c>
      <c r="AF258" s="9"/>
      <c r="AG258" s="22">
        <v>1.14883</v>
      </c>
      <c r="AH258" s="22">
        <v>256.327</v>
      </c>
      <c r="AI258" s="22">
        <v>-1.5838600000000001E-2</v>
      </c>
      <c r="AJ258" s="22">
        <v>248</v>
      </c>
      <c r="AK258" s="22">
        <v>1.1480699999999999</v>
      </c>
      <c r="AL258">
        <f t="shared" si="42"/>
        <v>15.838600000000001</v>
      </c>
      <c r="AM258">
        <f t="shared" si="43"/>
        <v>18.195858838000003</v>
      </c>
      <c r="AP258" s="9"/>
      <c r="AQ258" s="22">
        <v>0.52124000000000004</v>
      </c>
      <c r="AR258" s="22">
        <v>335.18099999999998</v>
      </c>
      <c r="AS258" s="22">
        <v>-1.6625999999999998E-2</v>
      </c>
      <c r="AT258" s="22">
        <v>248</v>
      </c>
      <c r="AU258" s="22">
        <v>0.52050799999999997</v>
      </c>
      <c r="AV258">
        <f t="shared" si="44"/>
        <v>16.625999999999998</v>
      </c>
      <c r="AW258">
        <f t="shared" si="45"/>
        <v>8.6661362400000002</v>
      </c>
      <c r="AX258" s="9"/>
      <c r="AY258" s="22">
        <v>1.14883</v>
      </c>
      <c r="AZ258" s="22">
        <v>393.49200000000002</v>
      </c>
      <c r="BA258" s="22">
        <v>-1.5838600000000001E-2</v>
      </c>
      <c r="BB258" s="22">
        <v>248</v>
      </c>
      <c r="BC258" s="22">
        <v>1.1480699999999999</v>
      </c>
      <c r="BD258">
        <f t="shared" si="46"/>
        <v>15.838600000000001</v>
      </c>
      <c r="BE258">
        <f t="shared" si="47"/>
        <v>18.195858838000003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0.51620500000000002</v>
      </c>
      <c r="H259" s="22">
        <v>64.443899999999999</v>
      </c>
      <c r="I259" s="22">
        <v>-1.6653399999999999E-2</v>
      </c>
      <c r="J259" s="22">
        <v>249</v>
      </c>
      <c r="K259" s="22">
        <v>0.51541099999999995</v>
      </c>
      <c r="L259">
        <f t="shared" si="36"/>
        <v>16.653399999999998</v>
      </c>
      <c r="M259">
        <f t="shared" si="37"/>
        <v>8.5965683469999998</v>
      </c>
      <c r="N259" s="9"/>
      <c r="O259" s="22">
        <v>1.15387</v>
      </c>
      <c r="P259" s="22">
        <v>128.76599999999999</v>
      </c>
      <c r="Q259" s="22">
        <v>-1.6055300000000002E-2</v>
      </c>
      <c r="R259" s="22">
        <v>249</v>
      </c>
      <c r="S259" s="22">
        <v>1.15326</v>
      </c>
      <c r="T259">
        <f t="shared" si="38"/>
        <v>16.055300000000003</v>
      </c>
      <c r="U259">
        <f t="shared" si="39"/>
        <v>18.525729011000003</v>
      </c>
      <c r="X259" s="9"/>
      <c r="Y259" s="22">
        <v>0.51620500000000002</v>
      </c>
      <c r="Z259" s="22">
        <v>198.899</v>
      </c>
      <c r="AA259" s="22">
        <v>-1.67023E-2</v>
      </c>
      <c r="AB259" s="22">
        <v>249</v>
      </c>
      <c r="AC259" s="22">
        <v>0.51532</v>
      </c>
      <c r="AD259">
        <f t="shared" si="40"/>
        <v>16.702300000000001</v>
      </c>
      <c r="AE259">
        <f t="shared" si="41"/>
        <v>8.6218107715000016</v>
      </c>
      <c r="AF259" s="9"/>
      <c r="AG259" s="22">
        <v>1.15387</v>
      </c>
      <c r="AH259" s="22">
        <v>256.428</v>
      </c>
      <c r="AI259" s="22">
        <v>-1.5799000000000001E-2</v>
      </c>
      <c r="AJ259" s="22">
        <v>249</v>
      </c>
      <c r="AK259" s="22">
        <v>1.1529499999999999</v>
      </c>
      <c r="AL259">
        <f t="shared" si="42"/>
        <v>15.799000000000001</v>
      </c>
      <c r="AM259">
        <f t="shared" si="43"/>
        <v>18.229992129999999</v>
      </c>
      <c r="AP259" s="9"/>
      <c r="AQ259" s="22">
        <v>0.51620500000000002</v>
      </c>
      <c r="AR259" s="22">
        <v>335.28199999999998</v>
      </c>
      <c r="AS259" s="22">
        <v>-1.66321E-2</v>
      </c>
      <c r="AT259" s="22">
        <v>249</v>
      </c>
      <c r="AU259" s="22">
        <v>0.515289</v>
      </c>
      <c r="AV259">
        <f t="shared" si="44"/>
        <v>16.632100000000001</v>
      </c>
      <c r="AW259">
        <f t="shared" si="45"/>
        <v>8.5855731805000008</v>
      </c>
      <c r="AX259" s="9"/>
      <c r="AY259" s="22">
        <v>1.15387</v>
      </c>
      <c r="AZ259" s="22">
        <v>393.59300000000002</v>
      </c>
      <c r="BA259" s="22">
        <v>-1.5817299999999999E-2</v>
      </c>
      <c r="BB259" s="22">
        <v>249</v>
      </c>
      <c r="BC259" s="22">
        <v>1.15265</v>
      </c>
      <c r="BD259">
        <f t="shared" si="46"/>
        <v>15.817299999999999</v>
      </c>
      <c r="BE259">
        <f t="shared" si="47"/>
        <v>18.251107950999998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0.51116899999999998</v>
      </c>
      <c r="H260" s="22">
        <v>64.544600000000003</v>
      </c>
      <c r="I260" s="22">
        <v>-1.6668700000000002E-2</v>
      </c>
      <c r="J260" s="22">
        <v>250</v>
      </c>
      <c r="K260" s="22">
        <v>0.51040600000000003</v>
      </c>
      <c r="L260">
        <f t="shared" si="36"/>
        <v>16.668700000000001</v>
      </c>
      <c r="M260">
        <f t="shared" si="37"/>
        <v>8.5205227102999999</v>
      </c>
      <c r="N260" s="9"/>
      <c r="O260" s="22">
        <v>1.1589100000000001</v>
      </c>
      <c r="P260" s="22">
        <v>128.86699999999999</v>
      </c>
      <c r="Q260" s="22">
        <v>-1.6058300000000001E-2</v>
      </c>
      <c r="R260" s="22">
        <v>250</v>
      </c>
      <c r="S260" s="22">
        <v>1.15784</v>
      </c>
      <c r="T260">
        <f t="shared" si="38"/>
        <v>16.058300000000003</v>
      </c>
      <c r="U260">
        <f t="shared" si="39"/>
        <v>18.610124453000005</v>
      </c>
      <c r="X260" s="9"/>
      <c r="Y260" s="22">
        <v>0.51116899999999998</v>
      </c>
      <c r="Z260" s="22">
        <v>199</v>
      </c>
      <c r="AA260" s="22">
        <v>-1.6708400000000002E-2</v>
      </c>
      <c r="AB260" s="22">
        <v>250</v>
      </c>
      <c r="AC260" s="22">
        <v>0.51037600000000005</v>
      </c>
      <c r="AD260">
        <f t="shared" si="40"/>
        <v>16.708400000000001</v>
      </c>
      <c r="AE260">
        <f t="shared" si="41"/>
        <v>8.5408161196000005</v>
      </c>
      <c r="AF260" s="9"/>
      <c r="AG260" s="22">
        <v>1.1589100000000001</v>
      </c>
      <c r="AH260" s="22">
        <v>256.529</v>
      </c>
      <c r="AI260" s="22">
        <v>-1.57898E-2</v>
      </c>
      <c r="AJ260" s="22">
        <v>250</v>
      </c>
      <c r="AK260" s="22">
        <v>1.15784</v>
      </c>
      <c r="AL260">
        <f t="shared" si="42"/>
        <v>15.7898</v>
      </c>
      <c r="AM260">
        <f t="shared" si="43"/>
        <v>18.298957118000001</v>
      </c>
      <c r="AP260" s="9"/>
      <c r="AQ260" s="22">
        <v>0.51116899999999998</v>
      </c>
      <c r="AR260" s="22">
        <v>335.38299999999998</v>
      </c>
      <c r="AS260" s="22">
        <v>-1.66199E-2</v>
      </c>
      <c r="AT260" s="22">
        <v>250</v>
      </c>
      <c r="AU260" s="22">
        <v>0.51043700000000003</v>
      </c>
      <c r="AV260">
        <f t="shared" si="44"/>
        <v>16.619900000000001</v>
      </c>
      <c r="AW260">
        <f t="shared" si="45"/>
        <v>8.4955776631000006</v>
      </c>
      <c r="AX260" s="9"/>
      <c r="AY260" s="22">
        <v>1.1589100000000001</v>
      </c>
      <c r="AZ260" s="22">
        <v>393.69400000000002</v>
      </c>
      <c r="BA260" s="22">
        <v>-1.5823400000000001E-2</v>
      </c>
      <c r="BB260" s="22">
        <v>250</v>
      </c>
      <c r="BC260" s="22">
        <v>1.1581399999999999</v>
      </c>
      <c r="BD260">
        <f t="shared" si="46"/>
        <v>15.823400000000001</v>
      </c>
      <c r="BE260">
        <f t="shared" si="47"/>
        <v>18.337896494000002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0.50613399999999997</v>
      </c>
      <c r="H261" s="22">
        <v>64.645300000000006</v>
      </c>
      <c r="I261" s="22">
        <v>-1.6690099999999999E-2</v>
      </c>
      <c r="J261" s="22">
        <v>251</v>
      </c>
      <c r="K261" s="22">
        <v>0.50527999999999995</v>
      </c>
      <c r="L261">
        <f t="shared" si="36"/>
        <v>16.690100000000001</v>
      </c>
      <c r="M261">
        <f t="shared" si="37"/>
        <v>8.4474270734000001</v>
      </c>
      <c r="N261" s="9"/>
      <c r="O261" s="22">
        <v>1.16394</v>
      </c>
      <c r="P261" s="22">
        <v>128.96700000000001</v>
      </c>
      <c r="Q261" s="22">
        <v>-1.6046100000000001E-2</v>
      </c>
      <c r="R261" s="22">
        <v>251</v>
      </c>
      <c r="S261" s="22">
        <v>1.1630199999999999</v>
      </c>
      <c r="T261">
        <f t="shared" si="38"/>
        <v>16.046099999999999</v>
      </c>
      <c r="U261">
        <f t="shared" si="39"/>
        <v>18.676697634</v>
      </c>
      <c r="X261" s="9"/>
      <c r="Y261" s="22">
        <v>0.50613399999999997</v>
      </c>
      <c r="Z261" s="22">
        <v>199.1</v>
      </c>
      <c r="AA261" s="22">
        <v>-1.6699200000000001E-2</v>
      </c>
      <c r="AB261" s="22">
        <v>251</v>
      </c>
      <c r="AC261" s="22">
        <v>0.50534100000000004</v>
      </c>
      <c r="AD261">
        <f t="shared" si="40"/>
        <v>16.699200000000001</v>
      </c>
      <c r="AE261">
        <f t="shared" si="41"/>
        <v>8.4520328928000001</v>
      </c>
      <c r="AF261" s="9"/>
      <c r="AG261" s="22">
        <v>1.16394</v>
      </c>
      <c r="AH261" s="22">
        <v>256.62900000000002</v>
      </c>
      <c r="AI261" s="22">
        <v>-1.57745E-2</v>
      </c>
      <c r="AJ261" s="22">
        <v>251</v>
      </c>
      <c r="AK261" s="22">
        <v>1.16272</v>
      </c>
      <c r="AL261">
        <f t="shared" si="42"/>
        <v>15.7745</v>
      </c>
      <c r="AM261">
        <f t="shared" si="43"/>
        <v>18.360571529999998</v>
      </c>
      <c r="AP261" s="9"/>
      <c r="AQ261" s="22">
        <v>0.50613399999999997</v>
      </c>
      <c r="AR261" s="22">
        <v>335.48399999999998</v>
      </c>
      <c r="AS261" s="22">
        <v>-1.6629000000000001E-2</v>
      </c>
      <c r="AT261" s="22">
        <v>251</v>
      </c>
      <c r="AU261" s="22">
        <v>0.50524899999999995</v>
      </c>
      <c r="AV261">
        <f t="shared" si="44"/>
        <v>16.629000000000001</v>
      </c>
      <c r="AW261">
        <f t="shared" si="45"/>
        <v>8.4165022860000001</v>
      </c>
      <c r="AX261" s="9"/>
      <c r="AY261" s="22">
        <v>1.16394</v>
      </c>
      <c r="AZ261" s="22">
        <v>393.79500000000002</v>
      </c>
      <c r="BA261" s="22">
        <v>-1.5826400000000001E-2</v>
      </c>
      <c r="BB261" s="22">
        <v>251</v>
      </c>
      <c r="BC261" s="22">
        <v>1.1630199999999999</v>
      </c>
      <c r="BD261">
        <f t="shared" si="46"/>
        <v>15.826400000000001</v>
      </c>
      <c r="BE261">
        <f t="shared" si="47"/>
        <v>18.420980016000001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0.50109899999999996</v>
      </c>
      <c r="H262" s="22">
        <v>64.745999999999995</v>
      </c>
      <c r="I262" s="22">
        <v>-1.6696200000000001E-2</v>
      </c>
      <c r="J262" s="22">
        <v>252</v>
      </c>
      <c r="K262" s="22">
        <v>0.500305</v>
      </c>
      <c r="L262">
        <f t="shared" si="36"/>
        <v>16.696200000000001</v>
      </c>
      <c r="M262">
        <f t="shared" si="37"/>
        <v>8.3664491238000007</v>
      </c>
      <c r="N262" s="9"/>
      <c r="O262" s="22">
        <v>1.1689799999999999</v>
      </c>
      <c r="P262" s="22">
        <v>129.06800000000001</v>
      </c>
      <c r="Q262" s="22">
        <v>-1.6052199999999999E-2</v>
      </c>
      <c r="R262" s="22">
        <v>252</v>
      </c>
      <c r="S262" s="22">
        <v>1.1676</v>
      </c>
      <c r="T262">
        <f t="shared" si="38"/>
        <v>16.052199999999999</v>
      </c>
      <c r="U262">
        <f t="shared" si="39"/>
        <v>18.764700755999996</v>
      </c>
      <c r="X262" s="9"/>
      <c r="Y262" s="22">
        <v>0.50109899999999996</v>
      </c>
      <c r="Z262" s="22">
        <v>199.20099999999999</v>
      </c>
      <c r="AA262" s="22">
        <v>-1.6699200000000001E-2</v>
      </c>
      <c r="AB262" s="22">
        <v>252</v>
      </c>
      <c r="AC262" s="22">
        <v>0.500305</v>
      </c>
      <c r="AD262">
        <f t="shared" si="40"/>
        <v>16.699200000000001</v>
      </c>
      <c r="AE262">
        <f t="shared" si="41"/>
        <v>8.3679524208</v>
      </c>
      <c r="AF262" s="9"/>
      <c r="AG262" s="22">
        <v>1.1689799999999999</v>
      </c>
      <c r="AH262" s="22">
        <v>256.73</v>
      </c>
      <c r="AI262" s="22">
        <v>-1.57593E-2</v>
      </c>
      <c r="AJ262" s="22">
        <v>252</v>
      </c>
      <c r="AK262" s="22">
        <v>1.16791</v>
      </c>
      <c r="AL262">
        <f t="shared" si="42"/>
        <v>15.7593</v>
      </c>
      <c r="AM262">
        <f t="shared" si="43"/>
        <v>18.422306513999999</v>
      </c>
      <c r="AP262" s="9"/>
      <c r="AQ262" s="22">
        <v>0.50109899999999996</v>
      </c>
      <c r="AR262" s="22">
        <v>335.584</v>
      </c>
      <c r="AS262" s="22">
        <v>-1.6625999999999998E-2</v>
      </c>
      <c r="AT262" s="22">
        <v>252</v>
      </c>
      <c r="AU262" s="22">
        <v>0.500336</v>
      </c>
      <c r="AV262">
        <f t="shared" si="44"/>
        <v>16.625999999999998</v>
      </c>
      <c r="AW262">
        <f t="shared" si="45"/>
        <v>8.3312719739999981</v>
      </c>
      <c r="AX262" s="9"/>
      <c r="AY262" s="22">
        <v>1.1689799999999999</v>
      </c>
      <c r="AZ262" s="22">
        <v>393.89499999999998</v>
      </c>
      <c r="BA262" s="22">
        <v>-1.5808099999999999E-2</v>
      </c>
      <c r="BB262" s="22">
        <v>252</v>
      </c>
      <c r="BC262" s="22">
        <v>1.16791</v>
      </c>
      <c r="BD262">
        <f t="shared" si="46"/>
        <v>15.808099999999998</v>
      </c>
      <c r="BE262">
        <f t="shared" si="47"/>
        <v>18.479352737999996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0.49606299999999998</v>
      </c>
      <c r="H263" s="22">
        <v>64.846699999999998</v>
      </c>
      <c r="I263" s="22">
        <v>-1.6687E-2</v>
      </c>
      <c r="J263" s="22">
        <v>253</v>
      </c>
      <c r="K263" s="22">
        <v>0.495361</v>
      </c>
      <c r="L263">
        <f t="shared" si="36"/>
        <v>16.687000000000001</v>
      </c>
      <c r="M263">
        <f t="shared" si="37"/>
        <v>8.2778032810000006</v>
      </c>
      <c r="N263" s="9"/>
      <c r="O263" s="22">
        <v>1.17401</v>
      </c>
      <c r="P263" s="22">
        <v>129.16900000000001</v>
      </c>
      <c r="Q263" s="22">
        <v>-1.6027799999999998E-2</v>
      </c>
      <c r="R263" s="22">
        <v>253</v>
      </c>
      <c r="S263" s="22">
        <v>1.1731</v>
      </c>
      <c r="T263">
        <f t="shared" si="38"/>
        <v>16.027799999999999</v>
      </c>
      <c r="U263">
        <f t="shared" si="39"/>
        <v>18.816797477999998</v>
      </c>
      <c r="X263" s="9"/>
      <c r="Y263" s="22">
        <v>0.49606299999999998</v>
      </c>
      <c r="Z263" s="22">
        <v>199.30199999999999</v>
      </c>
      <c r="AA263" s="22">
        <v>-1.67023E-2</v>
      </c>
      <c r="AB263" s="22">
        <v>253</v>
      </c>
      <c r="AC263" s="22">
        <v>0.49548300000000001</v>
      </c>
      <c r="AD263">
        <f t="shared" si="40"/>
        <v>16.702300000000001</v>
      </c>
      <c r="AE263">
        <f t="shared" si="41"/>
        <v>8.2853930448999993</v>
      </c>
      <c r="AF263" s="9"/>
      <c r="AG263" s="22">
        <v>1.17401</v>
      </c>
      <c r="AH263" s="22">
        <v>256.83100000000002</v>
      </c>
      <c r="AI263" s="22">
        <v>-1.5756200000000001E-2</v>
      </c>
      <c r="AJ263" s="22">
        <v>253</v>
      </c>
      <c r="AK263" s="22">
        <v>1.17279</v>
      </c>
      <c r="AL263">
        <f t="shared" si="42"/>
        <v>15.756200000000002</v>
      </c>
      <c r="AM263">
        <f t="shared" si="43"/>
        <v>18.497936362000001</v>
      </c>
      <c r="AP263" s="9"/>
      <c r="AQ263" s="22">
        <v>0.49606299999999998</v>
      </c>
      <c r="AR263" s="22">
        <v>335.685</v>
      </c>
      <c r="AS263" s="22">
        <v>-1.6641199999999998E-2</v>
      </c>
      <c r="AT263" s="22">
        <v>253</v>
      </c>
      <c r="AU263" s="22">
        <v>0.495361</v>
      </c>
      <c r="AV263">
        <f t="shared" si="44"/>
        <v>16.641199999999998</v>
      </c>
      <c r="AW263">
        <f t="shared" si="45"/>
        <v>8.2550835955999986</v>
      </c>
      <c r="AX263" s="9"/>
      <c r="AY263" s="22">
        <v>1.17401</v>
      </c>
      <c r="AZ263" s="22">
        <v>393.99599999999998</v>
      </c>
      <c r="BA263" s="22">
        <v>-1.5783700000000001E-2</v>
      </c>
      <c r="BB263" s="22">
        <v>253</v>
      </c>
      <c r="BC263" s="22">
        <v>1.1731</v>
      </c>
      <c r="BD263">
        <f t="shared" si="46"/>
        <v>15.783700000000001</v>
      </c>
      <c r="BE263">
        <f t="shared" si="47"/>
        <v>18.530221637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0.49102800000000002</v>
      </c>
      <c r="H264" s="22">
        <v>64.947400000000002</v>
      </c>
      <c r="I264" s="22">
        <v>-1.6690099999999999E-2</v>
      </c>
      <c r="J264" s="22">
        <v>254</v>
      </c>
      <c r="K264" s="22">
        <v>0.49032599999999998</v>
      </c>
      <c r="L264">
        <f t="shared" si="36"/>
        <v>16.690100000000001</v>
      </c>
      <c r="M264">
        <f t="shared" si="37"/>
        <v>8.1953064228000017</v>
      </c>
      <c r="N264" s="9"/>
      <c r="O264" s="22">
        <v>1.1790499999999999</v>
      </c>
      <c r="P264" s="22">
        <v>129.26900000000001</v>
      </c>
      <c r="Q264" s="22">
        <v>-1.60065E-2</v>
      </c>
      <c r="R264" s="22">
        <v>254</v>
      </c>
      <c r="S264" s="22">
        <v>1.17828</v>
      </c>
      <c r="T264">
        <f t="shared" si="38"/>
        <v>16.006499999999999</v>
      </c>
      <c r="U264">
        <f t="shared" si="39"/>
        <v>18.872463824999997</v>
      </c>
      <c r="X264" s="9"/>
      <c r="Y264" s="22">
        <v>0.49102800000000002</v>
      </c>
      <c r="Z264" s="22">
        <v>199.40299999999999</v>
      </c>
      <c r="AA264" s="22">
        <v>-1.6705299999999999E-2</v>
      </c>
      <c r="AB264" s="22">
        <v>254</v>
      </c>
      <c r="AC264" s="22">
        <v>0.49029499999999998</v>
      </c>
      <c r="AD264">
        <f t="shared" si="40"/>
        <v>16.705299999999998</v>
      </c>
      <c r="AE264">
        <f t="shared" si="41"/>
        <v>8.2027700483999997</v>
      </c>
      <c r="AF264" s="9"/>
      <c r="AG264" s="22">
        <v>1.1790499999999999</v>
      </c>
      <c r="AH264" s="22">
        <v>256.93099999999998</v>
      </c>
      <c r="AI264" s="22">
        <v>-1.5722699999999999E-2</v>
      </c>
      <c r="AJ264" s="22">
        <v>254</v>
      </c>
      <c r="AK264" s="22">
        <v>1.17798</v>
      </c>
      <c r="AL264">
        <f t="shared" si="42"/>
        <v>15.7227</v>
      </c>
      <c r="AM264">
        <f t="shared" si="43"/>
        <v>18.537849434999998</v>
      </c>
      <c r="AP264" s="9"/>
      <c r="AQ264" s="22">
        <v>0.49102800000000002</v>
      </c>
      <c r="AR264" s="22">
        <v>335.786</v>
      </c>
      <c r="AS264" s="22">
        <v>-1.6650399999999999E-2</v>
      </c>
      <c r="AT264" s="22">
        <v>254</v>
      </c>
      <c r="AU264" s="22">
        <v>0.49029499999999998</v>
      </c>
      <c r="AV264">
        <f t="shared" si="44"/>
        <v>16.650399999999998</v>
      </c>
      <c r="AW264">
        <f t="shared" si="45"/>
        <v>8.1758126111999996</v>
      </c>
      <c r="AX264" s="9"/>
      <c r="AY264" s="22">
        <v>1.1790499999999999</v>
      </c>
      <c r="AZ264" s="22">
        <v>394.09699999999998</v>
      </c>
      <c r="BA264" s="22">
        <v>-1.5765399999999999E-2</v>
      </c>
      <c r="BB264" s="22">
        <v>254</v>
      </c>
      <c r="BC264" s="22">
        <v>1.17767</v>
      </c>
      <c r="BD264">
        <f t="shared" si="46"/>
        <v>15.7654</v>
      </c>
      <c r="BE264">
        <f t="shared" si="47"/>
        <v>18.588194869999999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0.48599199999999998</v>
      </c>
      <c r="H265" s="22">
        <v>65.048100000000005</v>
      </c>
      <c r="I265" s="22">
        <v>-1.6711400000000001E-2</v>
      </c>
      <c r="J265" s="22">
        <v>255</v>
      </c>
      <c r="K265" s="22">
        <v>0.48526000000000002</v>
      </c>
      <c r="L265">
        <f t="shared" si="36"/>
        <v>16.711400000000001</v>
      </c>
      <c r="M265">
        <f t="shared" si="37"/>
        <v>8.1216067087999999</v>
      </c>
      <c r="N265" s="9"/>
      <c r="O265" s="22">
        <v>1.18408</v>
      </c>
      <c r="P265" s="22">
        <v>129.37</v>
      </c>
      <c r="Q265" s="22">
        <v>-1.5997299999999999E-2</v>
      </c>
      <c r="R265" s="22">
        <v>255</v>
      </c>
      <c r="S265" s="22">
        <v>1.18347</v>
      </c>
      <c r="T265">
        <f t="shared" si="38"/>
        <v>15.997299999999999</v>
      </c>
      <c r="U265">
        <f t="shared" si="39"/>
        <v>18.942082983999999</v>
      </c>
      <c r="X265" s="9"/>
      <c r="Y265" s="22">
        <v>0.48599199999999998</v>
      </c>
      <c r="Z265" s="22">
        <v>199.50299999999999</v>
      </c>
      <c r="AA265" s="22">
        <v>-1.6723600000000002E-2</v>
      </c>
      <c r="AB265" s="22">
        <v>255</v>
      </c>
      <c r="AC265" s="22">
        <v>0.48526000000000002</v>
      </c>
      <c r="AD265">
        <f t="shared" si="40"/>
        <v>16.723600000000001</v>
      </c>
      <c r="AE265">
        <f t="shared" si="41"/>
        <v>8.1275358111999996</v>
      </c>
      <c r="AF265" s="9"/>
      <c r="AG265" s="22">
        <v>1.18408</v>
      </c>
      <c r="AH265" s="22">
        <v>257.03199999999998</v>
      </c>
      <c r="AI265" s="22">
        <v>-1.5704300000000001E-2</v>
      </c>
      <c r="AJ265" s="22">
        <v>255</v>
      </c>
      <c r="AK265" s="22">
        <v>1.18347</v>
      </c>
      <c r="AL265">
        <f t="shared" si="42"/>
        <v>15.704300000000002</v>
      </c>
      <c r="AM265">
        <f t="shared" si="43"/>
        <v>18.595147544000003</v>
      </c>
      <c r="AP265" s="9"/>
      <c r="AQ265" s="22">
        <v>0.48599199999999998</v>
      </c>
      <c r="AR265" s="22">
        <v>335.88600000000002</v>
      </c>
      <c r="AS265" s="22">
        <v>-1.6653399999999999E-2</v>
      </c>
      <c r="AT265" s="22">
        <v>255</v>
      </c>
      <c r="AU265" s="22">
        <v>0.48526000000000002</v>
      </c>
      <c r="AV265">
        <f t="shared" si="44"/>
        <v>16.653399999999998</v>
      </c>
      <c r="AW265">
        <f t="shared" si="45"/>
        <v>8.0934191727999991</v>
      </c>
      <c r="AX265" s="9"/>
      <c r="AY265" s="22">
        <v>1.18408</v>
      </c>
      <c r="AZ265" s="22">
        <v>394.197</v>
      </c>
      <c r="BA265" s="22">
        <v>-1.5741000000000002E-2</v>
      </c>
      <c r="BB265" s="22">
        <v>255</v>
      </c>
      <c r="BC265" s="22">
        <v>1.18286</v>
      </c>
      <c r="BD265">
        <f t="shared" si="46"/>
        <v>15.741000000000001</v>
      </c>
      <c r="BE265">
        <f t="shared" si="47"/>
        <v>18.638603280000002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0.48095700000000002</v>
      </c>
      <c r="H266" s="22">
        <v>65.148799999999994</v>
      </c>
      <c r="I266" s="22">
        <v>-1.6699200000000001E-2</v>
      </c>
      <c r="J266" s="22">
        <v>256</v>
      </c>
      <c r="K266" s="22">
        <v>0.48046899999999998</v>
      </c>
      <c r="L266">
        <f t="shared" si="36"/>
        <v>16.699200000000001</v>
      </c>
      <c r="M266">
        <f t="shared" si="37"/>
        <v>8.0315971344000001</v>
      </c>
      <c r="N266" s="9"/>
      <c r="O266" s="22">
        <v>1.18912</v>
      </c>
      <c r="P266" s="22">
        <v>129.471</v>
      </c>
      <c r="Q266" s="22">
        <v>-1.5991200000000001E-2</v>
      </c>
      <c r="R266" s="22">
        <v>256</v>
      </c>
      <c r="S266" s="22">
        <v>1.18774</v>
      </c>
      <c r="T266">
        <f t="shared" si="38"/>
        <v>15.991200000000001</v>
      </c>
      <c r="U266">
        <f t="shared" si="39"/>
        <v>19.015455744</v>
      </c>
      <c r="X266" s="9"/>
      <c r="Y266" s="22">
        <v>0.48095700000000002</v>
      </c>
      <c r="Z266" s="22">
        <v>199.60400000000001</v>
      </c>
      <c r="AA266" s="22">
        <v>-1.6720599999999999E-2</v>
      </c>
      <c r="AB266" s="22">
        <v>256</v>
      </c>
      <c r="AC266" s="22">
        <v>0.48025499999999999</v>
      </c>
      <c r="AD266">
        <f t="shared" si="40"/>
        <v>16.720599999999997</v>
      </c>
      <c r="AE266">
        <f t="shared" si="41"/>
        <v>8.0418896141999987</v>
      </c>
      <c r="AF266" s="9"/>
      <c r="AG266" s="22">
        <v>1.18912</v>
      </c>
      <c r="AH266" s="22">
        <v>257.13299999999998</v>
      </c>
      <c r="AI266" s="22">
        <v>-1.5689100000000001E-2</v>
      </c>
      <c r="AJ266" s="22">
        <v>256</v>
      </c>
      <c r="AK266" s="22">
        <v>1.18774</v>
      </c>
      <c r="AL266">
        <f t="shared" si="42"/>
        <v>15.689100000000002</v>
      </c>
      <c r="AM266">
        <f t="shared" si="43"/>
        <v>18.656222592000002</v>
      </c>
      <c r="AP266" s="9"/>
      <c r="AQ266" s="22">
        <v>0.48095700000000002</v>
      </c>
      <c r="AR266" s="22">
        <v>335.98700000000002</v>
      </c>
      <c r="AS266" s="22">
        <v>-1.6641199999999998E-2</v>
      </c>
      <c r="AT266" s="22">
        <v>256</v>
      </c>
      <c r="AU266" s="22">
        <v>0.48034700000000002</v>
      </c>
      <c r="AV266">
        <f t="shared" si="44"/>
        <v>16.641199999999998</v>
      </c>
      <c r="AW266">
        <f t="shared" si="45"/>
        <v>8.0037016284</v>
      </c>
      <c r="AX266" s="9"/>
      <c r="AY266" s="22">
        <v>1.18912</v>
      </c>
      <c r="AZ266" s="22">
        <v>394.298</v>
      </c>
      <c r="BA266" s="22">
        <v>-1.5744000000000001E-2</v>
      </c>
      <c r="BB266" s="22">
        <v>256</v>
      </c>
      <c r="BC266" s="22">
        <v>1.18835</v>
      </c>
      <c r="BD266">
        <f t="shared" si="46"/>
        <v>15.744000000000002</v>
      </c>
      <c r="BE266">
        <f t="shared" si="47"/>
        <v>18.721505280000002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0.47592200000000001</v>
      </c>
      <c r="H267" s="22">
        <v>65.249499999999998</v>
      </c>
      <c r="I267" s="22">
        <v>-1.67145E-2</v>
      </c>
      <c r="J267" s="22">
        <v>257</v>
      </c>
      <c r="K267" s="22">
        <v>0.47518899999999997</v>
      </c>
      <c r="L267">
        <f t="shared" si="36"/>
        <v>16.714500000000001</v>
      </c>
      <c r="M267">
        <f t="shared" si="37"/>
        <v>7.9547982690000003</v>
      </c>
      <c r="N267" s="9"/>
      <c r="O267" s="22">
        <v>1.19415</v>
      </c>
      <c r="P267" s="22">
        <v>129.572</v>
      </c>
      <c r="Q267" s="22">
        <v>-1.60065E-2</v>
      </c>
      <c r="R267" s="22">
        <v>257</v>
      </c>
      <c r="S267" s="22">
        <v>1.1932400000000001</v>
      </c>
      <c r="T267">
        <f t="shared" si="38"/>
        <v>16.006499999999999</v>
      </c>
      <c r="U267">
        <f t="shared" si="39"/>
        <v>19.114161974999998</v>
      </c>
      <c r="X267" s="9"/>
      <c r="Y267" s="22">
        <v>0.47592200000000001</v>
      </c>
      <c r="Z267" s="22">
        <v>199.70500000000001</v>
      </c>
      <c r="AA267" s="22">
        <v>-1.67175E-2</v>
      </c>
      <c r="AB267" s="22">
        <v>257</v>
      </c>
      <c r="AC267" s="22">
        <v>0.47521999999999998</v>
      </c>
      <c r="AD267">
        <f t="shared" si="40"/>
        <v>16.717500000000001</v>
      </c>
      <c r="AE267">
        <f t="shared" si="41"/>
        <v>7.9562260350000011</v>
      </c>
      <c r="AF267" s="9"/>
      <c r="AG267" s="22">
        <v>1.19415</v>
      </c>
      <c r="AH267" s="22">
        <v>257.23399999999998</v>
      </c>
      <c r="AI267" s="22">
        <v>-1.5673800000000002E-2</v>
      </c>
      <c r="AJ267" s="22">
        <v>257</v>
      </c>
      <c r="AK267" s="22">
        <v>1.1926300000000001</v>
      </c>
      <c r="AL267">
        <f t="shared" si="42"/>
        <v>15.673800000000002</v>
      </c>
      <c r="AM267">
        <f t="shared" si="43"/>
        <v>18.716868270000003</v>
      </c>
      <c r="AP267" s="9"/>
      <c r="AQ267" s="22">
        <v>0.47592200000000001</v>
      </c>
      <c r="AR267" s="22">
        <v>336.08800000000002</v>
      </c>
      <c r="AS267" s="22">
        <v>-1.6641199999999998E-2</v>
      </c>
      <c r="AT267" s="22">
        <v>257</v>
      </c>
      <c r="AU267" s="22">
        <v>0.47491499999999998</v>
      </c>
      <c r="AV267">
        <f t="shared" si="44"/>
        <v>16.641199999999998</v>
      </c>
      <c r="AW267">
        <f t="shared" si="45"/>
        <v>7.9199131863999988</v>
      </c>
      <c r="AX267" s="9"/>
      <c r="AY267" s="22">
        <v>1.19415</v>
      </c>
      <c r="AZ267" s="22">
        <v>394.399</v>
      </c>
      <c r="BA267" s="22">
        <v>-1.5710399999999999E-2</v>
      </c>
      <c r="BB267" s="22">
        <v>257</v>
      </c>
      <c r="BC267" s="22">
        <v>1.19293</v>
      </c>
      <c r="BD267">
        <f t="shared" si="46"/>
        <v>15.7104</v>
      </c>
      <c r="BE267">
        <f t="shared" si="47"/>
        <v>18.760574160000001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0.47088600000000003</v>
      </c>
      <c r="H268" s="22">
        <v>65.350300000000004</v>
      </c>
      <c r="I268" s="22">
        <v>-1.67023E-2</v>
      </c>
      <c r="J268" s="22">
        <v>258</v>
      </c>
      <c r="K268" s="22">
        <v>0.47003200000000001</v>
      </c>
      <c r="L268">
        <f t="shared" ref="L268:L331" si="48">-I268/$F$2*1000</f>
        <v>16.702300000000001</v>
      </c>
      <c r="M268">
        <f t="shared" ref="M268:M331" si="49">L268*G268</f>
        <v>7.8648792378000012</v>
      </c>
      <c r="N268" s="9"/>
      <c r="O268" s="22">
        <v>1.19919</v>
      </c>
      <c r="P268" s="22">
        <v>129.672</v>
      </c>
      <c r="Q268" s="22">
        <v>-1.5979E-2</v>
      </c>
      <c r="R268" s="22">
        <v>258</v>
      </c>
      <c r="S268" s="22">
        <v>1.1981200000000001</v>
      </c>
      <c r="T268">
        <f t="shared" ref="T268:T331" si="50">-Q268/$F$2*1000</f>
        <v>15.979000000000001</v>
      </c>
      <c r="U268">
        <f t="shared" ref="U268:U331" si="51">T268*O268</f>
        <v>19.161857010000002</v>
      </c>
      <c r="X268" s="9"/>
      <c r="Y268" s="22">
        <v>0.47088600000000003</v>
      </c>
      <c r="Z268" s="22">
        <v>199.80500000000001</v>
      </c>
      <c r="AA268" s="22">
        <v>-1.6711400000000001E-2</v>
      </c>
      <c r="AB268" s="22">
        <v>258</v>
      </c>
      <c r="AC268" s="22">
        <v>0.47009299999999998</v>
      </c>
      <c r="AD268">
        <f t="shared" ref="AD268:AD331" si="52">-AA268/$F$2*1000</f>
        <v>16.711400000000001</v>
      </c>
      <c r="AE268">
        <f t="shared" ref="AE268:AE331" si="53">AD268*Y268</f>
        <v>7.8691643004000014</v>
      </c>
      <c r="AF268" s="9"/>
      <c r="AG268" s="22">
        <v>1.19919</v>
      </c>
      <c r="AH268" s="22">
        <v>257.334</v>
      </c>
      <c r="AI268" s="22">
        <v>-1.5658600000000002E-2</v>
      </c>
      <c r="AJ268" s="22">
        <v>258</v>
      </c>
      <c r="AK268" s="22">
        <v>1.19781</v>
      </c>
      <c r="AL268">
        <f t="shared" ref="AL268:AL331" si="54">-AI268/$F$2*1000</f>
        <v>15.658600000000002</v>
      </c>
      <c r="AM268">
        <f t="shared" ref="AM268:AM331" si="55">AL268*AG268</f>
        <v>18.777636534000003</v>
      </c>
      <c r="AP268" s="9"/>
      <c r="AQ268" s="22">
        <v>0.47088600000000003</v>
      </c>
      <c r="AR268" s="22">
        <v>336.18900000000002</v>
      </c>
      <c r="AS268" s="22">
        <v>-1.66473E-2</v>
      </c>
      <c r="AT268" s="22">
        <v>258</v>
      </c>
      <c r="AU268" s="22">
        <v>0.47003200000000001</v>
      </c>
      <c r="AV268">
        <f t="shared" ref="AV268:AV331" si="56">-AS268/$F$2*1000</f>
        <v>16.647300000000001</v>
      </c>
      <c r="AW268">
        <f t="shared" ref="AW268:AW331" si="57">AV268*AQ268</f>
        <v>7.8389805078000014</v>
      </c>
      <c r="AX268" s="9"/>
      <c r="AY268" s="22">
        <v>1.19919</v>
      </c>
      <c r="AZ268" s="22">
        <v>394.49900000000002</v>
      </c>
      <c r="BA268" s="22">
        <v>-1.57074E-2</v>
      </c>
      <c r="BB268" s="22">
        <v>258</v>
      </c>
      <c r="BC268" s="22">
        <v>1.1984300000000001</v>
      </c>
      <c r="BD268">
        <f t="shared" ref="BD268:BD331" si="58">-BA268/$F$2*1000</f>
        <v>15.7074</v>
      </c>
      <c r="BE268">
        <f t="shared" ref="BE268:BE331" si="59">BD268*AY268</f>
        <v>18.836157006000001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0.46585100000000002</v>
      </c>
      <c r="H269" s="22">
        <v>65.450999999999993</v>
      </c>
      <c r="I269" s="22">
        <v>-1.6705299999999999E-2</v>
      </c>
      <c r="J269" s="22">
        <v>259</v>
      </c>
      <c r="K269" s="22">
        <v>0.46514899999999998</v>
      </c>
      <c r="L269">
        <f t="shared" si="48"/>
        <v>16.705299999999998</v>
      </c>
      <c r="M269">
        <f t="shared" si="49"/>
        <v>7.7821807102999987</v>
      </c>
      <c r="N269" s="9"/>
      <c r="O269" s="22">
        <v>1.2042200000000001</v>
      </c>
      <c r="P269" s="22">
        <v>129.773</v>
      </c>
      <c r="Q269" s="22">
        <v>-1.5969799999999999E-2</v>
      </c>
      <c r="R269" s="22">
        <v>259</v>
      </c>
      <c r="S269" s="22">
        <v>1.2033100000000001</v>
      </c>
      <c r="T269">
        <f t="shared" si="50"/>
        <v>15.969799999999999</v>
      </c>
      <c r="U269">
        <f t="shared" si="51"/>
        <v>19.231152556000001</v>
      </c>
      <c r="X269" s="9"/>
      <c r="Y269" s="22">
        <v>0.46585100000000002</v>
      </c>
      <c r="Z269" s="22">
        <v>199.90600000000001</v>
      </c>
      <c r="AA269" s="22">
        <v>-1.6726700000000001E-2</v>
      </c>
      <c r="AB269" s="22">
        <v>259</v>
      </c>
      <c r="AC269" s="22">
        <v>0.465088</v>
      </c>
      <c r="AD269">
        <f t="shared" si="52"/>
        <v>16.726700000000001</v>
      </c>
      <c r="AE269">
        <f t="shared" si="53"/>
        <v>7.792149921700001</v>
      </c>
      <c r="AF269" s="9"/>
      <c r="AG269" s="22">
        <v>1.2042200000000001</v>
      </c>
      <c r="AH269" s="22">
        <v>257.435</v>
      </c>
      <c r="AI269" s="22">
        <v>-1.5640299999999999E-2</v>
      </c>
      <c r="AJ269" s="22">
        <v>259</v>
      </c>
      <c r="AK269" s="22">
        <v>1.2033100000000001</v>
      </c>
      <c r="AL269">
        <f t="shared" si="54"/>
        <v>15.6403</v>
      </c>
      <c r="AM269">
        <f t="shared" si="55"/>
        <v>18.834362066000001</v>
      </c>
      <c r="AP269" s="9"/>
      <c r="AQ269" s="22">
        <v>0.46585100000000002</v>
      </c>
      <c r="AR269" s="22">
        <v>336.28899999999999</v>
      </c>
      <c r="AS269" s="22">
        <v>-1.6656500000000001E-2</v>
      </c>
      <c r="AT269" s="22">
        <v>259</v>
      </c>
      <c r="AU269" s="22">
        <v>0.46521000000000001</v>
      </c>
      <c r="AV269">
        <f t="shared" si="56"/>
        <v>16.656500000000001</v>
      </c>
      <c r="AW269">
        <f t="shared" si="57"/>
        <v>7.7594471815000006</v>
      </c>
      <c r="AX269" s="9"/>
      <c r="AY269" s="22">
        <v>1.2042200000000001</v>
      </c>
      <c r="AZ269" s="22">
        <v>394.6</v>
      </c>
      <c r="BA269" s="22">
        <v>-1.5682999999999999E-2</v>
      </c>
      <c r="BB269" s="22">
        <v>259</v>
      </c>
      <c r="BC269" s="22">
        <v>1.2033100000000001</v>
      </c>
      <c r="BD269">
        <f t="shared" si="58"/>
        <v>15.683</v>
      </c>
      <c r="BE269">
        <f t="shared" si="59"/>
        <v>18.885782259999999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0.46081499999999997</v>
      </c>
      <c r="H270" s="22">
        <v>65.551699999999997</v>
      </c>
      <c r="I270" s="22">
        <v>-1.6708400000000002E-2</v>
      </c>
      <c r="J270" s="22">
        <v>260</v>
      </c>
      <c r="K270" s="22">
        <v>0.46005200000000002</v>
      </c>
      <c r="L270">
        <f t="shared" si="48"/>
        <v>16.708400000000001</v>
      </c>
      <c r="M270">
        <f t="shared" si="49"/>
        <v>7.6994813459999998</v>
      </c>
      <c r="N270" s="9"/>
      <c r="O270" s="22">
        <v>1.20926</v>
      </c>
      <c r="P270" s="22">
        <v>129.874</v>
      </c>
      <c r="Q270" s="22">
        <v>-1.59515E-2</v>
      </c>
      <c r="R270" s="22">
        <v>260</v>
      </c>
      <c r="S270" s="22">
        <v>1.2078899999999999</v>
      </c>
      <c r="T270">
        <f t="shared" si="50"/>
        <v>15.951500000000001</v>
      </c>
      <c r="U270">
        <f t="shared" si="51"/>
        <v>19.289510890000003</v>
      </c>
      <c r="X270" s="9"/>
      <c r="Y270" s="22">
        <v>0.46081499999999997</v>
      </c>
      <c r="Z270" s="22">
        <v>200.00700000000001</v>
      </c>
      <c r="AA270" s="22">
        <v>-1.67175E-2</v>
      </c>
      <c r="AB270" s="22">
        <v>260</v>
      </c>
      <c r="AC270" s="22">
        <v>0.46026600000000001</v>
      </c>
      <c r="AD270">
        <f t="shared" si="52"/>
        <v>16.717500000000001</v>
      </c>
      <c r="AE270">
        <f t="shared" si="53"/>
        <v>7.7036747625000004</v>
      </c>
      <c r="AF270" s="9"/>
      <c r="AG270" s="22">
        <v>1.20926</v>
      </c>
      <c r="AH270" s="22">
        <v>257.536</v>
      </c>
      <c r="AI270" s="22">
        <v>-1.5615800000000001E-2</v>
      </c>
      <c r="AJ270" s="22">
        <v>260</v>
      </c>
      <c r="AK270" s="22">
        <v>1.2078899999999999</v>
      </c>
      <c r="AL270">
        <f t="shared" si="54"/>
        <v>15.6158</v>
      </c>
      <c r="AM270">
        <f t="shared" si="55"/>
        <v>18.883562308000002</v>
      </c>
      <c r="AP270" s="9"/>
      <c r="AQ270" s="22">
        <v>0.46081499999999997</v>
      </c>
      <c r="AR270" s="22">
        <v>336.39</v>
      </c>
      <c r="AS270" s="22">
        <v>-1.6650399999999999E-2</v>
      </c>
      <c r="AT270" s="22">
        <v>260</v>
      </c>
      <c r="AU270" s="22">
        <v>0.45993000000000001</v>
      </c>
      <c r="AV270">
        <f t="shared" si="56"/>
        <v>16.650399999999998</v>
      </c>
      <c r="AW270">
        <f t="shared" si="57"/>
        <v>7.6727540759999986</v>
      </c>
      <c r="AX270" s="9"/>
      <c r="AY270" s="22">
        <v>1.20926</v>
      </c>
      <c r="AZ270" s="22">
        <v>394.70100000000002</v>
      </c>
      <c r="BA270" s="22">
        <v>-1.5655499999999999E-2</v>
      </c>
      <c r="BB270" s="22">
        <v>260</v>
      </c>
      <c r="BC270" s="22">
        <v>1.2081900000000001</v>
      </c>
      <c r="BD270">
        <f t="shared" si="58"/>
        <v>15.6555</v>
      </c>
      <c r="BE270">
        <f t="shared" si="59"/>
        <v>18.931569929999998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0.45578000000000002</v>
      </c>
      <c r="H271" s="22">
        <v>65.6524</v>
      </c>
      <c r="I271" s="22">
        <v>-1.6711400000000001E-2</v>
      </c>
      <c r="J271" s="22">
        <v>261</v>
      </c>
      <c r="K271" s="22">
        <v>0.45498699999999997</v>
      </c>
      <c r="L271">
        <f t="shared" si="48"/>
        <v>16.711400000000001</v>
      </c>
      <c r="M271">
        <f t="shared" si="49"/>
        <v>7.616721892000001</v>
      </c>
      <c r="N271" s="9"/>
      <c r="O271" s="22">
        <v>1.2142900000000001</v>
      </c>
      <c r="P271" s="22">
        <v>129.97399999999999</v>
      </c>
      <c r="Q271" s="22">
        <v>-1.5918000000000002E-2</v>
      </c>
      <c r="R271" s="22">
        <v>261</v>
      </c>
      <c r="S271" s="22">
        <v>1.2136800000000001</v>
      </c>
      <c r="T271">
        <f t="shared" si="50"/>
        <v>15.918000000000001</v>
      </c>
      <c r="U271">
        <f t="shared" si="51"/>
        <v>19.329068220000003</v>
      </c>
      <c r="X271" s="9"/>
      <c r="Y271" s="22">
        <v>0.45578000000000002</v>
      </c>
      <c r="Z271" s="22">
        <v>200.108</v>
      </c>
      <c r="AA271" s="22">
        <v>-1.67297E-2</v>
      </c>
      <c r="AB271" s="22">
        <v>261</v>
      </c>
      <c r="AC271" s="22">
        <v>0.45507799999999998</v>
      </c>
      <c r="AD271">
        <f t="shared" si="52"/>
        <v>16.729700000000001</v>
      </c>
      <c r="AE271">
        <f t="shared" si="53"/>
        <v>7.6250626660000007</v>
      </c>
      <c r="AF271" s="9"/>
      <c r="AG271" s="22">
        <v>1.2142900000000001</v>
      </c>
      <c r="AH271" s="22">
        <v>257.63600000000002</v>
      </c>
      <c r="AI271" s="22">
        <v>-1.5594500000000001E-2</v>
      </c>
      <c r="AJ271" s="22">
        <v>261</v>
      </c>
      <c r="AK271" s="22">
        <v>1.2130700000000001</v>
      </c>
      <c r="AL271">
        <f t="shared" si="54"/>
        <v>15.5945</v>
      </c>
      <c r="AM271">
        <f t="shared" si="55"/>
        <v>18.936245405000001</v>
      </c>
      <c r="AP271" s="9"/>
      <c r="AQ271" s="22">
        <v>0.45578000000000002</v>
      </c>
      <c r="AR271" s="22">
        <v>336.49099999999999</v>
      </c>
      <c r="AS271" s="22">
        <v>-1.66626E-2</v>
      </c>
      <c r="AT271" s="22">
        <v>261</v>
      </c>
      <c r="AU271" s="22">
        <v>0.455017</v>
      </c>
      <c r="AV271">
        <f t="shared" si="56"/>
        <v>16.662600000000001</v>
      </c>
      <c r="AW271">
        <f t="shared" si="57"/>
        <v>7.5944798280000008</v>
      </c>
      <c r="AX271" s="9"/>
      <c r="AY271" s="22">
        <v>1.2142900000000001</v>
      </c>
      <c r="AZ271" s="22">
        <v>394.80200000000002</v>
      </c>
      <c r="BA271" s="22">
        <v>-1.5628099999999999E-2</v>
      </c>
      <c r="BB271" s="22">
        <v>261</v>
      </c>
      <c r="BC271" s="22">
        <v>1.2130700000000001</v>
      </c>
      <c r="BD271">
        <f t="shared" si="58"/>
        <v>15.628099999999998</v>
      </c>
      <c r="BE271">
        <f t="shared" si="59"/>
        <v>18.977045549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0.45074500000000001</v>
      </c>
      <c r="H272" s="22">
        <v>65.753100000000003</v>
      </c>
      <c r="I272" s="22">
        <v>-1.6708400000000002E-2</v>
      </c>
      <c r="J272" s="22">
        <v>262</v>
      </c>
      <c r="K272" s="22">
        <v>0.450104</v>
      </c>
      <c r="L272">
        <f t="shared" si="48"/>
        <v>16.708400000000001</v>
      </c>
      <c r="M272">
        <f t="shared" si="49"/>
        <v>7.5312277580000009</v>
      </c>
      <c r="N272" s="9"/>
      <c r="O272" s="22">
        <v>1.21933</v>
      </c>
      <c r="P272" s="22">
        <v>130.07499999999999</v>
      </c>
      <c r="Q272" s="22">
        <v>-1.5899699999999999E-2</v>
      </c>
      <c r="R272" s="22">
        <v>262</v>
      </c>
      <c r="S272" s="22">
        <v>1.2179599999999999</v>
      </c>
      <c r="T272">
        <f t="shared" si="50"/>
        <v>15.899699999999999</v>
      </c>
      <c r="U272">
        <f t="shared" si="51"/>
        <v>19.386981201000001</v>
      </c>
      <c r="X272" s="9"/>
      <c r="Y272" s="22">
        <v>0.45074500000000001</v>
      </c>
      <c r="Z272" s="22">
        <v>200.208</v>
      </c>
      <c r="AA272" s="22">
        <v>-1.6732799999999999E-2</v>
      </c>
      <c r="AB272" s="22">
        <v>262</v>
      </c>
      <c r="AC272" s="22">
        <v>0.45001200000000002</v>
      </c>
      <c r="AD272">
        <f t="shared" si="52"/>
        <v>16.732799999999997</v>
      </c>
      <c r="AE272">
        <f t="shared" si="53"/>
        <v>7.5422259359999986</v>
      </c>
      <c r="AF272" s="9"/>
      <c r="AG272" s="22">
        <v>1.21933</v>
      </c>
      <c r="AH272" s="22">
        <v>257.73700000000002</v>
      </c>
      <c r="AI272" s="22">
        <v>-1.55792E-2</v>
      </c>
      <c r="AJ272" s="22">
        <v>262</v>
      </c>
      <c r="AK272" s="22">
        <v>1.2179599999999999</v>
      </c>
      <c r="AL272">
        <f t="shared" si="54"/>
        <v>15.5792</v>
      </c>
      <c r="AM272">
        <f t="shared" si="55"/>
        <v>18.996185936</v>
      </c>
      <c r="AP272" s="9"/>
      <c r="AQ272" s="22">
        <v>0.45074500000000001</v>
      </c>
      <c r="AR272" s="22">
        <v>336.59100000000001</v>
      </c>
      <c r="AS272" s="22">
        <v>-1.6665599999999999E-2</v>
      </c>
      <c r="AT272" s="22">
        <v>262</v>
      </c>
      <c r="AU272" s="22">
        <v>0.45001200000000002</v>
      </c>
      <c r="AV272">
        <f t="shared" si="56"/>
        <v>16.665599999999998</v>
      </c>
      <c r="AW272">
        <f t="shared" si="57"/>
        <v>7.5119358719999987</v>
      </c>
      <c r="AX272" s="9"/>
      <c r="AY272" s="22">
        <v>1.21933</v>
      </c>
      <c r="AZ272" s="22">
        <v>394.90199999999999</v>
      </c>
      <c r="BA272" s="22">
        <v>-1.56189E-2</v>
      </c>
      <c r="BB272" s="22">
        <v>262</v>
      </c>
      <c r="BC272" s="22">
        <v>1.2179599999999999</v>
      </c>
      <c r="BD272">
        <f t="shared" si="58"/>
        <v>15.6189</v>
      </c>
      <c r="BE272">
        <f t="shared" si="59"/>
        <v>19.044593337000002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0.44570900000000002</v>
      </c>
      <c r="H273" s="22">
        <v>65.853800000000007</v>
      </c>
      <c r="I273" s="22">
        <v>-1.67145E-2</v>
      </c>
      <c r="J273" s="22">
        <v>263</v>
      </c>
      <c r="K273" s="22">
        <v>0.444855</v>
      </c>
      <c r="L273">
        <f t="shared" si="48"/>
        <v>16.714500000000001</v>
      </c>
      <c r="M273">
        <f t="shared" si="49"/>
        <v>7.4498030805000006</v>
      </c>
      <c r="N273" s="9"/>
      <c r="O273" s="22">
        <v>1.22437</v>
      </c>
      <c r="P273" s="22">
        <v>130.17599999999999</v>
      </c>
      <c r="Q273" s="22">
        <v>-1.58722E-2</v>
      </c>
      <c r="R273" s="22">
        <v>263</v>
      </c>
      <c r="S273" s="22">
        <v>1.2237499999999999</v>
      </c>
      <c r="T273">
        <f t="shared" si="50"/>
        <v>15.872199999999999</v>
      </c>
      <c r="U273">
        <f t="shared" si="51"/>
        <v>19.433445513999999</v>
      </c>
      <c r="X273" s="9"/>
      <c r="Y273" s="22">
        <v>0.44570900000000002</v>
      </c>
      <c r="Z273" s="22">
        <v>200.309</v>
      </c>
      <c r="AA273" s="22">
        <v>-1.6720599999999999E-2</v>
      </c>
      <c r="AB273" s="22">
        <v>263</v>
      </c>
      <c r="AC273" s="22">
        <v>0.44497700000000001</v>
      </c>
      <c r="AD273">
        <f t="shared" si="52"/>
        <v>16.720599999999997</v>
      </c>
      <c r="AE273">
        <f t="shared" si="53"/>
        <v>7.4525219053999994</v>
      </c>
      <c r="AF273" s="9"/>
      <c r="AG273" s="22">
        <v>1.22437</v>
      </c>
      <c r="AH273" s="22">
        <v>257.83800000000002</v>
      </c>
      <c r="AI273" s="22">
        <v>-1.55762E-2</v>
      </c>
      <c r="AJ273" s="22">
        <v>263</v>
      </c>
      <c r="AK273" s="22">
        <v>1.2228399999999999</v>
      </c>
      <c r="AL273">
        <f t="shared" si="54"/>
        <v>15.5762</v>
      </c>
      <c r="AM273">
        <f t="shared" si="55"/>
        <v>19.071031993999998</v>
      </c>
      <c r="AP273" s="9"/>
      <c r="AQ273" s="22">
        <v>0.44570900000000002</v>
      </c>
      <c r="AR273" s="22">
        <v>336.69200000000001</v>
      </c>
      <c r="AS273" s="22">
        <v>-1.6671800000000001E-2</v>
      </c>
      <c r="AT273" s="22">
        <v>263</v>
      </c>
      <c r="AU273" s="22">
        <v>0.44500699999999999</v>
      </c>
      <c r="AV273">
        <f t="shared" si="56"/>
        <v>16.671800000000001</v>
      </c>
      <c r="AW273">
        <f t="shared" si="57"/>
        <v>7.4307713062000005</v>
      </c>
      <c r="AX273" s="9"/>
      <c r="AY273" s="22">
        <v>1.22437</v>
      </c>
      <c r="AZ273" s="22">
        <v>395.00299999999999</v>
      </c>
      <c r="BA273" s="22">
        <v>-1.5600599999999999E-2</v>
      </c>
      <c r="BB273" s="22">
        <v>263</v>
      </c>
      <c r="BC273" s="22">
        <v>1.2234499999999999</v>
      </c>
      <c r="BD273">
        <f t="shared" si="58"/>
        <v>15.6006</v>
      </c>
      <c r="BE273">
        <f t="shared" si="59"/>
        <v>19.100906622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0.44067400000000001</v>
      </c>
      <c r="H274" s="22">
        <v>65.954499999999996</v>
      </c>
      <c r="I274" s="22">
        <v>-1.6711400000000001E-2</v>
      </c>
      <c r="J274" s="22">
        <v>264</v>
      </c>
      <c r="K274" s="22">
        <v>0.439697</v>
      </c>
      <c r="L274">
        <f t="shared" si="48"/>
        <v>16.711400000000001</v>
      </c>
      <c r="M274">
        <f t="shared" si="49"/>
        <v>7.3642794836000007</v>
      </c>
      <c r="N274" s="9"/>
      <c r="O274" s="22">
        <v>1.2294</v>
      </c>
      <c r="P274" s="22">
        <v>130.27699999999999</v>
      </c>
      <c r="Q274" s="22">
        <v>-1.58844E-2</v>
      </c>
      <c r="R274" s="22">
        <v>264</v>
      </c>
      <c r="S274" s="22">
        <v>1.22864</v>
      </c>
      <c r="T274">
        <f t="shared" si="50"/>
        <v>15.884399999999999</v>
      </c>
      <c r="U274">
        <f t="shared" si="51"/>
        <v>19.528281360000001</v>
      </c>
      <c r="X274" s="9"/>
      <c r="Y274" s="22">
        <v>0.44067400000000001</v>
      </c>
      <c r="Z274" s="22">
        <v>200.41</v>
      </c>
      <c r="AA274" s="22">
        <v>-1.6723600000000002E-2</v>
      </c>
      <c r="AB274" s="22">
        <v>264</v>
      </c>
      <c r="AC274" s="22">
        <v>0.43997199999999997</v>
      </c>
      <c r="AD274">
        <f t="shared" si="52"/>
        <v>16.723600000000001</v>
      </c>
      <c r="AE274">
        <f t="shared" si="53"/>
        <v>7.3696557064000006</v>
      </c>
      <c r="AF274" s="9"/>
      <c r="AG274" s="22">
        <v>1.2294</v>
      </c>
      <c r="AH274" s="22">
        <v>257.93900000000002</v>
      </c>
      <c r="AI274" s="22">
        <v>-1.55487E-2</v>
      </c>
      <c r="AJ274" s="22">
        <v>264</v>
      </c>
      <c r="AK274" s="22">
        <v>1.2289399999999999</v>
      </c>
      <c r="AL274">
        <f t="shared" si="54"/>
        <v>15.5487</v>
      </c>
      <c r="AM274">
        <f t="shared" si="55"/>
        <v>19.11557178</v>
      </c>
      <c r="AP274" s="9"/>
      <c r="AQ274" s="22">
        <v>0.44067400000000001</v>
      </c>
      <c r="AR274" s="22">
        <v>336.79300000000001</v>
      </c>
      <c r="AS274" s="22">
        <v>-1.6659500000000001E-2</v>
      </c>
      <c r="AT274" s="22">
        <v>264</v>
      </c>
      <c r="AU274" s="22">
        <v>0.440002</v>
      </c>
      <c r="AV274">
        <f t="shared" si="56"/>
        <v>16.659500000000001</v>
      </c>
      <c r="AW274">
        <f t="shared" si="57"/>
        <v>7.3414085030000011</v>
      </c>
      <c r="AX274" s="9"/>
      <c r="AY274" s="22">
        <v>1.2294</v>
      </c>
      <c r="AZ274" s="22">
        <v>395.10399999999998</v>
      </c>
      <c r="BA274" s="22">
        <v>-1.55823E-2</v>
      </c>
      <c r="BB274" s="22">
        <v>264</v>
      </c>
      <c r="BC274" s="22">
        <v>1.22864</v>
      </c>
      <c r="BD274">
        <f t="shared" si="58"/>
        <v>15.5823</v>
      </c>
      <c r="BE274">
        <f t="shared" si="59"/>
        <v>19.156879620000002</v>
      </c>
    </row>
    <row r="275" spans="6:101">
      <c r="F275" s="9"/>
      <c r="G275" s="22">
        <v>0.43563800000000003</v>
      </c>
      <c r="H275" s="22">
        <v>66.055199999999999</v>
      </c>
      <c r="I275" s="22">
        <v>-1.6720599999999999E-2</v>
      </c>
      <c r="J275" s="22">
        <v>265</v>
      </c>
      <c r="K275" s="22">
        <v>0.43490600000000001</v>
      </c>
      <c r="L275">
        <f t="shared" si="48"/>
        <v>16.720599999999997</v>
      </c>
      <c r="M275">
        <f t="shared" si="49"/>
        <v>7.2841287427999992</v>
      </c>
      <c r="N275" s="9"/>
      <c r="O275" s="22">
        <v>1.23444</v>
      </c>
      <c r="P275" s="22">
        <v>130.37700000000001</v>
      </c>
      <c r="Q275" s="22">
        <v>-1.5853900000000001E-2</v>
      </c>
      <c r="R275" s="22">
        <v>265</v>
      </c>
      <c r="S275" s="22">
        <v>1.23291</v>
      </c>
      <c r="T275">
        <f t="shared" si="50"/>
        <v>15.853900000000001</v>
      </c>
      <c r="U275">
        <f t="shared" si="51"/>
        <v>19.570688316000002</v>
      </c>
      <c r="X275" s="9"/>
      <c r="Y275" s="22">
        <v>0.43563800000000003</v>
      </c>
      <c r="Z275" s="22">
        <v>200.51</v>
      </c>
      <c r="AA275" s="22">
        <v>-1.6732799999999999E-2</v>
      </c>
      <c r="AB275" s="22">
        <v>265</v>
      </c>
      <c r="AC275" s="22">
        <v>0.43466199999999999</v>
      </c>
      <c r="AD275">
        <f t="shared" si="52"/>
        <v>16.732799999999997</v>
      </c>
      <c r="AE275">
        <f t="shared" si="53"/>
        <v>7.2894435263999995</v>
      </c>
      <c r="AF275" s="9"/>
      <c r="AG275" s="22">
        <v>1.23444</v>
      </c>
      <c r="AH275" s="22">
        <v>258.03899999999999</v>
      </c>
      <c r="AI275" s="22">
        <v>-1.5533399999999999E-2</v>
      </c>
      <c r="AJ275" s="22">
        <v>265</v>
      </c>
      <c r="AK275" s="22">
        <v>1.23322</v>
      </c>
      <c r="AL275">
        <f t="shared" si="54"/>
        <v>15.533399999999999</v>
      </c>
      <c r="AM275">
        <f t="shared" si="55"/>
        <v>19.175050295999998</v>
      </c>
      <c r="AP275" s="9"/>
      <c r="AQ275" s="22">
        <v>0.43563800000000003</v>
      </c>
      <c r="AR275" s="22">
        <v>336.89400000000001</v>
      </c>
      <c r="AS275" s="22">
        <v>-1.6671800000000001E-2</v>
      </c>
      <c r="AT275" s="22">
        <v>265</v>
      </c>
      <c r="AU275" s="22">
        <v>0.43493700000000002</v>
      </c>
      <c r="AV275">
        <f t="shared" si="56"/>
        <v>16.671800000000001</v>
      </c>
      <c r="AW275">
        <f t="shared" si="57"/>
        <v>7.2628696084000008</v>
      </c>
      <c r="AX275" s="9"/>
      <c r="AY275" s="22">
        <v>1.23444</v>
      </c>
      <c r="AZ275" s="22">
        <v>395.20400000000001</v>
      </c>
      <c r="BA275" s="22">
        <v>-1.5566999999999999E-2</v>
      </c>
      <c r="BB275" s="22">
        <v>265</v>
      </c>
      <c r="BC275" s="22">
        <v>1.2335199999999999</v>
      </c>
      <c r="BD275">
        <f t="shared" si="58"/>
        <v>15.566999999999998</v>
      </c>
      <c r="BE275">
        <f t="shared" si="59"/>
        <v>19.216527479999996</v>
      </c>
    </row>
    <row r="276" spans="6:101">
      <c r="F276" s="9"/>
      <c r="G276" s="22">
        <v>0.43060300000000001</v>
      </c>
      <c r="H276" s="22">
        <v>66.155900000000003</v>
      </c>
      <c r="I276" s="22">
        <v>-1.67175E-2</v>
      </c>
      <c r="J276" s="22">
        <v>266</v>
      </c>
      <c r="K276" s="22">
        <v>0.429871</v>
      </c>
      <c r="L276">
        <f t="shared" si="48"/>
        <v>16.717500000000001</v>
      </c>
      <c r="M276">
        <f t="shared" si="49"/>
        <v>7.1986056525000004</v>
      </c>
      <c r="N276" s="9"/>
      <c r="O276" s="22">
        <v>1.2394700000000001</v>
      </c>
      <c r="P276" s="22">
        <v>130.47800000000001</v>
      </c>
      <c r="Q276" s="22">
        <v>-1.58417E-2</v>
      </c>
      <c r="R276" s="22">
        <v>266</v>
      </c>
      <c r="S276" s="22">
        <v>1.2381</v>
      </c>
      <c r="T276">
        <f t="shared" si="50"/>
        <v>15.841699999999999</v>
      </c>
      <c r="U276">
        <f t="shared" si="51"/>
        <v>19.635311899000001</v>
      </c>
      <c r="X276" s="9"/>
      <c r="Y276" s="22">
        <v>0.43060300000000001</v>
      </c>
      <c r="Z276" s="22">
        <v>200.61099999999999</v>
      </c>
      <c r="AA276" s="22">
        <v>-1.67572E-2</v>
      </c>
      <c r="AB276" s="22">
        <v>266</v>
      </c>
      <c r="AC276" s="22">
        <v>0.42974899999999999</v>
      </c>
      <c r="AD276">
        <f t="shared" si="52"/>
        <v>16.757200000000001</v>
      </c>
      <c r="AE276">
        <f t="shared" si="53"/>
        <v>7.215700591600001</v>
      </c>
      <c r="AF276" s="9"/>
      <c r="AG276" s="22">
        <v>1.2394700000000001</v>
      </c>
      <c r="AH276" s="22">
        <v>258.14</v>
      </c>
      <c r="AI276" s="22">
        <v>-1.5527300000000001E-2</v>
      </c>
      <c r="AJ276" s="22">
        <v>266</v>
      </c>
      <c r="AK276" s="22">
        <v>1.23871</v>
      </c>
      <c r="AL276">
        <f t="shared" si="54"/>
        <v>15.5273</v>
      </c>
      <c r="AM276">
        <f t="shared" si="55"/>
        <v>19.245622531000002</v>
      </c>
      <c r="AP276" s="9"/>
      <c r="AQ276" s="22">
        <v>0.43060300000000001</v>
      </c>
      <c r="AR276" s="22">
        <v>336.99400000000003</v>
      </c>
      <c r="AS276" s="22">
        <v>-1.6671800000000001E-2</v>
      </c>
      <c r="AT276" s="22">
        <v>266</v>
      </c>
      <c r="AU276" s="22">
        <v>0.42977900000000002</v>
      </c>
      <c r="AV276">
        <f t="shared" si="56"/>
        <v>16.671800000000001</v>
      </c>
      <c r="AW276">
        <f t="shared" si="57"/>
        <v>7.1789270954000006</v>
      </c>
      <c r="AX276" s="9"/>
      <c r="AY276" s="22">
        <v>1.2394700000000001</v>
      </c>
      <c r="AZ276" s="22">
        <v>395.30500000000001</v>
      </c>
      <c r="BA276" s="22">
        <v>-1.5554800000000001E-2</v>
      </c>
      <c r="BB276" s="22">
        <v>266</v>
      </c>
      <c r="BC276" s="22">
        <v>1.23871</v>
      </c>
      <c r="BD276">
        <f t="shared" si="58"/>
        <v>15.5548</v>
      </c>
      <c r="BE276">
        <f t="shared" si="59"/>
        <v>19.279707956000003</v>
      </c>
    </row>
    <row r="277" spans="6:101">
      <c r="F277" s="9"/>
      <c r="G277" s="22">
        <v>0.425568</v>
      </c>
      <c r="H277" s="22">
        <v>66.256600000000006</v>
      </c>
      <c r="I277" s="22">
        <v>-1.6723600000000002E-2</v>
      </c>
      <c r="J277" s="22">
        <v>267</v>
      </c>
      <c r="K277" s="22">
        <v>0.424896</v>
      </c>
      <c r="L277">
        <f t="shared" si="48"/>
        <v>16.723600000000001</v>
      </c>
      <c r="M277">
        <f t="shared" si="49"/>
        <v>7.1170290048000009</v>
      </c>
      <c r="N277" s="9"/>
      <c r="O277" s="22">
        <v>1.24451</v>
      </c>
      <c r="P277" s="22">
        <v>130.57900000000001</v>
      </c>
      <c r="Q277" s="22">
        <v>-1.5823400000000001E-2</v>
      </c>
      <c r="R277" s="22">
        <v>267</v>
      </c>
      <c r="S277" s="22">
        <v>1.24359</v>
      </c>
      <c r="T277">
        <f t="shared" si="50"/>
        <v>15.823400000000001</v>
      </c>
      <c r="U277">
        <f t="shared" si="51"/>
        <v>19.692379534000001</v>
      </c>
      <c r="X277" s="9"/>
      <c r="Y277" s="22">
        <v>0.425568</v>
      </c>
      <c r="Z277" s="22">
        <v>200.71199999999999</v>
      </c>
      <c r="AA277" s="22">
        <v>-1.6747999999999999E-2</v>
      </c>
      <c r="AB277" s="22">
        <v>267</v>
      </c>
      <c r="AC277" s="22">
        <v>0.42477399999999998</v>
      </c>
      <c r="AD277">
        <f t="shared" si="52"/>
        <v>16.747999999999998</v>
      </c>
      <c r="AE277">
        <f t="shared" si="53"/>
        <v>7.1274128639999992</v>
      </c>
      <c r="AF277" s="9"/>
      <c r="AG277" s="22">
        <v>1.24451</v>
      </c>
      <c r="AH277" s="22">
        <v>258.24099999999999</v>
      </c>
      <c r="AI277" s="22">
        <v>-1.5527300000000001E-2</v>
      </c>
      <c r="AJ277" s="22">
        <v>267</v>
      </c>
      <c r="AK277" s="22">
        <v>1.24329</v>
      </c>
      <c r="AL277">
        <f t="shared" si="54"/>
        <v>15.5273</v>
      </c>
      <c r="AM277">
        <f t="shared" si="55"/>
        <v>19.323880123000002</v>
      </c>
      <c r="AP277" s="9"/>
      <c r="AQ277" s="22">
        <v>0.425568</v>
      </c>
      <c r="AR277" s="22">
        <v>337.09500000000003</v>
      </c>
      <c r="AS277" s="22">
        <v>-1.6680899999999999E-2</v>
      </c>
      <c r="AT277" s="22">
        <v>267</v>
      </c>
      <c r="AU277" s="22">
        <v>0.42474400000000001</v>
      </c>
      <c r="AV277">
        <f t="shared" si="56"/>
        <v>16.680899999999998</v>
      </c>
      <c r="AW277">
        <f t="shared" si="57"/>
        <v>7.0988572511999992</v>
      </c>
      <c r="AX277" s="9"/>
      <c r="AY277" s="22">
        <v>1.24451</v>
      </c>
      <c r="AZ277" s="22">
        <v>395.40600000000001</v>
      </c>
      <c r="BA277" s="22">
        <v>-1.5533399999999999E-2</v>
      </c>
      <c r="BB277" s="22">
        <v>267</v>
      </c>
      <c r="BC277" s="22">
        <v>1.24329</v>
      </c>
      <c r="BD277">
        <f t="shared" si="58"/>
        <v>15.533399999999999</v>
      </c>
      <c r="BE277">
        <f t="shared" si="59"/>
        <v>19.331471634</v>
      </c>
    </row>
    <row r="278" spans="6:101">
      <c r="F278" s="9"/>
      <c r="G278" s="22">
        <v>0.42053200000000002</v>
      </c>
      <c r="H278" s="22">
        <v>66.357299999999995</v>
      </c>
      <c r="I278" s="22">
        <v>-1.6732799999999999E-2</v>
      </c>
      <c r="J278" s="22">
        <v>268</v>
      </c>
      <c r="K278" s="22">
        <v>0.41980000000000001</v>
      </c>
      <c r="L278">
        <f t="shared" si="48"/>
        <v>16.732799999999997</v>
      </c>
      <c r="M278">
        <f t="shared" si="49"/>
        <v>7.0366778495999993</v>
      </c>
      <c r="N278" s="9"/>
      <c r="O278" s="22">
        <v>1.2495400000000001</v>
      </c>
      <c r="P278" s="22">
        <v>130.679</v>
      </c>
      <c r="Q278" s="22">
        <v>-1.5817299999999999E-2</v>
      </c>
      <c r="R278" s="22">
        <v>268</v>
      </c>
      <c r="S278" s="22">
        <v>1.24847</v>
      </c>
      <c r="T278">
        <f t="shared" si="50"/>
        <v>15.817299999999999</v>
      </c>
      <c r="U278">
        <f t="shared" si="51"/>
        <v>19.764349041999999</v>
      </c>
      <c r="X278" s="9"/>
      <c r="Y278" s="22">
        <v>0.42053200000000002</v>
      </c>
      <c r="Z278" s="22">
        <v>200.81200000000001</v>
      </c>
      <c r="AA278" s="22">
        <v>-1.6738900000000001E-2</v>
      </c>
      <c r="AB278" s="22">
        <v>268</v>
      </c>
      <c r="AC278" s="22">
        <v>0.419678</v>
      </c>
      <c r="AD278">
        <f t="shared" si="52"/>
        <v>16.738900000000001</v>
      </c>
      <c r="AE278">
        <f t="shared" si="53"/>
        <v>7.0392430948000007</v>
      </c>
      <c r="AF278" s="9"/>
      <c r="AG278" s="22">
        <v>1.2495400000000001</v>
      </c>
      <c r="AH278" s="22">
        <v>258.34100000000001</v>
      </c>
      <c r="AI278" s="22">
        <v>-1.55426E-2</v>
      </c>
      <c r="AJ278" s="22">
        <v>268</v>
      </c>
      <c r="AK278" s="22">
        <v>1.24847</v>
      </c>
      <c r="AL278">
        <f t="shared" si="54"/>
        <v>15.5426</v>
      </c>
      <c r="AM278">
        <f t="shared" si="55"/>
        <v>19.421100404000001</v>
      </c>
      <c r="AP278" s="9"/>
      <c r="AQ278" s="22">
        <v>0.42053200000000002</v>
      </c>
      <c r="AR278" s="22">
        <v>337.19600000000003</v>
      </c>
      <c r="AS278" s="22">
        <v>-1.6680899999999999E-2</v>
      </c>
      <c r="AT278" s="22">
        <v>268</v>
      </c>
      <c r="AU278" s="22">
        <v>0.41980000000000001</v>
      </c>
      <c r="AV278">
        <f t="shared" si="56"/>
        <v>16.680899999999998</v>
      </c>
      <c r="AW278">
        <f t="shared" si="57"/>
        <v>7.0148522387999996</v>
      </c>
      <c r="AX278" s="9"/>
      <c r="AY278" s="22">
        <v>1.2495400000000001</v>
      </c>
      <c r="AZ278" s="22">
        <v>395.50700000000001</v>
      </c>
      <c r="BA278" s="22">
        <v>-1.5521200000000001E-2</v>
      </c>
      <c r="BB278" s="22">
        <v>268</v>
      </c>
      <c r="BC278" s="22">
        <v>1.24847</v>
      </c>
      <c r="BD278">
        <f t="shared" si="58"/>
        <v>15.5212</v>
      </c>
      <c r="BE278">
        <f t="shared" si="59"/>
        <v>19.394360248000002</v>
      </c>
    </row>
    <row r="279" spans="6:101">
      <c r="F279" s="9"/>
      <c r="G279" s="22">
        <v>0.41549700000000001</v>
      </c>
      <c r="H279" s="22">
        <v>66.457999999999998</v>
      </c>
      <c r="I279" s="22">
        <v>-1.6732799999999999E-2</v>
      </c>
      <c r="J279" s="22">
        <v>269</v>
      </c>
      <c r="K279" s="22">
        <v>0.41473399999999999</v>
      </c>
      <c r="L279">
        <f t="shared" si="48"/>
        <v>16.732799999999997</v>
      </c>
      <c r="M279">
        <f t="shared" si="49"/>
        <v>6.9524282015999992</v>
      </c>
      <c r="N279" s="9"/>
      <c r="O279" s="22">
        <v>1.25458</v>
      </c>
      <c r="P279" s="22">
        <v>130.78</v>
      </c>
      <c r="Q279" s="22">
        <v>-1.5808099999999999E-2</v>
      </c>
      <c r="R279" s="22">
        <v>269</v>
      </c>
      <c r="S279" s="22">
        <v>1.25397</v>
      </c>
      <c r="T279">
        <f t="shared" si="50"/>
        <v>15.808099999999998</v>
      </c>
      <c r="U279">
        <f t="shared" si="51"/>
        <v>19.832526097999999</v>
      </c>
      <c r="X279" s="9"/>
      <c r="Y279" s="22">
        <v>0.41549700000000001</v>
      </c>
      <c r="Z279" s="22">
        <v>200.91300000000001</v>
      </c>
      <c r="AA279" s="22">
        <v>-1.6744999999999999E-2</v>
      </c>
      <c r="AB279" s="22">
        <v>269</v>
      </c>
      <c r="AC279" s="22">
        <v>0.41494799999999998</v>
      </c>
      <c r="AD279">
        <f t="shared" si="52"/>
        <v>16.745000000000001</v>
      </c>
      <c r="AE279">
        <f t="shared" si="53"/>
        <v>6.9574972650000007</v>
      </c>
      <c r="AF279" s="9"/>
      <c r="AG279" s="22">
        <v>1.25458</v>
      </c>
      <c r="AH279" s="22">
        <v>258.44200000000001</v>
      </c>
      <c r="AI279" s="22">
        <v>-1.55243E-2</v>
      </c>
      <c r="AJ279" s="22">
        <v>269</v>
      </c>
      <c r="AK279" s="22">
        <v>1.25397</v>
      </c>
      <c r="AL279">
        <f t="shared" si="54"/>
        <v>15.5243</v>
      </c>
      <c r="AM279">
        <f t="shared" si="55"/>
        <v>19.476476294000001</v>
      </c>
      <c r="AP279" s="9"/>
      <c r="AQ279" s="22">
        <v>0.41549700000000001</v>
      </c>
      <c r="AR279" s="22">
        <v>337.29599999999999</v>
      </c>
      <c r="AS279" s="22">
        <v>-1.6680899999999999E-2</v>
      </c>
      <c r="AT279" s="22">
        <v>269</v>
      </c>
      <c r="AU279" s="22">
        <v>0.41473399999999999</v>
      </c>
      <c r="AV279">
        <f t="shared" si="56"/>
        <v>16.680899999999998</v>
      </c>
      <c r="AW279">
        <f t="shared" si="57"/>
        <v>6.9308639072999991</v>
      </c>
      <c r="AX279" s="9"/>
      <c r="AY279" s="22">
        <v>1.25458</v>
      </c>
      <c r="AZ279" s="22">
        <v>395.60700000000003</v>
      </c>
      <c r="BA279" s="22">
        <v>-1.54907E-2</v>
      </c>
      <c r="BB279" s="22">
        <v>269</v>
      </c>
      <c r="BC279" s="22">
        <v>1.25397</v>
      </c>
      <c r="BD279">
        <f t="shared" si="58"/>
        <v>15.4907</v>
      </c>
      <c r="BE279">
        <f t="shared" si="59"/>
        <v>19.434322406</v>
      </c>
    </row>
    <row r="280" spans="6:101">
      <c r="F280" s="9"/>
      <c r="G280" s="22">
        <v>0.41046100000000002</v>
      </c>
      <c r="H280" s="22">
        <v>66.558800000000005</v>
      </c>
      <c r="I280" s="22">
        <v>-1.6751100000000001E-2</v>
      </c>
      <c r="J280" s="22">
        <v>270</v>
      </c>
      <c r="K280" s="22">
        <v>0.40969800000000001</v>
      </c>
      <c r="L280">
        <f t="shared" si="48"/>
        <v>16.751100000000001</v>
      </c>
      <c r="M280">
        <f t="shared" si="49"/>
        <v>6.8756732571000008</v>
      </c>
      <c r="N280" s="9"/>
      <c r="O280" s="22">
        <v>1.2596099999999999</v>
      </c>
      <c r="P280" s="22">
        <v>130.881</v>
      </c>
      <c r="Q280" s="22">
        <v>-1.57898E-2</v>
      </c>
      <c r="R280" s="22">
        <v>270</v>
      </c>
      <c r="S280" s="22">
        <v>1.25854</v>
      </c>
      <c r="T280">
        <f t="shared" si="50"/>
        <v>15.7898</v>
      </c>
      <c r="U280">
        <f t="shared" si="51"/>
        <v>19.888989977999998</v>
      </c>
      <c r="X280" s="9"/>
      <c r="Y280" s="22">
        <v>0.41046100000000002</v>
      </c>
      <c r="Z280" s="22">
        <v>201.01400000000001</v>
      </c>
      <c r="AA280" s="22">
        <v>-1.6744999999999999E-2</v>
      </c>
      <c r="AB280" s="22">
        <v>270</v>
      </c>
      <c r="AC280" s="22">
        <v>0.40976000000000001</v>
      </c>
      <c r="AD280">
        <f t="shared" si="52"/>
        <v>16.745000000000001</v>
      </c>
      <c r="AE280">
        <f t="shared" si="53"/>
        <v>6.8731694450000012</v>
      </c>
      <c r="AF280" s="9"/>
      <c r="AG280" s="22">
        <v>1.2596099999999999</v>
      </c>
      <c r="AH280" s="22">
        <v>258.54300000000001</v>
      </c>
      <c r="AI280" s="22">
        <v>-1.55487E-2</v>
      </c>
      <c r="AJ280" s="22">
        <v>270</v>
      </c>
      <c r="AK280" s="22">
        <v>1.25854</v>
      </c>
      <c r="AL280">
        <f t="shared" si="54"/>
        <v>15.5487</v>
      </c>
      <c r="AM280">
        <f t="shared" si="55"/>
        <v>19.585298006999999</v>
      </c>
      <c r="AP280" s="9"/>
      <c r="AQ280" s="22">
        <v>0.41046100000000002</v>
      </c>
      <c r="AR280" s="22">
        <v>337.39699999999999</v>
      </c>
      <c r="AS280" s="22">
        <v>-1.6671800000000001E-2</v>
      </c>
      <c r="AT280" s="22">
        <v>270</v>
      </c>
      <c r="AU280" s="22">
        <v>0.40985100000000002</v>
      </c>
      <c r="AV280">
        <f t="shared" si="56"/>
        <v>16.671800000000001</v>
      </c>
      <c r="AW280">
        <f t="shared" si="57"/>
        <v>6.8431236998000005</v>
      </c>
      <c r="AX280" s="9"/>
      <c r="AY280" s="22">
        <v>1.2596099999999999</v>
      </c>
      <c r="AZ280" s="22">
        <v>395.70800000000003</v>
      </c>
      <c r="BA280" s="22">
        <v>-1.54602E-2</v>
      </c>
      <c r="BB280" s="22">
        <v>270</v>
      </c>
      <c r="BC280" s="22">
        <v>1.25946</v>
      </c>
      <c r="BD280">
        <f t="shared" si="58"/>
        <v>15.4602</v>
      </c>
      <c r="BE280">
        <f t="shared" si="59"/>
        <v>19.473822521999999</v>
      </c>
    </row>
    <row r="281" spans="6:101">
      <c r="F281" s="9"/>
      <c r="G281" s="22">
        <v>0.40542600000000001</v>
      </c>
      <c r="H281" s="22">
        <v>66.659499999999994</v>
      </c>
      <c r="I281" s="22">
        <v>-1.67297E-2</v>
      </c>
      <c r="J281" s="22">
        <v>271</v>
      </c>
      <c r="K281" s="22">
        <v>0.40466299999999999</v>
      </c>
      <c r="L281">
        <f t="shared" si="48"/>
        <v>16.729700000000001</v>
      </c>
      <c r="M281">
        <f t="shared" si="49"/>
        <v>6.7826553522000008</v>
      </c>
      <c r="N281" s="9"/>
      <c r="O281" s="22">
        <v>1.2646500000000001</v>
      </c>
      <c r="P281" s="22">
        <v>130.98099999999999</v>
      </c>
      <c r="Q281" s="22">
        <v>-1.57745E-2</v>
      </c>
      <c r="R281" s="22">
        <v>271</v>
      </c>
      <c r="S281" s="22">
        <v>1.2640400000000001</v>
      </c>
      <c r="T281">
        <f t="shared" si="50"/>
        <v>15.7745</v>
      </c>
      <c r="U281">
        <f t="shared" si="51"/>
        <v>19.949221425000001</v>
      </c>
      <c r="X281" s="9"/>
      <c r="Y281" s="22">
        <v>0.40542600000000001</v>
      </c>
      <c r="Z281" s="22">
        <v>201.11500000000001</v>
      </c>
      <c r="AA281" s="22">
        <v>-1.6738900000000001E-2</v>
      </c>
      <c r="AB281" s="22">
        <v>271</v>
      </c>
      <c r="AC281" s="22">
        <v>0.404694</v>
      </c>
      <c r="AD281">
        <f t="shared" si="52"/>
        <v>16.738900000000001</v>
      </c>
      <c r="AE281">
        <f t="shared" si="53"/>
        <v>6.7863852714000004</v>
      </c>
      <c r="AF281" s="9"/>
      <c r="AG281" s="22">
        <v>1.2646500000000001</v>
      </c>
      <c r="AH281" s="22">
        <v>258.64299999999997</v>
      </c>
      <c r="AI281" s="22">
        <v>-1.55487E-2</v>
      </c>
      <c r="AJ281" s="22">
        <v>271</v>
      </c>
      <c r="AK281" s="22">
        <v>1.26373</v>
      </c>
      <c r="AL281">
        <f t="shared" si="54"/>
        <v>15.5487</v>
      </c>
      <c r="AM281">
        <f t="shared" si="55"/>
        <v>19.663663455000002</v>
      </c>
      <c r="AP281" s="9"/>
      <c r="AQ281" s="22">
        <v>0.40542600000000001</v>
      </c>
      <c r="AR281" s="22">
        <v>337.49799999999999</v>
      </c>
      <c r="AS281" s="22">
        <v>-1.6677899999999999E-2</v>
      </c>
      <c r="AT281" s="22">
        <v>271</v>
      </c>
      <c r="AU281" s="22">
        <v>0.40472399999999997</v>
      </c>
      <c r="AV281">
        <f t="shared" si="56"/>
        <v>16.677899999999998</v>
      </c>
      <c r="AW281">
        <f t="shared" si="57"/>
        <v>6.7616542853999988</v>
      </c>
      <c r="AX281" s="9"/>
      <c r="AY281" s="22">
        <v>1.2646500000000001</v>
      </c>
      <c r="AZ281" s="22">
        <v>395.80900000000003</v>
      </c>
      <c r="BA281" s="22">
        <v>-1.54602E-2</v>
      </c>
      <c r="BB281" s="22">
        <v>271</v>
      </c>
      <c r="BC281" s="22">
        <v>1.2634300000000001</v>
      </c>
      <c r="BD281">
        <f t="shared" si="58"/>
        <v>15.4602</v>
      </c>
      <c r="BE281">
        <f t="shared" si="59"/>
        <v>19.551741930000002</v>
      </c>
    </row>
    <row r="282" spans="6:101">
      <c r="F282" s="9"/>
      <c r="G282" s="22">
        <v>0.400391</v>
      </c>
      <c r="H282" s="22">
        <v>66.760199999999998</v>
      </c>
      <c r="I282" s="22">
        <v>-1.6735799999999999E-2</v>
      </c>
      <c r="J282" s="22">
        <v>272</v>
      </c>
      <c r="K282" s="22">
        <v>0.399536</v>
      </c>
      <c r="L282">
        <f t="shared" si="48"/>
        <v>16.735799999999998</v>
      </c>
      <c r="M282">
        <f t="shared" si="49"/>
        <v>6.7008636977999991</v>
      </c>
      <c r="N282" s="9"/>
      <c r="O282" s="22">
        <v>1.2696799999999999</v>
      </c>
      <c r="P282" s="22">
        <v>131.08199999999999</v>
      </c>
      <c r="Q282" s="22">
        <v>-1.5756200000000001E-2</v>
      </c>
      <c r="R282" s="22">
        <v>272</v>
      </c>
      <c r="S282" s="22">
        <v>1.26892</v>
      </c>
      <c r="T282">
        <f t="shared" si="50"/>
        <v>15.756200000000002</v>
      </c>
      <c r="U282">
        <f t="shared" si="51"/>
        <v>20.005332016000001</v>
      </c>
      <c r="X282" s="9"/>
      <c r="Y282" s="22">
        <v>0.400391</v>
      </c>
      <c r="Z282" s="22">
        <v>201.215</v>
      </c>
      <c r="AA282" s="22">
        <v>-1.6751100000000001E-2</v>
      </c>
      <c r="AB282" s="22">
        <v>272</v>
      </c>
      <c r="AC282" s="22">
        <v>0.39962799999999998</v>
      </c>
      <c r="AD282">
        <f t="shared" si="52"/>
        <v>16.751100000000001</v>
      </c>
      <c r="AE282">
        <f t="shared" si="53"/>
        <v>6.7069896801000004</v>
      </c>
      <c r="AF282" s="9"/>
      <c r="AG282" s="22">
        <v>1.2696799999999999</v>
      </c>
      <c r="AH282" s="22">
        <v>258.74400000000003</v>
      </c>
      <c r="AI282" s="22">
        <v>-1.54816E-2</v>
      </c>
      <c r="AJ282" s="22">
        <v>272</v>
      </c>
      <c r="AK282" s="22">
        <v>1.26892</v>
      </c>
      <c r="AL282">
        <f t="shared" si="54"/>
        <v>15.4816</v>
      </c>
      <c r="AM282">
        <f t="shared" si="55"/>
        <v>19.656677888000001</v>
      </c>
      <c r="AP282" s="9"/>
      <c r="AQ282" s="22">
        <v>0.400391</v>
      </c>
      <c r="AR282" s="22">
        <v>337.59800000000001</v>
      </c>
      <c r="AS282" s="22">
        <v>-1.6687E-2</v>
      </c>
      <c r="AT282" s="22">
        <v>272</v>
      </c>
      <c r="AU282" s="22">
        <v>0.39962799999999998</v>
      </c>
      <c r="AV282">
        <f t="shared" si="56"/>
        <v>16.687000000000001</v>
      </c>
      <c r="AW282">
        <f t="shared" si="57"/>
        <v>6.6813246170000005</v>
      </c>
      <c r="AX282" s="9"/>
      <c r="AY282" s="22">
        <v>1.2696799999999999</v>
      </c>
      <c r="AZ282" s="22">
        <v>395.90899999999999</v>
      </c>
      <c r="BA282" s="22">
        <v>-1.54541E-2</v>
      </c>
      <c r="BB282" s="22">
        <v>272</v>
      </c>
      <c r="BC282" s="22">
        <v>1.2686200000000001</v>
      </c>
      <c r="BD282">
        <f t="shared" si="58"/>
        <v>15.4541</v>
      </c>
      <c r="BE282">
        <f t="shared" si="59"/>
        <v>19.621761687999999</v>
      </c>
    </row>
    <row r="283" spans="6:101">
      <c r="F283" s="9"/>
      <c r="G283" s="22">
        <v>0.39535500000000001</v>
      </c>
      <c r="H283" s="22">
        <v>66.860900000000001</v>
      </c>
      <c r="I283" s="22">
        <v>-1.6732799999999999E-2</v>
      </c>
      <c r="J283" s="22">
        <v>273</v>
      </c>
      <c r="K283" s="22">
        <v>0.39465299999999998</v>
      </c>
      <c r="L283">
        <f t="shared" si="48"/>
        <v>16.732799999999997</v>
      </c>
      <c r="M283">
        <f t="shared" si="49"/>
        <v>6.6153961439999991</v>
      </c>
      <c r="N283" s="9"/>
      <c r="O283" s="22">
        <v>1.2747200000000001</v>
      </c>
      <c r="P283" s="22">
        <v>131.18299999999999</v>
      </c>
      <c r="Q283" s="22">
        <v>-1.5716600000000001E-2</v>
      </c>
      <c r="R283" s="22">
        <v>273</v>
      </c>
      <c r="S283" s="22">
        <v>1.27319</v>
      </c>
      <c r="T283">
        <f t="shared" si="50"/>
        <v>15.716600000000001</v>
      </c>
      <c r="U283">
        <f t="shared" si="51"/>
        <v>20.034264352000005</v>
      </c>
      <c r="X283" s="9"/>
      <c r="Y283" s="22">
        <v>0.39535500000000001</v>
      </c>
      <c r="Z283" s="22">
        <v>201.316</v>
      </c>
      <c r="AA283" s="22">
        <v>-1.6744999999999999E-2</v>
      </c>
      <c r="AB283" s="22">
        <v>273</v>
      </c>
      <c r="AC283" s="22">
        <v>0.39477499999999999</v>
      </c>
      <c r="AD283">
        <f t="shared" si="52"/>
        <v>16.745000000000001</v>
      </c>
      <c r="AE283">
        <f t="shared" si="53"/>
        <v>6.6202194750000007</v>
      </c>
      <c r="AF283" s="9"/>
      <c r="AG283" s="22">
        <v>1.2747200000000001</v>
      </c>
      <c r="AH283" s="22">
        <v>258.84500000000003</v>
      </c>
      <c r="AI283" s="22">
        <v>-1.54999E-2</v>
      </c>
      <c r="AJ283" s="22">
        <v>273</v>
      </c>
      <c r="AK283" s="22">
        <v>1.2741100000000001</v>
      </c>
      <c r="AL283">
        <f t="shared" si="54"/>
        <v>15.4999</v>
      </c>
      <c r="AM283">
        <f t="shared" si="55"/>
        <v>19.758032528000001</v>
      </c>
      <c r="AP283" s="9"/>
      <c r="AQ283" s="22">
        <v>0.39535500000000001</v>
      </c>
      <c r="AR283" s="22">
        <v>337.69900000000001</v>
      </c>
      <c r="AS283" s="22">
        <v>-1.6687E-2</v>
      </c>
      <c r="AT283" s="22">
        <v>273</v>
      </c>
      <c r="AU283" s="22">
        <v>0.394592</v>
      </c>
      <c r="AV283">
        <f t="shared" si="56"/>
        <v>16.687000000000001</v>
      </c>
      <c r="AW283">
        <f t="shared" si="57"/>
        <v>6.5972888850000011</v>
      </c>
      <c r="AX283" s="9"/>
      <c r="AY283" s="22">
        <v>1.2747200000000001</v>
      </c>
      <c r="AZ283" s="22">
        <v>396.01</v>
      </c>
      <c r="BA283" s="22">
        <v>-1.5432700000000001E-2</v>
      </c>
      <c r="BB283" s="22">
        <v>273</v>
      </c>
      <c r="BC283" s="22">
        <v>1.2738</v>
      </c>
      <c r="BD283">
        <f t="shared" si="58"/>
        <v>15.432700000000001</v>
      </c>
      <c r="BE283">
        <f t="shared" si="59"/>
        <v>19.672371344000002</v>
      </c>
    </row>
    <row r="284" spans="6:101">
      <c r="F284" s="9"/>
      <c r="G284" s="22">
        <v>0.39032</v>
      </c>
      <c r="H284" s="22">
        <v>66.961600000000004</v>
      </c>
      <c r="I284" s="22">
        <v>-1.6747999999999999E-2</v>
      </c>
      <c r="J284" s="22">
        <v>274</v>
      </c>
      <c r="K284" s="22">
        <v>0.38986199999999999</v>
      </c>
      <c r="L284">
        <f t="shared" si="48"/>
        <v>16.747999999999998</v>
      </c>
      <c r="M284">
        <f t="shared" si="49"/>
        <v>6.537079359999999</v>
      </c>
      <c r="N284" s="9"/>
      <c r="O284" s="22">
        <v>1.2797499999999999</v>
      </c>
      <c r="P284" s="22">
        <v>131.28399999999999</v>
      </c>
      <c r="Q284" s="22">
        <v>-1.56921E-2</v>
      </c>
      <c r="R284" s="22">
        <v>274</v>
      </c>
      <c r="S284" s="22">
        <v>1.2789900000000001</v>
      </c>
      <c r="T284">
        <f t="shared" si="50"/>
        <v>15.6921</v>
      </c>
      <c r="U284">
        <f t="shared" si="51"/>
        <v>20.081964974999998</v>
      </c>
      <c r="X284" s="9"/>
      <c r="Y284" s="22">
        <v>0.39032</v>
      </c>
      <c r="Z284" s="22">
        <v>201.417</v>
      </c>
      <c r="AA284" s="22">
        <v>-1.67542E-2</v>
      </c>
      <c r="AB284" s="22">
        <v>274</v>
      </c>
      <c r="AC284" s="22">
        <v>0.38961800000000002</v>
      </c>
      <c r="AD284">
        <f t="shared" si="52"/>
        <v>16.754200000000001</v>
      </c>
      <c r="AE284">
        <f t="shared" si="53"/>
        <v>6.5394993440000002</v>
      </c>
      <c r="AF284" s="9"/>
      <c r="AG284" s="22">
        <v>1.2797499999999999</v>
      </c>
      <c r="AH284" s="22">
        <v>258.94600000000003</v>
      </c>
      <c r="AI284" s="22">
        <v>-1.54755E-2</v>
      </c>
      <c r="AJ284" s="22">
        <v>274</v>
      </c>
      <c r="AK284" s="22">
        <v>1.2789900000000001</v>
      </c>
      <c r="AL284">
        <f t="shared" si="54"/>
        <v>15.4755</v>
      </c>
      <c r="AM284">
        <f t="shared" si="55"/>
        <v>19.804771124999998</v>
      </c>
      <c r="AP284" s="9"/>
      <c r="AQ284" s="22">
        <v>0.39032</v>
      </c>
      <c r="AR284" s="22">
        <v>337.8</v>
      </c>
      <c r="AS284" s="22">
        <v>-1.6684000000000001E-2</v>
      </c>
      <c r="AT284" s="22">
        <v>274</v>
      </c>
      <c r="AU284" s="22">
        <v>0.38955699999999999</v>
      </c>
      <c r="AV284">
        <f t="shared" si="56"/>
        <v>16.684000000000001</v>
      </c>
      <c r="AW284">
        <f t="shared" si="57"/>
        <v>6.5120988800000008</v>
      </c>
      <c r="AX284" s="9"/>
      <c r="AY284" s="22">
        <v>1.2797499999999999</v>
      </c>
      <c r="AZ284" s="22">
        <v>396.11099999999999</v>
      </c>
      <c r="BA284" s="22">
        <v>-1.54114E-2</v>
      </c>
      <c r="BB284" s="22">
        <v>274</v>
      </c>
      <c r="BC284" s="22">
        <v>1.2786900000000001</v>
      </c>
      <c r="BD284">
        <f t="shared" si="58"/>
        <v>15.4114</v>
      </c>
      <c r="BE284">
        <f t="shared" si="59"/>
        <v>19.722739149999999</v>
      </c>
    </row>
    <row r="285" spans="6:101">
      <c r="F285" s="9"/>
      <c r="G285" s="22">
        <v>0.38528400000000002</v>
      </c>
      <c r="H285" s="22">
        <v>67.062299999999993</v>
      </c>
      <c r="I285" s="22">
        <v>-1.6751100000000001E-2</v>
      </c>
      <c r="J285" s="22">
        <v>275</v>
      </c>
      <c r="K285" s="22">
        <v>0.38439899999999999</v>
      </c>
      <c r="L285">
        <f t="shared" si="48"/>
        <v>16.751100000000001</v>
      </c>
      <c r="M285">
        <f t="shared" si="49"/>
        <v>6.4539308124000003</v>
      </c>
      <c r="N285" s="9"/>
      <c r="O285" s="22">
        <v>1.2847900000000001</v>
      </c>
      <c r="P285" s="22">
        <v>131.38399999999999</v>
      </c>
      <c r="Q285" s="22">
        <v>-1.5695199999999999E-2</v>
      </c>
      <c r="R285" s="22">
        <v>275</v>
      </c>
      <c r="S285" s="22">
        <v>1.2838700000000001</v>
      </c>
      <c r="T285">
        <f t="shared" si="50"/>
        <v>15.6952</v>
      </c>
      <c r="U285">
        <f t="shared" si="51"/>
        <v>20.165036008000001</v>
      </c>
      <c r="X285" s="9"/>
      <c r="Y285" s="22">
        <v>0.38528400000000002</v>
      </c>
      <c r="Z285" s="22">
        <v>201.517</v>
      </c>
      <c r="AA285" s="22">
        <v>-1.67572E-2</v>
      </c>
      <c r="AB285" s="22">
        <v>275</v>
      </c>
      <c r="AC285" s="22">
        <v>0.384521</v>
      </c>
      <c r="AD285">
        <f t="shared" si="52"/>
        <v>16.757200000000001</v>
      </c>
      <c r="AE285">
        <f t="shared" si="53"/>
        <v>6.4562810448000008</v>
      </c>
      <c r="AF285" s="9"/>
      <c r="AG285" s="22">
        <v>1.2847900000000001</v>
      </c>
      <c r="AH285" s="22">
        <v>259.04599999999999</v>
      </c>
      <c r="AI285" s="22">
        <v>-1.5438800000000001E-2</v>
      </c>
      <c r="AJ285" s="22">
        <v>275</v>
      </c>
      <c r="AK285" s="22">
        <v>1.2835700000000001</v>
      </c>
      <c r="AL285">
        <f t="shared" si="54"/>
        <v>15.438800000000001</v>
      </c>
      <c r="AM285">
        <f t="shared" si="55"/>
        <v>19.835615852000004</v>
      </c>
      <c r="AP285" s="9"/>
      <c r="AQ285" s="22">
        <v>0.38528400000000002</v>
      </c>
      <c r="AR285" s="22">
        <v>337.90100000000001</v>
      </c>
      <c r="AS285" s="22">
        <v>-1.6690099999999999E-2</v>
      </c>
      <c r="AT285" s="22">
        <v>275</v>
      </c>
      <c r="AU285" s="22">
        <v>0.38449100000000003</v>
      </c>
      <c r="AV285">
        <f t="shared" si="56"/>
        <v>16.690100000000001</v>
      </c>
      <c r="AW285">
        <f t="shared" si="57"/>
        <v>6.4304284884000005</v>
      </c>
      <c r="AX285" s="9"/>
      <c r="AY285" s="22">
        <v>1.2847900000000001</v>
      </c>
      <c r="AZ285" s="22">
        <v>396.21199999999999</v>
      </c>
      <c r="BA285" s="22">
        <v>-1.53992E-2</v>
      </c>
      <c r="BB285" s="22">
        <v>275</v>
      </c>
      <c r="BC285" s="22">
        <v>1.2835700000000001</v>
      </c>
      <c r="BD285">
        <f t="shared" si="58"/>
        <v>15.3992</v>
      </c>
      <c r="BE285">
        <f t="shared" si="59"/>
        <v>19.784738168000001</v>
      </c>
    </row>
    <row r="286" spans="6:101">
      <c r="F286" s="9"/>
      <c r="G286" s="22">
        <v>0.380249</v>
      </c>
      <c r="H286" s="22">
        <v>67.162999999999997</v>
      </c>
      <c r="I286" s="22">
        <v>-1.6751100000000001E-2</v>
      </c>
      <c r="J286" s="22">
        <v>276</v>
      </c>
      <c r="K286" s="22">
        <v>0.37933299999999998</v>
      </c>
      <c r="L286">
        <f t="shared" si="48"/>
        <v>16.751100000000001</v>
      </c>
      <c r="M286">
        <f t="shared" si="49"/>
        <v>6.3695890239000006</v>
      </c>
      <c r="N286" s="9"/>
      <c r="O286" s="22">
        <v>1.28983</v>
      </c>
      <c r="P286" s="22">
        <v>131.48500000000001</v>
      </c>
      <c r="Q286" s="22">
        <v>-1.5676900000000001E-2</v>
      </c>
      <c r="R286" s="22">
        <v>276</v>
      </c>
      <c r="S286" s="22">
        <v>1.2890600000000001</v>
      </c>
      <c r="T286">
        <f t="shared" si="50"/>
        <v>15.6769</v>
      </c>
      <c r="U286">
        <f t="shared" si="51"/>
        <v>20.220535927</v>
      </c>
      <c r="X286" s="9"/>
      <c r="Y286" s="22">
        <v>0.380249</v>
      </c>
      <c r="Z286" s="22">
        <v>201.61799999999999</v>
      </c>
      <c r="AA286" s="22">
        <v>-1.6772499999999999E-2</v>
      </c>
      <c r="AB286" s="22">
        <v>276</v>
      </c>
      <c r="AC286" s="22">
        <v>0.37948599999999999</v>
      </c>
      <c r="AD286">
        <f t="shared" si="52"/>
        <v>16.772500000000001</v>
      </c>
      <c r="AE286">
        <f t="shared" si="53"/>
        <v>6.3777263525000008</v>
      </c>
      <c r="AF286" s="9"/>
      <c r="AG286" s="22">
        <v>1.28983</v>
      </c>
      <c r="AH286" s="22">
        <v>259.14699999999999</v>
      </c>
      <c r="AI286" s="22">
        <v>-1.5466300000000001E-2</v>
      </c>
      <c r="AJ286" s="22">
        <v>276</v>
      </c>
      <c r="AK286" s="22">
        <v>1.2887599999999999</v>
      </c>
      <c r="AL286">
        <f t="shared" si="54"/>
        <v>15.4663</v>
      </c>
      <c r="AM286">
        <f t="shared" si="55"/>
        <v>19.948897729000002</v>
      </c>
      <c r="AP286" s="9"/>
      <c r="AQ286" s="22">
        <v>0.380249</v>
      </c>
      <c r="AR286" s="22">
        <v>338.00099999999998</v>
      </c>
      <c r="AS286" s="22">
        <v>-1.6708400000000002E-2</v>
      </c>
      <c r="AT286" s="22">
        <v>276</v>
      </c>
      <c r="AU286" s="22">
        <v>0.37948599999999999</v>
      </c>
      <c r="AV286">
        <f t="shared" si="56"/>
        <v>16.708400000000001</v>
      </c>
      <c r="AW286">
        <f t="shared" si="57"/>
        <v>6.3533523916000005</v>
      </c>
      <c r="AX286" s="9"/>
      <c r="AY286" s="22">
        <v>1.28983</v>
      </c>
      <c r="AZ286" s="22">
        <v>396.31200000000001</v>
      </c>
      <c r="BA286" s="22">
        <v>-1.5374799999999999E-2</v>
      </c>
      <c r="BB286" s="22">
        <v>276</v>
      </c>
      <c r="BC286" s="22">
        <v>1.2887599999999999</v>
      </c>
      <c r="BD286">
        <f t="shared" si="58"/>
        <v>15.374799999999999</v>
      </c>
      <c r="BE286">
        <f t="shared" si="59"/>
        <v>19.830878283999997</v>
      </c>
    </row>
    <row r="287" spans="6:101">
      <c r="F287" s="9"/>
      <c r="G287" s="22">
        <v>0.37521399999999999</v>
      </c>
      <c r="H287" s="22">
        <v>67.2637</v>
      </c>
      <c r="I287" s="22">
        <v>-1.6763299999999998E-2</v>
      </c>
      <c r="J287" s="22">
        <v>277</v>
      </c>
      <c r="K287" s="22">
        <v>0.37463400000000002</v>
      </c>
      <c r="L287">
        <f t="shared" si="48"/>
        <v>16.763299999999997</v>
      </c>
      <c r="M287">
        <f t="shared" si="49"/>
        <v>6.2898248461999993</v>
      </c>
      <c r="N287" s="9"/>
      <c r="O287" s="22">
        <v>1.2948599999999999</v>
      </c>
      <c r="P287" s="22">
        <v>131.58600000000001</v>
      </c>
      <c r="Q287" s="22">
        <v>-1.56647E-2</v>
      </c>
      <c r="R287" s="22">
        <v>277</v>
      </c>
      <c r="S287" s="22">
        <v>1.2939499999999999</v>
      </c>
      <c r="T287">
        <f t="shared" si="50"/>
        <v>15.6647</v>
      </c>
      <c r="U287">
        <f t="shared" si="51"/>
        <v>20.283593441999997</v>
      </c>
      <c r="X287" s="9"/>
      <c r="Y287" s="22">
        <v>0.37521399999999999</v>
      </c>
      <c r="Z287" s="22">
        <v>201.71899999999999</v>
      </c>
      <c r="AA287" s="22">
        <v>-1.6760299999999999E-2</v>
      </c>
      <c r="AB287" s="22">
        <v>277</v>
      </c>
      <c r="AC287" s="22">
        <v>0.37460300000000002</v>
      </c>
      <c r="AD287">
        <f t="shared" si="52"/>
        <v>16.760299999999997</v>
      </c>
      <c r="AE287">
        <f t="shared" si="53"/>
        <v>6.2886992041999985</v>
      </c>
      <c r="AF287" s="9"/>
      <c r="AG287" s="22">
        <v>1.2948599999999999</v>
      </c>
      <c r="AH287" s="22">
        <v>259.24799999999999</v>
      </c>
      <c r="AI287" s="22">
        <v>-1.5387E-2</v>
      </c>
      <c r="AJ287" s="22">
        <v>277</v>
      </c>
      <c r="AK287" s="22">
        <v>1.2936399999999999</v>
      </c>
      <c r="AL287">
        <f t="shared" si="54"/>
        <v>15.387</v>
      </c>
      <c r="AM287">
        <f t="shared" si="55"/>
        <v>19.924010819999999</v>
      </c>
      <c r="AP287" s="9"/>
      <c r="AQ287" s="22">
        <v>0.37521399999999999</v>
      </c>
      <c r="AR287" s="22">
        <v>338.10199999999998</v>
      </c>
      <c r="AS287" s="22">
        <v>-1.6696200000000001E-2</v>
      </c>
      <c r="AT287" s="22">
        <v>277</v>
      </c>
      <c r="AU287" s="22">
        <v>0.374664</v>
      </c>
      <c r="AV287">
        <f t="shared" si="56"/>
        <v>16.696200000000001</v>
      </c>
      <c r="AW287">
        <f t="shared" si="57"/>
        <v>6.2646479868</v>
      </c>
      <c r="AX287" s="9"/>
      <c r="AY287" s="22">
        <v>1.2948599999999999</v>
      </c>
      <c r="AZ287" s="22">
        <v>396.41300000000001</v>
      </c>
      <c r="BA287" s="22">
        <v>-1.5347299999999999E-2</v>
      </c>
      <c r="BB287" s="22">
        <v>277</v>
      </c>
      <c r="BC287" s="22">
        <v>1.2942499999999999</v>
      </c>
      <c r="BD287">
        <f t="shared" si="58"/>
        <v>15.347299999999999</v>
      </c>
      <c r="BE287">
        <f t="shared" si="59"/>
        <v>19.872604877999997</v>
      </c>
    </row>
    <row r="288" spans="6:101">
      <c r="F288" s="9"/>
      <c r="G288" s="22">
        <v>0.37017800000000001</v>
      </c>
      <c r="H288" s="22">
        <v>67.364400000000003</v>
      </c>
      <c r="I288" s="22">
        <v>-1.6760299999999999E-2</v>
      </c>
      <c r="J288" s="22">
        <v>278</v>
      </c>
      <c r="K288" s="22">
        <v>0.36941499999999999</v>
      </c>
      <c r="L288">
        <f t="shared" si="48"/>
        <v>16.760299999999997</v>
      </c>
      <c r="M288">
        <f t="shared" si="49"/>
        <v>6.2042943333999991</v>
      </c>
      <c r="N288" s="9"/>
      <c r="O288" s="22">
        <v>1.2999000000000001</v>
      </c>
      <c r="P288" s="22">
        <v>131.68600000000001</v>
      </c>
      <c r="Q288" s="22">
        <v>-1.5640299999999999E-2</v>
      </c>
      <c r="R288" s="22">
        <v>278</v>
      </c>
      <c r="S288" s="22">
        <v>1.2985199999999999</v>
      </c>
      <c r="T288">
        <f t="shared" si="50"/>
        <v>15.6403</v>
      </c>
      <c r="U288">
        <f t="shared" si="51"/>
        <v>20.330825969999999</v>
      </c>
      <c r="X288" s="9"/>
      <c r="Y288" s="22">
        <v>0.37017800000000001</v>
      </c>
      <c r="Z288" s="22">
        <v>201.82</v>
      </c>
      <c r="AA288" s="22">
        <v>-1.67694E-2</v>
      </c>
      <c r="AB288" s="22">
        <v>278</v>
      </c>
      <c r="AC288" s="22">
        <v>0.369446</v>
      </c>
      <c r="AD288">
        <f t="shared" si="52"/>
        <v>16.769400000000001</v>
      </c>
      <c r="AE288">
        <f t="shared" si="53"/>
        <v>6.2076629532000007</v>
      </c>
      <c r="AF288" s="9"/>
      <c r="AG288" s="22">
        <v>1.2999000000000001</v>
      </c>
      <c r="AH288" s="22">
        <v>259.34800000000001</v>
      </c>
      <c r="AI288" s="22">
        <v>-1.53931E-2</v>
      </c>
      <c r="AJ288" s="22">
        <v>278</v>
      </c>
      <c r="AK288" s="22">
        <v>1.2991299999999999</v>
      </c>
      <c r="AL288">
        <f t="shared" si="54"/>
        <v>15.3931</v>
      </c>
      <c r="AM288">
        <f t="shared" si="55"/>
        <v>20.00949069</v>
      </c>
      <c r="AP288" s="9"/>
      <c r="AQ288" s="22">
        <v>0.37017800000000001</v>
      </c>
      <c r="AR288" s="22">
        <v>338.20299999999997</v>
      </c>
      <c r="AS288" s="22">
        <v>-1.6699200000000001E-2</v>
      </c>
      <c r="AT288" s="22">
        <v>278</v>
      </c>
      <c r="AU288" s="22">
        <v>0.36950699999999997</v>
      </c>
      <c r="AV288">
        <f t="shared" si="56"/>
        <v>16.699200000000001</v>
      </c>
      <c r="AW288">
        <f t="shared" si="57"/>
        <v>6.181676457600001</v>
      </c>
      <c r="AX288" s="9"/>
      <c r="AY288" s="22">
        <v>1.2999000000000001</v>
      </c>
      <c r="AZ288" s="22">
        <v>396.51400000000001</v>
      </c>
      <c r="BA288" s="22">
        <v>-1.5329000000000001E-2</v>
      </c>
      <c r="BB288" s="22">
        <v>278</v>
      </c>
      <c r="BC288" s="22">
        <v>1.2988299999999999</v>
      </c>
      <c r="BD288">
        <f t="shared" si="58"/>
        <v>15.329000000000001</v>
      </c>
      <c r="BE288">
        <f t="shared" si="59"/>
        <v>19.926167100000001</v>
      </c>
    </row>
    <row r="289" spans="6:57">
      <c r="F289" s="9"/>
      <c r="G289" s="22">
        <v>0.365143</v>
      </c>
      <c r="H289" s="22">
        <v>67.465100000000007</v>
      </c>
      <c r="I289" s="22">
        <v>-1.6760299999999999E-2</v>
      </c>
      <c r="J289" s="22">
        <v>279</v>
      </c>
      <c r="K289" s="22">
        <v>0.36437999999999998</v>
      </c>
      <c r="L289">
        <f t="shared" si="48"/>
        <v>16.760299999999997</v>
      </c>
      <c r="M289">
        <f t="shared" si="49"/>
        <v>6.1199062228999992</v>
      </c>
      <c r="N289" s="9"/>
      <c r="O289" s="22">
        <v>1.3049299999999999</v>
      </c>
      <c r="P289" s="22">
        <v>131.78700000000001</v>
      </c>
      <c r="Q289" s="22">
        <v>-1.5600599999999999E-2</v>
      </c>
      <c r="R289" s="22">
        <v>279</v>
      </c>
      <c r="S289" s="22">
        <v>1.3043199999999999</v>
      </c>
      <c r="T289">
        <f t="shared" si="50"/>
        <v>15.6006</v>
      </c>
      <c r="U289">
        <f t="shared" si="51"/>
        <v>20.357690957999999</v>
      </c>
      <c r="X289" s="9"/>
      <c r="Y289" s="22">
        <v>0.365143</v>
      </c>
      <c r="Z289" s="22">
        <v>201.92</v>
      </c>
      <c r="AA289" s="22">
        <v>-1.6763299999999998E-2</v>
      </c>
      <c r="AB289" s="22">
        <v>279</v>
      </c>
      <c r="AC289" s="22">
        <v>0.36434899999999998</v>
      </c>
      <c r="AD289">
        <f t="shared" si="52"/>
        <v>16.763299999999997</v>
      </c>
      <c r="AE289">
        <f t="shared" si="53"/>
        <v>6.1210016518999986</v>
      </c>
      <c r="AF289" s="9"/>
      <c r="AG289" s="22">
        <v>1.3049299999999999</v>
      </c>
      <c r="AH289" s="22">
        <v>259.44900000000001</v>
      </c>
      <c r="AI289" s="22">
        <v>-1.53534E-2</v>
      </c>
      <c r="AJ289" s="22">
        <v>279</v>
      </c>
      <c r="AK289" s="22">
        <v>1.30463</v>
      </c>
      <c r="AL289">
        <f t="shared" si="54"/>
        <v>15.353399999999999</v>
      </c>
      <c r="AM289">
        <f t="shared" si="55"/>
        <v>20.035112261999998</v>
      </c>
      <c r="AP289" s="9"/>
      <c r="AQ289" s="22">
        <v>0.365143</v>
      </c>
      <c r="AR289" s="22">
        <v>338.303</v>
      </c>
      <c r="AS289" s="22">
        <v>-1.6705299999999999E-2</v>
      </c>
      <c r="AT289" s="22">
        <v>279</v>
      </c>
      <c r="AU289" s="22">
        <v>0.36441000000000001</v>
      </c>
      <c r="AV289">
        <f t="shared" si="56"/>
        <v>16.705299999999998</v>
      </c>
      <c r="AW289">
        <f t="shared" si="57"/>
        <v>6.0998233578999992</v>
      </c>
      <c r="AX289" s="9"/>
      <c r="AY289" s="22">
        <v>1.3049299999999999</v>
      </c>
      <c r="AZ289" s="22">
        <v>396.61399999999998</v>
      </c>
      <c r="BA289" s="22">
        <v>-1.5307599999999999E-2</v>
      </c>
      <c r="BB289" s="22">
        <v>279</v>
      </c>
      <c r="BC289" s="22">
        <v>1.3037099999999999</v>
      </c>
      <c r="BD289">
        <f t="shared" si="58"/>
        <v>15.307599999999999</v>
      </c>
      <c r="BE289">
        <f t="shared" si="59"/>
        <v>19.975346467999998</v>
      </c>
    </row>
    <row r="290" spans="6:57">
      <c r="F290" s="9"/>
      <c r="G290" s="22">
        <v>0.36010700000000001</v>
      </c>
      <c r="H290" s="22">
        <v>67.565799999999996</v>
      </c>
      <c r="I290" s="22">
        <v>-1.6763299999999998E-2</v>
      </c>
      <c r="J290" s="22">
        <v>280</v>
      </c>
      <c r="K290" s="22">
        <v>0.35946699999999998</v>
      </c>
      <c r="L290">
        <f t="shared" si="48"/>
        <v>16.763299999999997</v>
      </c>
      <c r="M290">
        <f t="shared" si="49"/>
        <v>6.0365816730999988</v>
      </c>
      <c r="N290" s="9"/>
      <c r="O290" s="22">
        <v>1.3099700000000001</v>
      </c>
      <c r="P290" s="22">
        <v>131.88800000000001</v>
      </c>
      <c r="Q290" s="22">
        <v>-1.56036E-2</v>
      </c>
      <c r="R290" s="22">
        <v>280</v>
      </c>
      <c r="S290" s="22">
        <v>1.3085899999999999</v>
      </c>
      <c r="T290">
        <f t="shared" si="50"/>
        <v>15.6036</v>
      </c>
      <c r="U290">
        <f t="shared" si="51"/>
        <v>20.440247892000002</v>
      </c>
      <c r="X290" s="9"/>
      <c r="Y290" s="22">
        <v>0.36010700000000001</v>
      </c>
      <c r="Z290" s="22">
        <v>202.02099999999999</v>
      </c>
      <c r="AA290" s="22">
        <v>-1.6766400000000001E-2</v>
      </c>
      <c r="AB290" s="22">
        <v>280</v>
      </c>
      <c r="AC290" s="22">
        <v>0.359375</v>
      </c>
      <c r="AD290">
        <f t="shared" si="52"/>
        <v>16.766400000000001</v>
      </c>
      <c r="AE290">
        <f t="shared" si="53"/>
        <v>6.0376980048000002</v>
      </c>
      <c r="AF290" s="9"/>
      <c r="AG290" s="22">
        <v>1.3099700000000001</v>
      </c>
      <c r="AH290" s="22">
        <v>259.55</v>
      </c>
      <c r="AI290" s="22">
        <v>-1.5356399999999999E-2</v>
      </c>
      <c r="AJ290" s="22">
        <v>280</v>
      </c>
      <c r="AK290" s="22">
        <v>1.30951</v>
      </c>
      <c r="AL290">
        <f t="shared" si="54"/>
        <v>15.356399999999999</v>
      </c>
      <c r="AM290">
        <f t="shared" si="55"/>
        <v>20.116423307999998</v>
      </c>
      <c r="AP290" s="9"/>
      <c r="AQ290" s="22">
        <v>0.36010700000000001</v>
      </c>
      <c r="AR290" s="22">
        <v>338.404</v>
      </c>
      <c r="AS290" s="22">
        <v>-1.6708400000000002E-2</v>
      </c>
      <c r="AT290" s="22">
        <v>280</v>
      </c>
      <c r="AU290" s="22">
        <v>0.359375</v>
      </c>
      <c r="AV290">
        <f t="shared" si="56"/>
        <v>16.708400000000001</v>
      </c>
      <c r="AW290">
        <f t="shared" si="57"/>
        <v>6.0168117988000009</v>
      </c>
      <c r="AX290" s="9"/>
      <c r="AY290" s="22">
        <v>1.3099700000000001</v>
      </c>
      <c r="AZ290" s="22">
        <v>396.71499999999997</v>
      </c>
      <c r="BA290" s="22">
        <v>-1.5280200000000001E-2</v>
      </c>
      <c r="BB290" s="22">
        <v>280</v>
      </c>
      <c r="BC290" s="22">
        <v>1.3089</v>
      </c>
      <c r="BD290">
        <f t="shared" si="58"/>
        <v>15.280200000000001</v>
      </c>
      <c r="BE290">
        <f t="shared" si="59"/>
        <v>20.016603594000003</v>
      </c>
    </row>
    <row r="291" spans="6:57">
      <c r="F291" s="9"/>
      <c r="G291" s="22">
        <v>0.355072</v>
      </c>
      <c r="H291" s="22">
        <v>67.666499999999999</v>
      </c>
      <c r="I291" s="22">
        <v>-1.67572E-2</v>
      </c>
      <c r="J291" s="22">
        <v>281</v>
      </c>
      <c r="K291" s="22">
        <v>0.35461399999999998</v>
      </c>
      <c r="L291">
        <f t="shared" si="48"/>
        <v>16.757200000000001</v>
      </c>
      <c r="M291">
        <f t="shared" si="49"/>
        <v>5.9500125184000003</v>
      </c>
      <c r="N291" s="9"/>
      <c r="O291" s="22">
        <v>1.3149999999999999</v>
      </c>
      <c r="P291" s="22">
        <v>131.989</v>
      </c>
      <c r="Q291" s="22">
        <v>-1.5588400000000001E-2</v>
      </c>
      <c r="R291" s="22">
        <v>281</v>
      </c>
      <c r="S291" s="22">
        <v>1.3137799999999999</v>
      </c>
      <c r="T291">
        <f t="shared" si="50"/>
        <v>15.5884</v>
      </c>
      <c r="U291">
        <f t="shared" si="51"/>
        <v>20.498746000000001</v>
      </c>
      <c r="X291" s="9"/>
      <c r="Y291" s="22">
        <v>0.355072</v>
      </c>
      <c r="Z291" s="22">
        <v>202.12200000000001</v>
      </c>
      <c r="AA291" s="22">
        <v>-1.6787699999999999E-2</v>
      </c>
      <c r="AB291" s="22">
        <v>281</v>
      </c>
      <c r="AC291" s="22">
        <v>0.35430899999999999</v>
      </c>
      <c r="AD291">
        <f t="shared" si="52"/>
        <v>16.787699999999997</v>
      </c>
      <c r="AE291">
        <f t="shared" si="53"/>
        <v>5.9608422143999986</v>
      </c>
      <c r="AF291" s="9"/>
      <c r="AG291" s="22">
        <v>1.3149999999999999</v>
      </c>
      <c r="AH291" s="22">
        <v>259.65100000000001</v>
      </c>
      <c r="AI291" s="22">
        <v>-1.53259E-2</v>
      </c>
      <c r="AJ291" s="22">
        <v>281</v>
      </c>
      <c r="AK291" s="22">
        <v>1.31409</v>
      </c>
      <c r="AL291">
        <f t="shared" si="54"/>
        <v>15.325900000000001</v>
      </c>
      <c r="AM291">
        <f t="shared" si="55"/>
        <v>20.153558499999999</v>
      </c>
      <c r="AP291" s="9"/>
      <c r="AQ291" s="22">
        <v>0.355072</v>
      </c>
      <c r="AR291" s="22">
        <v>338.505</v>
      </c>
      <c r="AS291" s="22">
        <v>-1.67023E-2</v>
      </c>
      <c r="AT291" s="22">
        <v>281</v>
      </c>
      <c r="AU291" s="22">
        <v>0.35415600000000003</v>
      </c>
      <c r="AV291">
        <f t="shared" si="56"/>
        <v>16.702300000000001</v>
      </c>
      <c r="AW291">
        <f t="shared" si="57"/>
        <v>5.9305190656000004</v>
      </c>
      <c r="AX291" s="9"/>
      <c r="AY291" s="22">
        <v>1.3149999999999999</v>
      </c>
      <c r="AZ291" s="22">
        <v>396.81599999999997</v>
      </c>
      <c r="BA291" s="22">
        <v>-1.5261800000000001E-2</v>
      </c>
      <c r="BB291" s="22">
        <v>281</v>
      </c>
      <c r="BC291" s="22">
        <v>1.31409</v>
      </c>
      <c r="BD291">
        <f t="shared" si="58"/>
        <v>15.261800000000001</v>
      </c>
      <c r="BE291">
        <f t="shared" si="59"/>
        <v>20.069267</v>
      </c>
    </row>
    <row r="292" spans="6:57">
      <c r="F292" s="9"/>
      <c r="G292" s="22">
        <v>0.35003699999999999</v>
      </c>
      <c r="H292" s="22">
        <v>67.767200000000003</v>
      </c>
      <c r="I292" s="22">
        <v>-1.67572E-2</v>
      </c>
      <c r="J292" s="22">
        <v>282</v>
      </c>
      <c r="K292" s="22">
        <v>0.34933500000000001</v>
      </c>
      <c r="L292">
        <f t="shared" si="48"/>
        <v>16.757200000000001</v>
      </c>
      <c r="M292">
        <f t="shared" si="49"/>
        <v>5.8656400164000004</v>
      </c>
      <c r="N292" s="9"/>
      <c r="O292" s="22">
        <v>1.3200400000000001</v>
      </c>
      <c r="P292" s="22">
        <v>132.089</v>
      </c>
      <c r="Q292" s="22">
        <v>-1.55701E-2</v>
      </c>
      <c r="R292" s="22">
        <v>282</v>
      </c>
      <c r="S292" s="22">
        <v>1.31989</v>
      </c>
      <c r="T292">
        <f t="shared" si="50"/>
        <v>15.5701</v>
      </c>
      <c r="U292">
        <f t="shared" si="51"/>
        <v>20.553154804000002</v>
      </c>
      <c r="X292" s="9"/>
      <c r="Y292" s="22">
        <v>0.35003699999999999</v>
      </c>
      <c r="Z292" s="22">
        <v>202.22200000000001</v>
      </c>
      <c r="AA292" s="22">
        <v>-1.67847E-2</v>
      </c>
      <c r="AB292" s="22">
        <v>282</v>
      </c>
      <c r="AC292" s="22">
        <v>0.34903000000000001</v>
      </c>
      <c r="AD292">
        <f t="shared" si="52"/>
        <v>16.784700000000001</v>
      </c>
      <c r="AE292">
        <f t="shared" si="53"/>
        <v>5.8752660339</v>
      </c>
      <c r="AF292" s="9"/>
      <c r="AG292" s="22">
        <v>1.3200400000000001</v>
      </c>
      <c r="AH292" s="22">
        <v>259.75099999999998</v>
      </c>
      <c r="AI292" s="22">
        <v>-1.52985E-2</v>
      </c>
      <c r="AJ292" s="22">
        <v>282</v>
      </c>
      <c r="AK292" s="22">
        <v>1.3192699999999999</v>
      </c>
      <c r="AL292">
        <f t="shared" si="54"/>
        <v>15.298499999999999</v>
      </c>
      <c r="AM292">
        <f t="shared" si="55"/>
        <v>20.194631940000001</v>
      </c>
      <c r="AP292" s="9"/>
      <c r="AQ292" s="22">
        <v>0.35003699999999999</v>
      </c>
      <c r="AR292" s="22">
        <v>338.60599999999999</v>
      </c>
      <c r="AS292" s="22">
        <v>-1.67145E-2</v>
      </c>
      <c r="AT292" s="22">
        <v>282</v>
      </c>
      <c r="AU292" s="22">
        <v>0.34915200000000002</v>
      </c>
      <c r="AV292">
        <f t="shared" si="56"/>
        <v>16.714500000000001</v>
      </c>
      <c r="AW292">
        <f t="shared" si="57"/>
        <v>5.8506934365000003</v>
      </c>
      <c r="AX292" s="9"/>
      <c r="AY292" s="22">
        <v>1.3200400000000001</v>
      </c>
      <c r="AZ292" s="22">
        <v>396.916</v>
      </c>
      <c r="BA292" s="22">
        <v>-1.52496E-2</v>
      </c>
      <c r="BB292" s="22">
        <v>282</v>
      </c>
      <c r="BC292" s="22">
        <v>1.3192699999999999</v>
      </c>
      <c r="BD292">
        <f t="shared" si="58"/>
        <v>15.249600000000001</v>
      </c>
      <c r="BE292">
        <f t="shared" si="59"/>
        <v>20.130081984000004</v>
      </c>
    </row>
    <row r="293" spans="6:57">
      <c r="F293" s="9"/>
      <c r="G293" s="22">
        <v>0.345001</v>
      </c>
      <c r="H293" s="22">
        <v>67.867999999999995</v>
      </c>
      <c r="I293" s="22">
        <v>-1.6760299999999999E-2</v>
      </c>
      <c r="J293" s="22">
        <v>283</v>
      </c>
      <c r="K293" s="22">
        <v>0.34393299999999999</v>
      </c>
      <c r="L293">
        <f t="shared" si="48"/>
        <v>16.760299999999997</v>
      </c>
      <c r="M293">
        <f t="shared" si="49"/>
        <v>5.7823202602999988</v>
      </c>
      <c r="N293" s="9"/>
      <c r="O293" s="22">
        <v>1.32507</v>
      </c>
      <c r="P293" s="22">
        <v>132.19</v>
      </c>
      <c r="Q293" s="22">
        <v>-1.5527300000000001E-2</v>
      </c>
      <c r="R293" s="22">
        <v>283</v>
      </c>
      <c r="S293" s="22">
        <v>1.32385</v>
      </c>
      <c r="T293">
        <f t="shared" si="50"/>
        <v>15.5273</v>
      </c>
      <c r="U293">
        <f t="shared" si="51"/>
        <v>20.574759410999999</v>
      </c>
      <c r="X293" s="9"/>
      <c r="Y293" s="22">
        <v>0.345001</v>
      </c>
      <c r="Z293" s="22">
        <v>202.32300000000001</v>
      </c>
      <c r="AA293" s="22">
        <v>-1.67969E-2</v>
      </c>
      <c r="AB293" s="22">
        <v>283</v>
      </c>
      <c r="AC293" s="22">
        <v>0.34433000000000002</v>
      </c>
      <c r="AD293">
        <f t="shared" si="52"/>
        <v>16.796900000000001</v>
      </c>
      <c r="AE293">
        <f t="shared" si="53"/>
        <v>5.7949472969000002</v>
      </c>
      <c r="AF293" s="9"/>
      <c r="AG293" s="22">
        <v>1.32507</v>
      </c>
      <c r="AH293" s="22">
        <v>259.85199999999998</v>
      </c>
      <c r="AI293" s="22">
        <v>-1.5267899999999999E-2</v>
      </c>
      <c r="AJ293" s="22">
        <v>283</v>
      </c>
      <c r="AK293" s="22">
        <v>1.32416</v>
      </c>
      <c r="AL293">
        <f t="shared" si="54"/>
        <v>15.267899999999999</v>
      </c>
      <c r="AM293">
        <f t="shared" si="55"/>
        <v>20.231036252999999</v>
      </c>
      <c r="AP293" s="9"/>
      <c r="AQ293" s="22">
        <v>0.345001</v>
      </c>
      <c r="AR293" s="22">
        <v>338.70600000000002</v>
      </c>
      <c r="AS293" s="22">
        <v>-1.6711400000000001E-2</v>
      </c>
      <c r="AT293" s="22">
        <v>283</v>
      </c>
      <c r="AU293" s="22">
        <v>0.34414699999999998</v>
      </c>
      <c r="AV293">
        <f t="shared" si="56"/>
        <v>16.711400000000001</v>
      </c>
      <c r="AW293">
        <f t="shared" si="57"/>
        <v>5.7654497114000005</v>
      </c>
      <c r="AX293" s="9"/>
      <c r="AY293" s="22">
        <v>1.32507</v>
      </c>
      <c r="AZ293" s="22">
        <v>397.017</v>
      </c>
      <c r="BA293" s="22">
        <v>-1.52374E-2</v>
      </c>
      <c r="BB293" s="22">
        <v>283</v>
      </c>
      <c r="BC293" s="22">
        <v>1.32355</v>
      </c>
      <c r="BD293">
        <f t="shared" si="58"/>
        <v>15.237399999999999</v>
      </c>
      <c r="BE293">
        <f t="shared" si="59"/>
        <v>20.190621617999998</v>
      </c>
    </row>
    <row r="294" spans="6:57">
      <c r="F294" s="9"/>
      <c r="G294" s="22">
        <v>0.33996599999999999</v>
      </c>
      <c r="H294" s="22">
        <v>67.968699999999998</v>
      </c>
      <c r="I294" s="22">
        <v>-1.6775499999999999E-2</v>
      </c>
      <c r="J294" s="22">
        <v>284</v>
      </c>
      <c r="K294" s="22">
        <v>0.33923300000000001</v>
      </c>
      <c r="L294">
        <f t="shared" si="48"/>
        <v>16.775499999999997</v>
      </c>
      <c r="M294">
        <f t="shared" si="49"/>
        <v>5.703099632999999</v>
      </c>
      <c r="N294" s="9"/>
      <c r="O294" s="22">
        <v>1.3301099999999999</v>
      </c>
      <c r="P294" s="22">
        <v>132.291</v>
      </c>
      <c r="Q294" s="22">
        <v>-1.55304E-2</v>
      </c>
      <c r="R294" s="22">
        <v>284</v>
      </c>
      <c r="S294" s="22">
        <v>1.32965</v>
      </c>
      <c r="T294">
        <f t="shared" si="50"/>
        <v>15.5304</v>
      </c>
      <c r="U294">
        <f t="shared" si="51"/>
        <v>20.657140343999998</v>
      </c>
      <c r="X294" s="9"/>
      <c r="Y294" s="22">
        <v>0.33996599999999999</v>
      </c>
      <c r="Z294" s="22">
        <v>202.42400000000001</v>
      </c>
      <c r="AA294" s="22">
        <v>-1.6790800000000002E-2</v>
      </c>
      <c r="AB294" s="22">
        <v>284</v>
      </c>
      <c r="AC294" s="22">
        <v>0.33938600000000002</v>
      </c>
      <c r="AD294">
        <f t="shared" si="52"/>
        <v>16.790800000000001</v>
      </c>
      <c r="AE294">
        <f t="shared" si="53"/>
        <v>5.7083011128000001</v>
      </c>
      <c r="AF294" s="9"/>
      <c r="AG294" s="22">
        <v>1.3301099999999999</v>
      </c>
      <c r="AH294" s="22">
        <v>259.95299999999997</v>
      </c>
      <c r="AI294" s="22">
        <v>-1.5267899999999999E-2</v>
      </c>
      <c r="AJ294" s="22">
        <v>284</v>
      </c>
      <c r="AK294" s="22">
        <v>1.32965</v>
      </c>
      <c r="AL294">
        <f t="shared" si="54"/>
        <v>15.267899999999999</v>
      </c>
      <c r="AM294">
        <f t="shared" si="55"/>
        <v>20.307986468999996</v>
      </c>
      <c r="AP294" s="9"/>
      <c r="AQ294" s="22">
        <v>0.33996599999999999</v>
      </c>
      <c r="AR294" s="22">
        <v>338.80700000000002</v>
      </c>
      <c r="AS294" s="22">
        <v>-1.67145E-2</v>
      </c>
      <c r="AT294" s="22">
        <v>284</v>
      </c>
      <c r="AU294" s="22">
        <v>0.33917199999999997</v>
      </c>
      <c r="AV294">
        <f t="shared" si="56"/>
        <v>16.714500000000001</v>
      </c>
      <c r="AW294">
        <f t="shared" si="57"/>
        <v>5.6823617070000001</v>
      </c>
      <c r="AX294" s="9"/>
      <c r="AY294" s="22">
        <v>1.3301099999999999</v>
      </c>
      <c r="AZ294" s="22">
        <v>397.11799999999999</v>
      </c>
      <c r="BA294" s="22">
        <v>-1.52161E-2</v>
      </c>
      <c r="BB294" s="22">
        <v>284</v>
      </c>
      <c r="BC294" s="22">
        <v>1.32965</v>
      </c>
      <c r="BD294">
        <f t="shared" si="58"/>
        <v>15.216099999999999</v>
      </c>
      <c r="BE294">
        <f t="shared" si="59"/>
        <v>20.239086770999997</v>
      </c>
    </row>
    <row r="295" spans="6:57">
      <c r="F295" s="9"/>
      <c r="G295" s="22">
        <v>0.33493000000000001</v>
      </c>
      <c r="H295" s="22">
        <v>68.069400000000002</v>
      </c>
      <c r="I295" s="22">
        <v>-1.6763299999999998E-2</v>
      </c>
      <c r="J295" s="22">
        <v>285</v>
      </c>
      <c r="K295" s="22">
        <v>0.33425899999999997</v>
      </c>
      <c r="L295">
        <f t="shared" si="48"/>
        <v>16.763299999999997</v>
      </c>
      <c r="M295">
        <f t="shared" si="49"/>
        <v>5.6145320689999991</v>
      </c>
      <c r="N295" s="9"/>
      <c r="O295" s="22">
        <v>1.33514</v>
      </c>
      <c r="P295" s="22">
        <v>132.39099999999999</v>
      </c>
      <c r="Q295" s="22">
        <v>-1.55243E-2</v>
      </c>
      <c r="R295" s="22">
        <v>285</v>
      </c>
      <c r="S295" s="22">
        <v>1.33423</v>
      </c>
      <c r="T295">
        <f t="shared" si="50"/>
        <v>15.5243</v>
      </c>
      <c r="U295">
        <f t="shared" si="51"/>
        <v>20.727113901999999</v>
      </c>
      <c r="X295" s="9"/>
      <c r="Y295" s="22">
        <v>0.33493000000000001</v>
      </c>
      <c r="Z295" s="22">
        <v>202.524</v>
      </c>
      <c r="AA295" s="22">
        <v>-1.67847E-2</v>
      </c>
      <c r="AB295" s="22">
        <v>285</v>
      </c>
      <c r="AC295" s="22">
        <v>0.33416699999999999</v>
      </c>
      <c r="AD295">
        <f t="shared" si="52"/>
        <v>16.784700000000001</v>
      </c>
      <c r="AE295">
        <f t="shared" si="53"/>
        <v>5.6216995710000006</v>
      </c>
      <c r="AF295" s="9"/>
      <c r="AG295" s="22">
        <v>1.33514</v>
      </c>
      <c r="AH295" s="22">
        <v>260.053</v>
      </c>
      <c r="AI295" s="22">
        <v>-1.5261800000000001E-2</v>
      </c>
      <c r="AJ295" s="22">
        <v>285</v>
      </c>
      <c r="AK295" s="22">
        <v>1.33392</v>
      </c>
      <c r="AL295">
        <f t="shared" si="54"/>
        <v>15.261800000000001</v>
      </c>
      <c r="AM295">
        <f t="shared" si="55"/>
        <v>20.376639652000001</v>
      </c>
      <c r="AP295" s="9"/>
      <c r="AQ295" s="22">
        <v>0.33493000000000001</v>
      </c>
      <c r="AR295" s="22">
        <v>338.90800000000002</v>
      </c>
      <c r="AS295" s="22">
        <v>-1.6711400000000001E-2</v>
      </c>
      <c r="AT295" s="22">
        <v>285</v>
      </c>
      <c r="AU295" s="22">
        <v>0.334229</v>
      </c>
      <c r="AV295">
        <f t="shared" si="56"/>
        <v>16.711400000000001</v>
      </c>
      <c r="AW295">
        <f t="shared" si="57"/>
        <v>5.5971492020000007</v>
      </c>
      <c r="AX295" s="9"/>
      <c r="AY295" s="22">
        <v>1.33514</v>
      </c>
      <c r="AZ295" s="22">
        <v>397.21899999999999</v>
      </c>
      <c r="BA295" s="22">
        <v>-1.52161E-2</v>
      </c>
      <c r="BB295" s="22">
        <v>285</v>
      </c>
      <c r="BC295" s="22">
        <v>1.33423</v>
      </c>
      <c r="BD295">
        <f t="shared" si="58"/>
        <v>15.216099999999999</v>
      </c>
      <c r="BE295">
        <f t="shared" si="59"/>
        <v>20.315623753999997</v>
      </c>
    </row>
    <row r="296" spans="6:57">
      <c r="F296" s="9"/>
      <c r="G296" s="22">
        <v>0.32989499999999999</v>
      </c>
      <c r="H296" s="22">
        <v>68.170100000000005</v>
      </c>
      <c r="I296" s="22">
        <v>-1.6772499999999999E-2</v>
      </c>
      <c r="J296" s="22">
        <v>286</v>
      </c>
      <c r="K296" s="22">
        <v>0.32916299999999998</v>
      </c>
      <c r="L296">
        <f t="shared" si="48"/>
        <v>16.772500000000001</v>
      </c>
      <c r="M296">
        <f t="shared" si="49"/>
        <v>5.5331638874999998</v>
      </c>
      <c r="N296" s="9"/>
      <c r="O296" s="22">
        <v>1.3401799999999999</v>
      </c>
      <c r="P296" s="22">
        <v>132.49199999999999</v>
      </c>
      <c r="Q296" s="22">
        <v>-1.54877E-2</v>
      </c>
      <c r="R296" s="22">
        <v>286</v>
      </c>
      <c r="S296" s="22">
        <v>1.3385</v>
      </c>
      <c r="T296">
        <f t="shared" si="50"/>
        <v>15.4877</v>
      </c>
      <c r="U296">
        <f t="shared" si="51"/>
        <v>20.756305785999999</v>
      </c>
      <c r="X296" s="9"/>
      <c r="Y296" s="22">
        <v>0.32989499999999999</v>
      </c>
      <c r="Z296" s="22">
        <v>202.625</v>
      </c>
      <c r="AA296" s="22">
        <v>-1.6778600000000001E-2</v>
      </c>
      <c r="AB296" s="22">
        <v>286</v>
      </c>
      <c r="AC296" s="22">
        <v>0.32910200000000001</v>
      </c>
      <c r="AD296">
        <f t="shared" si="52"/>
        <v>16.778600000000001</v>
      </c>
      <c r="AE296">
        <f t="shared" si="53"/>
        <v>5.5351762469999999</v>
      </c>
      <c r="AF296" s="9"/>
      <c r="AG296" s="22">
        <v>1.3401799999999999</v>
      </c>
      <c r="AH296" s="22">
        <v>260.154</v>
      </c>
      <c r="AI296" s="22">
        <v>-1.52374E-2</v>
      </c>
      <c r="AJ296" s="22">
        <v>286</v>
      </c>
      <c r="AK296" s="22">
        <v>1.3388100000000001</v>
      </c>
      <c r="AL296">
        <f t="shared" si="54"/>
        <v>15.237399999999999</v>
      </c>
      <c r="AM296">
        <f t="shared" si="55"/>
        <v>20.420858731999999</v>
      </c>
      <c r="AP296" s="9"/>
      <c r="AQ296" s="22">
        <v>0.32989499999999999</v>
      </c>
      <c r="AR296" s="22">
        <v>339.00799999999998</v>
      </c>
      <c r="AS296" s="22">
        <v>-1.67175E-2</v>
      </c>
      <c r="AT296" s="22">
        <v>286</v>
      </c>
      <c r="AU296" s="22">
        <v>0.329071</v>
      </c>
      <c r="AV296">
        <f t="shared" si="56"/>
        <v>16.717500000000001</v>
      </c>
      <c r="AW296">
        <f t="shared" si="57"/>
        <v>5.5150196625000003</v>
      </c>
      <c r="AX296" s="9"/>
      <c r="AY296" s="22">
        <v>1.3401799999999999</v>
      </c>
      <c r="AZ296" s="22">
        <v>397.31900000000002</v>
      </c>
      <c r="BA296" s="22">
        <v>-1.52008E-2</v>
      </c>
      <c r="BB296" s="22">
        <v>286</v>
      </c>
      <c r="BC296" s="22">
        <v>1.3394200000000001</v>
      </c>
      <c r="BD296">
        <f t="shared" si="58"/>
        <v>15.200800000000001</v>
      </c>
      <c r="BE296">
        <f t="shared" si="59"/>
        <v>20.371808143999999</v>
      </c>
    </row>
    <row r="297" spans="6:57">
      <c r="F297" s="9"/>
      <c r="G297" s="22">
        <v>0.32485999999999998</v>
      </c>
      <c r="H297" s="22">
        <v>68.270799999999994</v>
      </c>
      <c r="I297" s="22">
        <v>-1.6775499999999999E-2</v>
      </c>
      <c r="J297" s="22">
        <v>287</v>
      </c>
      <c r="K297" s="22">
        <v>0.324158</v>
      </c>
      <c r="L297">
        <f t="shared" si="48"/>
        <v>16.775499999999997</v>
      </c>
      <c r="M297">
        <f t="shared" si="49"/>
        <v>5.4496889299999989</v>
      </c>
      <c r="N297" s="9"/>
      <c r="O297" s="22">
        <v>1.34521</v>
      </c>
      <c r="P297" s="22">
        <v>132.59299999999999</v>
      </c>
      <c r="Q297" s="22">
        <v>-1.5484599999999999E-2</v>
      </c>
      <c r="R297" s="22">
        <v>287</v>
      </c>
      <c r="S297" s="22">
        <v>1.3443000000000001</v>
      </c>
      <c r="T297">
        <f t="shared" si="50"/>
        <v>15.484599999999999</v>
      </c>
      <c r="U297">
        <f t="shared" si="51"/>
        <v>20.830038765999998</v>
      </c>
      <c r="X297" s="9"/>
      <c r="Y297" s="22">
        <v>0.32485999999999998</v>
      </c>
      <c r="Z297" s="22">
        <v>202.726</v>
      </c>
      <c r="AA297" s="22">
        <v>-1.6766400000000001E-2</v>
      </c>
      <c r="AB297" s="22">
        <v>287</v>
      </c>
      <c r="AC297" s="22">
        <v>0.32437100000000002</v>
      </c>
      <c r="AD297">
        <f t="shared" si="52"/>
        <v>16.766400000000001</v>
      </c>
      <c r="AE297">
        <f t="shared" si="53"/>
        <v>5.4467327039999995</v>
      </c>
      <c r="AF297" s="9"/>
      <c r="AG297" s="22">
        <v>1.34521</v>
      </c>
      <c r="AH297" s="22">
        <v>260.255</v>
      </c>
      <c r="AI297" s="22">
        <v>-1.5206900000000001E-2</v>
      </c>
      <c r="AJ297" s="22">
        <v>287</v>
      </c>
      <c r="AK297" s="22">
        <v>1.3443000000000001</v>
      </c>
      <c r="AL297">
        <f t="shared" si="54"/>
        <v>15.206900000000001</v>
      </c>
      <c r="AM297">
        <f t="shared" si="55"/>
        <v>20.456473949000003</v>
      </c>
      <c r="AP297" s="9"/>
      <c r="AQ297" s="22">
        <v>0.32485999999999998</v>
      </c>
      <c r="AR297" s="22">
        <v>339.10899999999998</v>
      </c>
      <c r="AS297" s="22">
        <v>-1.67175E-2</v>
      </c>
      <c r="AT297" s="22">
        <v>287</v>
      </c>
      <c r="AU297" s="22">
        <v>0.32430999999999999</v>
      </c>
      <c r="AV297">
        <f t="shared" si="56"/>
        <v>16.717500000000001</v>
      </c>
      <c r="AW297">
        <f t="shared" si="57"/>
        <v>5.4308470499999997</v>
      </c>
      <c r="AX297" s="9"/>
      <c r="AY297" s="22">
        <v>1.34521</v>
      </c>
      <c r="AZ297" s="22">
        <v>397.42</v>
      </c>
      <c r="BA297" s="22">
        <v>-1.51672E-2</v>
      </c>
      <c r="BB297" s="22">
        <v>287</v>
      </c>
      <c r="BC297" s="22">
        <v>1.3446</v>
      </c>
      <c r="BD297">
        <f t="shared" si="58"/>
        <v>15.167200000000001</v>
      </c>
      <c r="BE297">
        <f t="shared" si="59"/>
        <v>20.403069112000001</v>
      </c>
    </row>
    <row r="298" spans="6:57">
      <c r="F298" s="9"/>
      <c r="G298" s="22">
        <v>0.319824</v>
      </c>
      <c r="H298" s="22">
        <v>68.371499999999997</v>
      </c>
      <c r="I298" s="22">
        <v>-1.6775499999999999E-2</v>
      </c>
      <c r="J298" s="22">
        <v>288</v>
      </c>
      <c r="K298" s="22">
        <v>0.31896999999999998</v>
      </c>
      <c r="L298">
        <f t="shared" si="48"/>
        <v>16.775499999999997</v>
      </c>
      <c r="M298">
        <f t="shared" si="49"/>
        <v>5.3652075119999996</v>
      </c>
      <c r="N298" s="9"/>
      <c r="O298" s="22">
        <v>1.35025</v>
      </c>
      <c r="P298" s="22">
        <v>132.69399999999999</v>
      </c>
      <c r="Q298" s="22">
        <v>-1.54358E-2</v>
      </c>
      <c r="R298" s="22">
        <v>288</v>
      </c>
      <c r="S298" s="22">
        <v>1.3488800000000001</v>
      </c>
      <c r="T298">
        <f t="shared" si="50"/>
        <v>15.4358</v>
      </c>
      <c r="U298">
        <f t="shared" si="51"/>
        <v>20.842188950000001</v>
      </c>
      <c r="X298" s="9"/>
      <c r="Y298" s="22">
        <v>0.319824</v>
      </c>
      <c r="Z298" s="22">
        <v>202.827</v>
      </c>
      <c r="AA298" s="22">
        <v>-1.67572E-2</v>
      </c>
      <c r="AB298" s="22">
        <v>288</v>
      </c>
      <c r="AC298" s="22">
        <v>0.31933600000000001</v>
      </c>
      <c r="AD298">
        <f t="shared" si="52"/>
        <v>16.757200000000001</v>
      </c>
      <c r="AE298">
        <f t="shared" si="53"/>
        <v>5.3593547328</v>
      </c>
      <c r="AF298" s="9"/>
      <c r="AG298" s="22">
        <v>1.35025</v>
      </c>
      <c r="AH298" s="22">
        <v>260.35599999999999</v>
      </c>
      <c r="AI298" s="22">
        <v>-1.51428E-2</v>
      </c>
      <c r="AJ298" s="22">
        <v>288</v>
      </c>
      <c r="AK298" s="22">
        <v>1.3488800000000001</v>
      </c>
      <c r="AL298">
        <f t="shared" si="54"/>
        <v>15.142799999999999</v>
      </c>
      <c r="AM298">
        <f t="shared" si="55"/>
        <v>20.446565699999997</v>
      </c>
      <c r="AP298" s="9"/>
      <c r="AQ298" s="22">
        <v>0.319824</v>
      </c>
      <c r="AR298" s="22">
        <v>339.21</v>
      </c>
      <c r="AS298" s="22">
        <v>-1.6723600000000002E-2</v>
      </c>
      <c r="AT298" s="22">
        <v>288</v>
      </c>
      <c r="AU298" s="22">
        <v>0.31903100000000001</v>
      </c>
      <c r="AV298">
        <f t="shared" si="56"/>
        <v>16.723600000000001</v>
      </c>
      <c r="AW298">
        <f t="shared" si="57"/>
        <v>5.3486086464000007</v>
      </c>
      <c r="AX298" s="9"/>
      <c r="AY298" s="22">
        <v>1.35025</v>
      </c>
      <c r="AZ298" s="22">
        <v>397.52100000000002</v>
      </c>
      <c r="BA298" s="22">
        <v>-1.5158100000000001E-2</v>
      </c>
      <c r="BB298" s="22">
        <v>288</v>
      </c>
      <c r="BC298" s="22">
        <v>1.3494900000000001</v>
      </c>
      <c r="BD298">
        <f t="shared" si="58"/>
        <v>15.158100000000001</v>
      </c>
      <c r="BE298">
        <f t="shared" si="59"/>
        <v>20.467224524999999</v>
      </c>
    </row>
    <row r="299" spans="6:57">
      <c r="F299" s="9"/>
      <c r="G299" s="22">
        <v>0.31478899999999999</v>
      </c>
      <c r="H299" s="22">
        <v>68.472200000000001</v>
      </c>
      <c r="I299" s="22">
        <v>-1.6766400000000001E-2</v>
      </c>
      <c r="J299" s="22">
        <v>289</v>
      </c>
      <c r="K299" s="22">
        <v>0.31402600000000003</v>
      </c>
      <c r="L299">
        <f t="shared" si="48"/>
        <v>16.766400000000001</v>
      </c>
      <c r="M299">
        <f t="shared" si="49"/>
        <v>5.2778782896000003</v>
      </c>
      <c r="N299" s="9"/>
      <c r="O299" s="22">
        <v>1.3552900000000001</v>
      </c>
      <c r="P299" s="22">
        <v>132.79400000000001</v>
      </c>
      <c r="Q299" s="22">
        <v>-1.5389999999999999E-2</v>
      </c>
      <c r="R299" s="22">
        <v>289</v>
      </c>
      <c r="S299" s="22">
        <v>1.3543700000000001</v>
      </c>
      <c r="T299">
        <f t="shared" si="50"/>
        <v>15.389999999999999</v>
      </c>
      <c r="U299">
        <f t="shared" si="51"/>
        <v>20.857913100000001</v>
      </c>
      <c r="X299" s="9"/>
      <c r="Y299" s="22">
        <v>0.31478899999999999</v>
      </c>
      <c r="Z299" s="22">
        <v>202.92699999999999</v>
      </c>
      <c r="AA299" s="22">
        <v>-1.6741900000000001E-2</v>
      </c>
      <c r="AB299" s="22">
        <v>289</v>
      </c>
      <c r="AC299" s="22">
        <v>0.31408700000000001</v>
      </c>
      <c r="AD299">
        <f t="shared" si="52"/>
        <v>16.741900000000001</v>
      </c>
      <c r="AE299">
        <f t="shared" si="53"/>
        <v>5.2701659590999999</v>
      </c>
      <c r="AF299" s="9"/>
      <c r="AG299" s="22">
        <v>1.3552900000000001</v>
      </c>
      <c r="AH299" s="22">
        <v>260.45600000000002</v>
      </c>
      <c r="AI299" s="22">
        <v>-1.5118400000000001E-2</v>
      </c>
      <c r="AJ299" s="22">
        <v>289</v>
      </c>
      <c r="AK299" s="22">
        <v>1.35406</v>
      </c>
      <c r="AL299">
        <f t="shared" si="54"/>
        <v>15.118400000000001</v>
      </c>
      <c r="AM299">
        <f t="shared" si="55"/>
        <v>20.489816336000004</v>
      </c>
      <c r="AP299" s="9"/>
      <c r="AQ299" s="22">
        <v>0.31478899999999999</v>
      </c>
      <c r="AR299" s="22">
        <v>339.31099999999998</v>
      </c>
      <c r="AS299" s="22">
        <v>-1.6720599999999999E-2</v>
      </c>
      <c r="AT299" s="22">
        <v>289</v>
      </c>
      <c r="AU299" s="22">
        <v>0.31417800000000001</v>
      </c>
      <c r="AV299">
        <f t="shared" si="56"/>
        <v>16.720599999999997</v>
      </c>
      <c r="AW299">
        <f t="shared" si="57"/>
        <v>5.2634609533999992</v>
      </c>
      <c r="AX299" s="9"/>
      <c r="AY299" s="22">
        <v>1.3552900000000001</v>
      </c>
      <c r="AZ299" s="22">
        <v>397.62099999999998</v>
      </c>
      <c r="BA299" s="22">
        <v>-1.5118400000000001E-2</v>
      </c>
      <c r="BB299" s="22">
        <v>289</v>
      </c>
      <c r="BC299" s="22">
        <v>1.3543700000000001</v>
      </c>
      <c r="BD299">
        <f t="shared" si="58"/>
        <v>15.118400000000001</v>
      </c>
      <c r="BE299">
        <f t="shared" si="59"/>
        <v>20.489816336000004</v>
      </c>
    </row>
    <row r="300" spans="6:57">
      <c r="F300" s="9"/>
      <c r="G300" s="22">
        <v>0.309753</v>
      </c>
      <c r="H300" s="22">
        <v>68.572900000000004</v>
      </c>
      <c r="I300" s="22">
        <v>-1.6778600000000001E-2</v>
      </c>
      <c r="J300" s="22">
        <v>290</v>
      </c>
      <c r="K300" s="22">
        <v>0.30902099999999999</v>
      </c>
      <c r="L300">
        <f t="shared" si="48"/>
        <v>16.778600000000001</v>
      </c>
      <c r="M300">
        <f t="shared" si="49"/>
        <v>5.1972216858000007</v>
      </c>
      <c r="N300" s="9"/>
      <c r="O300" s="22">
        <v>1.36032</v>
      </c>
      <c r="P300" s="22">
        <v>132.89500000000001</v>
      </c>
      <c r="Q300" s="22">
        <v>-1.53931E-2</v>
      </c>
      <c r="R300" s="22">
        <v>290</v>
      </c>
      <c r="S300" s="22">
        <v>1.3589500000000001</v>
      </c>
      <c r="T300">
        <f t="shared" si="50"/>
        <v>15.3931</v>
      </c>
      <c r="U300">
        <f t="shared" si="51"/>
        <v>20.939541792</v>
      </c>
      <c r="X300" s="9"/>
      <c r="Y300" s="22">
        <v>0.309753</v>
      </c>
      <c r="Z300" s="22">
        <v>203.02799999999999</v>
      </c>
      <c r="AA300" s="22">
        <v>-1.6744999999999999E-2</v>
      </c>
      <c r="AB300" s="22">
        <v>290</v>
      </c>
      <c r="AC300" s="22">
        <v>0.30923499999999998</v>
      </c>
      <c r="AD300">
        <f t="shared" si="52"/>
        <v>16.745000000000001</v>
      </c>
      <c r="AE300">
        <f t="shared" si="53"/>
        <v>5.1868139850000006</v>
      </c>
      <c r="AF300" s="9"/>
      <c r="AG300" s="22">
        <v>1.36032</v>
      </c>
      <c r="AH300" s="22">
        <v>260.55700000000002</v>
      </c>
      <c r="AI300" s="22">
        <v>-1.50665E-2</v>
      </c>
      <c r="AJ300" s="22">
        <v>290</v>
      </c>
      <c r="AK300" s="22">
        <v>1.3592500000000001</v>
      </c>
      <c r="AL300">
        <f t="shared" si="54"/>
        <v>15.0665</v>
      </c>
      <c r="AM300">
        <f t="shared" si="55"/>
        <v>20.495261279999998</v>
      </c>
      <c r="AP300" s="9"/>
      <c r="AQ300" s="22">
        <v>0.309753</v>
      </c>
      <c r="AR300" s="22">
        <v>339.411</v>
      </c>
      <c r="AS300" s="22">
        <v>-1.6723600000000002E-2</v>
      </c>
      <c r="AT300" s="22">
        <v>290</v>
      </c>
      <c r="AU300" s="22">
        <v>0.30911300000000003</v>
      </c>
      <c r="AV300">
        <f t="shared" si="56"/>
        <v>16.723600000000001</v>
      </c>
      <c r="AW300">
        <f t="shared" si="57"/>
        <v>5.1801852708</v>
      </c>
      <c r="AX300" s="9"/>
      <c r="AY300" s="22">
        <v>1.36032</v>
      </c>
      <c r="AZ300" s="22">
        <v>397.72199999999998</v>
      </c>
      <c r="BA300" s="22">
        <v>-1.51001E-2</v>
      </c>
      <c r="BB300" s="22">
        <v>290</v>
      </c>
      <c r="BC300" s="22">
        <v>1.3589500000000001</v>
      </c>
      <c r="BD300">
        <f t="shared" si="58"/>
        <v>15.100099999999999</v>
      </c>
      <c r="BE300">
        <f t="shared" si="59"/>
        <v>20.540968031999999</v>
      </c>
    </row>
    <row r="301" spans="6:57">
      <c r="F301" s="9"/>
      <c r="G301" s="22">
        <v>0.30471799999999999</v>
      </c>
      <c r="H301" s="22">
        <v>68.673599999999993</v>
      </c>
      <c r="I301" s="22">
        <v>-1.6772499999999999E-2</v>
      </c>
      <c r="J301" s="22">
        <v>291</v>
      </c>
      <c r="K301" s="22">
        <v>0.30404700000000001</v>
      </c>
      <c r="L301">
        <f t="shared" si="48"/>
        <v>16.772500000000001</v>
      </c>
      <c r="M301">
        <f t="shared" si="49"/>
        <v>5.1108826550000002</v>
      </c>
      <c r="N301" s="9"/>
      <c r="O301" s="22">
        <v>1.3653599999999999</v>
      </c>
      <c r="P301" s="22">
        <v>132.99600000000001</v>
      </c>
      <c r="Q301" s="22">
        <v>-1.5335100000000001E-2</v>
      </c>
      <c r="R301" s="22">
        <v>291</v>
      </c>
      <c r="S301" s="22">
        <v>1.3644400000000001</v>
      </c>
      <c r="T301">
        <f t="shared" si="50"/>
        <v>15.335100000000001</v>
      </c>
      <c r="U301">
        <f t="shared" si="51"/>
        <v>20.937932136000001</v>
      </c>
      <c r="X301" s="9"/>
      <c r="Y301" s="22">
        <v>0.30471799999999999</v>
      </c>
      <c r="Z301" s="22">
        <v>203.12899999999999</v>
      </c>
      <c r="AA301" s="22">
        <v>-1.67572E-2</v>
      </c>
      <c r="AB301" s="22">
        <v>291</v>
      </c>
      <c r="AC301" s="22">
        <v>0.30398599999999998</v>
      </c>
      <c r="AD301">
        <f t="shared" si="52"/>
        <v>16.757200000000001</v>
      </c>
      <c r="AE301">
        <f t="shared" si="53"/>
        <v>5.1062204696000002</v>
      </c>
      <c r="AF301" s="9"/>
      <c r="AG301" s="22">
        <v>1.3653599999999999</v>
      </c>
      <c r="AH301" s="22">
        <v>260.65800000000002</v>
      </c>
      <c r="AI301" s="22">
        <v>-1.5118400000000001E-2</v>
      </c>
      <c r="AJ301" s="22">
        <v>291</v>
      </c>
      <c r="AK301" s="22">
        <v>1.3641399999999999</v>
      </c>
      <c r="AL301">
        <f t="shared" si="54"/>
        <v>15.118400000000001</v>
      </c>
      <c r="AM301">
        <f t="shared" si="55"/>
        <v>20.642058624000001</v>
      </c>
      <c r="AP301" s="9"/>
      <c r="AQ301" s="22">
        <v>0.30471799999999999</v>
      </c>
      <c r="AR301" s="22">
        <v>339.512</v>
      </c>
      <c r="AS301" s="22">
        <v>-1.6720599999999999E-2</v>
      </c>
      <c r="AT301" s="22">
        <v>291</v>
      </c>
      <c r="AU301" s="22">
        <v>0.30395499999999998</v>
      </c>
      <c r="AV301">
        <f t="shared" si="56"/>
        <v>16.720599999999997</v>
      </c>
      <c r="AW301">
        <f t="shared" si="57"/>
        <v>5.0950677907999991</v>
      </c>
      <c r="AX301" s="9"/>
      <c r="AY301" s="22">
        <v>1.3653599999999999</v>
      </c>
      <c r="AZ301" s="22">
        <v>397.82299999999998</v>
      </c>
      <c r="BA301" s="22">
        <v>-1.5081799999999999E-2</v>
      </c>
      <c r="BB301" s="22">
        <v>291</v>
      </c>
      <c r="BC301" s="22">
        <v>1.3644400000000001</v>
      </c>
      <c r="BD301">
        <f t="shared" si="58"/>
        <v>15.081799999999999</v>
      </c>
      <c r="BE301">
        <f t="shared" si="59"/>
        <v>20.592086447999996</v>
      </c>
    </row>
    <row r="302" spans="6:57">
      <c r="F302" s="9"/>
      <c r="G302" s="22">
        <v>0.29968299999999998</v>
      </c>
      <c r="H302" s="22">
        <v>68.774299999999997</v>
      </c>
      <c r="I302" s="22">
        <v>-1.6778600000000001E-2</v>
      </c>
      <c r="J302" s="22">
        <v>292</v>
      </c>
      <c r="K302" s="22">
        <v>0.29885899999999999</v>
      </c>
      <c r="L302">
        <f t="shared" si="48"/>
        <v>16.778600000000001</v>
      </c>
      <c r="M302">
        <f t="shared" si="49"/>
        <v>5.0282611837999998</v>
      </c>
      <c r="N302" s="9"/>
      <c r="O302" s="22">
        <v>1.37039</v>
      </c>
      <c r="P302" s="22">
        <v>133.096</v>
      </c>
      <c r="Q302" s="22">
        <v>-1.53778E-2</v>
      </c>
      <c r="R302" s="22">
        <v>292</v>
      </c>
      <c r="S302" s="22">
        <v>1.3696299999999999</v>
      </c>
      <c r="T302">
        <f t="shared" si="50"/>
        <v>15.377800000000001</v>
      </c>
      <c r="U302">
        <f t="shared" si="51"/>
        <v>21.073583341999999</v>
      </c>
      <c r="X302" s="9"/>
      <c r="Y302" s="22">
        <v>0.29968299999999998</v>
      </c>
      <c r="Z302" s="22">
        <v>203.22900000000001</v>
      </c>
      <c r="AA302" s="22">
        <v>-1.6751100000000001E-2</v>
      </c>
      <c r="AB302" s="22">
        <v>292</v>
      </c>
      <c r="AC302" s="22">
        <v>0.29901100000000003</v>
      </c>
      <c r="AD302">
        <f t="shared" si="52"/>
        <v>16.751100000000001</v>
      </c>
      <c r="AE302">
        <f t="shared" si="53"/>
        <v>5.0200199012999995</v>
      </c>
      <c r="AF302" s="9"/>
      <c r="AG302" s="22">
        <v>1.37039</v>
      </c>
      <c r="AH302" s="22">
        <v>260.75799999999998</v>
      </c>
      <c r="AI302" s="22">
        <v>-1.50452E-2</v>
      </c>
      <c r="AJ302" s="22">
        <v>292</v>
      </c>
      <c r="AK302" s="22">
        <v>1.3699300000000001</v>
      </c>
      <c r="AL302">
        <f t="shared" si="54"/>
        <v>15.045199999999999</v>
      </c>
      <c r="AM302">
        <f t="shared" si="55"/>
        <v>20.617791627999999</v>
      </c>
      <c r="AP302" s="9"/>
      <c r="AQ302" s="22">
        <v>0.29968299999999998</v>
      </c>
      <c r="AR302" s="22">
        <v>339.613</v>
      </c>
      <c r="AS302" s="22">
        <v>-1.6732799999999999E-2</v>
      </c>
      <c r="AT302" s="22">
        <v>292</v>
      </c>
      <c r="AU302" s="22">
        <v>0.29901100000000003</v>
      </c>
      <c r="AV302">
        <f t="shared" si="56"/>
        <v>16.732799999999997</v>
      </c>
      <c r="AW302">
        <f t="shared" si="57"/>
        <v>5.014535702399999</v>
      </c>
      <c r="AX302" s="9"/>
      <c r="AY302" s="22">
        <v>1.37039</v>
      </c>
      <c r="AZ302" s="22">
        <v>397.92399999999998</v>
      </c>
      <c r="BA302" s="22">
        <v>-1.5069600000000001E-2</v>
      </c>
      <c r="BB302" s="22">
        <v>292</v>
      </c>
      <c r="BC302" s="22">
        <v>1.3696299999999999</v>
      </c>
      <c r="BD302">
        <f t="shared" si="58"/>
        <v>15.069600000000001</v>
      </c>
      <c r="BE302">
        <f t="shared" si="59"/>
        <v>20.651229144000002</v>
      </c>
    </row>
    <row r="303" spans="6:57">
      <c r="F303" s="9"/>
      <c r="G303" s="22">
        <v>0.29464699999999999</v>
      </c>
      <c r="H303" s="22">
        <v>68.875</v>
      </c>
      <c r="I303" s="22">
        <v>-1.6775499999999999E-2</v>
      </c>
      <c r="J303" s="22">
        <v>293</v>
      </c>
      <c r="K303" s="22">
        <v>0.29394500000000001</v>
      </c>
      <c r="L303">
        <f t="shared" si="48"/>
        <v>16.775499999999997</v>
      </c>
      <c r="M303">
        <f t="shared" si="49"/>
        <v>4.9428507484999988</v>
      </c>
      <c r="N303" s="9"/>
      <c r="O303" s="22">
        <v>1.3754299999999999</v>
      </c>
      <c r="P303" s="22">
        <v>133.197</v>
      </c>
      <c r="Q303" s="22">
        <v>-1.5356399999999999E-2</v>
      </c>
      <c r="R303" s="22">
        <v>293</v>
      </c>
      <c r="S303" s="22">
        <v>1.3748199999999999</v>
      </c>
      <c r="T303">
        <f t="shared" si="50"/>
        <v>15.356399999999999</v>
      </c>
      <c r="U303">
        <f t="shared" si="51"/>
        <v>21.121653251999998</v>
      </c>
      <c r="X303" s="9"/>
      <c r="Y303" s="22">
        <v>0.29464699999999999</v>
      </c>
      <c r="Z303" s="22">
        <v>203.33</v>
      </c>
      <c r="AA303" s="22">
        <v>-1.67572E-2</v>
      </c>
      <c r="AB303" s="22">
        <v>293</v>
      </c>
      <c r="AC303" s="22">
        <v>0.29400599999999999</v>
      </c>
      <c r="AD303">
        <f t="shared" si="52"/>
        <v>16.757200000000001</v>
      </c>
      <c r="AE303">
        <f t="shared" si="53"/>
        <v>4.9374587084000003</v>
      </c>
      <c r="AF303" s="9"/>
      <c r="AG303" s="22">
        <v>1.3754299999999999</v>
      </c>
      <c r="AH303" s="22">
        <v>260.85899999999998</v>
      </c>
      <c r="AI303" s="22">
        <v>-1.5032999999999999E-2</v>
      </c>
      <c r="AJ303" s="22">
        <v>293</v>
      </c>
      <c r="AK303" s="22">
        <v>1.3748199999999999</v>
      </c>
      <c r="AL303">
        <f t="shared" si="54"/>
        <v>15.032999999999999</v>
      </c>
      <c r="AM303">
        <f t="shared" si="55"/>
        <v>20.676839189999999</v>
      </c>
      <c r="AP303" s="9"/>
      <c r="AQ303" s="22">
        <v>0.29464699999999999</v>
      </c>
      <c r="AR303" s="22">
        <v>339.71300000000002</v>
      </c>
      <c r="AS303" s="22">
        <v>-1.6726700000000001E-2</v>
      </c>
      <c r="AT303" s="22">
        <v>293</v>
      </c>
      <c r="AU303" s="22">
        <v>0.29406700000000002</v>
      </c>
      <c r="AV303">
        <f t="shared" si="56"/>
        <v>16.726700000000001</v>
      </c>
      <c r="AW303">
        <f t="shared" si="57"/>
        <v>4.9284719748999999</v>
      </c>
      <c r="AX303" s="9"/>
      <c r="AY303" s="22">
        <v>1.3754299999999999</v>
      </c>
      <c r="AZ303" s="22">
        <v>398.024</v>
      </c>
      <c r="BA303" s="22">
        <v>-1.5029900000000001E-2</v>
      </c>
      <c r="BB303" s="22">
        <v>293</v>
      </c>
      <c r="BC303" s="22">
        <v>1.3748199999999999</v>
      </c>
      <c r="BD303">
        <f t="shared" si="58"/>
        <v>15.029900000000001</v>
      </c>
      <c r="BE303">
        <f t="shared" si="59"/>
        <v>20.672575356999999</v>
      </c>
    </row>
    <row r="304" spans="6:57">
      <c r="F304" s="9"/>
      <c r="G304" s="22">
        <v>0.28961199999999998</v>
      </c>
      <c r="H304" s="22">
        <v>68.975700000000003</v>
      </c>
      <c r="I304" s="22">
        <v>-1.6793800000000001E-2</v>
      </c>
      <c r="J304" s="22">
        <v>294</v>
      </c>
      <c r="K304" s="22">
        <v>0.288605</v>
      </c>
      <c r="L304">
        <f t="shared" si="48"/>
        <v>16.793800000000001</v>
      </c>
      <c r="M304">
        <f t="shared" si="49"/>
        <v>4.8636860056</v>
      </c>
      <c r="N304" s="9"/>
      <c r="O304" s="22">
        <v>1.38046</v>
      </c>
      <c r="P304" s="22">
        <v>133.298</v>
      </c>
      <c r="Q304" s="22">
        <v>-1.53381E-2</v>
      </c>
      <c r="R304" s="22">
        <v>294</v>
      </c>
      <c r="S304" s="22">
        <v>1.3790899999999999</v>
      </c>
      <c r="T304">
        <f t="shared" si="50"/>
        <v>15.338100000000001</v>
      </c>
      <c r="U304">
        <f t="shared" si="51"/>
        <v>21.173633526</v>
      </c>
      <c r="X304" s="9"/>
      <c r="Y304" s="22">
        <v>0.28961199999999998</v>
      </c>
      <c r="Z304" s="22">
        <v>203.43100000000001</v>
      </c>
      <c r="AA304" s="22">
        <v>-1.67572E-2</v>
      </c>
      <c r="AB304" s="22">
        <v>294</v>
      </c>
      <c r="AC304" s="22">
        <v>0.28875699999999999</v>
      </c>
      <c r="AD304">
        <f t="shared" si="52"/>
        <v>16.757200000000001</v>
      </c>
      <c r="AE304">
        <f t="shared" si="53"/>
        <v>4.8530862063999995</v>
      </c>
      <c r="AF304" s="9"/>
      <c r="AG304" s="22">
        <v>1.38046</v>
      </c>
      <c r="AH304" s="22">
        <v>260.95999999999998</v>
      </c>
      <c r="AI304" s="22">
        <v>-1.5036000000000001E-2</v>
      </c>
      <c r="AJ304" s="22">
        <v>294</v>
      </c>
      <c r="AK304" s="22">
        <v>1.3796999999999999</v>
      </c>
      <c r="AL304">
        <f t="shared" si="54"/>
        <v>15.036000000000001</v>
      </c>
      <c r="AM304">
        <f t="shared" si="55"/>
        <v>20.756596560000002</v>
      </c>
      <c r="AP304" s="9"/>
      <c r="AQ304" s="22">
        <v>0.28961199999999998</v>
      </c>
      <c r="AR304" s="22">
        <v>339.81400000000002</v>
      </c>
      <c r="AS304" s="22">
        <v>-1.6738900000000001E-2</v>
      </c>
      <c r="AT304" s="22">
        <v>294</v>
      </c>
      <c r="AU304" s="22">
        <v>0.28900100000000001</v>
      </c>
      <c r="AV304">
        <f t="shared" si="56"/>
        <v>16.738900000000001</v>
      </c>
      <c r="AW304">
        <f t="shared" si="57"/>
        <v>4.8477863067999998</v>
      </c>
      <c r="AX304" s="9"/>
      <c r="AY304" s="22">
        <v>1.38046</v>
      </c>
      <c r="AZ304" s="22">
        <v>398.125</v>
      </c>
      <c r="BA304" s="22">
        <v>-1.50055E-2</v>
      </c>
      <c r="BB304" s="22">
        <v>294</v>
      </c>
      <c r="BC304" s="22">
        <v>1.3793899999999999</v>
      </c>
      <c r="BD304">
        <f t="shared" si="58"/>
        <v>15.0055</v>
      </c>
      <c r="BE304">
        <f t="shared" si="59"/>
        <v>20.714492530000001</v>
      </c>
    </row>
    <row r="305" spans="6:57">
      <c r="F305" s="9"/>
      <c r="G305" s="22">
        <v>0.284576</v>
      </c>
      <c r="H305" s="22">
        <v>69.076499999999996</v>
      </c>
      <c r="I305" s="22">
        <v>-1.6775499999999999E-2</v>
      </c>
      <c r="J305" s="22">
        <v>295</v>
      </c>
      <c r="K305" s="22">
        <v>0.28387499999999999</v>
      </c>
      <c r="L305">
        <f t="shared" si="48"/>
        <v>16.775499999999997</v>
      </c>
      <c r="M305">
        <f t="shared" si="49"/>
        <v>4.7739046879999991</v>
      </c>
      <c r="N305" s="9"/>
      <c r="O305" s="22">
        <v>1.3855</v>
      </c>
      <c r="P305" s="22">
        <v>133.398</v>
      </c>
      <c r="Q305" s="22">
        <v>-1.5261800000000001E-2</v>
      </c>
      <c r="R305" s="22">
        <v>295</v>
      </c>
      <c r="S305" s="22">
        <v>1.38489</v>
      </c>
      <c r="T305">
        <f t="shared" si="50"/>
        <v>15.261800000000001</v>
      </c>
      <c r="U305">
        <f t="shared" si="51"/>
        <v>21.145223900000001</v>
      </c>
      <c r="X305" s="9"/>
      <c r="Y305" s="22">
        <v>0.284576</v>
      </c>
      <c r="Z305" s="22">
        <v>203.53200000000001</v>
      </c>
      <c r="AA305" s="22">
        <v>-1.67572E-2</v>
      </c>
      <c r="AB305" s="22">
        <v>295</v>
      </c>
      <c r="AC305" s="22">
        <v>0.28384399999999999</v>
      </c>
      <c r="AD305">
        <f t="shared" si="52"/>
        <v>16.757200000000001</v>
      </c>
      <c r="AE305">
        <f t="shared" si="53"/>
        <v>4.7686969472000005</v>
      </c>
      <c r="AF305" s="9"/>
      <c r="AG305" s="22">
        <v>1.3855</v>
      </c>
      <c r="AH305" s="22">
        <v>261.06</v>
      </c>
      <c r="AI305" s="22">
        <v>-1.49994E-2</v>
      </c>
      <c r="AJ305" s="22">
        <v>295</v>
      </c>
      <c r="AK305" s="22">
        <v>1.3845799999999999</v>
      </c>
      <c r="AL305">
        <f t="shared" si="54"/>
        <v>14.9994</v>
      </c>
      <c r="AM305">
        <f t="shared" si="55"/>
        <v>20.781668699999997</v>
      </c>
      <c r="AP305" s="9"/>
      <c r="AQ305" s="22">
        <v>0.284576</v>
      </c>
      <c r="AR305" s="22">
        <v>339.91500000000002</v>
      </c>
      <c r="AS305" s="22">
        <v>-1.6744999999999999E-2</v>
      </c>
      <c r="AT305" s="22">
        <v>295</v>
      </c>
      <c r="AU305" s="22">
        <v>0.28390500000000002</v>
      </c>
      <c r="AV305">
        <f t="shared" si="56"/>
        <v>16.745000000000001</v>
      </c>
      <c r="AW305">
        <f t="shared" si="57"/>
        <v>4.7652251200000002</v>
      </c>
      <c r="AX305" s="9"/>
      <c r="AY305" s="22">
        <v>1.3855</v>
      </c>
      <c r="AZ305" s="22">
        <v>398.226</v>
      </c>
      <c r="BA305" s="22">
        <v>-1.49689E-2</v>
      </c>
      <c r="BB305" s="22">
        <v>295</v>
      </c>
      <c r="BC305" s="22">
        <v>1.38428</v>
      </c>
      <c r="BD305">
        <f t="shared" si="58"/>
        <v>14.9689</v>
      </c>
      <c r="BE305">
        <f t="shared" si="59"/>
        <v>20.73941095</v>
      </c>
    </row>
    <row r="306" spans="6:57">
      <c r="F306" s="9"/>
      <c r="G306" s="22">
        <v>0.27954099999999998</v>
      </c>
      <c r="H306" s="22">
        <v>69.177199999999999</v>
      </c>
      <c r="I306" s="22">
        <v>-1.6787699999999999E-2</v>
      </c>
      <c r="J306" s="22">
        <v>296</v>
      </c>
      <c r="K306" s="22">
        <v>0.27877800000000003</v>
      </c>
      <c r="L306">
        <f t="shared" si="48"/>
        <v>16.787699999999997</v>
      </c>
      <c r="M306">
        <f t="shared" si="49"/>
        <v>4.6928504456999987</v>
      </c>
      <c r="N306" s="9"/>
      <c r="O306" s="22">
        <v>1.39053</v>
      </c>
      <c r="P306" s="22">
        <v>133.499</v>
      </c>
      <c r="Q306" s="22">
        <v>-1.5246600000000001E-2</v>
      </c>
      <c r="R306" s="22">
        <v>296</v>
      </c>
      <c r="S306" s="22">
        <v>1.38947</v>
      </c>
      <c r="T306">
        <f t="shared" si="50"/>
        <v>15.246600000000001</v>
      </c>
      <c r="U306">
        <f t="shared" si="51"/>
        <v>21.200854698000001</v>
      </c>
      <c r="X306" s="9"/>
      <c r="Y306" s="22">
        <v>0.27954099999999998</v>
      </c>
      <c r="Z306" s="22">
        <v>203.63200000000001</v>
      </c>
      <c r="AA306" s="22">
        <v>-1.6766400000000001E-2</v>
      </c>
      <c r="AB306" s="22">
        <v>296</v>
      </c>
      <c r="AC306" s="22">
        <v>0.278839</v>
      </c>
      <c r="AD306">
        <f t="shared" si="52"/>
        <v>16.766400000000001</v>
      </c>
      <c r="AE306">
        <f t="shared" si="53"/>
        <v>4.6868962223999997</v>
      </c>
      <c r="AF306" s="9"/>
      <c r="AG306" s="22">
        <v>1.39053</v>
      </c>
      <c r="AH306" s="22">
        <v>261.161</v>
      </c>
      <c r="AI306" s="22">
        <v>-1.5008499999999999E-2</v>
      </c>
      <c r="AJ306" s="22">
        <v>296</v>
      </c>
      <c r="AK306" s="22">
        <v>1.3897699999999999</v>
      </c>
      <c r="AL306">
        <f t="shared" si="54"/>
        <v>15.0085</v>
      </c>
      <c r="AM306">
        <f t="shared" si="55"/>
        <v>20.869769505000001</v>
      </c>
      <c r="AP306" s="9"/>
      <c r="AQ306" s="22">
        <v>0.27954099999999998</v>
      </c>
      <c r="AR306" s="22">
        <v>340.01499999999999</v>
      </c>
      <c r="AS306" s="22">
        <v>-1.67297E-2</v>
      </c>
      <c r="AT306" s="22">
        <v>296</v>
      </c>
      <c r="AU306" s="22">
        <v>0.27887000000000001</v>
      </c>
      <c r="AV306">
        <f t="shared" si="56"/>
        <v>16.729700000000001</v>
      </c>
      <c r="AW306">
        <f t="shared" si="57"/>
        <v>4.6766370676999998</v>
      </c>
      <c r="AX306" s="9"/>
      <c r="AY306" s="22">
        <v>1.39053</v>
      </c>
      <c r="AZ306" s="22">
        <v>398.32600000000002</v>
      </c>
      <c r="BA306" s="22">
        <v>-1.49292E-2</v>
      </c>
      <c r="BB306" s="22">
        <v>296</v>
      </c>
      <c r="BC306" s="22">
        <v>1.38947</v>
      </c>
      <c r="BD306">
        <f t="shared" si="58"/>
        <v>14.9292</v>
      </c>
      <c r="BE306">
        <f t="shared" si="59"/>
        <v>20.759500475999999</v>
      </c>
    </row>
    <row r="307" spans="6:57">
      <c r="F307" s="9"/>
      <c r="G307" s="22">
        <v>0.27450600000000003</v>
      </c>
      <c r="H307" s="22">
        <v>69.277900000000002</v>
      </c>
      <c r="I307" s="22">
        <v>-1.6790800000000002E-2</v>
      </c>
      <c r="J307" s="22">
        <v>297</v>
      </c>
      <c r="K307" s="22">
        <v>0.27368199999999998</v>
      </c>
      <c r="L307">
        <f t="shared" si="48"/>
        <v>16.790800000000001</v>
      </c>
      <c r="M307">
        <f t="shared" si="49"/>
        <v>4.6091753448000006</v>
      </c>
      <c r="N307" s="9"/>
      <c r="O307" s="22">
        <v>1.39557</v>
      </c>
      <c r="P307" s="22">
        <v>133.6</v>
      </c>
      <c r="Q307" s="22">
        <v>-1.5225199999999999E-2</v>
      </c>
      <c r="R307" s="22">
        <v>297</v>
      </c>
      <c r="S307" s="22">
        <v>1.3946499999999999</v>
      </c>
      <c r="T307">
        <f t="shared" si="50"/>
        <v>15.225199999999999</v>
      </c>
      <c r="U307">
        <f t="shared" si="51"/>
        <v>21.247832363999997</v>
      </c>
      <c r="X307" s="9"/>
      <c r="Y307" s="22">
        <v>0.27450600000000003</v>
      </c>
      <c r="Z307" s="22">
        <v>203.733</v>
      </c>
      <c r="AA307" s="22">
        <v>-1.6766400000000001E-2</v>
      </c>
      <c r="AB307" s="22">
        <v>297</v>
      </c>
      <c r="AC307" s="22">
        <v>0.27374300000000001</v>
      </c>
      <c r="AD307">
        <f t="shared" si="52"/>
        <v>16.766400000000001</v>
      </c>
      <c r="AE307">
        <f t="shared" si="53"/>
        <v>4.6024773984000005</v>
      </c>
      <c r="AF307" s="9"/>
      <c r="AG307" s="22">
        <v>1.39557</v>
      </c>
      <c r="AH307" s="22">
        <v>261.262</v>
      </c>
      <c r="AI307" s="22">
        <v>-1.4987199999999999E-2</v>
      </c>
      <c r="AJ307" s="22">
        <v>297</v>
      </c>
      <c r="AK307" s="22">
        <v>1.39435</v>
      </c>
      <c r="AL307">
        <f t="shared" si="54"/>
        <v>14.9872</v>
      </c>
      <c r="AM307">
        <f t="shared" si="55"/>
        <v>20.915686703999999</v>
      </c>
      <c r="AP307" s="9"/>
      <c r="AQ307" s="22">
        <v>0.27450600000000003</v>
      </c>
      <c r="AR307" s="22">
        <v>340.11599999999999</v>
      </c>
      <c r="AS307" s="22">
        <v>-1.6732799999999999E-2</v>
      </c>
      <c r="AT307" s="22">
        <v>297</v>
      </c>
      <c r="AU307" s="22">
        <v>0.27365099999999998</v>
      </c>
      <c r="AV307">
        <f t="shared" si="56"/>
        <v>16.732799999999997</v>
      </c>
      <c r="AW307">
        <f t="shared" si="57"/>
        <v>4.5932539967999997</v>
      </c>
      <c r="AX307" s="9"/>
      <c r="AY307" s="22">
        <v>1.39557</v>
      </c>
      <c r="AZ307" s="22">
        <v>398.42700000000002</v>
      </c>
      <c r="BA307" s="22">
        <v>-1.4904799999999999E-2</v>
      </c>
      <c r="BB307" s="22">
        <v>297</v>
      </c>
      <c r="BC307" s="22">
        <v>1.39435</v>
      </c>
      <c r="BD307">
        <f t="shared" si="58"/>
        <v>14.9048</v>
      </c>
      <c r="BE307">
        <f t="shared" si="59"/>
        <v>20.800691736000001</v>
      </c>
    </row>
    <row r="308" spans="6:57">
      <c r="F308" s="9"/>
      <c r="G308" s="22">
        <v>0.26946999999999999</v>
      </c>
      <c r="H308" s="22">
        <v>69.378600000000006</v>
      </c>
      <c r="I308" s="22">
        <v>-1.67847E-2</v>
      </c>
      <c r="J308" s="22">
        <v>298</v>
      </c>
      <c r="K308" s="22">
        <v>0.26858500000000002</v>
      </c>
      <c r="L308">
        <f t="shared" si="48"/>
        <v>16.784700000000001</v>
      </c>
      <c r="M308">
        <f t="shared" si="49"/>
        <v>4.5229731089999996</v>
      </c>
      <c r="N308" s="9"/>
      <c r="O308" s="22">
        <v>1.4006000000000001</v>
      </c>
      <c r="P308" s="22">
        <v>133.70099999999999</v>
      </c>
      <c r="Q308" s="22">
        <v>-1.51947E-2</v>
      </c>
      <c r="R308" s="22">
        <v>298</v>
      </c>
      <c r="S308" s="22">
        <v>1.39984</v>
      </c>
      <c r="T308">
        <f t="shared" si="50"/>
        <v>15.194700000000001</v>
      </c>
      <c r="U308">
        <f t="shared" si="51"/>
        <v>21.281696820000004</v>
      </c>
      <c r="X308" s="9"/>
      <c r="Y308" s="22">
        <v>0.26946999999999999</v>
      </c>
      <c r="Z308" s="22">
        <v>203.834</v>
      </c>
      <c r="AA308" s="22">
        <v>-1.67694E-2</v>
      </c>
      <c r="AB308" s="22">
        <v>298</v>
      </c>
      <c r="AC308" s="22">
        <v>0.26876800000000001</v>
      </c>
      <c r="AD308">
        <f t="shared" si="52"/>
        <v>16.769400000000001</v>
      </c>
      <c r="AE308">
        <f t="shared" si="53"/>
        <v>4.5188502179999999</v>
      </c>
      <c r="AF308" s="9"/>
      <c r="AG308" s="22">
        <v>1.4006000000000001</v>
      </c>
      <c r="AH308" s="22">
        <v>261.363</v>
      </c>
      <c r="AI308" s="22">
        <v>-1.49719E-2</v>
      </c>
      <c r="AJ308" s="22">
        <v>298</v>
      </c>
      <c r="AK308" s="22">
        <v>1.39954</v>
      </c>
      <c r="AL308">
        <f t="shared" si="54"/>
        <v>14.9719</v>
      </c>
      <c r="AM308">
        <f t="shared" si="55"/>
        <v>20.969643140000002</v>
      </c>
      <c r="AP308" s="9"/>
      <c r="AQ308" s="22">
        <v>0.26946999999999999</v>
      </c>
      <c r="AR308" s="22">
        <v>340.21699999999998</v>
      </c>
      <c r="AS308" s="22">
        <v>-1.6738900000000001E-2</v>
      </c>
      <c r="AT308" s="22">
        <v>298</v>
      </c>
      <c r="AU308" s="22">
        <v>0.26882899999999998</v>
      </c>
      <c r="AV308">
        <f t="shared" si="56"/>
        <v>16.738900000000001</v>
      </c>
      <c r="AW308">
        <f t="shared" si="57"/>
        <v>4.5106313829999998</v>
      </c>
      <c r="AX308" s="9"/>
      <c r="AY308" s="22">
        <v>1.4006000000000001</v>
      </c>
      <c r="AZ308" s="22">
        <v>398.52800000000002</v>
      </c>
      <c r="BA308" s="22">
        <v>-1.4904799999999999E-2</v>
      </c>
      <c r="BB308" s="22">
        <v>298</v>
      </c>
      <c r="BC308" s="22">
        <v>1.39984</v>
      </c>
      <c r="BD308">
        <f t="shared" si="58"/>
        <v>14.9048</v>
      </c>
      <c r="BE308">
        <f t="shared" si="59"/>
        <v>20.87566288</v>
      </c>
    </row>
    <row r="309" spans="6:57">
      <c r="F309" s="9"/>
      <c r="G309" s="22">
        <v>0.26443499999999998</v>
      </c>
      <c r="H309" s="22">
        <v>69.479299999999995</v>
      </c>
      <c r="I309" s="22">
        <v>-1.6815199999999999E-2</v>
      </c>
      <c r="J309" s="22">
        <v>299</v>
      </c>
      <c r="K309" s="22">
        <v>0.26367200000000002</v>
      </c>
      <c r="L309">
        <f t="shared" si="48"/>
        <v>16.815199999999997</v>
      </c>
      <c r="M309">
        <f t="shared" si="49"/>
        <v>4.4465274119999991</v>
      </c>
      <c r="N309" s="9"/>
      <c r="O309" s="22">
        <v>1.40564</v>
      </c>
      <c r="P309" s="22">
        <v>133.80099999999999</v>
      </c>
      <c r="Q309" s="22">
        <v>-1.5158100000000001E-2</v>
      </c>
      <c r="R309" s="22">
        <v>299</v>
      </c>
      <c r="S309" s="22">
        <v>1.40533</v>
      </c>
      <c r="T309">
        <f t="shared" si="50"/>
        <v>15.158100000000001</v>
      </c>
      <c r="U309">
        <f t="shared" si="51"/>
        <v>21.306831684000002</v>
      </c>
      <c r="X309" s="9"/>
      <c r="Y309" s="22">
        <v>0.26443499999999998</v>
      </c>
      <c r="Z309" s="22">
        <v>203.934</v>
      </c>
      <c r="AA309" s="22">
        <v>-1.6781600000000001E-2</v>
      </c>
      <c r="AB309" s="22">
        <v>299</v>
      </c>
      <c r="AC309" s="22">
        <v>0.263824</v>
      </c>
      <c r="AD309">
        <f t="shared" si="52"/>
        <v>16.781600000000001</v>
      </c>
      <c r="AE309">
        <f t="shared" si="53"/>
        <v>4.4376423960000002</v>
      </c>
      <c r="AF309" s="9"/>
      <c r="AG309" s="22">
        <v>1.40564</v>
      </c>
      <c r="AH309" s="22">
        <v>261.46300000000002</v>
      </c>
      <c r="AI309" s="22">
        <v>-1.49353E-2</v>
      </c>
      <c r="AJ309" s="22">
        <v>299</v>
      </c>
      <c r="AK309" s="22">
        <v>1.40442</v>
      </c>
      <c r="AL309">
        <f t="shared" si="54"/>
        <v>14.9353</v>
      </c>
      <c r="AM309">
        <f t="shared" si="55"/>
        <v>20.993655092000001</v>
      </c>
      <c r="AP309" s="9"/>
      <c r="AQ309" s="22">
        <v>0.26443499999999998</v>
      </c>
      <c r="AR309" s="22">
        <v>340.31799999999998</v>
      </c>
      <c r="AS309" s="22">
        <v>-1.6744999999999999E-2</v>
      </c>
      <c r="AT309" s="22">
        <v>299</v>
      </c>
      <c r="AU309" s="22">
        <v>0.26364100000000001</v>
      </c>
      <c r="AV309">
        <f t="shared" si="56"/>
        <v>16.745000000000001</v>
      </c>
      <c r="AW309">
        <f t="shared" si="57"/>
        <v>4.4279640750000002</v>
      </c>
      <c r="AX309" s="9"/>
      <c r="AY309" s="22">
        <v>1.40564</v>
      </c>
      <c r="AZ309" s="22">
        <v>398.62900000000002</v>
      </c>
      <c r="BA309" s="22">
        <v>-1.48895E-2</v>
      </c>
      <c r="BB309" s="22">
        <v>299</v>
      </c>
      <c r="BC309" s="22">
        <v>1.40472</v>
      </c>
      <c r="BD309">
        <f t="shared" si="58"/>
        <v>14.8895</v>
      </c>
      <c r="BE309">
        <f t="shared" si="59"/>
        <v>20.929276779999999</v>
      </c>
    </row>
    <row r="310" spans="6:57">
      <c r="F310" s="9"/>
      <c r="G310" s="22">
        <v>0.25939899999999999</v>
      </c>
      <c r="H310" s="22">
        <v>69.58</v>
      </c>
      <c r="I310" s="22">
        <v>-1.6821300000000001E-2</v>
      </c>
      <c r="J310" s="22">
        <v>300</v>
      </c>
      <c r="K310" s="22">
        <v>0.25851400000000002</v>
      </c>
      <c r="L310">
        <f t="shared" si="48"/>
        <v>16.821300000000001</v>
      </c>
      <c r="M310">
        <f t="shared" si="49"/>
        <v>4.3634283987</v>
      </c>
      <c r="N310" s="9"/>
      <c r="O310" s="22">
        <v>1.4106799999999999</v>
      </c>
      <c r="P310" s="22">
        <v>133.90199999999999</v>
      </c>
      <c r="Q310" s="22">
        <v>-1.5124500000000001E-2</v>
      </c>
      <c r="R310" s="22">
        <v>300</v>
      </c>
      <c r="S310" s="22">
        <v>1.40991</v>
      </c>
      <c r="T310">
        <f t="shared" si="50"/>
        <v>15.124500000000001</v>
      </c>
      <c r="U310">
        <f t="shared" si="51"/>
        <v>21.335829660000002</v>
      </c>
      <c r="X310" s="9"/>
      <c r="Y310" s="22">
        <v>0.25939899999999999</v>
      </c>
      <c r="Z310" s="22">
        <v>204.035</v>
      </c>
      <c r="AA310" s="22">
        <v>-1.6775499999999999E-2</v>
      </c>
      <c r="AB310" s="22">
        <v>300</v>
      </c>
      <c r="AC310" s="22">
        <v>0.25869799999999998</v>
      </c>
      <c r="AD310">
        <f t="shared" si="52"/>
        <v>16.775499999999997</v>
      </c>
      <c r="AE310">
        <f t="shared" si="53"/>
        <v>4.3515479244999993</v>
      </c>
      <c r="AF310" s="9"/>
      <c r="AG310" s="22">
        <v>1.4106799999999999</v>
      </c>
      <c r="AH310" s="22">
        <v>261.56400000000002</v>
      </c>
      <c r="AI310" s="22">
        <v>-1.4822399999999999E-2</v>
      </c>
      <c r="AJ310" s="22">
        <v>300</v>
      </c>
      <c r="AK310" s="22">
        <v>1.40961</v>
      </c>
      <c r="AL310">
        <f t="shared" si="54"/>
        <v>14.8224</v>
      </c>
      <c r="AM310">
        <f t="shared" si="55"/>
        <v>20.909663232</v>
      </c>
      <c r="AP310" s="9"/>
      <c r="AQ310" s="22">
        <v>0.25939899999999999</v>
      </c>
      <c r="AR310" s="22">
        <v>340.41800000000001</v>
      </c>
      <c r="AS310" s="22">
        <v>-1.6738900000000001E-2</v>
      </c>
      <c r="AT310" s="22">
        <v>300</v>
      </c>
      <c r="AU310" s="22">
        <v>0.25869799999999998</v>
      </c>
      <c r="AV310">
        <f t="shared" si="56"/>
        <v>16.738900000000001</v>
      </c>
      <c r="AW310">
        <f t="shared" si="57"/>
        <v>4.3420539210999998</v>
      </c>
      <c r="AX310" s="9"/>
      <c r="AY310" s="22">
        <v>1.4106799999999999</v>
      </c>
      <c r="AZ310" s="22">
        <v>398.72899999999998</v>
      </c>
      <c r="BA310" s="22">
        <v>-1.4837599999999999E-2</v>
      </c>
      <c r="BB310" s="22">
        <v>300</v>
      </c>
      <c r="BC310" s="22">
        <v>1.40961</v>
      </c>
      <c r="BD310">
        <f t="shared" si="58"/>
        <v>14.8376</v>
      </c>
      <c r="BE310">
        <f t="shared" si="59"/>
        <v>20.931105568</v>
      </c>
    </row>
    <row r="311" spans="6:57">
      <c r="F311" s="9"/>
      <c r="G311" s="22">
        <v>0.25436399999999998</v>
      </c>
      <c r="H311" s="22">
        <v>69.680700000000002</v>
      </c>
      <c r="I311" s="22">
        <v>-1.6818199999999998E-2</v>
      </c>
      <c r="J311" s="22">
        <v>301</v>
      </c>
      <c r="K311" s="22">
        <v>0.25363200000000002</v>
      </c>
      <c r="L311">
        <f t="shared" si="48"/>
        <v>16.818199999999997</v>
      </c>
      <c r="M311">
        <f t="shared" si="49"/>
        <v>4.277944624799999</v>
      </c>
      <c r="N311" s="9"/>
      <c r="O311" s="22">
        <v>1.41571</v>
      </c>
      <c r="P311" s="22">
        <v>134.00299999999999</v>
      </c>
      <c r="Q311" s="22">
        <v>-1.5081799999999999E-2</v>
      </c>
      <c r="R311" s="22">
        <v>301</v>
      </c>
      <c r="S311" s="22">
        <v>1.41479</v>
      </c>
      <c r="T311">
        <f t="shared" si="50"/>
        <v>15.081799999999999</v>
      </c>
      <c r="U311">
        <f t="shared" si="51"/>
        <v>21.351455078000001</v>
      </c>
      <c r="X311" s="9"/>
      <c r="Y311" s="22">
        <v>0.25436399999999998</v>
      </c>
      <c r="Z311" s="22">
        <v>204.136</v>
      </c>
      <c r="AA311" s="22">
        <v>-1.6775499999999999E-2</v>
      </c>
      <c r="AB311" s="22">
        <v>301</v>
      </c>
      <c r="AC311" s="22">
        <v>0.253662</v>
      </c>
      <c r="AD311">
        <f t="shared" si="52"/>
        <v>16.775499999999997</v>
      </c>
      <c r="AE311">
        <f t="shared" si="53"/>
        <v>4.2670832819999989</v>
      </c>
      <c r="AF311" s="9"/>
      <c r="AG311" s="22">
        <v>1.41571</v>
      </c>
      <c r="AH311" s="22">
        <v>261.66500000000002</v>
      </c>
      <c r="AI311" s="22">
        <v>-1.4782699999999999E-2</v>
      </c>
      <c r="AJ311" s="22">
        <v>301</v>
      </c>
      <c r="AK311" s="22">
        <v>1.41449</v>
      </c>
      <c r="AL311">
        <f t="shared" si="54"/>
        <v>14.7827</v>
      </c>
      <c r="AM311">
        <f t="shared" si="55"/>
        <v>20.928016217</v>
      </c>
      <c r="AP311" s="9"/>
      <c r="AQ311" s="22">
        <v>0.25436399999999998</v>
      </c>
      <c r="AR311" s="22">
        <v>340.51900000000001</v>
      </c>
      <c r="AS311" s="22">
        <v>-1.6747999999999999E-2</v>
      </c>
      <c r="AT311" s="22">
        <v>301</v>
      </c>
      <c r="AU311" s="22">
        <v>0.25360100000000002</v>
      </c>
      <c r="AV311">
        <f t="shared" si="56"/>
        <v>16.747999999999998</v>
      </c>
      <c r="AW311">
        <f t="shared" si="57"/>
        <v>4.2600882719999991</v>
      </c>
      <c r="AX311" s="9"/>
      <c r="AY311" s="22">
        <v>1.41571</v>
      </c>
      <c r="AZ311" s="22">
        <v>398.83</v>
      </c>
      <c r="BA311" s="22">
        <v>-1.48071E-2</v>
      </c>
      <c r="BB311" s="22">
        <v>301</v>
      </c>
      <c r="BC311" s="22">
        <v>1.41479</v>
      </c>
      <c r="BD311">
        <f t="shared" si="58"/>
        <v>14.8071</v>
      </c>
      <c r="BE311">
        <f t="shared" si="59"/>
        <v>20.962559541000001</v>
      </c>
    </row>
    <row r="312" spans="6:57">
      <c r="F312" s="9"/>
      <c r="G312" s="22">
        <v>0.249329</v>
      </c>
      <c r="H312" s="22">
        <v>69.781400000000005</v>
      </c>
      <c r="I312" s="22">
        <v>-1.6827399999999999E-2</v>
      </c>
      <c r="J312" s="22">
        <v>302</v>
      </c>
      <c r="K312" s="22">
        <v>0.24859600000000001</v>
      </c>
      <c r="L312">
        <f t="shared" si="48"/>
        <v>16.827400000000001</v>
      </c>
      <c r="M312">
        <f t="shared" si="49"/>
        <v>4.1955588146</v>
      </c>
      <c r="N312" s="9"/>
      <c r="O312" s="22">
        <v>1.42075</v>
      </c>
      <c r="P312" s="22">
        <v>134.10300000000001</v>
      </c>
      <c r="Q312" s="22">
        <v>-1.5069600000000001E-2</v>
      </c>
      <c r="R312" s="22">
        <v>302</v>
      </c>
      <c r="S312" s="22">
        <v>1.4196800000000001</v>
      </c>
      <c r="T312">
        <f t="shared" si="50"/>
        <v>15.069600000000001</v>
      </c>
      <c r="U312">
        <f t="shared" si="51"/>
        <v>21.410134200000002</v>
      </c>
      <c r="X312" s="9"/>
      <c r="Y312" s="22">
        <v>0.249329</v>
      </c>
      <c r="Z312" s="22">
        <v>204.23699999999999</v>
      </c>
      <c r="AA312" s="22">
        <v>-1.6772499999999999E-2</v>
      </c>
      <c r="AB312" s="22">
        <v>302</v>
      </c>
      <c r="AC312" s="22">
        <v>0.24881</v>
      </c>
      <c r="AD312">
        <f t="shared" si="52"/>
        <v>16.772500000000001</v>
      </c>
      <c r="AE312">
        <f t="shared" si="53"/>
        <v>4.1818706524999998</v>
      </c>
      <c r="AF312" s="9"/>
      <c r="AG312" s="22">
        <v>1.42075</v>
      </c>
      <c r="AH312" s="22">
        <v>261.76499999999999</v>
      </c>
      <c r="AI312" s="22">
        <v>-1.47858E-2</v>
      </c>
      <c r="AJ312" s="22">
        <v>302</v>
      </c>
      <c r="AK312" s="22">
        <v>1.42059</v>
      </c>
      <c r="AL312">
        <f t="shared" si="54"/>
        <v>14.7858</v>
      </c>
      <c r="AM312">
        <f t="shared" si="55"/>
        <v>21.006925349999999</v>
      </c>
      <c r="AP312" s="9"/>
      <c r="AQ312" s="22">
        <v>0.249329</v>
      </c>
      <c r="AR312" s="22">
        <v>340.62</v>
      </c>
      <c r="AS312" s="22">
        <v>-1.67542E-2</v>
      </c>
      <c r="AT312" s="22">
        <v>302</v>
      </c>
      <c r="AU312" s="22">
        <v>0.24862699999999999</v>
      </c>
      <c r="AV312">
        <f t="shared" si="56"/>
        <v>16.754200000000001</v>
      </c>
      <c r="AW312">
        <f t="shared" si="57"/>
        <v>4.1773079317999997</v>
      </c>
      <c r="AX312" s="9"/>
      <c r="AY312" s="22">
        <v>1.42075</v>
      </c>
      <c r="AZ312" s="22">
        <v>398.93099999999998</v>
      </c>
      <c r="BA312" s="22">
        <v>-1.4749099999999999E-2</v>
      </c>
      <c r="BB312" s="22">
        <v>302</v>
      </c>
      <c r="BC312" s="22">
        <v>1.41998</v>
      </c>
      <c r="BD312">
        <f t="shared" si="58"/>
        <v>14.749099999999999</v>
      </c>
      <c r="BE312">
        <f t="shared" si="59"/>
        <v>20.954783824999996</v>
      </c>
    </row>
    <row r="313" spans="6:57">
      <c r="F313" s="9"/>
      <c r="G313" s="22">
        <v>0.24429300000000001</v>
      </c>
      <c r="H313" s="22">
        <v>69.882099999999994</v>
      </c>
      <c r="I313" s="22">
        <v>-1.68121E-2</v>
      </c>
      <c r="J313" s="22">
        <v>303</v>
      </c>
      <c r="K313" s="22">
        <v>0.24343899999999999</v>
      </c>
      <c r="L313">
        <f t="shared" si="48"/>
        <v>16.812100000000001</v>
      </c>
      <c r="M313">
        <f t="shared" si="49"/>
        <v>4.1070783453000006</v>
      </c>
      <c r="N313" s="9"/>
      <c r="O313" s="22">
        <v>1.42578</v>
      </c>
      <c r="P313" s="22">
        <v>134.20400000000001</v>
      </c>
      <c r="Q313" s="22">
        <v>-1.50574E-2</v>
      </c>
      <c r="R313" s="22">
        <v>303</v>
      </c>
      <c r="S313" s="22">
        <v>1.4248700000000001</v>
      </c>
      <c r="T313">
        <f t="shared" si="50"/>
        <v>15.057399999999999</v>
      </c>
      <c r="U313">
        <f t="shared" si="51"/>
        <v>21.468539772</v>
      </c>
      <c r="X313" s="9"/>
      <c r="Y313" s="22">
        <v>0.24429300000000001</v>
      </c>
      <c r="Z313" s="22">
        <v>204.33699999999999</v>
      </c>
      <c r="AA313" s="22">
        <v>-1.6772499999999999E-2</v>
      </c>
      <c r="AB313" s="22">
        <v>303</v>
      </c>
      <c r="AC313" s="22">
        <v>0.24374399999999999</v>
      </c>
      <c r="AD313">
        <f t="shared" si="52"/>
        <v>16.772500000000001</v>
      </c>
      <c r="AE313">
        <f t="shared" si="53"/>
        <v>4.0974043425</v>
      </c>
      <c r="AF313" s="9"/>
      <c r="AG313" s="22">
        <v>1.42578</v>
      </c>
      <c r="AH313" s="22">
        <v>261.86599999999999</v>
      </c>
      <c r="AI313" s="22">
        <v>-1.4776600000000001E-2</v>
      </c>
      <c r="AJ313" s="22">
        <v>303</v>
      </c>
      <c r="AK313" s="22">
        <v>1.4248700000000001</v>
      </c>
      <c r="AL313">
        <f t="shared" si="54"/>
        <v>14.7766</v>
      </c>
      <c r="AM313">
        <f t="shared" si="55"/>
        <v>21.068180748</v>
      </c>
      <c r="AP313" s="9"/>
      <c r="AQ313" s="22">
        <v>0.24429300000000001</v>
      </c>
      <c r="AR313" s="22">
        <v>340.72</v>
      </c>
      <c r="AS313" s="22">
        <v>-1.67542E-2</v>
      </c>
      <c r="AT313" s="22">
        <v>303</v>
      </c>
      <c r="AU313" s="22">
        <v>0.24362200000000001</v>
      </c>
      <c r="AV313">
        <f t="shared" si="56"/>
        <v>16.754200000000001</v>
      </c>
      <c r="AW313">
        <f t="shared" si="57"/>
        <v>4.0929337806000001</v>
      </c>
      <c r="AX313" s="9"/>
      <c r="AY313" s="22">
        <v>1.42578</v>
      </c>
      <c r="AZ313" s="22">
        <v>399.03100000000001</v>
      </c>
      <c r="BA313" s="22">
        <v>-1.47125E-2</v>
      </c>
      <c r="BB313" s="22">
        <v>303</v>
      </c>
      <c r="BC313" s="22">
        <v>1.4254800000000001</v>
      </c>
      <c r="BD313">
        <f t="shared" si="58"/>
        <v>14.7125</v>
      </c>
      <c r="BE313">
        <f t="shared" si="59"/>
        <v>20.976788250000002</v>
      </c>
    </row>
    <row r="314" spans="6:57">
      <c r="F314" s="9"/>
      <c r="G314" s="22">
        <v>0.239258</v>
      </c>
      <c r="H314" s="22">
        <v>69.982799999999997</v>
      </c>
      <c r="I314" s="22">
        <v>-1.6818199999999998E-2</v>
      </c>
      <c r="J314" s="22">
        <v>304</v>
      </c>
      <c r="K314" s="22">
        <v>0.23873900000000001</v>
      </c>
      <c r="L314">
        <f t="shared" si="48"/>
        <v>16.818199999999997</v>
      </c>
      <c r="M314">
        <f t="shared" si="49"/>
        <v>4.023888895599999</v>
      </c>
      <c r="N314" s="9"/>
      <c r="O314" s="22">
        <v>1.43082</v>
      </c>
      <c r="P314" s="22">
        <v>134.30500000000001</v>
      </c>
      <c r="Q314" s="22">
        <v>-1.5020800000000001E-2</v>
      </c>
      <c r="R314" s="22">
        <v>304</v>
      </c>
      <c r="S314" s="22">
        <v>1.4303600000000001</v>
      </c>
      <c r="T314">
        <f t="shared" si="50"/>
        <v>15.020800000000001</v>
      </c>
      <c r="U314">
        <f t="shared" si="51"/>
        <v>21.492061056000001</v>
      </c>
      <c r="X314" s="9"/>
      <c r="Y314" s="22">
        <v>0.239258</v>
      </c>
      <c r="Z314" s="22">
        <v>204.43799999999999</v>
      </c>
      <c r="AA314" s="22">
        <v>-1.6772499999999999E-2</v>
      </c>
      <c r="AB314" s="22">
        <v>304</v>
      </c>
      <c r="AC314" s="22">
        <v>0.23858599999999999</v>
      </c>
      <c r="AD314">
        <f t="shared" si="52"/>
        <v>16.772500000000001</v>
      </c>
      <c r="AE314">
        <f t="shared" si="53"/>
        <v>4.0129548050000006</v>
      </c>
      <c r="AF314" s="9"/>
      <c r="AG314" s="22">
        <v>1.43082</v>
      </c>
      <c r="AH314" s="22">
        <v>261.96699999999998</v>
      </c>
      <c r="AI314" s="22">
        <v>-1.4721700000000001E-2</v>
      </c>
      <c r="AJ314" s="22">
        <v>304</v>
      </c>
      <c r="AK314" s="22">
        <v>1.42944</v>
      </c>
      <c r="AL314">
        <f t="shared" si="54"/>
        <v>14.7217</v>
      </c>
      <c r="AM314">
        <f t="shared" si="55"/>
        <v>21.064102794</v>
      </c>
      <c r="AP314" s="9"/>
      <c r="AQ314" s="22">
        <v>0.239258</v>
      </c>
      <c r="AR314" s="22">
        <v>340.82100000000003</v>
      </c>
      <c r="AS314" s="22">
        <v>-1.67542E-2</v>
      </c>
      <c r="AT314" s="22">
        <v>304</v>
      </c>
      <c r="AU314" s="22">
        <v>0.23849500000000001</v>
      </c>
      <c r="AV314">
        <f t="shared" si="56"/>
        <v>16.754200000000001</v>
      </c>
      <c r="AW314">
        <f t="shared" si="57"/>
        <v>4.0085763836000003</v>
      </c>
      <c r="AX314" s="9"/>
      <c r="AY314" s="22">
        <v>1.43082</v>
      </c>
      <c r="AZ314" s="22">
        <v>399.13200000000001</v>
      </c>
      <c r="BA314" s="22">
        <v>-1.46912E-2</v>
      </c>
      <c r="BB314" s="22">
        <v>304</v>
      </c>
      <c r="BC314" s="22">
        <v>1.43005</v>
      </c>
      <c r="BD314">
        <f t="shared" si="58"/>
        <v>14.6912</v>
      </c>
      <c r="BE314">
        <f t="shared" si="59"/>
        <v>21.020462783999999</v>
      </c>
    </row>
    <row r="315" spans="6:57">
      <c r="F315" s="9"/>
      <c r="G315" s="22">
        <v>0.23422200000000001</v>
      </c>
      <c r="H315" s="22">
        <v>70.083500000000001</v>
      </c>
      <c r="I315" s="22">
        <v>-1.6833500000000001E-2</v>
      </c>
      <c r="J315" s="22">
        <v>305</v>
      </c>
      <c r="K315" s="22">
        <v>0.23349</v>
      </c>
      <c r="L315">
        <f t="shared" si="48"/>
        <v>16.833500000000001</v>
      </c>
      <c r="M315">
        <f t="shared" si="49"/>
        <v>3.9427760370000002</v>
      </c>
      <c r="N315" s="9"/>
      <c r="O315" s="22">
        <v>1.4358500000000001</v>
      </c>
      <c r="P315" s="22">
        <v>134.40600000000001</v>
      </c>
      <c r="Q315" s="22">
        <v>-1.4975E-2</v>
      </c>
      <c r="R315" s="22">
        <v>305</v>
      </c>
      <c r="S315" s="22">
        <v>1.4346300000000001</v>
      </c>
      <c r="T315">
        <f t="shared" si="50"/>
        <v>14.975</v>
      </c>
      <c r="U315">
        <f t="shared" si="51"/>
        <v>21.501853750000002</v>
      </c>
      <c r="X315" s="9"/>
      <c r="Y315" s="22">
        <v>0.23422200000000001</v>
      </c>
      <c r="Z315" s="22">
        <v>204.53899999999999</v>
      </c>
      <c r="AA315" s="22">
        <v>-1.67694E-2</v>
      </c>
      <c r="AB315" s="22">
        <v>305</v>
      </c>
      <c r="AC315" s="22">
        <v>0.23349</v>
      </c>
      <c r="AD315">
        <f t="shared" si="52"/>
        <v>16.769400000000001</v>
      </c>
      <c r="AE315">
        <f t="shared" si="53"/>
        <v>3.9277624068000003</v>
      </c>
      <c r="AF315" s="9"/>
      <c r="AG315" s="22">
        <v>1.4358500000000001</v>
      </c>
      <c r="AH315" s="22">
        <v>262.06799999999998</v>
      </c>
      <c r="AI315" s="22">
        <v>-1.46912E-2</v>
      </c>
      <c r="AJ315" s="22">
        <v>305</v>
      </c>
      <c r="AK315" s="22">
        <v>1.4352400000000001</v>
      </c>
      <c r="AL315">
        <f t="shared" si="54"/>
        <v>14.6912</v>
      </c>
      <c r="AM315">
        <f t="shared" si="55"/>
        <v>21.094359520000001</v>
      </c>
      <c r="AP315" s="9"/>
      <c r="AQ315" s="22">
        <v>0.23422200000000001</v>
      </c>
      <c r="AR315" s="22">
        <v>340.92200000000003</v>
      </c>
      <c r="AS315" s="22">
        <v>-1.6751100000000001E-2</v>
      </c>
      <c r="AT315" s="22">
        <v>305</v>
      </c>
      <c r="AU315" s="22">
        <v>0.23355100000000001</v>
      </c>
      <c r="AV315">
        <f t="shared" si="56"/>
        <v>16.751100000000001</v>
      </c>
      <c r="AW315">
        <f t="shared" si="57"/>
        <v>3.9234761442000003</v>
      </c>
      <c r="AX315" s="9"/>
      <c r="AY315" s="22">
        <v>1.4358500000000001</v>
      </c>
      <c r="AZ315" s="22">
        <v>399.233</v>
      </c>
      <c r="BA315" s="22">
        <v>-1.4648400000000001E-2</v>
      </c>
      <c r="BB315" s="22">
        <v>305</v>
      </c>
      <c r="BC315" s="22">
        <v>1.4349400000000001</v>
      </c>
      <c r="BD315">
        <f t="shared" si="58"/>
        <v>14.648400000000001</v>
      </c>
      <c r="BE315">
        <f t="shared" si="59"/>
        <v>21.03290514</v>
      </c>
    </row>
    <row r="316" spans="6:57">
      <c r="F316" s="9"/>
      <c r="G316" s="22">
        <v>0.229187</v>
      </c>
      <c r="H316" s="22">
        <v>70.184200000000004</v>
      </c>
      <c r="I316" s="22">
        <v>-1.6821300000000001E-2</v>
      </c>
      <c r="J316" s="22">
        <v>306</v>
      </c>
      <c r="K316" s="22">
        <v>0.22848499999999999</v>
      </c>
      <c r="L316">
        <f t="shared" si="48"/>
        <v>16.821300000000001</v>
      </c>
      <c r="M316">
        <f t="shared" si="49"/>
        <v>3.8552232831000004</v>
      </c>
      <c r="N316" s="9"/>
      <c r="O316" s="22">
        <v>1.44089</v>
      </c>
      <c r="P316" s="22">
        <v>134.506</v>
      </c>
      <c r="Q316" s="22">
        <v>-1.4978E-2</v>
      </c>
      <c r="R316" s="22">
        <v>306</v>
      </c>
      <c r="S316" s="22">
        <v>1.4395100000000001</v>
      </c>
      <c r="T316">
        <f t="shared" si="50"/>
        <v>14.978</v>
      </c>
      <c r="U316">
        <f t="shared" si="51"/>
        <v>21.581650419999999</v>
      </c>
      <c r="X316" s="9"/>
      <c r="Y316" s="22">
        <v>0.229187</v>
      </c>
      <c r="Z316" s="22">
        <v>204.63900000000001</v>
      </c>
      <c r="AA316" s="22">
        <v>-1.67694E-2</v>
      </c>
      <c r="AB316" s="22">
        <v>306</v>
      </c>
      <c r="AC316" s="22">
        <v>0.22845499999999999</v>
      </c>
      <c r="AD316">
        <f t="shared" si="52"/>
        <v>16.769400000000001</v>
      </c>
      <c r="AE316">
        <f t="shared" si="53"/>
        <v>3.8433284778000001</v>
      </c>
      <c r="AF316" s="9"/>
      <c r="AG316" s="22">
        <v>1.44089</v>
      </c>
      <c r="AH316" s="22">
        <v>262.16800000000001</v>
      </c>
      <c r="AI316" s="22">
        <v>-1.46423E-2</v>
      </c>
      <c r="AJ316" s="22">
        <v>306</v>
      </c>
      <c r="AK316" s="22">
        <v>1.4404300000000001</v>
      </c>
      <c r="AL316">
        <f t="shared" si="54"/>
        <v>14.642300000000001</v>
      </c>
      <c r="AM316">
        <f t="shared" si="55"/>
        <v>21.097943647000001</v>
      </c>
      <c r="AP316" s="9"/>
      <c r="AQ316" s="22">
        <v>0.229187</v>
      </c>
      <c r="AR316" s="22">
        <v>341.02300000000002</v>
      </c>
      <c r="AS316" s="22">
        <v>-1.6760299999999999E-2</v>
      </c>
      <c r="AT316" s="22">
        <v>306</v>
      </c>
      <c r="AU316" s="22">
        <v>0.22836300000000001</v>
      </c>
      <c r="AV316">
        <f t="shared" si="56"/>
        <v>16.760299999999997</v>
      </c>
      <c r="AW316">
        <f t="shared" si="57"/>
        <v>3.8412428760999995</v>
      </c>
      <c r="AX316" s="9"/>
      <c r="AY316" s="22">
        <v>1.44089</v>
      </c>
      <c r="AZ316" s="22">
        <v>399.33300000000003</v>
      </c>
      <c r="BA316" s="22">
        <v>-1.46149E-2</v>
      </c>
      <c r="BB316" s="22">
        <v>306</v>
      </c>
      <c r="BC316" s="22">
        <v>1.4401200000000001</v>
      </c>
      <c r="BD316">
        <f t="shared" si="58"/>
        <v>14.6149</v>
      </c>
      <c r="BE316">
        <f t="shared" si="59"/>
        <v>21.058463261</v>
      </c>
    </row>
    <row r="317" spans="6:57">
      <c r="F317" s="9"/>
      <c r="G317" s="22">
        <v>0.22415199999999999</v>
      </c>
      <c r="H317" s="22">
        <v>70.284899999999993</v>
      </c>
      <c r="I317" s="22">
        <v>-1.6827399999999999E-2</v>
      </c>
      <c r="J317" s="22">
        <v>307</v>
      </c>
      <c r="K317" s="22">
        <v>0.22354099999999999</v>
      </c>
      <c r="L317">
        <f t="shared" si="48"/>
        <v>16.827400000000001</v>
      </c>
      <c r="M317">
        <f t="shared" si="49"/>
        <v>3.7718953648000002</v>
      </c>
      <c r="N317" s="9"/>
      <c r="O317" s="22">
        <v>1.4459200000000001</v>
      </c>
      <c r="P317" s="22">
        <v>134.607</v>
      </c>
      <c r="Q317" s="22">
        <v>-1.4959699999999999E-2</v>
      </c>
      <c r="R317" s="22">
        <v>307</v>
      </c>
      <c r="S317" s="22">
        <v>1.4450099999999999</v>
      </c>
      <c r="T317">
        <f t="shared" si="50"/>
        <v>14.9597</v>
      </c>
      <c r="U317">
        <f t="shared" si="51"/>
        <v>21.630529424000002</v>
      </c>
      <c r="X317" s="9"/>
      <c r="Y317" s="22">
        <v>0.22415199999999999</v>
      </c>
      <c r="Z317" s="22">
        <v>204.74</v>
      </c>
      <c r="AA317" s="22">
        <v>-1.6778600000000001E-2</v>
      </c>
      <c r="AB317" s="22">
        <v>307</v>
      </c>
      <c r="AC317" s="22">
        <v>0.22348000000000001</v>
      </c>
      <c r="AD317">
        <f t="shared" si="52"/>
        <v>16.778600000000001</v>
      </c>
      <c r="AE317">
        <f t="shared" si="53"/>
        <v>3.7609567471999998</v>
      </c>
      <c r="AF317" s="9"/>
      <c r="AG317" s="22">
        <v>1.4459200000000001</v>
      </c>
      <c r="AH317" s="22">
        <v>262.26900000000001</v>
      </c>
      <c r="AI317" s="22">
        <v>-1.4572099999999999E-2</v>
      </c>
      <c r="AJ317" s="22">
        <v>307</v>
      </c>
      <c r="AK317" s="22">
        <v>1.4450099999999999</v>
      </c>
      <c r="AL317">
        <f t="shared" si="54"/>
        <v>14.572099999999999</v>
      </c>
      <c r="AM317">
        <f t="shared" si="55"/>
        <v>21.070090831999998</v>
      </c>
      <c r="AP317" s="9"/>
      <c r="AQ317" s="22">
        <v>0.22415199999999999</v>
      </c>
      <c r="AR317" s="22">
        <v>341.12299999999999</v>
      </c>
      <c r="AS317" s="22">
        <v>-1.67542E-2</v>
      </c>
      <c r="AT317" s="22">
        <v>307</v>
      </c>
      <c r="AU317" s="22">
        <v>0.223602</v>
      </c>
      <c r="AV317">
        <f t="shared" si="56"/>
        <v>16.754200000000001</v>
      </c>
      <c r="AW317">
        <f t="shared" si="57"/>
        <v>3.7554874383999999</v>
      </c>
      <c r="AX317" s="9"/>
      <c r="AY317" s="22">
        <v>1.4459200000000001</v>
      </c>
      <c r="AZ317" s="22">
        <v>399.43400000000003</v>
      </c>
      <c r="BA317" s="22">
        <v>-1.4578199999999999E-2</v>
      </c>
      <c r="BB317" s="22">
        <v>307</v>
      </c>
      <c r="BC317" s="22">
        <v>1.4453100000000001</v>
      </c>
      <c r="BD317">
        <f t="shared" si="58"/>
        <v>14.578199999999999</v>
      </c>
      <c r="BE317">
        <f t="shared" si="59"/>
        <v>21.078910944</v>
      </c>
    </row>
    <row r="318" spans="6:57">
      <c r="F318" s="9"/>
      <c r="G318" s="22">
        <v>0.21911600000000001</v>
      </c>
      <c r="H318" s="22">
        <v>70.3857</v>
      </c>
      <c r="I318" s="22">
        <v>-1.6848800000000001E-2</v>
      </c>
      <c r="J318" s="22">
        <v>308</v>
      </c>
      <c r="K318" s="22">
        <v>0.21826200000000001</v>
      </c>
      <c r="L318">
        <f t="shared" si="48"/>
        <v>16.848800000000001</v>
      </c>
      <c r="M318">
        <f t="shared" si="49"/>
        <v>3.6918416608000002</v>
      </c>
      <c r="N318" s="9"/>
      <c r="O318" s="22">
        <v>1.45096</v>
      </c>
      <c r="P318" s="22">
        <v>134.708</v>
      </c>
      <c r="Q318" s="22">
        <v>-1.4898700000000001E-2</v>
      </c>
      <c r="R318" s="22">
        <v>308</v>
      </c>
      <c r="S318" s="22">
        <v>1.4504999999999999</v>
      </c>
      <c r="T318">
        <f t="shared" si="50"/>
        <v>14.898700000000002</v>
      </c>
      <c r="U318">
        <f t="shared" si="51"/>
        <v>21.617417752000001</v>
      </c>
      <c r="X318" s="9"/>
      <c r="Y318" s="22">
        <v>0.21911600000000001</v>
      </c>
      <c r="Z318" s="22">
        <v>204.84100000000001</v>
      </c>
      <c r="AA318" s="22">
        <v>-1.6772499999999999E-2</v>
      </c>
      <c r="AB318" s="22">
        <v>308</v>
      </c>
      <c r="AC318" s="22">
        <v>0.218445</v>
      </c>
      <c r="AD318">
        <f t="shared" si="52"/>
        <v>16.772500000000001</v>
      </c>
      <c r="AE318">
        <f t="shared" si="53"/>
        <v>3.6751231100000004</v>
      </c>
      <c r="AF318" s="9"/>
      <c r="AG318" s="22">
        <v>1.45096</v>
      </c>
      <c r="AH318" s="22">
        <v>262.37</v>
      </c>
      <c r="AI318" s="22">
        <v>-1.45294E-2</v>
      </c>
      <c r="AJ318" s="22">
        <v>308</v>
      </c>
      <c r="AK318" s="22">
        <v>1.4498899999999999</v>
      </c>
      <c r="AL318">
        <f t="shared" si="54"/>
        <v>14.529399999999999</v>
      </c>
      <c r="AM318">
        <f t="shared" si="55"/>
        <v>21.081578223999998</v>
      </c>
      <c r="AP318" s="9"/>
      <c r="AQ318" s="22">
        <v>0.21911600000000001</v>
      </c>
      <c r="AR318" s="22">
        <v>341.22399999999999</v>
      </c>
      <c r="AS318" s="22">
        <v>-1.67572E-2</v>
      </c>
      <c r="AT318" s="22">
        <v>308</v>
      </c>
      <c r="AU318" s="22">
        <v>0.218414</v>
      </c>
      <c r="AV318">
        <f t="shared" si="56"/>
        <v>16.757200000000001</v>
      </c>
      <c r="AW318">
        <f t="shared" si="57"/>
        <v>3.6717706352000001</v>
      </c>
      <c r="AX318" s="9"/>
      <c r="AY318" s="22">
        <v>1.45096</v>
      </c>
      <c r="AZ318" s="22">
        <v>399.53500000000003</v>
      </c>
      <c r="BA318" s="22">
        <v>-1.4544700000000001E-2</v>
      </c>
      <c r="BB318" s="22">
        <v>308</v>
      </c>
      <c r="BC318" s="22">
        <v>1.4498899999999999</v>
      </c>
      <c r="BD318">
        <f t="shared" si="58"/>
        <v>14.544700000000001</v>
      </c>
      <c r="BE318">
        <f t="shared" si="59"/>
        <v>21.103777912000002</v>
      </c>
    </row>
    <row r="319" spans="6:57">
      <c r="F319" s="9"/>
      <c r="G319" s="22">
        <v>0.21408099999999999</v>
      </c>
      <c r="H319" s="22">
        <v>70.486400000000003</v>
      </c>
      <c r="I319" s="22">
        <v>-1.6842699999999999E-2</v>
      </c>
      <c r="J319" s="22">
        <v>309</v>
      </c>
      <c r="K319" s="22">
        <v>0.21346999999999999</v>
      </c>
      <c r="L319">
        <f t="shared" si="48"/>
        <v>16.842699999999997</v>
      </c>
      <c r="M319">
        <f t="shared" si="49"/>
        <v>3.6057020586999995</v>
      </c>
      <c r="N319" s="9"/>
      <c r="O319" s="22">
        <v>1.4559899999999999</v>
      </c>
      <c r="P319" s="22">
        <v>134.80799999999999</v>
      </c>
      <c r="Q319" s="22">
        <v>-1.4837599999999999E-2</v>
      </c>
      <c r="R319" s="22">
        <v>309</v>
      </c>
      <c r="S319" s="22">
        <v>1.4553799999999999</v>
      </c>
      <c r="T319">
        <f t="shared" si="50"/>
        <v>14.8376</v>
      </c>
      <c r="U319">
        <f t="shared" si="51"/>
        <v>21.603397223999998</v>
      </c>
      <c r="X319" s="9"/>
      <c r="Y319" s="22">
        <v>0.21408099999999999</v>
      </c>
      <c r="Z319" s="22">
        <v>204.941</v>
      </c>
      <c r="AA319" s="22">
        <v>-1.67999E-2</v>
      </c>
      <c r="AB319" s="22">
        <v>309</v>
      </c>
      <c r="AC319" s="22">
        <v>0.21337900000000001</v>
      </c>
      <c r="AD319">
        <f t="shared" si="52"/>
        <v>16.799900000000001</v>
      </c>
      <c r="AE319">
        <f t="shared" si="53"/>
        <v>3.5965393918999999</v>
      </c>
      <c r="AF319" s="9"/>
      <c r="AG319" s="22">
        <v>1.4559899999999999</v>
      </c>
      <c r="AH319" s="22">
        <v>262.47000000000003</v>
      </c>
      <c r="AI319" s="22">
        <v>-1.4501999999999999E-2</v>
      </c>
      <c r="AJ319" s="22">
        <v>309</v>
      </c>
      <c r="AK319" s="22">
        <v>1.4553799999999999</v>
      </c>
      <c r="AL319">
        <f t="shared" si="54"/>
        <v>14.501999999999999</v>
      </c>
      <c r="AM319">
        <f t="shared" si="55"/>
        <v>21.114766979999995</v>
      </c>
      <c r="AP319" s="9"/>
      <c r="AQ319" s="22">
        <v>0.21408099999999999</v>
      </c>
      <c r="AR319" s="22">
        <v>341.32499999999999</v>
      </c>
      <c r="AS319" s="22">
        <v>-1.6747999999999999E-2</v>
      </c>
      <c r="AT319" s="22">
        <v>309</v>
      </c>
      <c r="AU319" s="22">
        <v>0.21359300000000001</v>
      </c>
      <c r="AV319">
        <f t="shared" si="56"/>
        <v>16.747999999999998</v>
      </c>
      <c r="AW319">
        <f t="shared" si="57"/>
        <v>3.5854285879999992</v>
      </c>
      <c r="AX319" s="9"/>
      <c r="AY319" s="22">
        <v>1.4559899999999999</v>
      </c>
      <c r="AZ319" s="22">
        <v>399.63600000000002</v>
      </c>
      <c r="BA319" s="22">
        <v>-1.4505000000000001E-2</v>
      </c>
      <c r="BB319" s="22">
        <v>309</v>
      </c>
      <c r="BC319" s="22">
        <v>1.4547699999999999</v>
      </c>
      <c r="BD319">
        <f t="shared" si="58"/>
        <v>14.505000000000001</v>
      </c>
      <c r="BE319">
        <f t="shared" si="59"/>
        <v>21.119134949999999</v>
      </c>
    </row>
    <row r="320" spans="6:57">
      <c r="F320" s="9"/>
      <c r="G320" s="22">
        <v>0.20904500000000001</v>
      </c>
      <c r="H320" s="22">
        <v>70.587100000000007</v>
      </c>
      <c r="I320" s="22">
        <v>-1.68243E-2</v>
      </c>
      <c r="J320" s="22">
        <v>310</v>
      </c>
      <c r="K320" s="22">
        <v>0.20819099999999999</v>
      </c>
      <c r="L320">
        <f t="shared" si="48"/>
        <v>16.824300000000001</v>
      </c>
      <c r="M320">
        <f t="shared" si="49"/>
        <v>3.5170357935000003</v>
      </c>
      <c r="N320" s="9"/>
      <c r="O320" s="22">
        <v>1.4610300000000001</v>
      </c>
      <c r="P320" s="22">
        <v>134.90899999999999</v>
      </c>
      <c r="Q320" s="22">
        <v>-1.4798E-2</v>
      </c>
      <c r="R320" s="22">
        <v>310</v>
      </c>
      <c r="S320" s="22">
        <v>1.46027</v>
      </c>
      <c r="T320">
        <f t="shared" si="50"/>
        <v>14.798</v>
      </c>
      <c r="U320">
        <f t="shared" si="51"/>
        <v>21.62032194</v>
      </c>
      <c r="X320" s="9"/>
      <c r="Y320" s="22">
        <v>0.20904500000000001</v>
      </c>
      <c r="Z320" s="22">
        <v>205.042</v>
      </c>
      <c r="AA320" s="22">
        <v>-1.6781600000000001E-2</v>
      </c>
      <c r="AB320" s="22">
        <v>310</v>
      </c>
      <c r="AC320" s="22">
        <v>0.20840500000000001</v>
      </c>
      <c r="AD320">
        <f t="shared" si="52"/>
        <v>16.781600000000001</v>
      </c>
      <c r="AE320">
        <f t="shared" si="53"/>
        <v>3.5081095720000004</v>
      </c>
      <c r="AF320" s="9"/>
      <c r="AG320" s="22">
        <v>1.4610300000000001</v>
      </c>
      <c r="AH320" s="22">
        <v>262.57100000000003</v>
      </c>
      <c r="AI320" s="22">
        <v>-1.4483599999999999E-2</v>
      </c>
      <c r="AJ320" s="22">
        <v>310</v>
      </c>
      <c r="AK320" s="22">
        <v>1.46027</v>
      </c>
      <c r="AL320">
        <f t="shared" si="54"/>
        <v>14.483599999999999</v>
      </c>
      <c r="AM320">
        <f t="shared" si="55"/>
        <v>21.160974107999998</v>
      </c>
      <c r="AP320" s="9"/>
      <c r="AQ320" s="22">
        <v>0.20904500000000001</v>
      </c>
      <c r="AR320" s="22">
        <v>341.42500000000001</v>
      </c>
      <c r="AS320" s="22">
        <v>-1.6766400000000001E-2</v>
      </c>
      <c r="AT320" s="22">
        <v>310</v>
      </c>
      <c r="AU320" s="22">
        <v>0.208649</v>
      </c>
      <c r="AV320">
        <f t="shared" si="56"/>
        <v>16.766400000000001</v>
      </c>
      <c r="AW320">
        <f t="shared" si="57"/>
        <v>3.5049320880000003</v>
      </c>
      <c r="AX320" s="9"/>
      <c r="AY320" s="22">
        <v>1.4610300000000001</v>
      </c>
      <c r="AZ320" s="22">
        <v>399.73599999999999</v>
      </c>
      <c r="BA320" s="22">
        <v>-1.4462300000000001E-2</v>
      </c>
      <c r="BB320" s="22">
        <v>310</v>
      </c>
      <c r="BC320" s="22">
        <v>1.4605699999999999</v>
      </c>
      <c r="BD320">
        <f t="shared" si="58"/>
        <v>14.462300000000001</v>
      </c>
      <c r="BE320">
        <f t="shared" si="59"/>
        <v>21.129854169000001</v>
      </c>
    </row>
    <row r="321" spans="6:57">
      <c r="F321" s="9"/>
      <c r="G321" s="22">
        <v>0.20401</v>
      </c>
      <c r="H321" s="22">
        <v>70.687799999999996</v>
      </c>
      <c r="I321" s="22">
        <v>-1.67999E-2</v>
      </c>
      <c r="J321" s="22">
        <v>311</v>
      </c>
      <c r="K321" s="22">
        <v>0.20327799999999999</v>
      </c>
      <c r="L321">
        <f t="shared" si="48"/>
        <v>16.799900000000001</v>
      </c>
      <c r="M321">
        <f t="shared" si="49"/>
        <v>3.427347599</v>
      </c>
      <c r="N321" s="9"/>
      <c r="O321" s="22">
        <v>1.4660599999999999</v>
      </c>
      <c r="P321" s="22">
        <v>135.01</v>
      </c>
      <c r="Q321" s="22">
        <v>-1.474E-2</v>
      </c>
      <c r="R321" s="22">
        <v>311</v>
      </c>
      <c r="S321" s="22">
        <v>1.4648399999999999</v>
      </c>
      <c r="T321">
        <f t="shared" si="50"/>
        <v>14.74</v>
      </c>
      <c r="U321">
        <f t="shared" si="51"/>
        <v>21.609724399999998</v>
      </c>
      <c r="X321" s="9"/>
      <c r="Y321" s="22">
        <v>0.20401</v>
      </c>
      <c r="Z321" s="22">
        <v>205.143</v>
      </c>
      <c r="AA321" s="22">
        <v>-1.6781600000000001E-2</v>
      </c>
      <c r="AB321" s="22">
        <v>311</v>
      </c>
      <c r="AC321" s="22">
        <v>0.203094</v>
      </c>
      <c r="AD321">
        <f t="shared" si="52"/>
        <v>16.781600000000001</v>
      </c>
      <c r="AE321">
        <f t="shared" si="53"/>
        <v>3.4236142160000003</v>
      </c>
      <c r="AF321" s="9"/>
      <c r="AG321" s="22">
        <v>1.4660599999999999</v>
      </c>
      <c r="AH321" s="22">
        <v>262.67200000000003</v>
      </c>
      <c r="AI321" s="22">
        <v>-1.4444E-2</v>
      </c>
      <c r="AJ321" s="22">
        <v>311</v>
      </c>
      <c r="AK321" s="22">
        <v>1.46515</v>
      </c>
      <c r="AL321">
        <f t="shared" si="54"/>
        <v>14.444000000000001</v>
      </c>
      <c r="AM321">
        <f t="shared" si="55"/>
        <v>21.17577064</v>
      </c>
      <c r="AP321" s="9"/>
      <c r="AQ321" s="22">
        <v>0.20401</v>
      </c>
      <c r="AR321" s="22">
        <v>341.52600000000001</v>
      </c>
      <c r="AS321" s="22">
        <v>-1.67694E-2</v>
      </c>
      <c r="AT321" s="22">
        <v>311</v>
      </c>
      <c r="AU321" s="22">
        <v>0.20333899999999999</v>
      </c>
      <c r="AV321">
        <f t="shared" si="56"/>
        <v>16.769400000000001</v>
      </c>
      <c r="AW321">
        <f t="shared" si="57"/>
        <v>3.4211252940000003</v>
      </c>
      <c r="AX321" s="9"/>
      <c r="AY321" s="22">
        <v>1.4660599999999999</v>
      </c>
      <c r="AZ321" s="22">
        <v>399.83699999999999</v>
      </c>
      <c r="BA321" s="22">
        <v>-1.4422600000000001E-2</v>
      </c>
      <c r="BB321" s="22">
        <v>311</v>
      </c>
      <c r="BC321" s="22">
        <v>1.4642299999999999</v>
      </c>
      <c r="BD321">
        <f t="shared" si="58"/>
        <v>14.422600000000001</v>
      </c>
      <c r="BE321">
        <f t="shared" si="59"/>
        <v>21.144396956000001</v>
      </c>
    </row>
    <row r="322" spans="6:57">
      <c r="F322" s="9"/>
      <c r="G322" s="22">
        <v>0.19897500000000001</v>
      </c>
      <c r="H322" s="22">
        <v>70.788499999999999</v>
      </c>
      <c r="I322" s="22">
        <v>-1.67999E-2</v>
      </c>
      <c r="J322" s="22">
        <v>312</v>
      </c>
      <c r="K322" s="22">
        <v>0.198578</v>
      </c>
      <c r="L322">
        <f t="shared" si="48"/>
        <v>16.799900000000001</v>
      </c>
      <c r="M322">
        <f t="shared" si="49"/>
        <v>3.3427601025000002</v>
      </c>
      <c r="N322" s="9"/>
      <c r="O322" s="22">
        <v>1.4711000000000001</v>
      </c>
      <c r="P322" s="22">
        <v>135.11099999999999</v>
      </c>
      <c r="Q322" s="22">
        <v>-1.46973E-2</v>
      </c>
      <c r="R322" s="22">
        <v>312</v>
      </c>
      <c r="S322" s="22">
        <v>1.47034</v>
      </c>
      <c r="T322">
        <f t="shared" si="50"/>
        <v>14.6973</v>
      </c>
      <c r="U322">
        <f t="shared" si="51"/>
        <v>21.621198030000002</v>
      </c>
      <c r="X322" s="9"/>
      <c r="Y322" s="22">
        <v>0.19897500000000001</v>
      </c>
      <c r="Z322" s="22">
        <v>205.244</v>
      </c>
      <c r="AA322" s="22">
        <v>-1.67847E-2</v>
      </c>
      <c r="AB322" s="22">
        <v>312</v>
      </c>
      <c r="AC322" s="22">
        <v>0.19830300000000001</v>
      </c>
      <c r="AD322">
        <f t="shared" si="52"/>
        <v>16.784700000000001</v>
      </c>
      <c r="AE322">
        <f t="shared" si="53"/>
        <v>3.3397356825000002</v>
      </c>
      <c r="AF322" s="9"/>
      <c r="AG322" s="22">
        <v>1.4711000000000001</v>
      </c>
      <c r="AH322" s="22">
        <v>262.77300000000002</v>
      </c>
      <c r="AI322" s="22">
        <v>-1.44043E-2</v>
      </c>
      <c r="AJ322" s="22">
        <v>312</v>
      </c>
      <c r="AK322" s="22">
        <v>1.4706399999999999</v>
      </c>
      <c r="AL322">
        <f t="shared" si="54"/>
        <v>14.404299999999999</v>
      </c>
      <c r="AM322">
        <f t="shared" si="55"/>
        <v>21.19016573</v>
      </c>
      <c r="AP322" s="9"/>
      <c r="AQ322" s="22">
        <v>0.19897500000000001</v>
      </c>
      <c r="AR322" s="22">
        <v>341.62700000000001</v>
      </c>
      <c r="AS322" s="22">
        <v>-1.6763299999999998E-2</v>
      </c>
      <c r="AT322" s="22">
        <v>312</v>
      </c>
      <c r="AU322" s="22">
        <v>0.19833400000000001</v>
      </c>
      <c r="AV322">
        <f t="shared" si="56"/>
        <v>16.763299999999997</v>
      </c>
      <c r="AW322">
        <f t="shared" si="57"/>
        <v>3.3354776174999996</v>
      </c>
      <c r="AX322" s="9"/>
      <c r="AY322" s="22">
        <v>1.4711000000000001</v>
      </c>
      <c r="AZ322" s="22">
        <v>399.93799999999999</v>
      </c>
      <c r="BA322" s="22">
        <v>-1.4382900000000001E-2</v>
      </c>
      <c r="BB322" s="22">
        <v>312</v>
      </c>
      <c r="BC322" s="22">
        <v>1.4700299999999999</v>
      </c>
      <c r="BD322">
        <f t="shared" si="58"/>
        <v>14.382900000000001</v>
      </c>
      <c r="BE322">
        <f t="shared" si="59"/>
        <v>21.158684190000002</v>
      </c>
    </row>
    <row r="323" spans="6:57">
      <c r="F323" s="9"/>
      <c r="G323" s="22">
        <v>0.193939</v>
      </c>
      <c r="H323" s="22">
        <v>70.889200000000002</v>
      </c>
      <c r="I323" s="22">
        <v>-1.6802999999999998E-2</v>
      </c>
      <c r="J323" s="22">
        <v>313</v>
      </c>
      <c r="K323" s="22">
        <v>0.193329</v>
      </c>
      <c r="L323">
        <f t="shared" si="48"/>
        <v>16.802999999999997</v>
      </c>
      <c r="M323">
        <f t="shared" si="49"/>
        <v>3.2587570169999993</v>
      </c>
      <c r="N323" s="9"/>
      <c r="O323" s="22">
        <v>1.47614</v>
      </c>
      <c r="P323" s="22">
        <v>135.21100000000001</v>
      </c>
      <c r="Q323" s="22">
        <v>-1.4678999999999999E-2</v>
      </c>
      <c r="R323" s="22">
        <v>313</v>
      </c>
      <c r="S323" s="22">
        <v>1.4749099999999999</v>
      </c>
      <c r="T323">
        <f t="shared" si="50"/>
        <v>14.678999999999998</v>
      </c>
      <c r="U323">
        <f t="shared" si="51"/>
        <v>21.668259059999997</v>
      </c>
      <c r="X323" s="9"/>
      <c r="Y323" s="22">
        <v>0.193939</v>
      </c>
      <c r="Z323" s="22">
        <v>205.34399999999999</v>
      </c>
      <c r="AA323" s="22">
        <v>-1.67999E-2</v>
      </c>
      <c r="AB323" s="22">
        <v>313</v>
      </c>
      <c r="AC323" s="22">
        <v>0.19323699999999999</v>
      </c>
      <c r="AD323">
        <f t="shared" si="52"/>
        <v>16.799900000000001</v>
      </c>
      <c r="AE323">
        <f t="shared" si="53"/>
        <v>3.2581558061</v>
      </c>
      <c r="AF323" s="9"/>
      <c r="AG323" s="22">
        <v>1.47614</v>
      </c>
      <c r="AH323" s="22">
        <v>262.87299999999999</v>
      </c>
      <c r="AI323" s="22">
        <v>-1.43494E-2</v>
      </c>
      <c r="AJ323" s="22">
        <v>313</v>
      </c>
      <c r="AK323" s="22">
        <v>1.4749099999999999</v>
      </c>
      <c r="AL323">
        <f t="shared" si="54"/>
        <v>14.349399999999999</v>
      </c>
      <c r="AM323">
        <f t="shared" si="55"/>
        <v>21.181723315999999</v>
      </c>
      <c r="AP323" s="9"/>
      <c r="AQ323" s="22">
        <v>0.193939</v>
      </c>
      <c r="AR323" s="22">
        <v>341.72800000000001</v>
      </c>
      <c r="AS323" s="22">
        <v>-1.67694E-2</v>
      </c>
      <c r="AT323" s="22">
        <v>313</v>
      </c>
      <c r="AU323" s="22">
        <v>0.19323699999999999</v>
      </c>
      <c r="AV323">
        <f t="shared" si="56"/>
        <v>16.769400000000001</v>
      </c>
      <c r="AW323">
        <f t="shared" si="57"/>
        <v>3.2522406666000001</v>
      </c>
      <c r="AX323" s="9"/>
      <c r="AY323" s="22">
        <v>1.47614</v>
      </c>
      <c r="AZ323" s="22">
        <v>400.03800000000001</v>
      </c>
      <c r="BA323" s="22">
        <v>-1.43585E-2</v>
      </c>
      <c r="BB323" s="22">
        <v>313</v>
      </c>
      <c r="BC323" s="22">
        <v>1.4749099999999999</v>
      </c>
      <c r="BD323">
        <f t="shared" si="58"/>
        <v>14.358499999999999</v>
      </c>
      <c r="BE323">
        <f t="shared" si="59"/>
        <v>21.195156189999999</v>
      </c>
    </row>
    <row r="324" spans="6:57">
      <c r="F324" s="9"/>
      <c r="G324" s="22">
        <v>0.18890399999999999</v>
      </c>
      <c r="H324" s="22">
        <v>70.989900000000006</v>
      </c>
      <c r="I324" s="22">
        <v>-1.6818199999999998E-2</v>
      </c>
      <c r="J324" s="22">
        <v>314</v>
      </c>
      <c r="K324" s="22">
        <v>0.18823200000000001</v>
      </c>
      <c r="L324">
        <f t="shared" si="48"/>
        <v>16.818199999999997</v>
      </c>
      <c r="M324">
        <f t="shared" si="49"/>
        <v>3.1770252527999991</v>
      </c>
      <c r="N324" s="9"/>
      <c r="O324" s="22">
        <v>1.4811700000000001</v>
      </c>
      <c r="P324" s="22">
        <v>135.31200000000001</v>
      </c>
      <c r="Q324" s="22">
        <v>-1.4672899999999999E-2</v>
      </c>
      <c r="R324" s="22">
        <v>314</v>
      </c>
      <c r="S324" s="22">
        <v>1.48041</v>
      </c>
      <c r="T324">
        <f t="shared" si="50"/>
        <v>14.672899999999998</v>
      </c>
      <c r="U324">
        <f t="shared" si="51"/>
        <v>21.733059293</v>
      </c>
      <c r="X324" s="9"/>
      <c r="Y324" s="22">
        <v>0.18890399999999999</v>
      </c>
      <c r="Z324" s="22">
        <v>205.44499999999999</v>
      </c>
      <c r="AA324" s="22">
        <v>-1.67847E-2</v>
      </c>
      <c r="AB324" s="22">
        <v>314</v>
      </c>
      <c r="AC324" s="22">
        <v>0.18826300000000001</v>
      </c>
      <c r="AD324">
        <f t="shared" si="52"/>
        <v>16.784700000000001</v>
      </c>
      <c r="AE324">
        <f t="shared" si="53"/>
        <v>3.1706969688000002</v>
      </c>
      <c r="AF324" s="9"/>
      <c r="AG324" s="22">
        <v>1.4811700000000001</v>
      </c>
      <c r="AH324" s="22">
        <v>262.97399999999999</v>
      </c>
      <c r="AI324" s="22">
        <v>-1.43585E-2</v>
      </c>
      <c r="AJ324" s="22">
        <v>314</v>
      </c>
      <c r="AK324" s="22">
        <v>1.48071</v>
      </c>
      <c r="AL324">
        <f t="shared" si="54"/>
        <v>14.358499999999999</v>
      </c>
      <c r="AM324">
        <f t="shared" si="55"/>
        <v>21.267379445</v>
      </c>
      <c r="AP324" s="9"/>
      <c r="AQ324" s="22">
        <v>0.18890399999999999</v>
      </c>
      <c r="AR324" s="22">
        <v>341.82799999999997</v>
      </c>
      <c r="AS324" s="22">
        <v>-1.67694E-2</v>
      </c>
      <c r="AT324" s="22">
        <v>314</v>
      </c>
      <c r="AU324" s="22">
        <v>0.18835399999999999</v>
      </c>
      <c r="AV324">
        <f t="shared" si="56"/>
        <v>16.769400000000001</v>
      </c>
      <c r="AW324">
        <f t="shared" si="57"/>
        <v>3.1678067375999999</v>
      </c>
      <c r="AX324" s="9"/>
      <c r="AY324" s="22">
        <v>1.4811700000000001</v>
      </c>
      <c r="AZ324" s="22">
        <v>400.13900000000001</v>
      </c>
      <c r="BA324" s="22">
        <v>-1.4324999999999999E-2</v>
      </c>
      <c r="BB324" s="22">
        <v>314</v>
      </c>
      <c r="BC324" s="22">
        <v>1.4801</v>
      </c>
      <c r="BD324">
        <f t="shared" si="58"/>
        <v>14.324999999999999</v>
      </c>
      <c r="BE324">
        <f t="shared" si="59"/>
        <v>21.217760250000001</v>
      </c>
    </row>
    <row r="325" spans="6:57">
      <c r="F325" s="9"/>
      <c r="G325" s="22">
        <v>0.183868</v>
      </c>
      <c r="H325" s="22">
        <v>71.090599999999995</v>
      </c>
      <c r="I325" s="22">
        <v>-1.6821300000000001E-2</v>
      </c>
      <c r="J325" s="22">
        <v>315</v>
      </c>
      <c r="K325" s="22">
        <v>0.18328900000000001</v>
      </c>
      <c r="L325">
        <f t="shared" si="48"/>
        <v>16.821300000000001</v>
      </c>
      <c r="M325">
        <f t="shared" si="49"/>
        <v>3.0928987884000003</v>
      </c>
      <c r="N325" s="9"/>
      <c r="O325" s="22">
        <v>1.48621</v>
      </c>
      <c r="P325" s="22">
        <v>135.41300000000001</v>
      </c>
      <c r="Q325" s="22">
        <v>-1.46088E-2</v>
      </c>
      <c r="R325" s="22">
        <v>315</v>
      </c>
      <c r="S325" s="22">
        <v>1.48529</v>
      </c>
      <c r="T325">
        <f t="shared" si="50"/>
        <v>14.6088</v>
      </c>
      <c r="U325">
        <f t="shared" si="51"/>
        <v>21.711744648</v>
      </c>
      <c r="X325" s="9"/>
      <c r="Y325" s="22">
        <v>0.183868</v>
      </c>
      <c r="Z325" s="22">
        <v>205.54599999999999</v>
      </c>
      <c r="AA325" s="22">
        <v>-1.6793800000000001E-2</v>
      </c>
      <c r="AB325" s="22">
        <v>315</v>
      </c>
      <c r="AC325" s="22">
        <v>0.183228</v>
      </c>
      <c r="AD325">
        <f t="shared" si="52"/>
        <v>16.793800000000001</v>
      </c>
      <c r="AE325">
        <f t="shared" si="53"/>
        <v>3.0878424184000002</v>
      </c>
      <c r="AF325" s="9"/>
      <c r="AG325" s="22">
        <v>1.48621</v>
      </c>
      <c r="AH325" s="22">
        <v>263.07499999999999</v>
      </c>
      <c r="AI325" s="22">
        <v>-1.4328E-2</v>
      </c>
      <c r="AJ325" s="22">
        <v>315</v>
      </c>
      <c r="AK325" s="22">
        <v>1.4856</v>
      </c>
      <c r="AL325">
        <f t="shared" si="54"/>
        <v>14.328000000000001</v>
      </c>
      <c r="AM325">
        <f t="shared" si="55"/>
        <v>21.294416880000004</v>
      </c>
      <c r="AP325" s="9"/>
      <c r="AQ325" s="22">
        <v>0.183868</v>
      </c>
      <c r="AR325" s="22">
        <v>341.92899999999997</v>
      </c>
      <c r="AS325" s="22">
        <v>-1.6766400000000001E-2</v>
      </c>
      <c r="AT325" s="22">
        <v>315</v>
      </c>
      <c r="AU325" s="22">
        <v>0.18313599999999999</v>
      </c>
      <c r="AV325">
        <f t="shared" si="56"/>
        <v>16.766400000000001</v>
      </c>
      <c r="AW325">
        <f t="shared" si="57"/>
        <v>3.0828044352000004</v>
      </c>
      <c r="AX325" s="9"/>
      <c r="AY325" s="22">
        <v>1.48621</v>
      </c>
      <c r="AZ325" s="22">
        <v>400.24</v>
      </c>
      <c r="BA325" s="22">
        <v>-1.427E-2</v>
      </c>
      <c r="BB325" s="22">
        <v>315</v>
      </c>
      <c r="BC325" s="22">
        <v>1.4859</v>
      </c>
      <c r="BD325">
        <f t="shared" si="58"/>
        <v>14.27</v>
      </c>
      <c r="BE325">
        <f t="shared" si="59"/>
        <v>21.208216700000001</v>
      </c>
    </row>
    <row r="326" spans="6:57">
      <c r="F326" s="9"/>
      <c r="G326" s="22">
        <v>0.17883299999999999</v>
      </c>
      <c r="H326" s="22">
        <v>71.191299999999998</v>
      </c>
      <c r="I326" s="22">
        <v>-1.68091E-2</v>
      </c>
      <c r="J326" s="22">
        <v>316</v>
      </c>
      <c r="K326" s="22">
        <v>0.17804</v>
      </c>
      <c r="L326">
        <f t="shared" si="48"/>
        <v>16.809100000000001</v>
      </c>
      <c r="M326">
        <f t="shared" si="49"/>
        <v>3.0060217803000002</v>
      </c>
      <c r="N326" s="9"/>
      <c r="O326" s="22">
        <v>1.4912399999999999</v>
      </c>
      <c r="P326" s="22">
        <v>135.51300000000001</v>
      </c>
      <c r="Q326" s="22">
        <v>-1.4578199999999999E-2</v>
      </c>
      <c r="R326" s="22">
        <v>316</v>
      </c>
      <c r="S326" s="22">
        <v>1.49017</v>
      </c>
      <c r="T326">
        <f t="shared" si="50"/>
        <v>14.578199999999999</v>
      </c>
      <c r="U326">
        <f t="shared" si="51"/>
        <v>21.739594967999999</v>
      </c>
      <c r="X326" s="9"/>
      <c r="Y326" s="22">
        <v>0.17883299999999999</v>
      </c>
      <c r="Z326" s="22">
        <v>205.64599999999999</v>
      </c>
      <c r="AA326" s="22">
        <v>-1.6790800000000002E-2</v>
      </c>
      <c r="AB326" s="22">
        <v>316</v>
      </c>
      <c r="AC326" s="22">
        <v>0.17816199999999999</v>
      </c>
      <c r="AD326">
        <f t="shared" si="52"/>
        <v>16.790800000000001</v>
      </c>
      <c r="AE326">
        <f t="shared" si="53"/>
        <v>3.0027491363999999</v>
      </c>
      <c r="AF326" s="9"/>
      <c r="AG326" s="22">
        <v>1.4912399999999999</v>
      </c>
      <c r="AH326" s="22">
        <v>263.17500000000001</v>
      </c>
      <c r="AI326" s="22">
        <v>-1.43158E-2</v>
      </c>
      <c r="AJ326" s="22">
        <v>316</v>
      </c>
      <c r="AK326" s="22">
        <v>1.49017</v>
      </c>
      <c r="AL326">
        <f t="shared" si="54"/>
        <v>14.315799999999999</v>
      </c>
      <c r="AM326">
        <f t="shared" si="55"/>
        <v>21.348293591999997</v>
      </c>
      <c r="AP326" s="9"/>
      <c r="AQ326" s="22">
        <v>0.17883299999999999</v>
      </c>
      <c r="AR326" s="22">
        <v>342.03</v>
      </c>
      <c r="AS326" s="22">
        <v>-1.6775499999999999E-2</v>
      </c>
      <c r="AT326" s="22">
        <v>316</v>
      </c>
      <c r="AU326" s="22">
        <v>0.17825299999999999</v>
      </c>
      <c r="AV326">
        <f t="shared" si="56"/>
        <v>16.775499999999997</v>
      </c>
      <c r="AW326">
        <f t="shared" si="57"/>
        <v>3.0000129914999993</v>
      </c>
      <c r="AX326" s="9"/>
      <c r="AY326" s="22">
        <v>1.4912399999999999</v>
      </c>
      <c r="AZ326" s="22">
        <v>400.34100000000001</v>
      </c>
      <c r="BA326" s="22">
        <v>-1.42273E-2</v>
      </c>
      <c r="BB326" s="22">
        <v>316</v>
      </c>
      <c r="BC326" s="22">
        <v>1.49048</v>
      </c>
      <c r="BD326">
        <f t="shared" si="58"/>
        <v>14.2273</v>
      </c>
      <c r="BE326">
        <f t="shared" si="59"/>
        <v>21.216318851999997</v>
      </c>
    </row>
    <row r="327" spans="6:57">
      <c r="F327" s="9"/>
      <c r="G327" s="22">
        <v>0.17379800000000001</v>
      </c>
      <c r="H327" s="22">
        <v>71.292000000000002</v>
      </c>
      <c r="I327" s="22">
        <v>-1.6815199999999999E-2</v>
      </c>
      <c r="J327" s="22">
        <v>317</v>
      </c>
      <c r="K327" s="22">
        <v>0.17327899999999999</v>
      </c>
      <c r="L327">
        <f t="shared" si="48"/>
        <v>16.815199999999997</v>
      </c>
      <c r="M327">
        <f t="shared" si="49"/>
        <v>2.9224481295999998</v>
      </c>
      <c r="N327" s="9"/>
      <c r="O327" s="22">
        <v>1.4962800000000001</v>
      </c>
      <c r="P327" s="22">
        <v>135.614</v>
      </c>
      <c r="Q327" s="22">
        <v>-1.45477E-2</v>
      </c>
      <c r="R327" s="22">
        <v>317</v>
      </c>
      <c r="S327" s="22">
        <v>1.4956700000000001</v>
      </c>
      <c r="T327">
        <f t="shared" si="50"/>
        <v>14.547700000000001</v>
      </c>
      <c r="U327">
        <f t="shared" si="51"/>
        <v>21.767432556000003</v>
      </c>
      <c r="X327" s="9"/>
      <c r="Y327" s="22">
        <v>0.17379800000000001</v>
      </c>
      <c r="Z327" s="22">
        <v>205.74700000000001</v>
      </c>
      <c r="AA327" s="22">
        <v>-1.67999E-2</v>
      </c>
      <c r="AB327" s="22">
        <v>317</v>
      </c>
      <c r="AC327" s="22">
        <v>0.173065</v>
      </c>
      <c r="AD327">
        <f t="shared" si="52"/>
        <v>16.799900000000001</v>
      </c>
      <c r="AE327">
        <f t="shared" si="53"/>
        <v>2.9197890202000001</v>
      </c>
      <c r="AF327" s="9"/>
      <c r="AG327" s="22">
        <v>1.4962800000000001</v>
      </c>
      <c r="AH327" s="22">
        <v>263.27600000000001</v>
      </c>
      <c r="AI327" s="22">
        <v>-1.42822E-2</v>
      </c>
      <c r="AJ327" s="22">
        <v>317</v>
      </c>
      <c r="AK327" s="22">
        <v>1.49536</v>
      </c>
      <c r="AL327">
        <f t="shared" si="54"/>
        <v>14.2822</v>
      </c>
      <c r="AM327">
        <f t="shared" si="55"/>
        <v>21.370170216000002</v>
      </c>
      <c r="AP327" s="9"/>
      <c r="AQ327" s="22">
        <v>0.17379800000000001</v>
      </c>
      <c r="AR327" s="22">
        <v>342.13</v>
      </c>
      <c r="AS327" s="22">
        <v>-1.6775499999999999E-2</v>
      </c>
      <c r="AT327" s="22">
        <v>317</v>
      </c>
      <c r="AU327" s="22">
        <v>0.173126</v>
      </c>
      <c r="AV327">
        <f t="shared" si="56"/>
        <v>16.775499999999997</v>
      </c>
      <c r="AW327">
        <f t="shared" si="57"/>
        <v>2.9155483489999998</v>
      </c>
      <c r="AX327" s="9"/>
      <c r="AY327" s="22">
        <v>1.4962800000000001</v>
      </c>
      <c r="AZ327" s="22">
        <v>400.44099999999997</v>
      </c>
      <c r="BA327" s="22">
        <v>-1.4169299999999999E-2</v>
      </c>
      <c r="BB327" s="22">
        <v>317</v>
      </c>
      <c r="BC327" s="22">
        <v>1.49536</v>
      </c>
      <c r="BD327">
        <f t="shared" si="58"/>
        <v>14.1693</v>
      </c>
      <c r="BE327">
        <f t="shared" si="59"/>
        <v>21.201240204000001</v>
      </c>
    </row>
    <row r="328" spans="6:57">
      <c r="F328" s="9"/>
      <c r="G328" s="22">
        <v>0.168762</v>
      </c>
      <c r="H328" s="22">
        <v>71.392700000000005</v>
      </c>
      <c r="I328" s="22">
        <v>-1.6806000000000001E-2</v>
      </c>
      <c r="J328" s="22">
        <v>318</v>
      </c>
      <c r="K328" s="22">
        <v>0.16809099999999999</v>
      </c>
      <c r="L328">
        <f t="shared" si="48"/>
        <v>16.806000000000001</v>
      </c>
      <c r="M328">
        <f t="shared" si="49"/>
        <v>2.836214172</v>
      </c>
      <c r="N328" s="9"/>
      <c r="O328" s="22">
        <v>1.5013099999999999</v>
      </c>
      <c r="P328" s="22">
        <v>135.715</v>
      </c>
      <c r="Q328" s="22">
        <v>-1.4483599999999999E-2</v>
      </c>
      <c r="R328" s="22">
        <v>318</v>
      </c>
      <c r="S328" s="22">
        <v>1.50024</v>
      </c>
      <c r="T328">
        <f t="shared" si="50"/>
        <v>14.483599999999999</v>
      </c>
      <c r="U328">
        <f t="shared" si="51"/>
        <v>21.744373515999996</v>
      </c>
      <c r="X328" s="9"/>
      <c r="Y328" s="22">
        <v>0.168762</v>
      </c>
      <c r="Z328" s="22">
        <v>205.84800000000001</v>
      </c>
      <c r="AA328" s="22">
        <v>-1.6793800000000001E-2</v>
      </c>
      <c r="AB328" s="22">
        <v>318</v>
      </c>
      <c r="AC328" s="22">
        <v>0.16809099999999999</v>
      </c>
      <c r="AD328">
        <f t="shared" si="52"/>
        <v>16.793800000000001</v>
      </c>
      <c r="AE328">
        <f t="shared" si="53"/>
        <v>2.8341552756000001</v>
      </c>
      <c r="AF328" s="9"/>
      <c r="AG328" s="22">
        <v>1.5013099999999999</v>
      </c>
      <c r="AH328" s="22">
        <v>263.37700000000001</v>
      </c>
      <c r="AI328" s="22">
        <v>-1.4196800000000001E-2</v>
      </c>
      <c r="AJ328" s="22">
        <v>318</v>
      </c>
      <c r="AK328" s="22">
        <v>1.4999400000000001</v>
      </c>
      <c r="AL328">
        <f t="shared" si="54"/>
        <v>14.196800000000001</v>
      </c>
      <c r="AM328">
        <f t="shared" si="55"/>
        <v>21.313797808</v>
      </c>
      <c r="AP328" s="9"/>
      <c r="AQ328" s="22">
        <v>0.168762</v>
      </c>
      <c r="AR328" s="22">
        <v>342.23099999999999</v>
      </c>
      <c r="AS328" s="22">
        <v>-1.6772499999999999E-2</v>
      </c>
      <c r="AT328" s="22">
        <v>318</v>
      </c>
      <c r="AU328" s="22">
        <v>0.168243</v>
      </c>
      <c r="AV328">
        <f t="shared" si="56"/>
        <v>16.772500000000001</v>
      </c>
      <c r="AW328">
        <f t="shared" si="57"/>
        <v>2.8305606450000003</v>
      </c>
      <c r="AX328" s="9"/>
      <c r="AY328" s="22">
        <v>1.5013099999999999</v>
      </c>
      <c r="AZ328" s="22">
        <v>400.54199999999997</v>
      </c>
      <c r="BA328" s="22">
        <v>-1.4120499999999999E-2</v>
      </c>
      <c r="BB328" s="22">
        <v>318</v>
      </c>
      <c r="BC328" s="22">
        <v>1.50024</v>
      </c>
      <c r="BD328">
        <f t="shared" si="58"/>
        <v>14.1205</v>
      </c>
      <c r="BE328">
        <f t="shared" si="59"/>
        <v>21.199247854999999</v>
      </c>
    </row>
    <row r="329" spans="6:57">
      <c r="F329" s="9"/>
      <c r="G329" s="22">
        <v>0.16372700000000001</v>
      </c>
      <c r="H329" s="22">
        <v>71.493399999999994</v>
      </c>
      <c r="I329" s="22">
        <v>-1.6818199999999998E-2</v>
      </c>
      <c r="J329" s="22">
        <v>319</v>
      </c>
      <c r="K329" s="22">
        <v>0.16311600000000001</v>
      </c>
      <c r="L329">
        <f t="shared" si="48"/>
        <v>16.818199999999997</v>
      </c>
      <c r="M329">
        <f t="shared" si="49"/>
        <v>2.7535934313999997</v>
      </c>
      <c r="N329" s="9"/>
      <c r="O329" s="22">
        <v>1.5063500000000001</v>
      </c>
      <c r="P329" s="22">
        <v>135.815</v>
      </c>
      <c r="Q329" s="22">
        <v>-1.44043E-2</v>
      </c>
      <c r="R329" s="22">
        <v>319</v>
      </c>
      <c r="S329" s="22">
        <v>1.50543</v>
      </c>
      <c r="T329">
        <f t="shared" si="50"/>
        <v>14.404299999999999</v>
      </c>
      <c r="U329">
        <f t="shared" si="51"/>
        <v>21.697917305000001</v>
      </c>
      <c r="X329" s="9"/>
      <c r="Y329" s="22">
        <v>0.16372700000000001</v>
      </c>
      <c r="Z329" s="22">
        <v>205.94900000000001</v>
      </c>
      <c r="AA329" s="22">
        <v>-1.6802999999999998E-2</v>
      </c>
      <c r="AB329" s="22">
        <v>319</v>
      </c>
      <c r="AC329" s="22">
        <v>0.163269</v>
      </c>
      <c r="AD329">
        <f t="shared" si="52"/>
        <v>16.802999999999997</v>
      </c>
      <c r="AE329">
        <f t="shared" si="53"/>
        <v>2.7511047809999996</v>
      </c>
      <c r="AF329" s="9"/>
      <c r="AG329" s="22">
        <v>1.5063500000000001</v>
      </c>
      <c r="AH329" s="22">
        <v>263.47699999999998</v>
      </c>
      <c r="AI329" s="22">
        <v>-1.4154099999999999E-2</v>
      </c>
      <c r="AJ329" s="22">
        <v>319</v>
      </c>
      <c r="AK329" s="22">
        <v>1.50543</v>
      </c>
      <c r="AL329">
        <f t="shared" si="54"/>
        <v>14.1541</v>
      </c>
      <c r="AM329">
        <f t="shared" si="55"/>
        <v>21.321028535</v>
      </c>
      <c r="AP329" s="9"/>
      <c r="AQ329" s="22">
        <v>0.16372700000000001</v>
      </c>
      <c r="AR329" s="22">
        <v>342.33199999999999</v>
      </c>
      <c r="AS329" s="22">
        <v>-1.6778600000000001E-2</v>
      </c>
      <c r="AT329" s="22">
        <v>319</v>
      </c>
      <c r="AU329" s="22">
        <v>0.16305500000000001</v>
      </c>
      <c r="AV329">
        <f t="shared" si="56"/>
        <v>16.778600000000001</v>
      </c>
      <c r="AW329">
        <f t="shared" si="57"/>
        <v>2.7471098422000004</v>
      </c>
      <c r="AX329" s="9"/>
      <c r="AY329" s="22">
        <v>1.5063500000000001</v>
      </c>
      <c r="AZ329" s="22">
        <v>400.64299999999997</v>
      </c>
      <c r="BA329" s="22">
        <v>-1.40564E-2</v>
      </c>
      <c r="BB329" s="22">
        <v>319</v>
      </c>
      <c r="BC329" s="22">
        <v>1.50543</v>
      </c>
      <c r="BD329">
        <f t="shared" si="58"/>
        <v>14.0564</v>
      </c>
      <c r="BE329">
        <f t="shared" si="59"/>
        <v>21.17385814</v>
      </c>
    </row>
    <row r="330" spans="6:57">
      <c r="F330" s="9"/>
      <c r="G330" s="22">
        <v>0.158691</v>
      </c>
      <c r="H330" s="22">
        <v>71.594200000000001</v>
      </c>
      <c r="I330" s="22">
        <v>-1.68243E-2</v>
      </c>
      <c r="J330" s="22">
        <v>320</v>
      </c>
      <c r="K330" s="22">
        <v>0.158112</v>
      </c>
      <c r="L330">
        <f t="shared" si="48"/>
        <v>16.824300000000001</v>
      </c>
      <c r="M330">
        <f t="shared" si="49"/>
        <v>2.6698649913000003</v>
      </c>
      <c r="N330" s="9"/>
      <c r="O330" s="22">
        <v>1.5113799999999999</v>
      </c>
      <c r="P330" s="22">
        <v>135.916</v>
      </c>
      <c r="Q330" s="22">
        <v>-1.43768E-2</v>
      </c>
      <c r="R330" s="22">
        <v>320</v>
      </c>
      <c r="S330" s="22">
        <v>1.5106200000000001</v>
      </c>
      <c r="T330">
        <f t="shared" si="50"/>
        <v>14.376800000000001</v>
      </c>
      <c r="U330">
        <f t="shared" si="51"/>
        <v>21.728807983999999</v>
      </c>
      <c r="X330" s="9"/>
      <c r="Y330" s="22">
        <v>0.158691</v>
      </c>
      <c r="Z330" s="22">
        <v>206.04900000000001</v>
      </c>
      <c r="AA330" s="22">
        <v>-1.6806000000000001E-2</v>
      </c>
      <c r="AB330" s="22">
        <v>320</v>
      </c>
      <c r="AC330" s="22">
        <v>0.15801999999999999</v>
      </c>
      <c r="AD330">
        <f t="shared" si="52"/>
        <v>16.806000000000001</v>
      </c>
      <c r="AE330">
        <f t="shared" si="53"/>
        <v>2.6669609460000001</v>
      </c>
      <c r="AF330" s="9"/>
      <c r="AG330" s="22">
        <v>1.5113799999999999</v>
      </c>
      <c r="AH330" s="22">
        <v>263.57799999999997</v>
      </c>
      <c r="AI330" s="22">
        <v>-1.4086899999999999E-2</v>
      </c>
      <c r="AJ330" s="22">
        <v>320</v>
      </c>
      <c r="AK330" s="22">
        <v>1.5106200000000001</v>
      </c>
      <c r="AL330">
        <f t="shared" si="54"/>
        <v>14.0869</v>
      </c>
      <c r="AM330">
        <f t="shared" si="55"/>
        <v>21.290658921999999</v>
      </c>
      <c r="AP330" s="9"/>
      <c r="AQ330" s="22">
        <v>0.158691</v>
      </c>
      <c r="AR330" s="22">
        <v>342.43200000000002</v>
      </c>
      <c r="AS330" s="22">
        <v>-1.6772499999999999E-2</v>
      </c>
      <c r="AT330" s="22">
        <v>320</v>
      </c>
      <c r="AU330" s="22">
        <v>0.158051</v>
      </c>
      <c r="AV330">
        <f t="shared" si="56"/>
        <v>16.772500000000001</v>
      </c>
      <c r="AW330">
        <f t="shared" si="57"/>
        <v>2.6616447975000002</v>
      </c>
      <c r="AX330" s="9"/>
      <c r="AY330" s="22">
        <v>1.5113799999999999</v>
      </c>
      <c r="AZ330" s="22">
        <v>400.74299999999999</v>
      </c>
      <c r="BA330" s="22">
        <v>-1.40167E-2</v>
      </c>
      <c r="BB330" s="22">
        <v>320</v>
      </c>
      <c r="BC330" s="22">
        <v>1.5100100000000001</v>
      </c>
      <c r="BD330">
        <f t="shared" si="58"/>
        <v>14.0167</v>
      </c>
      <c r="BE330">
        <f t="shared" si="59"/>
        <v>21.184560045999998</v>
      </c>
    </row>
    <row r="331" spans="6:57">
      <c r="F331" s="9"/>
      <c r="G331" s="22">
        <v>0.15365599999999999</v>
      </c>
      <c r="H331" s="22">
        <v>71.694900000000004</v>
      </c>
      <c r="I331" s="22">
        <v>-1.6815199999999999E-2</v>
      </c>
      <c r="J331" s="22">
        <v>321</v>
      </c>
      <c r="K331" s="22">
        <v>0.15298500000000001</v>
      </c>
      <c r="L331">
        <f t="shared" si="48"/>
        <v>16.815199999999997</v>
      </c>
      <c r="M331">
        <f t="shared" si="49"/>
        <v>2.5837563711999993</v>
      </c>
      <c r="N331" s="9"/>
      <c r="O331" s="22">
        <v>1.5164200000000001</v>
      </c>
      <c r="P331" s="22">
        <v>136.017</v>
      </c>
      <c r="Q331" s="22">
        <v>-1.4331099999999999E-2</v>
      </c>
      <c r="R331" s="22">
        <v>321</v>
      </c>
      <c r="S331" s="22">
        <v>1.5155000000000001</v>
      </c>
      <c r="T331">
        <f t="shared" si="50"/>
        <v>14.331099999999999</v>
      </c>
      <c r="U331">
        <f t="shared" si="51"/>
        <v>21.731966662000001</v>
      </c>
      <c r="X331" s="9"/>
      <c r="Y331" s="22">
        <v>0.15365599999999999</v>
      </c>
      <c r="Z331" s="22">
        <v>206.15</v>
      </c>
      <c r="AA331" s="22">
        <v>-1.68121E-2</v>
      </c>
      <c r="AB331" s="22">
        <v>321</v>
      </c>
      <c r="AC331" s="22">
        <v>0.153198</v>
      </c>
      <c r="AD331">
        <f t="shared" si="52"/>
        <v>16.812100000000001</v>
      </c>
      <c r="AE331">
        <f t="shared" si="53"/>
        <v>2.5832800375999998</v>
      </c>
      <c r="AF331" s="9"/>
      <c r="AG331" s="22">
        <v>1.5164200000000001</v>
      </c>
      <c r="AH331" s="22">
        <v>263.67899999999997</v>
      </c>
      <c r="AI331" s="22">
        <v>-1.40076E-2</v>
      </c>
      <c r="AJ331" s="22">
        <v>321</v>
      </c>
      <c r="AK331" s="22">
        <v>1.5158100000000001</v>
      </c>
      <c r="AL331">
        <f t="shared" si="54"/>
        <v>14.0076</v>
      </c>
      <c r="AM331">
        <f t="shared" si="55"/>
        <v>21.241404792000001</v>
      </c>
      <c r="AP331" s="9"/>
      <c r="AQ331" s="22">
        <v>0.15365599999999999</v>
      </c>
      <c r="AR331" s="22">
        <v>342.53300000000002</v>
      </c>
      <c r="AS331" s="22">
        <v>-1.6775499999999999E-2</v>
      </c>
      <c r="AT331" s="22">
        <v>321</v>
      </c>
      <c r="AU331" s="22">
        <v>0.15295400000000001</v>
      </c>
      <c r="AV331">
        <f t="shared" si="56"/>
        <v>16.775499999999997</v>
      </c>
      <c r="AW331">
        <f t="shared" si="57"/>
        <v>2.5776562279999995</v>
      </c>
      <c r="AX331" s="9"/>
      <c r="AY331" s="22">
        <v>1.5164200000000001</v>
      </c>
      <c r="AZ331" s="22">
        <v>400.84399999999999</v>
      </c>
      <c r="BA331" s="22">
        <v>-1.3986200000000001E-2</v>
      </c>
      <c r="BB331" s="22">
        <v>321</v>
      </c>
      <c r="BC331" s="22">
        <v>1.5155000000000001</v>
      </c>
      <c r="BD331">
        <f t="shared" si="58"/>
        <v>13.9862</v>
      </c>
      <c r="BE331">
        <f t="shared" si="59"/>
        <v>21.208953404000003</v>
      </c>
    </row>
    <row r="332" spans="6:57">
      <c r="F332" s="9"/>
      <c r="G332" s="22">
        <v>0.148621</v>
      </c>
      <c r="H332" s="22">
        <v>71.795599999999993</v>
      </c>
      <c r="I332" s="22">
        <v>-1.6806000000000001E-2</v>
      </c>
      <c r="J332" s="22">
        <v>322</v>
      </c>
      <c r="K332" s="22">
        <v>0.14798</v>
      </c>
      <c r="L332">
        <f t="shared" ref="L332:L382" si="60">-I332/$F$2*1000</f>
        <v>16.806000000000001</v>
      </c>
      <c r="M332">
        <f t="shared" ref="M332:M382" si="61">L332*G332</f>
        <v>2.4977245260000003</v>
      </c>
      <c r="N332" s="9"/>
      <c r="O332" s="22">
        <v>1.52145</v>
      </c>
      <c r="P332" s="22">
        <v>136.11799999999999</v>
      </c>
      <c r="Q332" s="22">
        <v>-1.4334100000000001E-2</v>
      </c>
      <c r="R332" s="22">
        <v>322</v>
      </c>
      <c r="S332" s="22">
        <v>1.5206900000000001</v>
      </c>
      <c r="T332">
        <f t="shared" ref="T332:T382" si="62">-Q332/$F$2*1000</f>
        <v>14.334100000000001</v>
      </c>
      <c r="U332">
        <f t="shared" ref="U332:U382" si="63">T332*O332</f>
        <v>21.808616445000002</v>
      </c>
      <c r="X332" s="9"/>
      <c r="Y332" s="22">
        <v>0.148621</v>
      </c>
      <c r="Z332" s="22">
        <v>206.251</v>
      </c>
      <c r="AA332" s="22">
        <v>-1.6827399999999999E-2</v>
      </c>
      <c r="AB332" s="22">
        <v>322</v>
      </c>
      <c r="AC332" s="22">
        <v>0.14788799999999999</v>
      </c>
      <c r="AD332">
        <f t="shared" ref="AD332:AD382" si="64">-AA332/$F$2*1000</f>
        <v>16.827400000000001</v>
      </c>
      <c r="AE332">
        <f t="shared" ref="AE332:AE382" si="65">AD332*Y332</f>
        <v>2.5009050154000003</v>
      </c>
      <c r="AF332" s="9"/>
      <c r="AG332" s="22">
        <v>1.52145</v>
      </c>
      <c r="AH332" s="22">
        <v>263.77999999999997</v>
      </c>
      <c r="AI332" s="22">
        <v>-1.40045E-2</v>
      </c>
      <c r="AJ332" s="22">
        <v>322</v>
      </c>
      <c r="AK332" s="22">
        <v>1.5200800000000001</v>
      </c>
      <c r="AL332">
        <f t="shared" ref="AL332:AL382" si="66">-AI332/$F$2*1000</f>
        <v>14.0045</v>
      </c>
      <c r="AM332">
        <f t="shared" ref="AM332:AM382" si="67">AL332*AG332</f>
        <v>21.307146525</v>
      </c>
      <c r="AP332" s="9"/>
      <c r="AQ332" s="22">
        <v>0.148621</v>
      </c>
      <c r="AR332" s="22">
        <v>342.63400000000001</v>
      </c>
      <c r="AS332" s="22">
        <v>-1.6781600000000001E-2</v>
      </c>
      <c r="AT332" s="22">
        <v>322</v>
      </c>
      <c r="AU332" s="22">
        <v>0.14810200000000001</v>
      </c>
      <c r="AV332">
        <f t="shared" ref="AV332:AV382" si="68">-AS332/$F$2*1000</f>
        <v>16.781600000000001</v>
      </c>
      <c r="AW332">
        <f t="shared" ref="AW332:AW382" si="69">AV332*AQ332</f>
        <v>2.4940981736000003</v>
      </c>
      <c r="AX332" s="9"/>
      <c r="AY332" s="22">
        <v>1.52145</v>
      </c>
      <c r="AZ332" s="22">
        <v>400.94499999999999</v>
      </c>
      <c r="BA332" s="22">
        <v>-1.39343E-2</v>
      </c>
      <c r="BB332" s="22">
        <v>322</v>
      </c>
      <c r="BC332" s="22">
        <v>1.5203899999999999</v>
      </c>
      <c r="BD332">
        <f t="shared" ref="BD332:BD382" si="70">-BA332/$F$2*1000</f>
        <v>13.9343</v>
      </c>
      <c r="BE332">
        <f t="shared" ref="BE332:BE382" si="71">BD332*AY332</f>
        <v>21.200340735000001</v>
      </c>
    </row>
    <row r="333" spans="6:57">
      <c r="F333" s="9"/>
      <c r="G333" s="22">
        <v>0.14358499999999999</v>
      </c>
      <c r="H333" s="22">
        <v>71.896299999999997</v>
      </c>
      <c r="I333" s="22">
        <v>-1.6827399999999999E-2</v>
      </c>
      <c r="J333" s="22">
        <v>323</v>
      </c>
      <c r="K333" s="22">
        <v>0.142822</v>
      </c>
      <c r="L333">
        <f t="shared" si="60"/>
        <v>16.827400000000001</v>
      </c>
      <c r="M333">
        <f t="shared" si="61"/>
        <v>2.4161622289999998</v>
      </c>
      <c r="N333" s="9"/>
      <c r="O333" s="22">
        <v>1.5264899999999999</v>
      </c>
      <c r="P333" s="22">
        <v>136.21799999999999</v>
      </c>
      <c r="Q333" s="22">
        <v>-1.4242599999999999E-2</v>
      </c>
      <c r="R333" s="22">
        <v>323</v>
      </c>
      <c r="S333" s="22">
        <v>1.5261800000000001</v>
      </c>
      <c r="T333">
        <f t="shared" si="62"/>
        <v>14.242599999999999</v>
      </c>
      <c r="U333">
        <f t="shared" si="63"/>
        <v>21.741186473999999</v>
      </c>
      <c r="X333" s="9"/>
      <c r="Y333" s="22">
        <v>0.14358499999999999</v>
      </c>
      <c r="Z333" s="22">
        <v>206.351</v>
      </c>
      <c r="AA333" s="22">
        <v>-1.6818199999999998E-2</v>
      </c>
      <c r="AB333" s="22">
        <v>323</v>
      </c>
      <c r="AC333" s="22">
        <v>0.14294399999999999</v>
      </c>
      <c r="AD333">
        <f t="shared" si="64"/>
        <v>16.818199999999997</v>
      </c>
      <c r="AE333">
        <f t="shared" si="65"/>
        <v>2.4148412469999996</v>
      </c>
      <c r="AF333" s="9"/>
      <c r="AG333" s="22">
        <v>1.5264899999999999</v>
      </c>
      <c r="AH333" s="22">
        <v>263.88</v>
      </c>
      <c r="AI333" s="22">
        <v>-1.39252E-2</v>
      </c>
      <c r="AJ333" s="22">
        <v>323</v>
      </c>
      <c r="AK333" s="22">
        <v>1.5252699999999999</v>
      </c>
      <c r="AL333">
        <f t="shared" si="66"/>
        <v>13.9252</v>
      </c>
      <c r="AM333">
        <f t="shared" si="67"/>
        <v>21.256678548</v>
      </c>
      <c r="AP333" s="9"/>
      <c r="AQ333" s="22">
        <v>0.14358499999999999</v>
      </c>
      <c r="AR333" s="22">
        <v>342.73500000000001</v>
      </c>
      <c r="AS333" s="22">
        <v>-1.6781600000000001E-2</v>
      </c>
      <c r="AT333" s="22">
        <v>323</v>
      </c>
      <c r="AU333" s="22">
        <v>0.14294399999999999</v>
      </c>
      <c r="AV333">
        <f t="shared" si="68"/>
        <v>16.781600000000001</v>
      </c>
      <c r="AW333">
        <f t="shared" si="69"/>
        <v>2.4095860359999999</v>
      </c>
      <c r="AX333" s="9"/>
      <c r="AY333" s="22">
        <v>1.5264899999999999</v>
      </c>
      <c r="AZ333" s="22">
        <v>401.04599999999999</v>
      </c>
      <c r="BA333" s="22">
        <v>-1.38824E-2</v>
      </c>
      <c r="BB333" s="22">
        <v>323</v>
      </c>
      <c r="BC333" s="22">
        <v>1.5252699999999999</v>
      </c>
      <c r="BD333">
        <f t="shared" si="70"/>
        <v>13.882399999999999</v>
      </c>
      <c r="BE333">
        <f t="shared" si="71"/>
        <v>21.191344775999998</v>
      </c>
    </row>
    <row r="334" spans="6:57">
      <c r="F334" s="9"/>
      <c r="G334" s="22">
        <v>0.13855000000000001</v>
      </c>
      <c r="H334" s="22">
        <v>71.997</v>
      </c>
      <c r="I334" s="22">
        <v>-1.68243E-2</v>
      </c>
      <c r="J334" s="22">
        <v>324</v>
      </c>
      <c r="K334" s="22">
        <v>0.13778699999999999</v>
      </c>
      <c r="L334">
        <f t="shared" si="60"/>
        <v>16.824300000000001</v>
      </c>
      <c r="M334">
        <f t="shared" si="61"/>
        <v>2.3310067650000001</v>
      </c>
      <c r="N334" s="9"/>
      <c r="O334" s="22">
        <v>1.53152</v>
      </c>
      <c r="P334" s="22">
        <v>136.31899999999999</v>
      </c>
      <c r="Q334" s="22">
        <v>-1.41602E-2</v>
      </c>
      <c r="R334" s="22">
        <v>324</v>
      </c>
      <c r="S334" s="22">
        <v>1.5307599999999999</v>
      </c>
      <c r="T334">
        <f t="shared" si="62"/>
        <v>14.1602</v>
      </c>
      <c r="U334">
        <f t="shared" si="63"/>
        <v>21.686629503999999</v>
      </c>
      <c r="X334" s="9"/>
      <c r="Y334" s="22">
        <v>0.13855000000000001</v>
      </c>
      <c r="Z334" s="22">
        <v>206.452</v>
      </c>
      <c r="AA334" s="22">
        <v>-1.6806000000000001E-2</v>
      </c>
      <c r="AB334" s="22">
        <v>324</v>
      </c>
      <c r="AC334" s="22">
        <v>0.137909</v>
      </c>
      <c r="AD334">
        <f t="shared" si="64"/>
        <v>16.806000000000001</v>
      </c>
      <c r="AE334">
        <f t="shared" si="65"/>
        <v>2.3284713000000004</v>
      </c>
      <c r="AF334" s="9"/>
      <c r="AG334" s="22">
        <v>1.53152</v>
      </c>
      <c r="AH334" s="22">
        <v>263.98099999999999</v>
      </c>
      <c r="AI334" s="22">
        <v>-1.38885E-2</v>
      </c>
      <c r="AJ334" s="22">
        <v>324</v>
      </c>
      <c r="AK334" s="22">
        <v>1.5310699999999999</v>
      </c>
      <c r="AL334">
        <f t="shared" si="66"/>
        <v>13.888500000000001</v>
      </c>
      <c r="AM334">
        <f t="shared" si="67"/>
        <v>21.27051552</v>
      </c>
      <c r="AP334" s="9"/>
      <c r="AQ334" s="22">
        <v>0.13855000000000001</v>
      </c>
      <c r="AR334" s="22">
        <v>342.83499999999998</v>
      </c>
      <c r="AS334" s="22">
        <v>-1.6778600000000001E-2</v>
      </c>
      <c r="AT334" s="22">
        <v>324</v>
      </c>
      <c r="AU334" s="22">
        <v>0.13803099999999999</v>
      </c>
      <c r="AV334">
        <f t="shared" si="68"/>
        <v>16.778600000000001</v>
      </c>
      <c r="AW334">
        <f t="shared" si="69"/>
        <v>2.3246750300000003</v>
      </c>
      <c r="AX334" s="9"/>
      <c r="AY334" s="22">
        <v>1.53152</v>
      </c>
      <c r="AZ334" s="22">
        <v>401.14600000000002</v>
      </c>
      <c r="BA334" s="22">
        <v>-1.38306E-2</v>
      </c>
      <c r="BB334" s="22">
        <v>324</v>
      </c>
      <c r="BC334" s="22">
        <v>1.5304599999999999</v>
      </c>
      <c r="BD334">
        <f t="shared" si="70"/>
        <v>13.8306</v>
      </c>
      <c r="BE334">
        <f t="shared" si="71"/>
        <v>21.181840512000001</v>
      </c>
    </row>
    <row r="335" spans="6:57">
      <c r="F335" s="9"/>
      <c r="G335" s="22">
        <v>0.13351399999999999</v>
      </c>
      <c r="H335" s="22">
        <v>72.097700000000003</v>
      </c>
      <c r="I335" s="22">
        <v>-1.6836500000000001E-2</v>
      </c>
      <c r="J335" s="22">
        <v>325</v>
      </c>
      <c r="K335" s="22">
        <v>0.13302600000000001</v>
      </c>
      <c r="L335">
        <f t="shared" si="60"/>
        <v>16.836500000000001</v>
      </c>
      <c r="M335">
        <f t="shared" si="61"/>
        <v>2.2479084610000002</v>
      </c>
      <c r="N335" s="9"/>
      <c r="O335" s="22">
        <v>1.5365599999999999</v>
      </c>
      <c r="P335" s="22">
        <v>136.41999999999999</v>
      </c>
      <c r="Q335" s="22">
        <v>-1.40961E-2</v>
      </c>
      <c r="R335" s="22">
        <v>325</v>
      </c>
      <c r="S335" s="22">
        <v>1.5356399999999999</v>
      </c>
      <c r="T335">
        <f t="shared" si="62"/>
        <v>14.0961</v>
      </c>
      <c r="U335">
        <f t="shared" si="63"/>
        <v>21.659503416</v>
      </c>
      <c r="X335" s="9"/>
      <c r="Y335" s="22">
        <v>0.13351399999999999</v>
      </c>
      <c r="Z335" s="22">
        <v>206.553</v>
      </c>
      <c r="AA335" s="22">
        <v>-1.68121E-2</v>
      </c>
      <c r="AB335" s="22">
        <v>325</v>
      </c>
      <c r="AC335" s="22">
        <v>0.132935</v>
      </c>
      <c r="AD335">
        <f t="shared" si="64"/>
        <v>16.812100000000001</v>
      </c>
      <c r="AE335">
        <f t="shared" si="65"/>
        <v>2.2446507194</v>
      </c>
      <c r="AF335" s="9"/>
      <c r="AG335" s="22">
        <v>1.5365599999999999</v>
      </c>
      <c r="AH335" s="22">
        <v>264.08199999999999</v>
      </c>
      <c r="AI335" s="22">
        <v>-1.38031E-2</v>
      </c>
      <c r="AJ335" s="22">
        <v>325</v>
      </c>
      <c r="AK335" s="22">
        <v>1.5359499999999999</v>
      </c>
      <c r="AL335">
        <f t="shared" si="66"/>
        <v>13.803100000000001</v>
      </c>
      <c r="AM335">
        <f t="shared" si="67"/>
        <v>21.209291336</v>
      </c>
      <c r="AP335" s="9"/>
      <c r="AQ335" s="22">
        <v>0.13351399999999999</v>
      </c>
      <c r="AR335" s="22">
        <v>342.93599999999998</v>
      </c>
      <c r="AS335" s="22">
        <v>-1.67969E-2</v>
      </c>
      <c r="AT335" s="22">
        <v>325</v>
      </c>
      <c r="AU335" s="22">
        <v>0.13281299999999999</v>
      </c>
      <c r="AV335">
        <f t="shared" si="68"/>
        <v>16.796900000000001</v>
      </c>
      <c r="AW335">
        <f t="shared" si="69"/>
        <v>2.2426213065999998</v>
      </c>
      <c r="AX335" s="9"/>
      <c r="AY335" s="22">
        <v>1.5365599999999999</v>
      </c>
      <c r="AZ335" s="22">
        <v>401.24700000000001</v>
      </c>
      <c r="BA335" s="22">
        <v>-1.3775600000000001E-2</v>
      </c>
      <c r="BB335" s="22">
        <v>325</v>
      </c>
      <c r="BC335" s="22">
        <v>1.5359499999999999</v>
      </c>
      <c r="BD335">
        <f t="shared" si="70"/>
        <v>13.775600000000001</v>
      </c>
      <c r="BE335">
        <f t="shared" si="71"/>
        <v>21.167035936000001</v>
      </c>
    </row>
    <row r="336" spans="6:57">
      <c r="F336" s="9"/>
      <c r="G336" s="22">
        <v>0.12847900000000001</v>
      </c>
      <c r="H336" s="22">
        <v>72.198400000000007</v>
      </c>
      <c r="I336" s="22">
        <v>-1.68396E-2</v>
      </c>
      <c r="J336" s="22">
        <v>326</v>
      </c>
      <c r="K336" s="22">
        <v>0.12783800000000001</v>
      </c>
      <c r="L336">
        <f t="shared" si="60"/>
        <v>16.839600000000001</v>
      </c>
      <c r="M336">
        <f t="shared" si="61"/>
        <v>2.1635349684000005</v>
      </c>
      <c r="N336" s="9"/>
      <c r="O336" s="22">
        <v>1.5416000000000001</v>
      </c>
      <c r="P336" s="22">
        <v>136.52000000000001</v>
      </c>
      <c r="Q336" s="22">
        <v>-1.40289E-2</v>
      </c>
      <c r="R336" s="22">
        <v>326</v>
      </c>
      <c r="S336" s="22">
        <v>1.54053</v>
      </c>
      <c r="T336">
        <f t="shared" si="62"/>
        <v>14.0289</v>
      </c>
      <c r="U336">
        <f t="shared" si="63"/>
        <v>21.626952240000001</v>
      </c>
      <c r="X336" s="9"/>
      <c r="Y336" s="22">
        <v>0.12847900000000001</v>
      </c>
      <c r="Z336" s="22">
        <v>206.654</v>
      </c>
      <c r="AA336" s="22">
        <v>-1.68121E-2</v>
      </c>
      <c r="AB336" s="22">
        <v>326</v>
      </c>
      <c r="AC336" s="22">
        <v>0.12783800000000001</v>
      </c>
      <c r="AD336">
        <f t="shared" si="64"/>
        <v>16.812100000000001</v>
      </c>
      <c r="AE336">
        <f t="shared" si="65"/>
        <v>2.1600017959000004</v>
      </c>
      <c r="AF336" s="9"/>
      <c r="AG336" s="22">
        <v>1.5416000000000001</v>
      </c>
      <c r="AH336" s="22">
        <v>264.18200000000002</v>
      </c>
      <c r="AI336" s="22">
        <v>-1.3736E-2</v>
      </c>
      <c r="AJ336" s="22">
        <v>326</v>
      </c>
      <c r="AK336" s="22">
        <v>1.5402199999999999</v>
      </c>
      <c r="AL336">
        <f t="shared" si="66"/>
        <v>13.736000000000001</v>
      </c>
      <c r="AM336">
        <f t="shared" si="67"/>
        <v>21.175417600000003</v>
      </c>
      <c r="AP336" s="9"/>
      <c r="AQ336" s="22">
        <v>0.12847900000000001</v>
      </c>
      <c r="AR336" s="22">
        <v>343.03699999999998</v>
      </c>
      <c r="AS336" s="22">
        <v>-1.6793800000000001E-2</v>
      </c>
      <c r="AT336" s="22">
        <v>326</v>
      </c>
      <c r="AU336" s="22">
        <v>0.127747</v>
      </c>
      <c r="AV336">
        <f t="shared" si="68"/>
        <v>16.793800000000001</v>
      </c>
      <c r="AW336">
        <f t="shared" si="69"/>
        <v>2.1576506302000005</v>
      </c>
      <c r="AX336" s="9"/>
      <c r="AY336" s="22">
        <v>1.5416000000000001</v>
      </c>
      <c r="AZ336" s="22">
        <v>401.34800000000001</v>
      </c>
      <c r="BA336" s="22">
        <v>-1.37146E-2</v>
      </c>
      <c r="BB336" s="22">
        <v>326</v>
      </c>
      <c r="BC336" s="22">
        <v>1.54114</v>
      </c>
      <c r="BD336">
        <f t="shared" si="70"/>
        <v>13.714600000000001</v>
      </c>
      <c r="BE336">
        <f t="shared" si="71"/>
        <v>21.142427360000003</v>
      </c>
    </row>
    <row r="337" spans="6:57">
      <c r="F337" s="9"/>
      <c r="G337" s="22">
        <v>0.123444</v>
      </c>
      <c r="H337" s="22">
        <v>72.299099999999996</v>
      </c>
      <c r="I337" s="22">
        <v>-1.6854899999999999E-2</v>
      </c>
      <c r="J337" s="22">
        <v>327</v>
      </c>
      <c r="K337" s="22">
        <v>0.12277200000000001</v>
      </c>
      <c r="L337">
        <f t="shared" si="60"/>
        <v>16.854900000000001</v>
      </c>
      <c r="M337">
        <f t="shared" si="61"/>
        <v>2.0806362755999999</v>
      </c>
      <c r="N337" s="9"/>
      <c r="O337" s="22">
        <v>1.5466299999999999</v>
      </c>
      <c r="P337" s="22">
        <v>136.62100000000001</v>
      </c>
      <c r="Q337" s="22">
        <v>-1.3977099999999999E-2</v>
      </c>
      <c r="R337" s="22">
        <v>327</v>
      </c>
      <c r="S337" s="22">
        <v>1.54572</v>
      </c>
      <c r="T337">
        <f t="shared" si="62"/>
        <v>13.9771</v>
      </c>
      <c r="U337">
        <f t="shared" si="63"/>
        <v>21.617402172999999</v>
      </c>
      <c r="X337" s="9"/>
      <c r="Y337" s="22">
        <v>0.123444</v>
      </c>
      <c r="Z337" s="22">
        <v>206.75399999999999</v>
      </c>
      <c r="AA337" s="22">
        <v>-1.6815199999999999E-2</v>
      </c>
      <c r="AB337" s="22">
        <v>327</v>
      </c>
      <c r="AC337" s="22">
        <v>0.12277200000000001</v>
      </c>
      <c r="AD337">
        <f t="shared" si="64"/>
        <v>16.815199999999997</v>
      </c>
      <c r="AE337">
        <f t="shared" si="65"/>
        <v>2.0757355487999996</v>
      </c>
      <c r="AF337" s="9"/>
      <c r="AG337" s="22">
        <v>1.5466299999999999</v>
      </c>
      <c r="AH337" s="22">
        <v>264.28300000000002</v>
      </c>
      <c r="AI337" s="22">
        <v>-1.36749E-2</v>
      </c>
      <c r="AJ337" s="22">
        <v>327</v>
      </c>
      <c r="AK337" s="22">
        <v>1.5460199999999999</v>
      </c>
      <c r="AL337">
        <f t="shared" si="66"/>
        <v>13.674900000000001</v>
      </c>
      <c r="AM337">
        <f t="shared" si="67"/>
        <v>21.150010587000001</v>
      </c>
      <c r="AP337" s="9"/>
      <c r="AQ337" s="22">
        <v>0.123444</v>
      </c>
      <c r="AR337" s="22">
        <v>343.137</v>
      </c>
      <c r="AS337" s="22">
        <v>-1.6793800000000001E-2</v>
      </c>
      <c r="AT337" s="22">
        <v>327</v>
      </c>
      <c r="AU337" s="22">
        <v>0.122742</v>
      </c>
      <c r="AV337">
        <f t="shared" si="68"/>
        <v>16.793800000000001</v>
      </c>
      <c r="AW337">
        <f t="shared" si="69"/>
        <v>2.0730938472</v>
      </c>
      <c r="AX337" s="9"/>
      <c r="AY337" s="22">
        <v>1.5466299999999999</v>
      </c>
      <c r="AZ337" s="22">
        <v>401.44799999999998</v>
      </c>
      <c r="BA337" s="22">
        <v>-1.3671900000000001E-2</v>
      </c>
      <c r="BB337" s="22">
        <v>327</v>
      </c>
      <c r="BC337" s="22">
        <v>1.54572</v>
      </c>
      <c r="BD337">
        <f t="shared" si="70"/>
        <v>13.671900000000001</v>
      </c>
      <c r="BE337">
        <f t="shared" si="71"/>
        <v>21.145370697000001</v>
      </c>
    </row>
    <row r="338" spans="6:57">
      <c r="F338" s="9"/>
      <c r="G338" s="22">
        <v>0.118408</v>
      </c>
      <c r="H338" s="22">
        <v>72.399799999999999</v>
      </c>
      <c r="I338" s="22">
        <v>-1.6833500000000001E-2</v>
      </c>
      <c r="J338" s="22">
        <v>328</v>
      </c>
      <c r="K338" s="22">
        <v>0.11785900000000001</v>
      </c>
      <c r="L338">
        <f t="shared" si="60"/>
        <v>16.833500000000001</v>
      </c>
      <c r="M338">
        <f t="shared" si="61"/>
        <v>1.993221068</v>
      </c>
      <c r="N338" s="9"/>
      <c r="O338" s="22">
        <v>1.5516700000000001</v>
      </c>
      <c r="P338" s="22">
        <v>136.72200000000001</v>
      </c>
      <c r="Q338" s="22">
        <v>-1.3897700000000001E-2</v>
      </c>
      <c r="R338" s="22">
        <v>328</v>
      </c>
      <c r="S338" s="22">
        <v>1.5508999999999999</v>
      </c>
      <c r="T338">
        <f t="shared" si="62"/>
        <v>13.8977</v>
      </c>
      <c r="U338">
        <f t="shared" si="63"/>
        <v>21.564644159000004</v>
      </c>
      <c r="X338" s="9"/>
      <c r="Y338" s="22">
        <v>0.118408</v>
      </c>
      <c r="Z338" s="22">
        <v>206.85499999999999</v>
      </c>
      <c r="AA338" s="22">
        <v>-1.68121E-2</v>
      </c>
      <c r="AB338" s="22">
        <v>328</v>
      </c>
      <c r="AC338" s="22">
        <v>0.117798</v>
      </c>
      <c r="AD338">
        <f t="shared" si="64"/>
        <v>16.812100000000001</v>
      </c>
      <c r="AE338">
        <f t="shared" si="65"/>
        <v>1.9906871368000001</v>
      </c>
      <c r="AF338" s="9"/>
      <c r="AG338" s="22">
        <v>1.5516700000000001</v>
      </c>
      <c r="AH338" s="22">
        <v>264.38400000000001</v>
      </c>
      <c r="AI338" s="22">
        <v>-1.36597E-2</v>
      </c>
      <c r="AJ338" s="22">
        <v>328</v>
      </c>
      <c r="AK338" s="22">
        <v>1.5508999999999999</v>
      </c>
      <c r="AL338">
        <f t="shared" si="66"/>
        <v>13.659700000000001</v>
      </c>
      <c r="AM338">
        <f t="shared" si="67"/>
        <v>21.195346699000002</v>
      </c>
      <c r="AP338" s="9"/>
      <c r="AQ338" s="22">
        <v>0.118408</v>
      </c>
      <c r="AR338" s="22">
        <v>343.238</v>
      </c>
      <c r="AS338" s="22">
        <v>-1.6793800000000001E-2</v>
      </c>
      <c r="AT338" s="22">
        <v>328</v>
      </c>
      <c r="AU338" s="22">
        <v>0.11770600000000001</v>
      </c>
      <c r="AV338">
        <f t="shared" si="68"/>
        <v>16.793800000000001</v>
      </c>
      <c r="AW338">
        <f t="shared" si="69"/>
        <v>1.9885202704</v>
      </c>
      <c r="AX338" s="9"/>
      <c r="AY338" s="22">
        <v>1.5516700000000001</v>
      </c>
      <c r="AZ338" s="22">
        <v>401.54899999999998</v>
      </c>
      <c r="BA338" s="22">
        <v>-1.36078E-2</v>
      </c>
      <c r="BB338" s="22">
        <v>328</v>
      </c>
      <c r="BC338" s="22">
        <v>1.5508999999999999</v>
      </c>
      <c r="BD338">
        <f t="shared" si="70"/>
        <v>13.607799999999999</v>
      </c>
      <c r="BE338">
        <f t="shared" si="71"/>
        <v>21.114815025999999</v>
      </c>
    </row>
    <row r="339" spans="6:57">
      <c r="F339" s="9"/>
      <c r="G339" s="22">
        <v>0.113373</v>
      </c>
      <c r="H339" s="22">
        <v>72.500500000000002</v>
      </c>
      <c r="I339" s="22">
        <v>-1.6845700000000002E-2</v>
      </c>
      <c r="J339" s="22">
        <v>329</v>
      </c>
      <c r="K339" s="22">
        <v>0.11267099999999999</v>
      </c>
      <c r="L339">
        <f t="shared" si="60"/>
        <v>16.845700000000001</v>
      </c>
      <c r="M339">
        <f t="shared" si="61"/>
        <v>1.9098475461000002</v>
      </c>
      <c r="N339" s="9"/>
      <c r="O339" s="22">
        <v>1.5567</v>
      </c>
      <c r="P339" s="22">
        <v>136.82300000000001</v>
      </c>
      <c r="Q339" s="22">
        <v>-1.37939E-2</v>
      </c>
      <c r="R339" s="22">
        <v>329</v>
      </c>
      <c r="S339" s="22">
        <v>1.55548</v>
      </c>
      <c r="T339">
        <f t="shared" si="62"/>
        <v>13.793899999999999</v>
      </c>
      <c r="U339">
        <f t="shared" si="63"/>
        <v>21.472964129999998</v>
      </c>
      <c r="X339" s="9"/>
      <c r="Y339" s="22">
        <v>0.113373</v>
      </c>
      <c r="Z339" s="22">
        <v>206.95599999999999</v>
      </c>
      <c r="AA339" s="22">
        <v>-1.6827399999999999E-2</v>
      </c>
      <c r="AB339" s="22">
        <v>329</v>
      </c>
      <c r="AC339" s="22">
        <v>0.112701</v>
      </c>
      <c r="AD339">
        <f t="shared" si="64"/>
        <v>16.827400000000001</v>
      </c>
      <c r="AE339">
        <f t="shared" si="65"/>
        <v>1.9077728202000002</v>
      </c>
      <c r="AF339" s="9"/>
      <c r="AG339" s="22">
        <v>1.5567</v>
      </c>
      <c r="AH339" s="22">
        <v>264.48500000000001</v>
      </c>
      <c r="AI339" s="22">
        <v>-1.35742E-2</v>
      </c>
      <c r="AJ339" s="22">
        <v>329</v>
      </c>
      <c r="AK339" s="22">
        <v>1.55609</v>
      </c>
      <c r="AL339">
        <f t="shared" si="66"/>
        <v>13.574199999999999</v>
      </c>
      <c r="AM339">
        <f t="shared" si="67"/>
        <v>21.13095714</v>
      </c>
      <c r="AP339" s="9"/>
      <c r="AQ339" s="22">
        <v>0.113373</v>
      </c>
      <c r="AR339" s="22">
        <v>343.339</v>
      </c>
      <c r="AS339" s="22">
        <v>-1.6793800000000001E-2</v>
      </c>
      <c r="AT339" s="22">
        <v>329</v>
      </c>
      <c r="AU339" s="22">
        <v>0.11261</v>
      </c>
      <c r="AV339">
        <f t="shared" si="68"/>
        <v>16.793800000000001</v>
      </c>
      <c r="AW339">
        <f t="shared" si="69"/>
        <v>1.9039634874000002</v>
      </c>
      <c r="AX339" s="9"/>
      <c r="AY339" s="22">
        <v>1.5567</v>
      </c>
      <c r="AZ339" s="22">
        <v>401.65</v>
      </c>
      <c r="BA339" s="22">
        <v>-1.35254E-2</v>
      </c>
      <c r="BB339" s="22">
        <v>329</v>
      </c>
      <c r="BC339" s="22">
        <v>1.5564</v>
      </c>
      <c r="BD339">
        <f t="shared" si="70"/>
        <v>13.525399999999999</v>
      </c>
      <c r="BE339">
        <f t="shared" si="71"/>
        <v>21.054990179999997</v>
      </c>
    </row>
    <row r="340" spans="6:57">
      <c r="F340" s="9"/>
      <c r="G340" s="22">
        <v>0.108337</v>
      </c>
      <c r="H340" s="22">
        <v>72.601200000000006</v>
      </c>
      <c r="I340" s="22">
        <v>-1.6842699999999999E-2</v>
      </c>
      <c r="J340" s="22">
        <v>330</v>
      </c>
      <c r="K340" s="22">
        <v>0.10760500000000001</v>
      </c>
      <c r="L340">
        <f t="shared" si="60"/>
        <v>16.842699999999997</v>
      </c>
      <c r="M340">
        <f t="shared" si="61"/>
        <v>1.8246875898999997</v>
      </c>
      <c r="N340" s="9"/>
      <c r="O340" s="22">
        <v>1.5617399999999999</v>
      </c>
      <c r="P340" s="22">
        <v>136.923</v>
      </c>
      <c r="Q340" s="22">
        <v>-1.3736E-2</v>
      </c>
      <c r="R340" s="22">
        <v>330</v>
      </c>
      <c r="S340" s="22">
        <v>1.56067</v>
      </c>
      <c r="T340">
        <f t="shared" si="62"/>
        <v>13.736000000000001</v>
      </c>
      <c r="U340">
        <f t="shared" si="63"/>
        <v>21.452060639999999</v>
      </c>
      <c r="X340" s="9"/>
      <c r="Y340" s="22">
        <v>0.108337</v>
      </c>
      <c r="Z340" s="22">
        <v>207.05600000000001</v>
      </c>
      <c r="AA340" s="22">
        <v>-1.6818199999999998E-2</v>
      </c>
      <c r="AB340" s="22">
        <v>330</v>
      </c>
      <c r="AC340" s="22">
        <v>0.10775800000000001</v>
      </c>
      <c r="AD340">
        <f t="shared" si="64"/>
        <v>16.818199999999997</v>
      </c>
      <c r="AE340">
        <f t="shared" si="65"/>
        <v>1.8220333333999998</v>
      </c>
      <c r="AF340" s="9"/>
      <c r="AG340" s="22">
        <v>1.5617399999999999</v>
      </c>
      <c r="AH340" s="22">
        <v>264.58499999999998</v>
      </c>
      <c r="AI340" s="22">
        <v>-1.34827E-2</v>
      </c>
      <c r="AJ340" s="22">
        <v>330</v>
      </c>
      <c r="AK340" s="22">
        <v>1.56067</v>
      </c>
      <c r="AL340">
        <f t="shared" si="66"/>
        <v>13.482699999999999</v>
      </c>
      <c r="AM340">
        <f t="shared" si="67"/>
        <v>21.056471897999998</v>
      </c>
      <c r="AP340" s="9"/>
      <c r="AQ340" s="22">
        <v>0.108337</v>
      </c>
      <c r="AR340" s="22">
        <v>343.44</v>
      </c>
      <c r="AS340" s="22">
        <v>-1.6787699999999999E-2</v>
      </c>
      <c r="AT340" s="22">
        <v>330</v>
      </c>
      <c r="AU340" s="22">
        <v>0.107697</v>
      </c>
      <c r="AV340">
        <f t="shared" si="68"/>
        <v>16.787699999999997</v>
      </c>
      <c r="AW340">
        <f t="shared" si="69"/>
        <v>1.8187290548999997</v>
      </c>
      <c r="AX340" s="9"/>
      <c r="AY340" s="22">
        <v>1.5617399999999999</v>
      </c>
      <c r="AZ340" s="22">
        <v>401.75</v>
      </c>
      <c r="BA340" s="22">
        <v>-1.3461300000000001E-2</v>
      </c>
      <c r="BB340" s="22">
        <v>330</v>
      </c>
      <c r="BC340" s="22">
        <v>1.56158</v>
      </c>
      <c r="BD340">
        <f t="shared" si="70"/>
        <v>13.461300000000001</v>
      </c>
      <c r="BE340">
        <f t="shared" si="71"/>
        <v>21.023050661999999</v>
      </c>
    </row>
    <row r="341" spans="6:57">
      <c r="F341" s="9"/>
      <c r="G341" s="22">
        <v>0.103302</v>
      </c>
      <c r="H341" s="22">
        <v>72.701899999999995</v>
      </c>
      <c r="I341" s="22">
        <v>-1.6833500000000001E-2</v>
      </c>
      <c r="J341" s="22">
        <v>331</v>
      </c>
      <c r="K341" s="22">
        <v>0.10272199999999999</v>
      </c>
      <c r="L341">
        <f t="shared" si="60"/>
        <v>16.833500000000001</v>
      </c>
      <c r="M341">
        <f t="shared" si="61"/>
        <v>1.7389342170000002</v>
      </c>
      <c r="N341" s="9"/>
      <c r="O341" s="22">
        <v>1.56677</v>
      </c>
      <c r="P341" s="22">
        <v>137.024</v>
      </c>
      <c r="Q341" s="22">
        <v>-1.3632200000000001E-2</v>
      </c>
      <c r="R341" s="22">
        <v>331</v>
      </c>
      <c r="S341" s="22">
        <v>1.56647</v>
      </c>
      <c r="T341">
        <f t="shared" si="62"/>
        <v>13.632200000000001</v>
      </c>
      <c r="U341">
        <f t="shared" si="63"/>
        <v>21.358521994</v>
      </c>
      <c r="X341" s="9"/>
      <c r="Y341" s="22">
        <v>0.103302</v>
      </c>
      <c r="Z341" s="22">
        <v>207.15700000000001</v>
      </c>
      <c r="AA341" s="22">
        <v>-1.68121E-2</v>
      </c>
      <c r="AB341" s="22">
        <v>331</v>
      </c>
      <c r="AC341" s="22">
        <v>0.102814</v>
      </c>
      <c r="AD341">
        <f t="shared" si="64"/>
        <v>16.812100000000001</v>
      </c>
      <c r="AE341">
        <f t="shared" si="65"/>
        <v>1.7367235542000001</v>
      </c>
      <c r="AF341" s="9"/>
      <c r="AG341" s="22">
        <v>1.56677</v>
      </c>
      <c r="AH341" s="22">
        <v>264.68599999999998</v>
      </c>
      <c r="AI341" s="22">
        <v>-1.3412500000000001E-2</v>
      </c>
      <c r="AJ341" s="22">
        <v>331</v>
      </c>
      <c r="AK341" s="22">
        <v>1.56555</v>
      </c>
      <c r="AL341">
        <f t="shared" si="66"/>
        <v>13.412500000000001</v>
      </c>
      <c r="AM341">
        <f t="shared" si="67"/>
        <v>21.014302625000003</v>
      </c>
      <c r="AP341" s="9"/>
      <c r="AQ341" s="22">
        <v>0.103302</v>
      </c>
      <c r="AR341" s="22">
        <v>343.54</v>
      </c>
      <c r="AS341" s="22">
        <v>-1.6806000000000001E-2</v>
      </c>
      <c r="AT341" s="22">
        <v>331</v>
      </c>
      <c r="AU341" s="22">
        <v>0.10256999999999999</v>
      </c>
      <c r="AV341">
        <f t="shared" si="68"/>
        <v>16.806000000000001</v>
      </c>
      <c r="AW341">
        <f t="shared" si="69"/>
        <v>1.7360934120000002</v>
      </c>
      <c r="AX341" s="9"/>
      <c r="AY341" s="22">
        <v>1.56677</v>
      </c>
      <c r="AZ341" s="22">
        <v>401.851</v>
      </c>
      <c r="BA341" s="22">
        <v>-1.33881E-2</v>
      </c>
      <c r="BB341" s="22">
        <v>331</v>
      </c>
      <c r="BC341" s="22">
        <v>1.56616</v>
      </c>
      <c r="BD341">
        <f t="shared" si="70"/>
        <v>13.3881</v>
      </c>
      <c r="BE341">
        <f t="shared" si="71"/>
        <v>20.976073437</v>
      </c>
    </row>
    <row r="342" spans="6:57">
      <c r="F342" s="9"/>
      <c r="G342" s="22">
        <v>9.8266599999999996E-2</v>
      </c>
      <c r="H342" s="22">
        <v>72.802599999999998</v>
      </c>
      <c r="I342" s="22">
        <v>-1.6830399999999999E-2</v>
      </c>
      <c r="J342" s="22">
        <v>332</v>
      </c>
      <c r="K342" s="22">
        <v>9.7686800000000004E-2</v>
      </c>
      <c r="L342">
        <f t="shared" si="60"/>
        <v>16.830399999999997</v>
      </c>
      <c r="M342">
        <f t="shared" si="61"/>
        <v>1.6538661846399996</v>
      </c>
      <c r="N342" s="9"/>
      <c r="O342" s="22">
        <v>1.5718099999999999</v>
      </c>
      <c r="P342" s="22">
        <v>137.125</v>
      </c>
      <c r="Q342" s="22">
        <v>-1.35773E-2</v>
      </c>
      <c r="R342" s="22">
        <v>332</v>
      </c>
      <c r="S342" s="22">
        <v>1.57104</v>
      </c>
      <c r="T342">
        <f t="shared" si="62"/>
        <v>13.577300000000001</v>
      </c>
      <c r="U342">
        <f t="shared" si="63"/>
        <v>21.340935912999999</v>
      </c>
      <c r="X342" s="9"/>
      <c r="Y342" s="22">
        <v>9.8266599999999996E-2</v>
      </c>
      <c r="Z342" s="22">
        <v>207.25800000000001</v>
      </c>
      <c r="AA342" s="22">
        <v>-1.6815199999999999E-2</v>
      </c>
      <c r="AB342" s="22">
        <v>332</v>
      </c>
      <c r="AC342" s="22">
        <v>9.7656300000000001E-2</v>
      </c>
      <c r="AD342">
        <f t="shared" si="64"/>
        <v>16.815199999999997</v>
      </c>
      <c r="AE342">
        <f t="shared" si="65"/>
        <v>1.6523725323199996</v>
      </c>
      <c r="AF342" s="9"/>
      <c r="AG342" s="22">
        <v>1.5718099999999999</v>
      </c>
      <c r="AH342" s="22">
        <v>264.78699999999998</v>
      </c>
      <c r="AI342" s="22">
        <v>-1.33087E-2</v>
      </c>
      <c r="AJ342" s="22">
        <v>332</v>
      </c>
      <c r="AK342" s="22">
        <v>1.57135</v>
      </c>
      <c r="AL342">
        <f t="shared" si="66"/>
        <v>13.3087</v>
      </c>
      <c r="AM342">
        <f t="shared" si="67"/>
        <v>20.918747746999998</v>
      </c>
      <c r="AP342" s="9"/>
      <c r="AQ342" s="22">
        <v>9.8266599999999996E-2</v>
      </c>
      <c r="AR342" s="22">
        <v>343.64100000000002</v>
      </c>
      <c r="AS342" s="22">
        <v>-1.6793800000000001E-2</v>
      </c>
      <c r="AT342" s="22">
        <v>332</v>
      </c>
      <c r="AU342" s="22">
        <v>9.7839400000000007E-2</v>
      </c>
      <c r="AV342">
        <f t="shared" si="68"/>
        <v>16.793800000000001</v>
      </c>
      <c r="AW342">
        <f t="shared" si="69"/>
        <v>1.6502696270799999</v>
      </c>
      <c r="AX342" s="9"/>
      <c r="AY342" s="22">
        <v>1.5718099999999999</v>
      </c>
      <c r="AZ342" s="22">
        <v>401.952</v>
      </c>
      <c r="BA342" s="22">
        <v>-1.32935E-2</v>
      </c>
      <c r="BB342" s="22">
        <v>332</v>
      </c>
      <c r="BC342" s="22">
        <v>1.57104</v>
      </c>
      <c r="BD342">
        <f t="shared" si="70"/>
        <v>13.2935</v>
      </c>
      <c r="BE342">
        <f t="shared" si="71"/>
        <v>20.894856234999999</v>
      </c>
    </row>
    <row r="343" spans="6:57">
      <c r="F343" s="9"/>
      <c r="G343" s="22">
        <v>9.32312E-2</v>
      </c>
      <c r="H343" s="22">
        <v>72.903400000000005</v>
      </c>
      <c r="I343" s="22">
        <v>-1.6848800000000001E-2</v>
      </c>
      <c r="J343" s="22">
        <v>333</v>
      </c>
      <c r="K343" s="22">
        <v>9.2529299999999995E-2</v>
      </c>
      <c r="L343">
        <f t="shared" si="60"/>
        <v>16.848800000000001</v>
      </c>
      <c r="M343">
        <f t="shared" si="61"/>
        <v>1.5708338425600001</v>
      </c>
      <c r="N343" s="9"/>
      <c r="O343" s="22">
        <v>1.57684</v>
      </c>
      <c r="P343" s="22">
        <v>137.22499999999999</v>
      </c>
      <c r="Q343" s="22">
        <v>-1.35193E-2</v>
      </c>
      <c r="R343" s="22">
        <v>333</v>
      </c>
      <c r="S343" s="22">
        <v>1.57623</v>
      </c>
      <c r="T343">
        <f t="shared" si="62"/>
        <v>13.519299999999999</v>
      </c>
      <c r="U343">
        <f t="shared" si="63"/>
        <v>21.317773012</v>
      </c>
      <c r="X343" s="9"/>
      <c r="Y343" s="22">
        <v>9.32312E-2</v>
      </c>
      <c r="Z343" s="22">
        <v>207.358</v>
      </c>
      <c r="AA343" s="22">
        <v>-1.6827399999999999E-2</v>
      </c>
      <c r="AB343" s="22">
        <v>333</v>
      </c>
      <c r="AC343" s="22">
        <v>9.2620800000000003E-2</v>
      </c>
      <c r="AD343">
        <f t="shared" si="64"/>
        <v>16.827400000000001</v>
      </c>
      <c r="AE343">
        <f t="shared" si="65"/>
        <v>1.5688386948800002</v>
      </c>
      <c r="AF343" s="9"/>
      <c r="AG343" s="22">
        <v>1.57684</v>
      </c>
      <c r="AH343" s="22">
        <v>264.887</v>
      </c>
      <c r="AI343" s="22">
        <v>-1.3250700000000001E-2</v>
      </c>
      <c r="AJ343" s="22">
        <v>333</v>
      </c>
      <c r="AK343" s="22">
        <v>1.5765400000000001</v>
      </c>
      <c r="AL343">
        <f t="shared" si="66"/>
        <v>13.2507</v>
      </c>
      <c r="AM343">
        <f t="shared" si="67"/>
        <v>20.894233788000001</v>
      </c>
      <c r="AP343" s="9"/>
      <c r="AQ343" s="22">
        <v>9.32312E-2</v>
      </c>
      <c r="AR343" s="22">
        <v>343.74200000000002</v>
      </c>
      <c r="AS343" s="22">
        <v>-1.6802999999999998E-2</v>
      </c>
      <c r="AT343" s="22">
        <v>333</v>
      </c>
      <c r="AU343" s="22">
        <v>9.2773400000000006E-2</v>
      </c>
      <c r="AV343">
        <f t="shared" si="68"/>
        <v>16.802999999999997</v>
      </c>
      <c r="AW343">
        <f t="shared" si="69"/>
        <v>1.5665638535999997</v>
      </c>
      <c r="AX343" s="9"/>
      <c r="AY343" s="22">
        <v>1.57684</v>
      </c>
      <c r="AZ343" s="22">
        <v>402.053</v>
      </c>
      <c r="BA343" s="22">
        <v>-1.3205E-2</v>
      </c>
      <c r="BB343" s="22">
        <v>333</v>
      </c>
      <c r="BC343" s="22">
        <v>1.57562</v>
      </c>
      <c r="BD343">
        <f t="shared" si="70"/>
        <v>13.205</v>
      </c>
      <c r="BE343">
        <f t="shared" si="71"/>
        <v>20.822172200000001</v>
      </c>
    </row>
    <row r="344" spans="6:57">
      <c r="F344" s="9"/>
      <c r="G344" s="22">
        <v>8.8195800000000005E-2</v>
      </c>
      <c r="H344" s="22">
        <v>73.004099999999994</v>
      </c>
      <c r="I344" s="22">
        <v>-1.6830399999999999E-2</v>
      </c>
      <c r="J344" s="22">
        <v>334</v>
      </c>
      <c r="K344" s="22">
        <v>8.7615999999999999E-2</v>
      </c>
      <c r="L344">
        <f t="shared" si="60"/>
        <v>16.830399999999997</v>
      </c>
      <c r="M344">
        <f t="shared" si="61"/>
        <v>1.4843705923199999</v>
      </c>
      <c r="N344" s="9"/>
      <c r="O344" s="22">
        <v>1.58188</v>
      </c>
      <c r="P344" s="22">
        <v>137.32599999999999</v>
      </c>
      <c r="Q344" s="22">
        <v>-1.3461300000000001E-2</v>
      </c>
      <c r="R344" s="22">
        <v>334</v>
      </c>
      <c r="S344" s="22">
        <v>1.58142</v>
      </c>
      <c r="T344">
        <f t="shared" si="62"/>
        <v>13.461300000000001</v>
      </c>
      <c r="U344">
        <f t="shared" si="63"/>
        <v>21.294161244000001</v>
      </c>
      <c r="X344" s="9"/>
      <c r="Y344" s="22">
        <v>8.8195800000000005E-2</v>
      </c>
      <c r="Z344" s="22">
        <v>207.459</v>
      </c>
      <c r="AA344" s="22">
        <v>-1.6821300000000001E-2</v>
      </c>
      <c r="AB344" s="22">
        <v>334</v>
      </c>
      <c r="AC344" s="22">
        <v>8.7432899999999994E-2</v>
      </c>
      <c r="AD344">
        <f t="shared" si="64"/>
        <v>16.821300000000001</v>
      </c>
      <c r="AE344">
        <f t="shared" si="65"/>
        <v>1.4835680105400002</v>
      </c>
      <c r="AF344" s="9"/>
      <c r="AG344" s="22">
        <v>1.58188</v>
      </c>
      <c r="AH344" s="22">
        <v>264.988</v>
      </c>
      <c r="AI344" s="22">
        <v>-1.3162200000000001E-2</v>
      </c>
      <c r="AJ344" s="22">
        <v>334</v>
      </c>
      <c r="AK344" s="22">
        <v>1.5817300000000001</v>
      </c>
      <c r="AL344">
        <f t="shared" si="66"/>
        <v>13.1622</v>
      </c>
      <c r="AM344">
        <f t="shared" si="67"/>
        <v>20.821020936</v>
      </c>
      <c r="AP344" s="9"/>
      <c r="AQ344" s="22">
        <v>8.8195800000000005E-2</v>
      </c>
      <c r="AR344" s="22">
        <v>343.84199999999998</v>
      </c>
      <c r="AS344" s="22">
        <v>-1.68121E-2</v>
      </c>
      <c r="AT344" s="22">
        <v>334</v>
      </c>
      <c r="AU344" s="22">
        <v>8.7646500000000002E-2</v>
      </c>
      <c r="AV344">
        <f t="shared" si="68"/>
        <v>16.812100000000001</v>
      </c>
      <c r="AW344">
        <f t="shared" si="69"/>
        <v>1.4827566091800002</v>
      </c>
      <c r="AX344" s="9"/>
      <c r="AY344" s="22">
        <v>1.58188</v>
      </c>
      <c r="AZ344" s="22">
        <v>402.15300000000002</v>
      </c>
      <c r="BA344" s="22">
        <v>-1.31317E-2</v>
      </c>
      <c r="BB344" s="22">
        <v>334</v>
      </c>
      <c r="BC344" s="22">
        <v>1.5802</v>
      </c>
      <c r="BD344">
        <f t="shared" si="70"/>
        <v>13.1317</v>
      </c>
      <c r="BE344">
        <f t="shared" si="71"/>
        <v>20.772773596</v>
      </c>
    </row>
    <row r="345" spans="6:57">
      <c r="F345" s="9"/>
      <c r="G345" s="22">
        <v>8.3160399999999995E-2</v>
      </c>
      <c r="H345" s="22">
        <v>73.104799999999997</v>
      </c>
      <c r="I345" s="22">
        <v>-1.68243E-2</v>
      </c>
      <c r="J345" s="22">
        <v>335</v>
      </c>
      <c r="K345" s="22">
        <v>8.2549999999999998E-2</v>
      </c>
      <c r="L345">
        <f t="shared" si="60"/>
        <v>16.824300000000001</v>
      </c>
      <c r="M345">
        <f t="shared" si="61"/>
        <v>1.3991155177200001</v>
      </c>
      <c r="N345" s="9"/>
      <c r="O345" s="22">
        <v>1.58691</v>
      </c>
      <c r="P345" s="22">
        <v>137.42699999999999</v>
      </c>
      <c r="Q345" s="22">
        <v>-1.33545E-2</v>
      </c>
      <c r="R345" s="22">
        <v>335</v>
      </c>
      <c r="S345" s="22">
        <v>1.58569</v>
      </c>
      <c r="T345">
        <f t="shared" si="62"/>
        <v>13.3545</v>
      </c>
      <c r="U345">
        <f t="shared" si="63"/>
        <v>21.192389595000002</v>
      </c>
      <c r="X345" s="9"/>
      <c r="Y345" s="22">
        <v>8.3160399999999995E-2</v>
      </c>
      <c r="Z345" s="22">
        <v>207.56</v>
      </c>
      <c r="AA345" s="22">
        <v>-1.6827399999999999E-2</v>
      </c>
      <c r="AB345" s="22">
        <v>335</v>
      </c>
      <c r="AC345" s="22">
        <v>8.2519499999999996E-2</v>
      </c>
      <c r="AD345">
        <f t="shared" si="64"/>
        <v>16.827400000000001</v>
      </c>
      <c r="AE345">
        <f t="shared" si="65"/>
        <v>1.3993733149600001</v>
      </c>
      <c r="AF345" s="9"/>
      <c r="AG345" s="22">
        <v>1.58691</v>
      </c>
      <c r="AH345" s="22">
        <v>265.089</v>
      </c>
      <c r="AI345" s="22">
        <v>-1.3073700000000001E-2</v>
      </c>
      <c r="AJ345" s="22">
        <v>335</v>
      </c>
      <c r="AK345" s="22">
        <v>1.5866100000000001</v>
      </c>
      <c r="AL345">
        <f t="shared" si="66"/>
        <v>13.073700000000001</v>
      </c>
      <c r="AM345">
        <f t="shared" si="67"/>
        <v>20.746785267</v>
      </c>
      <c r="AP345" s="9"/>
      <c r="AQ345" s="22">
        <v>8.3160399999999995E-2</v>
      </c>
      <c r="AR345" s="22">
        <v>343.94299999999998</v>
      </c>
      <c r="AS345" s="22">
        <v>-1.67969E-2</v>
      </c>
      <c r="AT345" s="22">
        <v>335</v>
      </c>
      <c r="AU345" s="22">
        <v>8.2428000000000001E-2</v>
      </c>
      <c r="AV345">
        <f t="shared" si="68"/>
        <v>16.796900000000001</v>
      </c>
      <c r="AW345">
        <f t="shared" si="69"/>
        <v>1.3968369227599999</v>
      </c>
      <c r="AX345" s="9"/>
      <c r="AY345" s="22">
        <v>1.58691</v>
      </c>
      <c r="AZ345" s="22">
        <v>402.25400000000002</v>
      </c>
      <c r="BA345" s="22">
        <v>-1.30829E-2</v>
      </c>
      <c r="BB345" s="22">
        <v>335</v>
      </c>
      <c r="BC345" s="22">
        <v>1.5860000000000001</v>
      </c>
      <c r="BD345">
        <f t="shared" si="70"/>
        <v>13.0829</v>
      </c>
      <c r="BE345">
        <f t="shared" si="71"/>
        <v>20.761384839000002</v>
      </c>
    </row>
    <row r="346" spans="6:57">
      <c r="F346" s="9"/>
      <c r="G346" s="22">
        <v>7.8125E-2</v>
      </c>
      <c r="H346" s="22">
        <v>73.205500000000001</v>
      </c>
      <c r="I346" s="22">
        <v>-1.6845700000000002E-2</v>
      </c>
      <c r="J346" s="22">
        <v>336</v>
      </c>
      <c r="K346" s="22">
        <v>7.7240000000000003E-2</v>
      </c>
      <c r="L346">
        <f t="shared" si="60"/>
        <v>16.845700000000001</v>
      </c>
      <c r="M346">
        <f t="shared" si="61"/>
        <v>1.3160703125</v>
      </c>
      <c r="N346" s="9"/>
      <c r="O346" s="22">
        <v>1.59195</v>
      </c>
      <c r="P346" s="22">
        <v>137.52699999999999</v>
      </c>
      <c r="Q346" s="22">
        <v>-1.3284300000000001E-2</v>
      </c>
      <c r="R346" s="22">
        <v>336</v>
      </c>
      <c r="S346" s="22">
        <v>1.5911900000000001</v>
      </c>
      <c r="T346">
        <f t="shared" si="62"/>
        <v>13.2843</v>
      </c>
      <c r="U346">
        <f t="shared" si="63"/>
        <v>21.147941384999999</v>
      </c>
      <c r="X346" s="9"/>
      <c r="Y346" s="22">
        <v>7.8125E-2</v>
      </c>
      <c r="Z346" s="22">
        <v>207.661</v>
      </c>
      <c r="AA346" s="22">
        <v>-1.6818199999999998E-2</v>
      </c>
      <c r="AB346" s="22">
        <v>336</v>
      </c>
      <c r="AC346" s="22">
        <v>7.7514600000000003E-2</v>
      </c>
      <c r="AD346">
        <f t="shared" si="64"/>
        <v>16.818199999999997</v>
      </c>
      <c r="AE346">
        <f t="shared" si="65"/>
        <v>1.3139218749999997</v>
      </c>
      <c r="AF346" s="9"/>
      <c r="AG346" s="22">
        <v>1.59195</v>
      </c>
      <c r="AH346" s="22">
        <v>265.19</v>
      </c>
      <c r="AI346" s="22">
        <v>-1.30676E-2</v>
      </c>
      <c r="AJ346" s="22">
        <v>336</v>
      </c>
      <c r="AK346" s="22">
        <v>1.5905800000000001</v>
      </c>
      <c r="AL346">
        <f t="shared" si="66"/>
        <v>13.067600000000001</v>
      </c>
      <c r="AM346">
        <f t="shared" si="67"/>
        <v>20.802965820000001</v>
      </c>
      <c r="AP346" s="9"/>
      <c r="AQ346" s="22">
        <v>7.8125E-2</v>
      </c>
      <c r="AR346" s="22">
        <v>344.04399999999998</v>
      </c>
      <c r="AS346" s="22">
        <v>-1.68121E-2</v>
      </c>
      <c r="AT346" s="22">
        <v>336</v>
      </c>
      <c r="AU346" s="22">
        <v>7.7545199999999995E-2</v>
      </c>
      <c r="AV346">
        <f t="shared" si="68"/>
        <v>16.812100000000001</v>
      </c>
      <c r="AW346">
        <f t="shared" si="69"/>
        <v>1.3134453125000001</v>
      </c>
      <c r="AX346" s="9"/>
      <c r="AY346" s="22">
        <v>1.59195</v>
      </c>
      <c r="AZ346" s="22">
        <v>402.35500000000002</v>
      </c>
      <c r="BA346" s="22">
        <v>-1.29791E-2</v>
      </c>
      <c r="BB346" s="22">
        <v>336</v>
      </c>
      <c r="BC346" s="22">
        <v>1.5908800000000001</v>
      </c>
      <c r="BD346">
        <f t="shared" si="70"/>
        <v>12.979100000000001</v>
      </c>
      <c r="BE346">
        <f t="shared" si="71"/>
        <v>20.662078245</v>
      </c>
    </row>
    <row r="347" spans="6:57">
      <c r="F347" s="9"/>
      <c r="G347" s="22">
        <v>7.3089600000000005E-2</v>
      </c>
      <c r="H347" s="22">
        <v>73.306200000000004</v>
      </c>
      <c r="I347" s="22">
        <v>-1.6842699999999999E-2</v>
      </c>
      <c r="J347" s="22">
        <v>337</v>
      </c>
      <c r="K347" s="22">
        <v>7.2418200000000002E-2</v>
      </c>
      <c r="L347">
        <f t="shared" si="60"/>
        <v>16.842699999999997</v>
      </c>
      <c r="M347">
        <f t="shared" si="61"/>
        <v>1.2310262059199999</v>
      </c>
      <c r="N347" s="9"/>
      <c r="O347" s="22">
        <v>1.5969800000000001</v>
      </c>
      <c r="P347" s="22">
        <v>137.62799999999999</v>
      </c>
      <c r="Q347" s="22">
        <v>-1.3174399999999999E-2</v>
      </c>
      <c r="R347" s="22">
        <v>337</v>
      </c>
      <c r="S347" s="22">
        <v>1.5957600000000001</v>
      </c>
      <c r="T347">
        <f t="shared" si="62"/>
        <v>13.174399999999999</v>
      </c>
      <c r="U347">
        <f t="shared" si="63"/>
        <v>21.039253312</v>
      </c>
      <c r="X347" s="9"/>
      <c r="Y347" s="22">
        <v>7.3089600000000005E-2</v>
      </c>
      <c r="Z347" s="22">
        <v>207.761</v>
      </c>
      <c r="AA347" s="22">
        <v>-1.68243E-2</v>
      </c>
      <c r="AB347" s="22">
        <v>337</v>
      </c>
      <c r="AC347" s="22">
        <v>7.2509799999999999E-2</v>
      </c>
      <c r="AD347">
        <f t="shared" si="64"/>
        <v>16.824300000000001</v>
      </c>
      <c r="AE347">
        <f t="shared" si="65"/>
        <v>1.2296813572800001</v>
      </c>
      <c r="AF347" s="9"/>
      <c r="AG347" s="22">
        <v>1.5969800000000001</v>
      </c>
      <c r="AH347" s="22">
        <v>265.29000000000002</v>
      </c>
      <c r="AI347" s="22">
        <v>-1.2970000000000001E-2</v>
      </c>
      <c r="AJ347" s="22">
        <v>337</v>
      </c>
      <c r="AK347" s="22">
        <v>1.5963700000000001</v>
      </c>
      <c r="AL347">
        <f t="shared" si="66"/>
        <v>12.97</v>
      </c>
      <c r="AM347">
        <f t="shared" si="67"/>
        <v>20.7128306</v>
      </c>
      <c r="AP347" s="9"/>
      <c r="AQ347" s="22">
        <v>7.3089600000000005E-2</v>
      </c>
      <c r="AR347" s="22">
        <v>344.14400000000001</v>
      </c>
      <c r="AS347" s="22">
        <v>-1.6806000000000001E-2</v>
      </c>
      <c r="AT347" s="22">
        <v>337</v>
      </c>
      <c r="AU347" s="22">
        <v>7.2601299999999994E-2</v>
      </c>
      <c r="AV347">
        <f t="shared" si="68"/>
        <v>16.806000000000001</v>
      </c>
      <c r="AW347">
        <f t="shared" si="69"/>
        <v>1.2283438176000001</v>
      </c>
      <c r="AX347" s="9"/>
      <c r="AY347" s="22">
        <v>1.5969800000000001</v>
      </c>
      <c r="AZ347" s="22">
        <v>402.45499999999998</v>
      </c>
      <c r="BA347" s="22">
        <v>-1.28906E-2</v>
      </c>
      <c r="BB347" s="22">
        <v>337</v>
      </c>
      <c r="BC347" s="22">
        <v>1.5957600000000001</v>
      </c>
      <c r="BD347">
        <f t="shared" si="70"/>
        <v>12.890600000000001</v>
      </c>
      <c r="BE347">
        <f t="shared" si="71"/>
        <v>20.586030388000001</v>
      </c>
    </row>
    <row r="348" spans="6:57">
      <c r="F348" s="9"/>
      <c r="G348" s="22">
        <v>6.8054199999999995E-2</v>
      </c>
      <c r="H348" s="22">
        <v>73.406899999999993</v>
      </c>
      <c r="I348" s="22">
        <v>-1.6864000000000001E-2</v>
      </c>
      <c r="J348" s="22">
        <v>338</v>
      </c>
      <c r="K348" s="22">
        <v>6.7504900000000007E-2</v>
      </c>
      <c r="L348">
        <f t="shared" si="60"/>
        <v>16.864000000000001</v>
      </c>
      <c r="M348">
        <f t="shared" si="61"/>
        <v>1.1476660288</v>
      </c>
      <c r="N348" s="9"/>
      <c r="O348" s="22">
        <v>1.60202</v>
      </c>
      <c r="P348" s="22">
        <v>137.72900000000001</v>
      </c>
      <c r="Q348" s="22">
        <v>-1.30432E-2</v>
      </c>
      <c r="R348" s="22">
        <v>338</v>
      </c>
      <c r="S348" s="22">
        <v>1.6006499999999999</v>
      </c>
      <c r="T348">
        <f t="shared" si="62"/>
        <v>13.043199999999999</v>
      </c>
      <c r="U348">
        <f t="shared" si="63"/>
        <v>20.895467263999997</v>
      </c>
      <c r="X348" s="9"/>
      <c r="Y348" s="22">
        <v>6.8054199999999995E-2</v>
      </c>
      <c r="Z348" s="22">
        <v>207.86199999999999</v>
      </c>
      <c r="AA348" s="22">
        <v>-1.6818199999999998E-2</v>
      </c>
      <c r="AB348" s="22">
        <v>338</v>
      </c>
      <c r="AC348" s="22">
        <v>6.7413299999999995E-2</v>
      </c>
      <c r="AD348">
        <f t="shared" si="64"/>
        <v>16.818199999999997</v>
      </c>
      <c r="AE348">
        <f t="shared" si="65"/>
        <v>1.1445491464399997</v>
      </c>
      <c r="AF348" s="9"/>
      <c r="AG348" s="22">
        <v>1.60202</v>
      </c>
      <c r="AH348" s="22">
        <v>265.39100000000002</v>
      </c>
      <c r="AI348" s="22">
        <v>-1.2820399999999999E-2</v>
      </c>
      <c r="AJ348" s="22">
        <v>338</v>
      </c>
      <c r="AK348" s="22">
        <v>1.6009500000000001</v>
      </c>
      <c r="AL348">
        <f t="shared" si="66"/>
        <v>12.820399999999999</v>
      </c>
      <c r="AM348">
        <f t="shared" si="67"/>
        <v>20.538537207999997</v>
      </c>
      <c r="AP348" s="9"/>
      <c r="AQ348" s="22">
        <v>6.8054199999999995E-2</v>
      </c>
      <c r="AR348" s="22">
        <v>344.245</v>
      </c>
      <c r="AS348" s="22">
        <v>-1.68121E-2</v>
      </c>
      <c r="AT348" s="22">
        <v>338</v>
      </c>
      <c r="AU348" s="22">
        <v>6.7413299999999995E-2</v>
      </c>
      <c r="AV348">
        <f t="shared" si="68"/>
        <v>16.812100000000001</v>
      </c>
      <c r="AW348">
        <f t="shared" si="69"/>
        <v>1.14413401582</v>
      </c>
      <c r="AX348" s="9"/>
      <c r="AY348" s="22">
        <v>1.60202</v>
      </c>
      <c r="AZ348" s="22">
        <v>402.55599999999998</v>
      </c>
      <c r="BA348" s="22">
        <v>-1.27838E-2</v>
      </c>
      <c r="BB348" s="22">
        <v>338</v>
      </c>
      <c r="BC348" s="22">
        <v>1.6015600000000001</v>
      </c>
      <c r="BD348">
        <f t="shared" si="70"/>
        <v>12.783799999999999</v>
      </c>
      <c r="BE348">
        <f t="shared" si="71"/>
        <v>20.479903275999998</v>
      </c>
    </row>
    <row r="349" spans="6:57">
      <c r="F349" s="9"/>
      <c r="G349" s="22">
        <v>6.30188E-2</v>
      </c>
      <c r="H349" s="22">
        <v>73.507599999999996</v>
      </c>
      <c r="I349" s="22">
        <v>-1.6848800000000001E-2</v>
      </c>
      <c r="J349" s="22">
        <v>339</v>
      </c>
      <c r="K349" s="22">
        <v>6.2439000000000001E-2</v>
      </c>
      <c r="L349">
        <f t="shared" si="60"/>
        <v>16.848800000000001</v>
      </c>
      <c r="M349">
        <f t="shared" si="61"/>
        <v>1.0617911574400001</v>
      </c>
      <c r="N349" s="9"/>
      <c r="O349" s="22">
        <v>1.6070599999999999</v>
      </c>
      <c r="P349" s="22">
        <v>137.83000000000001</v>
      </c>
      <c r="Q349" s="22">
        <v>-1.2908899999999999E-2</v>
      </c>
      <c r="R349" s="22">
        <v>339</v>
      </c>
      <c r="S349" s="22">
        <v>1.6064499999999999</v>
      </c>
      <c r="T349">
        <f t="shared" si="62"/>
        <v>12.908899999999999</v>
      </c>
      <c r="U349">
        <f t="shared" si="63"/>
        <v>20.745376833999998</v>
      </c>
      <c r="X349" s="9"/>
      <c r="Y349" s="22">
        <v>6.30188E-2</v>
      </c>
      <c r="Z349" s="22">
        <v>207.96299999999999</v>
      </c>
      <c r="AA349" s="22">
        <v>-1.6833500000000001E-2</v>
      </c>
      <c r="AB349" s="22">
        <v>339</v>
      </c>
      <c r="AC349" s="22">
        <v>6.2286399999999999E-2</v>
      </c>
      <c r="AD349">
        <f t="shared" si="64"/>
        <v>16.833500000000001</v>
      </c>
      <c r="AE349">
        <f t="shared" si="65"/>
        <v>1.0608269698000001</v>
      </c>
      <c r="AF349" s="9"/>
      <c r="AG349" s="22">
        <v>1.6070599999999999</v>
      </c>
      <c r="AH349" s="22">
        <v>265.49200000000002</v>
      </c>
      <c r="AI349" s="22">
        <v>-1.26984E-2</v>
      </c>
      <c r="AJ349" s="22">
        <v>339</v>
      </c>
      <c r="AK349" s="22">
        <v>1.6061399999999999</v>
      </c>
      <c r="AL349">
        <f t="shared" si="66"/>
        <v>12.698399999999999</v>
      </c>
      <c r="AM349">
        <f t="shared" si="67"/>
        <v>20.407090703999998</v>
      </c>
      <c r="AP349" s="9"/>
      <c r="AQ349" s="22">
        <v>6.30188E-2</v>
      </c>
      <c r="AR349" s="22">
        <v>344.346</v>
      </c>
      <c r="AS349" s="22">
        <v>-1.6815199999999999E-2</v>
      </c>
      <c r="AT349" s="22">
        <v>339</v>
      </c>
      <c r="AU349" s="22">
        <v>6.2347399999999997E-2</v>
      </c>
      <c r="AV349">
        <f t="shared" si="68"/>
        <v>16.815199999999997</v>
      </c>
      <c r="AW349">
        <f t="shared" si="69"/>
        <v>1.0596737257599997</v>
      </c>
      <c r="AX349" s="9"/>
      <c r="AY349" s="22">
        <v>1.6070599999999999</v>
      </c>
      <c r="AZ349" s="22">
        <v>402.65699999999998</v>
      </c>
      <c r="BA349" s="22">
        <v>-1.26404E-2</v>
      </c>
      <c r="BB349" s="22">
        <v>339</v>
      </c>
      <c r="BC349" s="22">
        <v>1.6058300000000001</v>
      </c>
      <c r="BD349">
        <f t="shared" si="70"/>
        <v>12.6404</v>
      </c>
      <c r="BE349">
        <f t="shared" si="71"/>
        <v>20.313881223999999</v>
      </c>
    </row>
    <row r="350" spans="6:57">
      <c r="F350" s="9"/>
      <c r="G350" s="22">
        <v>5.7983399999999997E-2</v>
      </c>
      <c r="H350" s="22">
        <v>73.6083</v>
      </c>
      <c r="I350" s="22">
        <v>-1.68518E-2</v>
      </c>
      <c r="J350" s="22">
        <v>340</v>
      </c>
      <c r="K350" s="22">
        <v>5.7159399999999999E-2</v>
      </c>
      <c r="L350">
        <f t="shared" si="60"/>
        <v>16.851800000000001</v>
      </c>
      <c r="M350">
        <f t="shared" si="61"/>
        <v>0.97712466011999999</v>
      </c>
      <c r="N350" s="9"/>
      <c r="O350" s="22">
        <v>1.61209</v>
      </c>
      <c r="P350" s="22">
        <v>137.93</v>
      </c>
      <c r="Q350" s="22">
        <v>-1.27625E-2</v>
      </c>
      <c r="R350" s="22">
        <v>340</v>
      </c>
      <c r="S350" s="22">
        <v>1.6110199999999999</v>
      </c>
      <c r="T350">
        <f t="shared" si="62"/>
        <v>12.762499999999999</v>
      </c>
      <c r="U350">
        <f t="shared" si="63"/>
        <v>20.574298625000001</v>
      </c>
      <c r="X350" s="9"/>
      <c r="Y350" s="22">
        <v>5.7983399999999997E-2</v>
      </c>
      <c r="Z350" s="22">
        <v>208.06299999999999</v>
      </c>
      <c r="AA350" s="22">
        <v>-1.6836500000000001E-2</v>
      </c>
      <c r="AB350" s="22">
        <v>340</v>
      </c>
      <c r="AC350" s="22">
        <v>5.7312000000000002E-2</v>
      </c>
      <c r="AD350">
        <f t="shared" si="64"/>
        <v>16.836500000000001</v>
      </c>
      <c r="AE350">
        <f t="shared" si="65"/>
        <v>0.97623751410000004</v>
      </c>
      <c r="AF350" s="9"/>
      <c r="AG350" s="22">
        <v>1.61209</v>
      </c>
      <c r="AH350" s="22">
        <v>265.59199999999998</v>
      </c>
      <c r="AI350" s="22">
        <v>-1.2600699999999999E-2</v>
      </c>
      <c r="AJ350" s="22">
        <v>340</v>
      </c>
      <c r="AK350" s="22">
        <v>1.6113299999999999</v>
      </c>
      <c r="AL350">
        <f t="shared" si="66"/>
        <v>12.6007</v>
      </c>
      <c r="AM350">
        <f t="shared" si="67"/>
        <v>20.313462463</v>
      </c>
      <c r="AP350" s="9"/>
      <c r="AQ350" s="22">
        <v>5.7983399999999997E-2</v>
      </c>
      <c r="AR350" s="22">
        <v>344.447</v>
      </c>
      <c r="AS350" s="22">
        <v>-1.68091E-2</v>
      </c>
      <c r="AT350" s="22">
        <v>340</v>
      </c>
      <c r="AU350" s="22">
        <v>5.7128900000000003E-2</v>
      </c>
      <c r="AV350">
        <f t="shared" si="68"/>
        <v>16.809100000000001</v>
      </c>
      <c r="AW350">
        <f t="shared" si="69"/>
        <v>0.97464876893999997</v>
      </c>
      <c r="AX350" s="9"/>
      <c r="AY350" s="22">
        <v>1.61209</v>
      </c>
      <c r="AZ350" s="22">
        <v>402.75799999999998</v>
      </c>
      <c r="BA350" s="22">
        <v>-1.25244E-2</v>
      </c>
      <c r="BB350" s="22">
        <v>340</v>
      </c>
      <c r="BC350" s="22">
        <v>1.6110199999999999</v>
      </c>
      <c r="BD350">
        <f t="shared" si="70"/>
        <v>12.5244</v>
      </c>
      <c r="BE350">
        <f t="shared" si="71"/>
        <v>20.190459996000001</v>
      </c>
    </row>
    <row r="351" spans="6:57">
      <c r="F351" s="9"/>
      <c r="G351" s="22">
        <v>5.2948000000000002E-2</v>
      </c>
      <c r="H351" s="22">
        <v>73.709000000000003</v>
      </c>
      <c r="I351" s="22">
        <v>-1.6842699999999999E-2</v>
      </c>
      <c r="J351" s="22">
        <v>341</v>
      </c>
      <c r="K351" s="22">
        <v>5.2398699999999999E-2</v>
      </c>
      <c r="L351">
        <f t="shared" si="60"/>
        <v>16.842699999999997</v>
      </c>
      <c r="M351">
        <f t="shared" si="61"/>
        <v>0.89178727959999993</v>
      </c>
      <c r="N351" s="9"/>
      <c r="O351" s="22">
        <v>1.61713</v>
      </c>
      <c r="P351" s="22">
        <v>138.03100000000001</v>
      </c>
      <c r="Q351" s="22">
        <v>-1.2643400000000001E-2</v>
      </c>
      <c r="R351" s="22">
        <v>341</v>
      </c>
      <c r="S351" s="22">
        <v>1.6162099999999999</v>
      </c>
      <c r="T351">
        <f t="shared" si="62"/>
        <v>12.643400000000002</v>
      </c>
      <c r="U351">
        <f t="shared" si="63"/>
        <v>20.446021442000003</v>
      </c>
      <c r="X351" s="9"/>
      <c r="Y351" s="22">
        <v>5.2948000000000002E-2</v>
      </c>
      <c r="Z351" s="22">
        <v>208.16399999999999</v>
      </c>
      <c r="AA351" s="22">
        <v>-1.6833500000000001E-2</v>
      </c>
      <c r="AB351" s="22">
        <v>341</v>
      </c>
      <c r="AC351" s="22">
        <v>5.2429200000000002E-2</v>
      </c>
      <c r="AD351">
        <f t="shared" si="64"/>
        <v>16.833500000000001</v>
      </c>
      <c r="AE351">
        <f t="shared" si="65"/>
        <v>0.89130015800000006</v>
      </c>
      <c r="AF351" s="9"/>
      <c r="AG351" s="22">
        <v>1.61713</v>
      </c>
      <c r="AH351" s="22">
        <v>265.69299999999998</v>
      </c>
      <c r="AI351" s="22">
        <v>-1.23535E-2</v>
      </c>
      <c r="AJ351" s="22">
        <v>341</v>
      </c>
      <c r="AK351" s="22">
        <v>1.6162099999999999</v>
      </c>
      <c r="AL351">
        <f t="shared" si="66"/>
        <v>12.3535</v>
      </c>
      <c r="AM351">
        <f t="shared" si="67"/>
        <v>19.977215455</v>
      </c>
      <c r="AP351" s="9"/>
      <c r="AQ351" s="22">
        <v>5.2948000000000002E-2</v>
      </c>
      <c r="AR351" s="22">
        <v>344.54700000000003</v>
      </c>
      <c r="AS351" s="22">
        <v>-1.6821300000000001E-2</v>
      </c>
      <c r="AT351" s="22">
        <v>341</v>
      </c>
      <c r="AU351" s="22">
        <v>5.2337599999999998E-2</v>
      </c>
      <c r="AV351">
        <f t="shared" si="68"/>
        <v>16.821300000000001</v>
      </c>
      <c r="AW351">
        <f t="shared" si="69"/>
        <v>0.8906541924000001</v>
      </c>
      <c r="AX351" s="9"/>
      <c r="AY351" s="22">
        <v>1.61713</v>
      </c>
      <c r="AZ351" s="22">
        <v>402.858</v>
      </c>
      <c r="BA351" s="22">
        <v>-1.23993E-2</v>
      </c>
      <c r="BB351" s="22">
        <v>341</v>
      </c>
      <c r="BC351" s="22">
        <v>1.6162099999999999</v>
      </c>
      <c r="BD351">
        <f t="shared" si="70"/>
        <v>12.3993</v>
      </c>
      <c r="BE351">
        <f t="shared" si="71"/>
        <v>20.051280008999999</v>
      </c>
    </row>
    <row r="352" spans="6:57">
      <c r="F352" s="9"/>
      <c r="G352" s="22">
        <v>4.79126E-2</v>
      </c>
      <c r="H352" s="22">
        <v>73.809700000000007</v>
      </c>
      <c r="I352" s="22">
        <v>-1.6845700000000002E-2</v>
      </c>
      <c r="J352" s="22">
        <v>342</v>
      </c>
      <c r="K352" s="22">
        <v>4.7717299999999997E-2</v>
      </c>
      <c r="L352">
        <f t="shared" si="60"/>
        <v>16.845700000000001</v>
      </c>
      <c r="M352">
        <f t="shared" si="61"/>
        <v>0.80712128581999998</v>
      </c>
      <c r="N352" s="9"/>
      <c r="O352" s="22">
        <v>1.62216</v>
      </c>
      <c r="P352" s="22">
        <v>138.13200000000001</v>
      </c>
      <c r="Q352" s="22">
        <v>-1.25153E-2</v>
      </c>
      <c r="R352" s="22">
        <v>342</v>
      </c>
      <c r="S352" s="22">
        <v>1.6216999999999999</v>
      </c>
      <c r="T352">
        <f t="shared" si="62"/>
        <v>12.5153</v>
      </c>
      <c r="U352">
        <f t="shared" si="63"/>
        <v>20.301819047999999</v>
      </c>
      <c r="X352" s="9"/>
      <c r="Y352" s="22">
        <v>4.79126E-2</v>
      </c>
      <c r="Z352" s="22">
        <v>208.26499999999999</v>
      </c>
      <c r="AA352" s="22">
        <v>-1.6845700000000002E-2</v>
      </c>
      <c r="AB352" s="22">
        <v>342</v>
      </c>
      <c r="AC352" s="22">
        <v>4.7763100000000003E-2</v>
      </c>
      <c r="AD352">
        <f t="shared" si="64"/>
        <v>16.845700000000001</v>
      </c>
      <c r="AE352">
        <f t="shared" si="65"/>
        <v>0.80712128581999998</v>
      </c>
      <c r="AF352" s="9"/>
      <c r="AG352" s="22">
        <v>1.62216</v>
      </c>
      <c r="AH352" s="22">
        <v>265.79399999999998</v>
      </c>
      <c r="AI352" s="22">
        <v>-1.21826E-2</v>
      </c>
      <c r="AJ352" s="22">
        <v>342</v>
      </c>
      <c r="AK352" s="22">
        <v>1.6214</v>
      </c>
      <c r="AL352">
        <f t="shared" si="66"/>
        <v>12.182600000000001</v>
      </c>
      <c r="AM352">
        <f t="shared" si="67"/>
        <v>19.762126416000001</v>
      </c>
      <c r="AP352" s="9"/>
      <c r="AQ352" s="22">
        <v>4.79126E-2</v>
      </c>
      <c r="AR352" s="22">
        <v>344.64800000000002</v>
      </c>
      <c r="AS352" s="22">
        <v>-1.6818199999999998E-2</v>
      </c>
      <c r="AT352" s="22">
        <v>342</v>
      </c>
      <c r="AU352" s="22">
        <v>4.7891200000000002E-2</v>
      </c>
      <c r="AV352">
        <f t="shared" si="68"/>
        <v>16.818199999999997</v>
      </c>
      <c r="AW352">
        <f t="shared" si="69"/>
        <v>0.80580368931999991</v>
      </c>
      <c r="AX352" s="9"/>
      <c r="AY352" s="22">
        <v>1.62216</v>
      </c>
      <c r="AZ352" s="22">
        <v>402.959</v>
      </c>
      <c r="BA352" s="22">
        <v>-1.2274200000000001E-2</v>
      </c>
      <c r="BB352" s="22">
        <v>342</v>
      </c>
      <c r="BC352" s="22">
        <v>1.6210899999999999</v>
      </c>
      <c r="BD352">
        <f t="shared" si="70"/>
        <v>12.2742</v>
      </c>
      <c r="BE352">
        <f t="shared" si="71"/>
        <v>19.910716272000002</v>
      </c>
    </row>
    <row r="353" spans="6:57">
      <c r="F353" s="9"/>
      <c r="G353" s="22">
        <v>4.2877199999999997E-2</v>
      </c>
      <c r="H353" s="22">
        <v>73.910399999999996</v>
      </c>
      <c r="I353" s="22">
        <v>-1.6854899999999999E-2</v>
      </c>
      <c r="J353" s="22">
        <v>343</v>
      </c>
      <c r="K353" s="22">
        <v>4.2791700000000002E-2</v>
      </c>
      <c r="L353">
        <f t="shared" si="60"/>
        <v>16.854900000000001</v>
      </c>
      <c r="M353">
        <f t="shared" si="61"/>
        <v>0.72269091827999998</v>
      </c>
      <c r="N353" s="9"/>
      <c r="O353" s="22">
        <v>1.6272</v>
      </c>
      <c r="P353" s="22">
        <v>138.232</v>
      </c>
      <c r="Q353" s="22">
        <v>-1.2335199999999999E-2</v>
      </c>
      <c r="R353" s="22">
        <v>343</v>
      </c>
      <c r="S353" s="22">
        <v>1.62598</v>
      </c>
      <c r="T353">
        <f t="shared" si="62"/>
        <v>12.335199999999999</v>
      </c>
      <c r="U353">
        <f t="shared" si="63"/>
        <v>20.071837439999996</v>
      </c>
      <c r="X353" s="9"/>
      <c r="Y353" s="22">
        <v>4.2877199999999997E-2</v>
      </c>
      <c r="Z353" s="22">
        <v>208.36600000000001</v>
      </c>
      <c r="AA353" s="22">
        <v>-1.68396E-2</v>
      </c>
      <c r="AB353" s="22">
        <v>343</v>
      </c>
      <c r="AC353" s="22">
        <v>4.2804000000000002E-2</v>
      </c>
      <c r="AD353">
        <f t="shared" si="64"/>
        <v>16.839600000000001</v>
      </c>
      <c r="AE353">
        <f t="shared" si="65"/>
        <v>0.72203489712000002</v>
      </c>
      <c r="AF353" s="9"/>
      <c r="AG353" s="22">
        <v>1.6272</v>
      </c>
      <c r="AH353" s="22">
        <v>265.89400000000001</v>
      </c>
      <c r="AI353" s="22">
        <v>-1.2023900000000001E-2</v>
      </c>
      <c r="AJ353" s="22">
        <v>343</v>
      </c>
      <c r="AK353" s="22">
        <v>1.6262799999999999</v>
      </c>
      <c r="AL353">
        <f t="shared" si="66"/>
        <v>12.023900000000001</v>
      </c>
      <c r="AM353">
        <f t="shared" si="67"/>
        <v>19.56529008</v>
      </c>
      <c r="AP353" s="9"/>
      <c r="AQ353" s="22">
        <v>4.2877199999999997E-2</v>
      </c>
      <c r="AR353" s="22">
        <v>344.74900000000002</v>
      </c>
      <c r="AS353" s="22">
        <v>-1.6830399999999999E-2</v>
      </c>
      <c r="AT353" s="22">
        <v>343</v>
      </c>
      <c r="AU353" s="22">
        <v>4.2535400000000001E-2</v>
      </c>
      <c r="AV353">
        <f t="shared" si="68"/>
        <v>16.830399999999997</v>
      </c>
      <c r="AW353">
        <f t="shared" si="69"/>
        <v>0.72164042687999985</v>
      </c>
      <c r="AX353" s="9"/>
      <c r="AY353" s="22">
        <v>1.6272</v>
      </c>
      <c r="AZ353" s="22">
        <v>403.06</v>
      </c>
      <c r="BA353" s="22">
        <v>-1.2109399999999999E-2</v>
      </c>
      <c r="BB353" s="22">
        <v>343</v>
      </c>
      <c r="BC353" s="22">
        <v>1.6262799999999999</v>
      </c>
      <c r="BD353">
        <f t="shared" si="70"/>
        <v>12.109399999999999</v>
      </c>
      <c r="BE353">
        <f t="shared" si="71"/>
        <v>19.704415679999997</v>
      </c>
    </row>
    <row r="354" spans="6:57">
      <c r="F354" s="9"/>
      <c r="G354" s="22">
        <v>3.7841800000000002E-2</v>
      </c>
      <c r="H354" s="22">
        <v>74.011099999999999</v>
      </c>
      <c r="I354" s="22">
        <v>-1.6857899999999999E-2</v>
      </c>
      <c r="J354" s="22">
        <v>344</v>
      </c>
      <c r="K354" s="22">
        <v>3.7606800000000003E-2</v>
      </c>
      <c r="L354">
        <f t="shared" si="60"/>
        <v>16.857899999999997</v>
      </c>
      <c r="M354">
        <f t="shared" si="61"/>
        <v>0.63793328021999995</v>
      </c>
      <c r="N354" s="9"/>
      <c r="O354" s="22">
        <v>1.6322300000000001</v>
      </c>
      <c r="P354" s="22">
        <v>138.333</v>
      </c>
      <c r="Q354" s="22">
        <v>-1.2158199999999999E-2</v>
      </c>
      <c r="R354" s="22">
        <v>344</v>
      </c>
      <c r="S354" s="22">
        <v>1.63147</v>
      </c>
      <c r="T354">
        <f t="shared" si="62"/>
        <v>12.158199999999999</v>
      </c>
      <c r="U354">
        <f t="shared" si="63"/>
        <v>19.844978785999999</v>
      </c>
      <c r="X354" s="9"/>
      <c r="Y354" s="22">
        <v>3.7841800000000002E-2</v>
      </c>
      <c r="Z354" s="22">
        <v>208.46600000000001</v>
      </c>
      <c r="AA354" s="22">
        <v>-1.6836500000000001E-2</v>
      </c>
      <c r="AB354" s="22">
        <v>344</v>
      </c>
      <c r="AC354" s="22">
        <v>3.7692299999999998E-2</v>
      </c>
      <c r="AD354">
        <f t="shared" si="64"/>
        <v>16.836500000000001</v>
      </c>
      <c r="AE354">
        <f t="shared" si="65"/>
        <v>0.63712346570000011</v>
      </c>
      <c r="AF354" s="9"/>
      <c r="AG354" s="22">
        <v>1.6322300000000001</v>
      </c>
      <c r="AH354" s="22">
        <v>265.995</v>
      </c>
      <c r="AI354" s="22">
        <v>-1.18622E-2</v>
      </c>
      <c r="AJ354" s="22">
        <v>344</v>
      </c>
      <c r="AK354" s="22">
        <v>1.63147</v>
      </c>
      <c r="AL354">
        <f t="shared" si="66"/>
        <v>11.8622</v>
      </c>
      <c r="AM354">
        <f t="shared" si="67"/>
        <v>19.361838706</v>
      </c>
      <c r="AP354" s="9"/>
      <c r="AQ354" s="22">
        <v>3.7841800000000002E-2</v>
      </c>
      <c r="AR354" s="22">
        <v>344.84899999999999</v>
      </c>
      <c r="AS354" s="22">
        <v>-1.6827399999999999E-2</v>
      </c>
      <c r="AT354" s="22">
        <v>344</v>
      </c>
      <c r="AU354" s="22">
        <v>3.7701400000000003E-2</v>
      </c>
      <c r="AV354">
        <f t="shared" si="68"/>
        <v>16.827400000000001</v>
      </c>
      <c r="AW354">
        <f t="shared" si="69"/>
        <v>0.63677910532000004</v>
      </c>
      <c r="AX354" s="9"/>
      <c r="AY354" s="22">
        <v>1.6322300000000001</v>
      </c>
      <c r="AZ354" s="22">
        <v>403.16</v>
      </c>
      <c r="BA354" s="22">
        <v>-1.19568E-2</v>
      </c>
      <c r="BB354" s="22">
        <v>344</v>
      </c>
      <c r="BC354" s="22">
        <v>1.6311599999999999</v>
      </c>
      <c r="BD354">
        <f t="shared" si="70"/>
        <v>11.956799999999999</v>
      </c>
      <c r="BE354">
        <f t="shared" si="71"/>
        <v>19.516247664000002</v>
      </c>
    </row>
    <row r="355" spans="6:57">
      <c r="F355" s="9"/>
      <c r="G355" s="22">
        <v>3.2806399999999999E-2</v>
      </c>
      <c r="H355" s="22">
        <v>74.111900000000006</v>
      </c>
      <c r="I355" s="22">
        <v>-1.68518E-2</v>
      </c>
      <c r="J355" s="22">
        <v>345</v>
      </c>
      <c r="K355" s="22">
        <v>3.2510400000000002E-2</v>
      </c>
      <c r="L355">
        <f t="shared" si="60"/>
        <v>16.851800000000001</v>
      </c>
      <c r="M355">
        <f t="shared" si="61"/>
        <v>0.55284689151999999</v>
      </c>
      <c r="N355" s="9"/>
      <c r="O355" s="22">
        <v>1.63727</v>
      </c>
      <c r="P355" s="22">
        <v>138.434</v>
      </c>
      <c r="Q355" s="22">
        <v>-1.2030000000000001E-2</v>
      </c>
      <c r="R355" s="22">
        <v>345</v>
      </c>
      <c r="S355" s="22">
        <v>1.63635</v>
      </c>
      <c r="T355">
        <f t="shared" si="62"/>
        <v>12.030000000000001</v>
      </c>
      <c r="U355">
        <f t="shared" si="63"/>
        <v>19.696358100000001</v>
      </c>
      <c r="X355" s="9"/>
      <c r="Y355" s="22">
        <v>3.2806399999999999E-2</v>
      </c>
      <c r="Z355" s="22">
        <v>208.56700000000001</v>
      </c>
      <c r="AA355" s="22">
        <v>-1.68243E-2</v>
      </c>
      <c r="AB355" s="22">
        <v>345</v>
      </c>
      <c r="AC355" s="22">
        <v>3.26691E-2</v>
      </c>
      <c r="AD355">
        <f t="shared" si="64"/>
        <v>16.824300000000001</v>
      </c>
      <c r="AE355">
        <f t="shared" si="65"/>
        <v>0.55194471552000002</v>
      </c>
      <c r="AF355" s="9"/>
      <c r="AG355" s="22">
        <v>1.63727</v>
      </c>
      <c r="AH355" s="22">
        <v>266.096</v>
      </c>
      <c r="AI355" s="22">
        <v>-1.17126E-2</v>
      </c>
      <c r="AJ355" s="22">
        <v>345</v>
      </c>
      <c r="AK355" s="22">
        <v>1.63635</v>
      </c>
      <c r="AL355">
        <f t="shared" si="66"/>
        <v>11.7126</v>
      </c>
      <c r="AM355">
        <f t="shared" si="67"/>
        <v>19.176688601999999</v>
      </c>
      <c r="AP355" s="9"/>
      <c r="AQ355" s="22">
        <v>3.2806399999999999E-2</v>
      </c>
      <c r="AR355" s="22">
        <v>344.95</v>
      </c>
      <c r="AS355" s="22">
        <v>-1.6827399999999999E-2</v>
      </c>
      <c r="AT355" s="22">
        <v>345</v>
      </c>
      <c r="AU355" s="22">
        <v>3.2632399999999999E-2</v>
      </c>
      <c r="AV355">
        <f t="shared" si="68"/>
        <v>16.827400000000001</v>
      </c>
      <c r="AW355">
        <f t="shared" si="69"/>
        <v>0.55204641535999999</v>
      </c>
      <c r="AX355" s="9"/>
      <c r="AY355" s="22">
        <v>1.63727</v>
      </c>
      <c r="AZ355" s="22">
        <v>403.26100000000002</v>
      </c>
      <c r="BA355" s="22">
        <v>-1.18011E-2</v>
      </c>
      <c r="BB355" s="22">
        <v>345</v>
      </c>
      <c r="BC355" s="22">
        <v>1.63605</v>
      </c>
      <c r="BD355">
        <f t="shared" si="70"/>
        <v>11.8011</v>
      </c>
      <c r="BE355">
        <f t="shared" si="71"/>
        <v>19.321586997000001</v>
      </c>
    </row>
    <row r="356" spans="6:57">
      <c r="F356" s="9"/>
      <c r="G356" s="22">
        <v>2.7771000000000001E-2</v>
      </c>
      <c r="H356" s="22">
        <v>74.212599999999995</v>
      </c>
      <c r="I356" s="22">
        <v>-1.6867099999999999E-2</v>
      </c>
      <c r="J356" s="22">
        <v>346</v>
      </c>
      <c r="K356" s="22">
        <v>2.7603099999999998E-2</v>
      </c>
      <c r="L356">
        <f t="shared" si="60"/>
        <v>16.867100000000001</v>
      </c>
      <c r="M356">
        <f t="shared" si="61"/>
        <v>0.46841623410000005</v>
      </c>
      <c r="N356" s="9"/>
      <c r="O356" s="22">
        <v>1.6423000000000001</v>
      </c>
      <c r="P356" s="22">
        <v>138.535</v>
      </c>
      <c r="Q356" s="22">
        <v>-1.1831700000000001E-2</v>
      </c>
      <c r="R356" s="22">
        <v>346</v>
      </c>
      <c r="S356" s="22">
        <v>1.64093</v>
      </c>
      <c r="T356">
        <f t="shared" si="62"/>
        <v>11.831700000000001</v>
      </c>
      <c r="U356">
        <f t="shared" si="63"/>
        <v>19.431200910000005</v>
      </c>
      <c r="X356" s="9"/>
      <c r="Y356" s="22">
        <v>2.7771000000000001E-2</v>
      </c>
      <c r="Z356" s="22">
        <v>208.66800000000001</v>
      </c>
      <c r="AA356" s="22">
        <v>-1.6848800000000001E-2</v>
      </c>
      <c r="AB356" s="22">
        <v>346</v>
      </c>
      <c r="AC356" s="22">
        <v>2.7630600000000002E-2</v>
      </c>
      <c r="AD356">
        <f t="shared" si="64"/>
        <v>16.848800000000001</v>
      </c>
      <c r="AE356">
        <f t="shared" si="65"/>
        <v>0.46790802480000004</v>
      </c>
      <c r="AF356" s="9"/>
      <c r="AG356" s="22">
        <v>1.6423000000000001</v>
      </c>
      <c r="AH356" s="22">
        <v>266.197</v>
      </c>
      <c r="AI356" s="22">
        <v>-1.14868E-2</v>
      </c>
      <c r="AJ356" s="22">
        <v>346</v>
      </c>
      <c r="AK356" s="22">
        <v>1.64093</v>
      </c>
      <c r="AL356">
        <f t="shared" si="66"/>
        <v>11.486800000000001</v>
      </c>
      <c r="AM356">
        <f t="shared" si="67"/>
        <v>18.864771640000001</v>
      </c>
      <c r="AP356" s="9"/>
      <c r="AQ356" s="22">
        <v>2.7771000000000001E-2</v>
      </c>
      <c r="AR356" s="22">
        <v>345.05099999999999</v>
      </c>
      <c r="AS356" s="22">
        <v>-1.6827399999999999E-2</v>
      </c>
      <c r="AT356" s="22">
        <v>346</v>
      </c>
      <c r="AU356" s="22">
        <v>2.7575700000000002E-2</v>
      </c>
      <c r="AV356">
        <f t="shared" si="68"/>
        <v>16.827400000000001</v>
      </c>
      <c r="AW356">
        <f t="shared" si="69"/>
        <v>0.46731372540000005</v>
      </c>
      <c r="AX356" s="9"/>
      <c r="AY356" s="22">
        <v>1.6423000000000001</v>
      </c>
      <c r="AZ356" s="22">
        <v>403.36200000000002</v>
      </c>
      <c r="BA356" s="22">
        <v>-1.16089E-2</v>
      </c>
      <c r="BB356" s="22">
        <v>346</v>
      </c>
      <c r="BC356" s="22">
        <v>1.64154</v>
      </c>
      <c r="BD356">
        <f t="shared" si="70"/>
        <v>11.6089</v>
      </c>
      <c r="BE356">
        <f t="shared" si="71"/>
        <v>19.06529647</v>
      </c>
    </row>
    <row r="357" spans="6:57">
      <c r="F357" s="9"/>
      <c r="G357" s="22">
        <v>2.2735600000000002E-2</v>
      </c>
      <c r="H357" s="22">
        <v>74.313299999999998</v>
      </c>
      <c r="I357" s="22">
        <v>-1.68518E-2</v>
      </c>
      <c r="J357" s="22">
        <v>347</v>
      </c>
      <c r="K357" s="22">
        <v>2.23999E-2</v>
      </c>
      <c r="L357">
        <f t="shared" si="60"/>
        <v>16.851800000000001</v>
      </c>
      <c r="M357">
        <f t="shared" si="61"/>
        <v>0.38313578408000004</v>
      </c>
      <c r="N357" s="9"/>
      <c r="O357" s="22">
        <v>1.64734</v>
      </c>
      <c r="P357" s="22">
        <v>138.63499999999999</v>
      </c>
      <c r="Q357" s="22">
        <v>-1.1587500000000001E-2</v>
      </c>
      <c r="R357" s="22">
        <v>347</v>
      </c>
      <c r="S357" s="22">
        <v>1.64673</v>
      </c>
      <c r="T357">
        <f t="shared" si="62"/>
        <v>11.5875</v>
      </c>
      <c r="U357">
        <f t="shared" si="63"/>
        <v>19.088552249999999</v>
      </c>
      <c r="X357" s="9"/>
      <c r="Y357" s="22">
        <v>2.2735600000000002E-2</v>
      </c>
      <c r="Z357" s="22">
        <v>208.768</v>
      </c>
      <c r="AA357" s="22">
        <v>-1.6854899999999999E-2</v>
      </c>
      <c r="AB357" s="22">
        <v>347</v>
      </c>
      <c r="AC357" s="22">
        <v>2.2329700000000001E-2</v>
      </c>
      <c r="AD357">
        <f t="shared" si="64"/>
        <v>16.854900000000001</v>
      </c>
      <c r="AE357">
        <f t="shared" si="65"/>
        <v>0.38320626444000006</v>
      </c>
      <c r="AF357" s="9"/>
      <c r="AG357" s="22">
        <v>1.64734</v>
      </c>
      <c r="AH357" s="22">
        <v>266.29700000000003</v>
      </c>
      <c r="AI357" s="22">
        <v>-1.1273200000000001E-2</v>
      </c>
      <c r="AJ357" s="22">
        <v>347</v>
      </c>
      <c r="AK357" s="22">
        <v>1.64703</v>
      </c>
      <c r="AL357">
        <f t="shared" si="66"/>
        <v>11.273200000000001</v>
      </c>
      <c r="AM357">
        <f t="shared" si="67"/>
        <v>18.570793288000001</v>
      </c>
      <c r="AP357" s="9"/>
      <c r="AQ357" s="22">
        <v>2.2735600000000002E-2</v>
      </c>
      <c r="AR357" s="22">
        <v>345.15199999999999</v>
      </c>
      <c r="AS357" s="22">
        <v>-1.6833500000000001E-2</v>
      </c>
      <c r="AT357" s="22">
        <v>347</v>
      </c>
      <c r="AU357" s="22">
        <v>2.2540299999999999E-2</v>
      </c>
      <c r="AV357">
        <f t="shared" si="68"/>
        <v>16.833500000000001</v>
      </c>
      <c r="AW357">
        <f t="shared" si="69"/>
        <v>0.38271972260000003</v>
      </c>
      <c r="AX357" s="9"/>
      <c r="AY357" s="22">
        <v>1.64734</v>
      </c>
      <c r="AZ357" s="22">
        <v>403.46199999999999</v>
      </c>
      <c r="BA357" s="22">
        <v>-1.13922E-2</v>
      </c>
      <c r="BB357" s="22">
        <v>347</v>
      </c>
      <c r="BC357" s="22">
        <v>1.64642</v>
      </c>
      <c r="BD357">
        <f t="shared" si="70"/>
        <v>11.392200000000001</v>
      </c>
      <c r="BE357">
        <f t="shared" si="71"/>
        <v>18.766826748000003</v>
      </c>
    </row>
    <row r="358" spans="6:57">
      <c r="F358" s="9"/>
      <c r="G358" s="22">
        <v>1.7700199999999999E-2</v>
      </c>
      <c r="H358" s="22">
        <v>74.414000000000001</v>
      </c>
      <c r="I358" s="22">
        <v>-1.6836500000000001E-2</v>
      </c>
      <c r="J358" s="22">
        <v>348</v>
      </c>
      <c r="K358" s="22">
        <v>1.74377E-2</v>
      </c>
      <c r="L358">
        <f t="shared" si="60"/>
        <v>16.836500000000001</v>
      </c>
      <c r="M358">
        <f t="shared" si="61"/>
        <v>0.29800941730000002</v>
      </c>
      <c r="N358" s="9"/>
      <c r="O358" s="22">
        <v>1.6523699999999999</v>
      </c>
      <c r="P358" s="22">
        <v>138.73599999999999</v>
      </c>
      <c r="Q358" s="22">
        <v>-1.1395300000000001E-2</v>
      </c>
      <c r="R358" s="22">
        <v>348</v>
      </c>
      <c r="S358" s="22">
        <v>1.65161</v>
      </c>
      <c r="T358">
        <f t="shared" si="62"/>
        <v>11.395300000000001</v>
      </c>
      <c r="U358">
        <f t="shared" si="63"/>
        <v>18.829251860999999</v>
      </c>
      <c r="X358" s="9"/>
      <c r="Y358" s="22">
        <v>1.7700199999999999E-2</v>
      </c>
      <c r="Z358" s="22">
        <v>208.869</v>
      </c>
      <c r="AA358" s="22">
        <v>-1.6848800000000001E-2</v>
      </c>
      <c r="AB358" s="22">
        <v>348</v>
      </c>
      <c r="AC358" s="22">
        <v>1.7486600000000001E-2</v>
      </c>
      <c r="AD358">
        <f t="shared" si="64"/>
        <v>16.848800000000001</v>
      </c>
      <c r="AE358">
        <f t="shared" si="65"/>
        <v>0.29822712975999999</v>
      </c>
      <c r="AF358" s="9"/>
      <c r="AG358" s="22">
        <v>1.6523699999999999</v>
      </c>
      <c r="AH358" s="22">
        <v>266.39800000000002</v>
      </c>
      <c r="AI358" s="22">
        <v>-1.1025999999999999E-2</v>
      </c>
      <c r="AJ358" s="22">
        <v>348</v>
      </c>
      <c r="AK358" s="22">
        <v>1.6519200000000001</v>
      </c>
      <c r="AL358">
        <f t="shared" si="66"/>
        <v>11.026</v>
      </c>
      <c r="AM358">
        <f t="shared" si="67"/>
        <v>18.219031619999999</v>
      </c>
      <c r="AP358" s="9"/>
      <c r="AQ358" s="22">
        <v>1.7700199999999999E-2</v>
      </c>
      <c r="AR358" s="22">
        <v>345.25200000000001</v>
      </c>
      <c r="AS358" s="22">
        <v>-1.6836500000000001E-2</v>
      </c>
      <c r="AT358" s="22">
        <v>348</v>
      </c>
      <c r="AU358" s="22">
        <v>1.7309600000000001E-2</v>
      </c>
      <c r="AV358">
        <f t="shared" si="68"/>
        <v>16.836500000000001</v>
      </c>
      <c r="AW358">
        <f t="shared" si="69"/>
        <v>0.29800941730000002</v>
      </c>
      <c r="AX358" s="9"/>
      <c r="AY358" s="22">
        <v>1.6523699999999999</v>
      </c>
      <c r="AZ358" s="22">
        <v>403.56299999999999</v>
      </c>
      <c r="BA358" s="22">
        <v>-1.1184700000000001E-2</v>
      </c>
      <c r="BB358" s="22">
        <v>348</v>
      </c>
      <c r="BC358" s="22">
        <v>1.6513100000000001</v>
      </c>
      <c r="BD358">
        <f t="shared" si="70"/>
        <v>11.184700000000001</v>
      </c>
      <c r="BE358">
        <f t="shared" si="71"/>
        <v>18.481262739000002</v>
      </c>
    </row>
    <row r="359" spans="6:57">
      <c r="F359" s="9"/>
      <c r="G359" s="22">
        <v>1.26648E-2</v>
      </c>
      <c r="H359" s="22">
        <v>74.514700000000005</v>
      </c>
      <c r="I359" s="22">
        <v>-1.6842699999999999E-2</v>
      </c>
      <c r="J359" s="22">
        <v>349</v>
      </c>
      <c r="K359" s="22">
        <v>1.24359E-2</v>
      </c>
      <c r="L359">
        <f t="shared" si="60"/>
        <v>16.842699999999997</v>
      </c>
      <c r="M359">
        <f t="shared" si="61"/>
        <v>0.21330942695999996</v>
      </c>
      <c r="N359" s="9"/>
      <c r="O359" s="22">
        <v>1.65741</v>
      </c>
      <c r="P359" s="22">
        <v>138.83699999999999</v>
      </c>
      <c r="Q359" s="22">
        <v>-1.11389E-2</v>
      </c>
      <c r="R359" s="22">
        <v>349</v>
      </c>
      <c r="S359" s="22">
        <v>1.65649</v>
      </c>
      <c r="T359">
        <f t="shared" si="62"/>
        <v>11.1389</v>
      </c>
      <c r="U359">
        <f t="shared" si="63"/>
        <v>18.461724249</v>
      </c>
      <c r="X359" s="9"/>
      <c r="Y359" s="22">
        <v>1.26648E-2</v>
      </c>
      <c r="Z359" s="22">
        <v>208.97</v>
      </c>
      <c r="AA359" s="22">
        <v>-1.68396E-2</v>
      </c>
      <c r="AB359" s="22">
        <v>349</v>
      </c>
      <c r="AC359" s="22">
        <v>1.23993E-2</v>
      </c>
      <c r="AD359">
        <f t="shared" si="64"/>
        <v>16.839600000000001</v>
      </c>
      <c r="AE359">
        <f t="shared" si="65"/>
        <v>0.21327016608000002</v>
      </c>
      <c r="AF359" s="9"/>
      <c r="AG359" s="22">
        <v>1.65741</v>
      </c>
      <c r="AH359" s="22">
        <v>266.49900000000002</v>
      </c>
      <c r="AI359" s="22">
        <v>-1.0754400000000001E-2</v>
      </c>
      <c r="AJ359" s="22">
        <v>349</v>
      </c>
      <c r="AK359" s="22">
        <v>1.65588</v>
      </c>
      <c r="AL359">
        <f t="shared" si="66"/>
        <v>10.7544</v>
      </c>
      <c r="AM359">
        <f t="shared" si="67"/>
        <v>17.824450104</v>
      </c>
      <c r="AP359" s="9"/>
      <c r="AQ359" s="22">
        <v>1.26648E-2</v>
      </c>
      <c r="AR359" s="22">
        <v>345.35300000000001</v>
      </c>
      <c r="AS359" s="22">
        <v>-1.6833500000000001E-2</v>
      </c>
      <c r="AT359" s="22">
        <v>349</v>
      </c>
      <c r="AU359" s="22">
        <v>1.2545799999999999E-2</v>
      </c>
      <c r="AV359">
        <f t="shared" si="68"/>
        <v>16.833500000000001</v>
      </c>
      <c r="AW359">
        <f t="shared" si="69"/>
        <v>0.21319291080000002</v>
      </c>
      <c r="AX359" s="9"/>
      <c r="AY359" s="22">
        <v>1.65741</v>
      </c>
      <c r="AZ359" s="22">
        <v>403.66399999999999</v>
      </c>
      <c r="BA359" s="22">
        <v>-1.09406E-2</v>
      </c>
      <c r="BB359" s="22">
        <v>349</v>
      </c>
      <c r="BC359" s="22">
        <v>1.6561900000000001</v>
      </c>
      <c r="BD359">
        <f t="shared" si="70"/>
        <v>10.9406</v>
      </c>
      <c r="BE359">
        <f t="shared" si="71"/>
        <v>18.133059846000002</v>
      </c>
    </row>
    <row r="360" spans="6:57">
      <c r="F360" s="9"/>
      <c r="G360" s="22">
        <v>7.6293899999999998E-3</v>
      </c>
      <c r="H360" s="22">
        <v>74.615399999999994</v>
      </c>
      <c r="I360" s="22">
        <v>-1.68518E-2</v>
      </c>
      <c r="J360" s="22">
        <v>350</v>
      </c>
      <c r="K360" s="22">
        <v>7.58057E-3</v>
      </c>
      <c r="L360">
        <f t="shared" si="60"/>
        <v>16.851800000000001</v>
      </c>
      <c r="M360">
        <f t="shared" si="61"/>
        <v>0.128568954402</v>
      </c>
      <c r="N360" s="9"/>
      <c r="O360" s="22">
        <v>1.66245</v>
      </c>
      <c r="P360" s="22">
        <v>138.93700000000001</v>
      </c>
      <c r="Q360" s="22">
        <v>-1.0848999999999999E-2</v>
      </c>
      <c r="R360" s="22">
        <v>350</v>
      </c>
      <c r="S360" s="22">
        <v>1.66168</v>
      </c>
      <c r="T360">
        <f t="shared" si="62"/>
        <v>10.848999999999998</v>
      </c>
      <c r="U360">
        <f t="shared" si="63"/>
        <v>18.035920049999998</v>
      </c>
      <c r="X360" s="9"/>
      <c r="Y360" s="22">
        <v>7.6293899999999998E-3</v>
      </c>
      <c r="Z360" s="22">
        <v>209.071</v>
      </c>
      <c r="AA360" s="22">
        <v>-1.6827399999999999E-2</v>
      </c>
      <c r="AB360" s="22">
        <v>350</v>
      </c>
      <c r="AC360" s="22">
        <v>7.3944099999999997E-3</v>
      </c>
      <c r="AD360">
        <f t="shared" si="64"/>
        <v>16.827400000000001</v>
      </c>
      <c r="AE360">
        <f t="shared" si="65"/>
        <v>0.12838279728599999</v>
      </c>
      <c r="AF360" s="9"/>
      <c r="AG360" s="22">
        <v>1.66245</v>
      </c>
      <c r="AH360" s="22">
        <v>266.59899999999999</v>
      </c>
      <c r="AI360" s="22">
        <v>-1.0501099999999999E-2</v>
      </c>
      <c r="AJ360" s="22">
        <v>350</v>
      </c>
      <c r="AK360" s="22">
        <v>1.6613800000000001</v>
      </c>
      <c r="AL360">
        <f t="shared" si="66"/>
        <v>10.501099999999999</v>
      </c>
      <c r="AM360">
        <f t="shared" si="67"/>
        <v>17.457553694999998</v>
      </c>
      <c r="AP360" s="9"/>
      <c r="AQ360" s="22">
        <v>7.6293899999999998E-3</v>
      </c>
      <c r="AR360" s="22">
        <v>345.45400000000001</v>
      </c>
      <c r="AS360" s="22">
        <v>-1.68396E-2</v>
      </c>
      <c r="AT360" s="22">
        <v>350</v>
      </c>
      <c r="AU360" s="22">
        <v>7.40662E-3</v>
      </c>
      <c r="AV360">
        <f t="shared" si="68"/>
        <v>16.839600000000001</v>
      </c>
      <c r="AW360">
        <f t="shared" si="69"/>
        <v>0.128475875844</v>
      </c>
      <c r="AX360" s="9"/>
      <c r="AY360" s="22">
        <v>1.66245</v>
      </c>
      <c r="AZ360" s="22">
        <v>403.76499999999999</v>
      </c>
      <c r="BA360" s="22">
        <v>-1.06812E-2</v>
      </c>
      <c r="BB360" s="22">
        <v>350</v>
      </c>
      <c r="BC360" s="22">
        <v>1.6613800000000001</v>
      </c>
      <c r="BD360">
        <f t="shared" si="70"/>
        <v>10.6812</v>
      </c>
      <c r="BE360">
        <f t="shared" si="71"/>
        <v>17.756960939999999</v>
      </c>
    </row>
    <row r="361" spans="6:57">
      <c r="F361" s="9"/>
      <c r="G361" s="22">
        <v>2.59399E-3</v>
      </c>
      <c r="H361" s="22">
        <v>74.716099999999997</v>
      </c>
      <c r="I361" s="22">
        <v>-1.6854899999999999E-2</v>
      </c>
      <c r="J361" s="22">
        <v>351</v>
      </c>
      <c r="K361" s="22">
        <v>2.3925800000000001E-3</v>
      </c>
      <c r="L361">
        <f t="shared" si="60"/>
        <v>16.854900000000001</v>
      </c>
      <c r="M361">
        <f t="shared" si="61"/>
        <v>4.3721442051000002E-2</v>
      </c>
      <c r="N361" s="9"/>
      <c r="O361" s="22">
        <v>1.6674800000000001</v>
      </c>
      <c r="P361" s="22">
        <v>139.03800000000001</v>
      </c>
      <c r="Q361" s="22">
        <v>-1.0540799999999999E-2</v>
      </c>
      <c r="R361" s="22">
        <v>351</v>
      </c>
      <c r="S361" s="22">
        <v>1.66656</v>
      </c>
      <c r="T361">
        <f t="shared" si="62"/>
        <v>10.540799999999999</v>
      </c>
      <c r="U361">
        <f t="shared" si="63"/>
        <v>17.576573184000001</v>
      </c>
      <c r="X361" s="9"/>
      <c r="Y361" s="22">
        <v>2.59399E-3</v>
      </c>
      <c r="Z361" s="22">
        <v>209.17099999999999</v>
      </c>
      <c r="AA361" s="22">
        <v>-1.6830399999999999E-2</v>
      </c>
      <c r="AB361" s="22">
        <v>351</v>
      </c>
      <c r="AC361" s="22">
        <v>2.3071300000000001E-3</v>
      </c>
      <c r="AD361">
        <f t="shared" si="64"/>
        <v>16.830399999999997</v>
      </c>
      <c r="AE361">
        <f t="shared" si="65"/>
        <v>4.3657889295999994E-2</v>
      </c>
      <c r="AF361" s="9"/>
      <c r="AG361" s="22">
        <v>1.6674800000000001</v>
      </c>
      <c r="AH361" s="22">
        <v>266.7</v>
      </c>
      <c r="AI361" s="22">
        <v>-1.01624E-2</v>
      </c>
      <c r="AJ361" s="22">
        <v>351</v>
      </c>
      <c r="AK361" s="22">
        <v>1.66656</v>
      </c>
      <c r="AL361">
        <f t="shared" si="66"/>
        <v>10.1624</v>
      </c>
      <c r="AM361">
        <f t="shared" si="67"/>
        <v>16.945598752000002</v>
      </c>
      <c r="AP361" s="9"/>
      <c r="AQ361" s="22">
        <v>2.59399E-3</v>
      </c>
      <c r="AR361" s="22">
        <v>345.55399999999997</v>
      </c>
      <c r="AS361" s="22">
        <v>-1.68396E-2</v>
      </c>
      <c r="AT361" s="22">
        <v>351</v>
      </c>
      <c r="AU361" s="22">
        <v>2.2491500000000001E-3</v>
      </c>
      <c r="AV361">
        <f t="shared" si="68"/>
        <v>16.839600000000001</v>
      </c>
      <c r="AW361">
        <f t="shared" si="69"/>
        <v>4.3681754004000005E-2</v>
      </c>
      <c r="AX361" s="9"/>
      <c r="AY361" s="22">
        <v>1.6674800000000001</v>
      </c>
      <c r="AZ361" s="22">
        <v>403.86500000000001</v>
      </c>
      <c r="BA361" s="22">
        <v>-1.0363799999999999E-2</v>
      </c>
      <c r="BB361" s="22">
        <v>351</v>
      </c>
      <c r="BC361" s="22">
        <v>1.66595</v>
      </c>
      <c r="BD361">
        <f t="shared" si="70"/>
        <v>10.363799999999999</v>
      </c>
      <c r="BE361">
        <f t="shared" si="71"/>
        <v>17.281429224</v>
      </c>
    </row>
    <row r="362" spans="6:57">
      <c r="F362" s="9"/>
      <c r="G362" s="22">
        <v>-2.4414100000000002E-3</v>
      </c>
      <c r="H362" s="22">
        <v>74.816800000000001</v>
      </c>
      <c r="I362" s="22">
        <v>-1.6870099999999999E-2</v>
      </c>
      <c r="J362" s="22">
        <v>352</v>
      </c>
      <c r="K362" s="22">
        <v>-2.7069099999999999E-3</v>
      </c>
      <c r="L362">
        <f t="shared" si="60"/>
        <v>16.870100000000001</v>
      </c>
      <c r="M362">
        <f t="shared" si="61"/>
        <v>-4.1186830841000006E-2</v>
      </c>
      <c r="N362" s="9"/>
      <c r="O362" s="22">
        <v>1.67252</v>
      </c>
      <c r="P362" s="22">
        <v>139.13900000000001</v>
      </c>
      <c r="Q362" s="22">
        <v>-1.02478E-2</v>
      </c>
      <c r="R362" s="22">
        <v>352</v>
      </c>
      <c r="S362" s="22">
        <v>1.6714500000000001</v>
      </c>
      <c r="T362">
        <f t="shared" si="62"/>
        <v>10.2478</v>
      </c>
      <c r="U362">
        <f t="shared" si="63"/>
        <v>17.139650455999998</v>
      </c>
      <c r="X362" s="9"/>
      <c r="Y362" s="22">
        <v>-2.4414100000000002E-3</v>
      </c>
      <c r="Z362" s="22">
        <v>209.27199999999999</v>
      </c>
      <c r="AA362" s="22">
        <v>-1.6830399999999999E-2</v>
      </c>
      <c r="AB362" s="22">
        <v>352</v>
      </c>
      <c r="AC362" s="22">
        <v>-2.8930700000000002E-3</v>
      </c>
      <c r="AD362">
        <f t="shared" si="64"/>
        <v>16.830399999999997</v>
      </c>
      <c r="AE362">
        <f t="shared" si="65"/>
        <v>-4.1089906863999999E-2</v>
      </c>
      <c r="AF362" s="9"/>
      <c r="AG362" s="22">
        <v>1.67252</v>
      </c>
      <c r="AH362" s="22">
        <v>266.80099999999999</v>
      </c>
      <c r="AI362" s="22">
        <v>-9.82361E-3</v>
      </c>
      <c r="AJ362" s="22">
        <v>352</v>
      </c>
      <c r="AK362" s="22">
        <v>1.6717500000000001</v>
      </c>
      <c r="AL362">
        <f t="shared" si="66"/>
        <v>9.8236100000000004</v>
      </c>
      <c r="AM362">
        <f t="shared" si="67"/>
        <v>16.430184197199999</v>
      </c>
      <c r="AP362" s="9"/>
      <c r="AQ362" s="22">
        <v>-2.4414100000000002E-3</v>
      </c>
      <c r="AR362" s="22">
        <v>345.65499999999997</v>
      </c>
      <c r="AS362" s="22">
        <v>-1.6857899999999999E-2</v>
      </c>
      <c r="AT362" s="22">
        <v>352</v>
      </c>
      <c r="AU362" s="22">
        <v>-2.6947E-3</v>
      </c>
      <c r="AV362">
        <f t="shared" si="68"/>
        <v>16.857899999999997</v>
      </c>
      <c r="AW362">
        <f t="shared" si="69"/>
        <v>-4.1157045638999995E-2</v>
      </c>
      <c r="AX362" s="9"/>
      <c r="AY362" s="22">
        <v>1.67252</v>
      </c>
      <c r="AZ362" s="22">
        <v>403.96600000000001</v>
      </c>
      <c r="BA362" s="22">
        <v>-1.00708E-2</v>
      </c>
      <c r="BB362" s="22">
        <v>352</v>
      </c>
      <c r="BC362" s="22">
        <v>1.6714500000000001</v>
      </c>
      <c r="BD362">
        <f t="shared" si="70"/>
        <v>10.0708</v>
      </c>
      <c r="BE362">
        <f t="shared" si="71"/>
        <v>16.843614416000001</v>
      </c>
    </row>
    <row r="363" spans="6:57">
      <c r="F363" s="9"/>
      <c r="G363" s="22">
        <v>-7.4768100000000004E-3</v>
      </c>
      <c r="H363" s="22">
        <v>74.917500000000004</v>
      </c>
      <c r="I363" s="22">
        <v>-1.6854899999999999E-2</v>
      </c>
      <c r="J363" s="22">
        <v>353</v>
      </c>
      <c r="K363" s="22">
        <v>-7.7667200000000004E-3</v>
      </c>
      <c r="L363">
        <f t="shared" si="60"/>
        <v>16.854900000000001</v>
      </c>
      <c r="M363">
        <f t="shared" si="61"/>
        <v>-0.12602088486900001</v>
      </c>
      <c r="N363" s="9"/>
      <c r="O363" s="22">
        <v>1.6775500000000001</v>
      </c>
      <c r="P363" s="22">
        <v>139.24</v>
      </c>
      <c r="Q363" s="22">
        <v>-9.8480200000000007E-3</v>
      </c>
      <c r="R363" s="22">
        <v>353</v>
      </c>
      <c r="S363" s="22">
        <v>1.6769400000000001</v>
      </c>
      <c r="T363">
        <f t="shared" si="62"/>
        <v>9.84802</v>
      </c>
      <c r="U363">
        <f t="shared" si="63"/>
        <v>16.520545951000003</v>
      </c>
      <c r="X363" s="9"/>
      <c r="Y363" s="22">
        <v>-7.4768100000000004E-3</v>
      </c>
      <c r="Z363" s="22">
        <v>209.37299999999999</v>
      </c>
      <c r="AA363" s="22">
        <v>-1.68518E-2</v>
      </c>
      <c r="AB363" s="22">
        <v>353</v>
      </c>
      <c r="AC363" s="22">
        <v>-7.7270500000000001E-3</v>
      </c>
      <c r="AD363">
        <f t="shared" si="64"/>
        <v>16.851800000000001</v>
      </c>
      <c r="AE363">
        <f t="shared" si="65"/>
        <v>-0.12599770675800001</v>
      </c>
      <c r="AF363" s="9"/>
      <c r="AG363" s="22">
        <v>1.6775500000000001</v>
      </c>
      <c r="AH363" s="22">
        <v>266.90199999999999</v>
      </c>
      <c r="AI363" s="22">
        <v>-9.4329800000000005E-3</v>
      </c>
      <c r="AJ363" s="22">
        <v>353</v>
      </c>
      <c r="AK363" s="22">
        <v>1.6763300000000001</v>
      </c>
      <c r="AL363">
        <f t="shared" si="66"/>
        <v>9.4329800000000006</v>
      </c>
      <c r="AM363">
        <f t="shared" si="67"/>
        <v>15.824295599000003</v>
      </c>
      <c r="AP363" s="9"/>
      <c r="AQ363" s="22">
        <v>-7.4768100000000004E-3</v>
      </c>
      <c r="AR363" s="22">
        <v>345.75599999999997</v>
      </c>
      <c r="AS363" s="22">
        <v>-1.68396E-2</v>
      </c>
      <c r="AT363" s="22">
        <v>353</v>
      </c>
      <c r="AU363" s="22">
        <v>-7.8704799999999991E-3</v>
      </c>
      <c r="AV363">
        <f t="shared" si="68"/>
        <v>16.839600000000001</v>
      </c>
      <c r="AW363">
        <f t="shared" si="69"/>
        <v>-0.12590648967600002</v>
      </c>
      <c r="AX363" s="9"/>
      <c r="AY363" s="22">
        <v>1.6775500000000001</v>
      </c>
      <c r="AZ363" s="22">
        <v>404.06700000000001</v>
      </c>
      <c r="BA363" s="22">
        <v>-9.7289999999999998E-3</v>
      </c>
      <c r="BB363" s="22">
        <v>353</v>
      </c>
      <c r="BC363" s="22">
        <v>1.6766399999999999</v>
      </c>
      <c r="BD363">
        <f t="shared" si="70"/>
        <v>9.7289999999999992</v>
      </c>
      <c r="BE363">
        <f t="shared" si="71"/>
        <v>16.320883949999999</v>
      </c>
    </row>
    <row r="364" spans="6:57">
      <c r="F364" s="9"/>
      <c r="G364" s="22">
        <v>-1.2512199999999999E-2</v>
      </c>
      <c r="H364" s="22">
        <v>75.018199999999993</v>
      </c>
      <c r="I364" s="22">
        <v>-1.6836500000000001E-2</v>
      </c>
      <c r="J364" s="22">
        <v>354</v>
      </c>
      <c r="K364" s="22">
        <v>-1.2670900000000001E-2</v>
      </c>
      <c r="L364">
        <f t="shared" si="60"/>
        <v>16.836500000000001</v>
      </c>
      <c r="M364">
        <f t="shared" si="61"/>
        <v>-0.2106616553</v>
      </c>
      <c r="N364" s="9"/>
      <c r="O364" s="22">
        <v>1.68259</v>
      </c>
      <c r="P364" s="22">
        <v>139.34</v>
      </c>
      <c r="Q364" s="22">
        <v>-9.3841600000000008E-3</v>
      </c>
      <c r="R364" s="22">
        <v>354</v>
      </c>
      <c r="S364" s="22">
        <v>1.6821299999999999</v>
      </c>
      <c r="T364">
        <f t="shared" si="62"/>
        <v>9.3841600000000014</v>
      </c>
      <c r="U364">
        <f t="shared" si="63"/>
        <v>15.789693774400003</v>
      </c>
      <c r="X364" s="9"/>
      <c r="Y364" s="22">
        <v>-1.2512199999999999E-2</v>
      </c>
      <c r="Z364" s="22">
        <v>209.47300000000001</v>
      </c>
      <c r="AA364" s="22">
        <v>-1.6848800000000001E-2</v>
      </c>
      <c r="AB364" s="22">
        <v>354</v>
      </c>
      <c r="AC364" s="22">
        <v>-1.28387E-2</v>
      </c>
      <c r="AD364">
        <f t="shared" si="64"/>
        <v>16.848800000000001</v>
      </c>
      <c r="AE364">
        <f t="shared" si="65"/>
        <v>-0.21081555535999999</v>
      </c>
      <c r="AF364" s="9"/>
      <c r="AG364" s="22">
        <v>1.68259</v>
      </c>
      <c r="AH364" s="22">
        <v>267.00200000000001</v>
      </c>
      <c r="AI364" s="22">
        <v>-8.9996299999999998E-3</v>
      </c>
      <c r="AJ364" s="22">
        <v>354</v>
      </c>
      <c r="AK364" s="22">
        <v>1.6818200000000001</v>
      </c>
      <c r="AL364">
        <f t="shared" si="66"/>
        <v>8.9996299999999998</v>
      </c>
      <c r="AM364">
        <f t="shared" si="67"/>
        <v>15.1426874417</v>
      </c>
      <c r="AP364" s="9"/>
      <c r="AQ364" s="22">
        <v>-1.2512199999999999E-2</v>
      </c>
      <c r="AR364" s="22">
        <v>345.85700000000003</v>
      </c>
      <c r="AS364" s="22">
        <v>-1.6845700000000002E-2</v>
      </c>
      <c r="AT364" s="22">
        <v>354</v>
      </c>
      <c r="AU364" s="22">
        <v>-1.28632E-2</v>
      </c>
      <c r="AV364">
        <f t="shared" si="68"/>
        <v>16.845700000000001</v>
      </c>
      <c r="AW364">
        <f t="shared" si="69"/>
        <v>-0.21077676753999999</v>
      </c>
      <c r="AX364" s="9"/>
      <c r="AY364" s="22">
        <v>1.68259</v>
      </c>
      <c r="AZ364" s="22">
        <v>404.16699999999997</v>
      </c>
      <c r="BA364" s="22">
        <v>-9.3200699999999997E-3</v>
      </c>
      <c r="BB364" s="22">
        <v>354</v>
      </c>
      <c r="BC364" s="22">
        <v>1.6821299999999999</v>
      </c>
      <c r="BD364">
        <f t="shared" si="70"/>
        <v>9.3200699999999994</v>
      </c>
      <c r="BE364">
        <f t="shared" si="71"/>
        <v>15.6818565813</v>
      </c>
    </row>
    <row r="365" spans="6:57">
      <c r="F365" s="9"/>
      <c r="G365" s="22">
        <v>-1.75476E-2</v>
      </c>
      <c r="H365" s="22">
        <v>75.118899999999996</v>
      </c>
      <c r="I365" s="22">
        <v>-1.6854899999999999E-2</v>
      </c>
      <c r="J365" s="22">
        <v>355</v>
      </c>
      <c r="K365" s="22">
        <v>-1.79291E-2</v>
      </c>
      <c r="L365">
        <f t="shared" si="60"/>
        <v>16.854900000000001</v>
      </c>
      <c r="M365">
        <f t="shared" si="61"/>
        <v>-0.29576304324000002</v>
      </c>
      <c r="N365" s="9"/>
      <c r="O365" s="22">
        <v>1.6876199999999999</v>
      </c>
      <c r="P365" s="22">
        <v>139.441</v>
      </c>
      <c r="Q365" s="22">
        <v>-8.8561999999999998E-3</v>
      </c>
      <c r="R365" s="22">
        <v>355</v>
      </c>
      <c r="S365" s="22">
        <v>1.6867099999999999</v>
      </c>
      <c r="T365">
        <f t="shared" si="62"/>
        <v>8.8561999999999994</v>
      </c>
      <c r="U365">
        <f t="shared" si="63"/>
        <v>14.945900243999999</v>
      </c>
      <c r="X365" s="9"/>
      <c r="Y365" s="22">
        <v>-1.75476E-2</v>
      </c>
      <c r="Z365" s="22">
        <v>209.57400000000001</v>
      </c>
      <c r="AA365" s="22">
        <v>-1.6857899999999999E-2</v>
      </c>
      <c r="AB365" s="22">
        <v>355</v>
      </c>
      <c r="AC365" s="22">
        <v>-1.79718E-2</v>
      </c>
      <c r="AD365">
        <f t="shared" si="64"/>
        <v>16.857899999999997</v>
      </c>
      <c r="AE365">
        <f t="shared" si="65"/>
        <v>-0.29581568603999997</v>
      </c>
      <c r="AF365" s="9"/>
      <c r="AG365" s="22">
        <v>1.6876199999999999</v>
      </c>
      <c r="AH365" s="22">
        <v>267.10300000000001</v>
      </c>
      <c r="AI365" s="22">
        <v>-8.4899899999999993E-3</v>
      </c>
      <c r="AJ365" s="22">
        <v>355</v>
      </c>
      <c r="AK365" s="22">
        <v>1.6863999999999999</v>
      </c>
      <c r="AL365">
        <f t="shared" si="66"/>
        <v>8.4899899999999988</v>
      </c>
      <c r="AM365">
        <f t="shared" si="67"/>
        <v>14.327876923799996</v>
      </c>
      <c r="AP365" s="9"/>
      <c r="AQ365" s="22">
        <v>-1.75476E-2</v>
      </c>
      <c r="AR365" s="22">
        <v>345.95699999999999</v>
      </c>
      <c r="AS365" s="22">
        <v>-1.6842699999999999E-2</v>
      </c>
      <c r="AT365" s="22">
        <v>355</v>
      </c>
      <c r="AU365" s="22">
        <v>-1.7950399999999998E-2</v>
      </c>
      <c r="AV365">
        <f t="shared" si="68"/>
        <v>16.842699999999997</v>
      </c>
      <c r="AW365">
        <f t="shared" si="69"/>
        <v>-0.29554896251999996</v>
      </c>
      <c r="AX365" s="9"/>
      <c r="AY365" s="22">
        <v>1.6876199999999999</v>
      </c>
      <c r="AZ365" s="22">
        <v>404.26799999999997</v>
      </c>
      <c r="BA365" s="22">
        <v>-8.8745100000000004E-3</v>
      </c>
      <c r="BB365" s="22">
        <v>355</v>
      </c>
      <c r="BC365" s="22">
        <v>1.6870099999999999</v>
      </c>
      <c r="BD365">
        <f t="shared" si="70"/>
        <v>8.8745100000000008</v>
      </c>
      <c r="BE365">
        <f t="shared" si="71"/>
        <v>14.9768005662</v>
      </c>
    </row>
    <row r="366" spans="6:57">
      <c r="F366" s="9"/>
      <c r="G366" s="22">
        <v>-2.2582999999999999E-2</v>
      </c>
      <c r="H366" s="22">
        <v>75.2196</v>
      </c>
      <c r="I366" s="22">
        <v>-1.6861000000000001E-2</v>
      </c>
      <c r="J366" s="22">
        <v>356</v>
      </c>
      <c r="K366" s="22">
        <v>-2.2967499999999998E-2</v>
      </c>
      <c r="L366">
        <f t="shared" si="60"/>
        <v>16.861000000000001</v>
      </c>
      <c r="M366">
        <f t="shared" si="61"/>
        <v>-0.38077196299999999</v>
      </c>
      <c r="N366" s="9"/>
      <c r="O366" s="22">
        <v>1.6926600000000001</v>
      </c>
      <c r="P366" s="22">
        <v>139.542</v>
      </c>
      <c r="Q366" s="22">
        <v>-8.2550000000000002E-3</v>
      </c>
      <c r="R366" s="22">
        <v>356</v>
      </c>
      <c r="S366" s="22">
        <v>1.6918899999999999</v>
      </c>
      <c r="T366">
        <f t="shared" si="62"/>
        <v>8.2550000000000008</v>
      </c>
      <c r="U366">
        <f t="shared" si="63"/>
        <v>13.972908300000002</v>
      </c>
      <c r="X366" s="9"/>
      <c r="Y366" s="22">
        <v>-2.2582999999999999E-2</v>
      </c>
      <c r="Z366" s="22">
        <v>209.67500000000001</v>
      </c>
      <c r="AA366" s="22">
        <v>-1.6861000000000001E-2</v>
      </c>
      <c r="AB366" s="22">
        <v>356</v>
      </c>
      <c r="AC366" s="22">
        <v>-2.29462E-2</v>
      </c>
      <c r="AD366">
        <f t="shared" si="64"/>
        <v>16.861000000000001</v>
      </c>
      <c r="AE366">
        <f t="shared" si="65"/>
        <v>-0.38077196299999999</v>
      </c>
      <c r="AF366" s="9"/>
      <c r="AG366" s="22">
        <v>1.6926600000000001</v>
      </c>
      <c r="AH366" s="22">
        <v>267.20400000000001</v>
      </c>
      <c r="AI366" s="22">
        <v>-7.9101599999999994E-3</v>
      </c>
      <c r="AJ366" s="22">
        <v>356</v>
      </c>
      <c r="AK366" s="22">
        <v>1.6918899999999999</v>
      </c>
      <c r="AL366">
        <f t="shared" si="66"/>
        <v>7.9101599999999994</v>
      </c>
      <c r="AM366">
        <f t="shared" si="67"/>
        <v>13.389211425599999</v>
      </c>
      <c r="AP366" s="9"/>
      <c r="AQ366" s="22">
        <v>-2.2582999999999999E-2</v>
      </c>
      <c r="AR366" s="22">
        <v>346.05799999999999</v>
      </c>
      <c r="AS366" s="22">
        <v>-1.6848800000000001E-2</v>
      </c>
      <c r="AT366" s="22">
        <v>356</v>
      </c>
      <c r="AU366" s="22">
        <v>-2.29187E-2</v>
      </c>
      <c r="AV366">
        <f t="shared" si="68"/>
        <v>16.848800000000001</v>
      </c>
      <c r="AW366">
        <f t="shared" si="69"/>
        <v>-0.38049645040000002</v>
      </c>
      <c r="AX366" s="9"/>
      <c r="AY366" s="22">
        <v>1.6926600000000001</v>
      </c>
      <c r="AZ366" s="22">
        <v>404.36900000000003</v>
      </c>
      <c r="BA366" s="22">
        <v>-8.2641599999999996E-3</v>
      </c>
      <c r="BB366" s="22">
        <v>356</v>
      </c>
      <c r="BC366" s="22">
        <v>1.6918899999999999</v>
      </c>
      <c r="BD366">
        <f t="shared" si="70"/>
        <v>8.2641600000000004</v>
      </c>
      <c r="BE366">
        <f t="shared" si="71"/>
        <v>13.988413065600001</v>
      </c>
    </row>
    <row r="367" spans="6:57">
      <c r="F367" s="9"/>
      <c r="G367" s="22">
        <v>-2.7618400000000001E-2</v>
      </c>
      <c r="H367" s="22">
        <v>75.320300000000003</v>
      </c>
      <c r="I367" s="22">
        <v>-1.6861000000000001E-2</v>
      </c>
      <c r="J367" s="22">
        <v>357</v>
      </c>
      <c r="K367" s="22">
        <v>-2.7987700000000001E-2</v>
      </c>
      <c r="L367">
        <f t="shared" si="60"/>
        <v>16.861000000000001</v>
      </c>
      <c r="M367">
        <f t="shared" si="61"/>
        <v>-0.46567384240000004</v>
      </c>
      <c r="N367" s="9"/>
      <c r="O367" s="22">
        <v>1.6976899999999999</v>
      </c>
      <c r="P367" s="22">
        <v>139.642</v>
      </c>
      <c r="Q367" s="22">
        <v>-7.5897200000000003E-3</v>
      </c>
      <c r="R367" s="22">
        <v>357</v>
      </c>
      <c r="S367" s="22">
        <v>1.69678</v>
      </c>
      <c r="T367">
        <f t="shared" si="62"/>
        <v>7.5897200000000007</v>
      </c>
      <c r="U367">
        <f t="shared" si="63"/>
        <v>12.884991746800001</v>
      </c>
      <c r="X367" s="9"/>
      <c r="Y367" s="22">
        <v>-2.7618400000000001E-2</v>
      </c>
      <c r="Z367" s="22">
        <v>209.77500000000001</v>
      </c>
      <c r="AA367" s="22">
        <v>-1.6867099999999999E-2</v>
      </c>
      <c r="AB367" s="22">
        <v>357</v>
      </c>
      <c r="AC367" s="22">
        <v>-2.79358E-2</v>
      </c>
      <c r="AD367">
        <f t="shared" si="64"/>
        <v>16.867100000000001</v>
      </c>
      <c r="AE367">
        <f t="shared" si="65"/>
        <v>-0.46584231464000003</v>
      </c>
      <c r="AF367" s="9"/>
      <c r="AG367" s="22">
        <v>1.6976899999999999</v>
      </c>
      <c r="AH367" s="22">
        <v>267.30399999999997</v>
      </c>
      <c r="AI367" s="22">
        <v>-7.0434599999999997E-3</v>
      </c>
      <c r="AJ367" s="22">
        <v>357</v>
      </c>
      <c r="AK367" s="22">
        <v>1.69739</v>
      </c>
      <c r="AL367">
        <f t="shared" si="66"/>
        <v>7.0434599999999996</v>
      </c>
      <c r="AM367">
        <f t="shared" si="67"/>
        <v>11.957611607399999</v>
      </c>
      <c r="AP367" s="9"/>
      <c r="AQ367" s="22">
        <v>-2.7618400000000001E-2</v>
      </c>
      <c r="AR367" s="22">
        <v>346.15899999999999</v>
      </c>
      <c r="AS367" s="22">
        <v>-1.6854899999999999E-2</v>
      </c>
      <c r="AT367" s="22">
        <v>357</v>
      </c>
      <c r="AU367" s="22">
        <v>-2.80304E-2</v>
      </c>
      <c r="AV367">
        <f t="shared" si="68"/>
        <v>16.854900000000001</v>
      </c>
      <c r="AW367">
        <f t="shared" si="69"/>
        <v>-0.46550537016000004</v>
      </c>
      <c r="AX367" s="9"/>
      <c r="AY367" s="22">
        <v>1.6976899999999999</v>
      </c>
      <c r="AZ367" s="22">
        <v>404.47</v>
      </c>
      <c r="BA367" s="22">
        <v>-7.6568599999999997E-3</v>
      </c>
      <c r="BB367" s="22">
        <v>357</v>
      </c>
      <c r="BC367" s="22">
        <v>1.69678</v>
      </c>
      <c r="BD367">
        <f t="shared" si="70"/>
        <v>7.65686</v>
      </c>
      <c r="BE367">
        <f t="shared" si="71"/>
        <v>12.998974653399999</v>
      </c>
    </row>
    <row r="368" spans="6:57">
      <c r="F368" s="9"/>
      <c r="G368" s="22">
        <v>-3.2653799999999997E-2</v>
      </c>
      <c r="H368" s="22">
        <v>75.421099999999996</v>
      </c>
      <c r="I368" s="22">
        <v>-1.6857899999999999E-2</v>
      </c>
      <c r="J368" s="22">
        <v>358</v>
      </c>
      <c r="K368" s="22">
        <v>-3.3004800000000001E-2</v>
      </c>
      <c r="L368">
        <f t="shared" si="60"/>
        <v>16.857899999999997</v>
      </c>
      <c r="M368">
        <f t="shared" si="61"/>
        <v>-0.5504744950199999</v>
      </c>
      <c r="N368" s="9"/>
      <c r="O368" s="22">
        <v>1.7027300000000001</v>
      </c>
      <c r="P368" s="22">
        <v>139.74299999999999</v>
      </c>
      <c r="Q368" s="22">
        <v>-6.6436799999999999E-3</v>
      </c>
      <c r="R368" s="22">
        <v>358</v>
      </c>
      <c r="S368" s="22">
        <v>1.70166</v>
      </c>
      <c r="T368">
        <f t="shared" si="62"/>
        <v>6.6436799999999998</v>
      </c>
      <c r="U368">
        <f t="shared" si="63"/>
        <v>11.312393246400001</v>
      </c>
      <c r="X368" s="9"/>
      <c r="Y368" s="22">
        <v>-3.2653799999999997E-2</v>
      </c>
      <c r="Z368" s="22">
        <v>209.876</v>
      </c>
      <c r="AA368" s="22">
        <v>-1.6870099999999999E-2</v>
      </c>
      <c r="AB368" s="22">
        <v>358</v>
      </c>
      <c r="AC368" s="22">
        <v>-3.30627E-2</v>
      </c>
      <c r="AD368">
        <f t="shared" si="64"/>
        <v>16.870100000000001</v>
      </c>
      <c r="AE368">
        <f t="shared" si="65"/>
        <v>-0.55087287137999996</v>
      </c>
      <c r="AF368" s="9"/>
      <c r="AG368" s="22">
        <v>1.7027300000000001</v>
      </c>
      <c r="AH368" s="22">
        <v>267.40499999999997</v>
      </c>
      <c r="AI368" s="22">
        <v>-6.0302699999999999E-3</v>
      </c>
      <c r="AJ368" s="22">
        <v>358</v>
      </c>
      <c r="AK368" s="22">
        <v>1.70197</v>
      </c>
      <c r="AL368">
        <f t="shared" si="66"/>
        <v>6.0302699999999998</v>
      </c>
      <c r="AM368">
        <f t="shared" si="67"/>
        <v>10.267921637100001</v>
      </c>
      <c r="AP368" s="9"/>
      <c r="AQ368" s="22">
        <v>-3.2653799999999997E-2</v>
      </c>
      <c r="AR368" s="22">
        <v>346.25900000000001</v>
      </c>
      <c r="AS368" s="22">
        <v>-1.6848800000000001E-2</v>
      </c>
      <c r="AT368" s="22">
        <v>358</v>
      </c>
      <c r="AU368" s="22">
        <v>-3.3065799999999999E-2</v>
      </c>
      <c r="AV368">
        <f t="shared" si="68"/>
        <v>16.848800000000001</v>
      </c>
      <c r="AW368">
        <f t="shared" si="69"/>
        <v>-0.55017734543999997</v>
      </c>
      <c r="AX368" s="9"/>
      <c r="AY368" s="22">
        <v>1.7027300000000001</v>
      </c>
      <c r="AZ368" s="22">
        <v>404.57</v>
      </c>
      <c r="BA368" s="22">
        <v>-6.84814E-3</v>
      </c>
      <c r="BB368" s="22">
        <v>358</v>
      </c>
      <c r="BC368" s="22">
        <v>1.7022699999999999</v>
      </c>
      <c r="BD368">
        <f t="shared" si="70"/>
        <v>6.8481399999999999</v>
      </c>
      <c r="BE368">
        <f t="shared" si="71"/>
        <v>11.6605334222</v>
      </c>
    </row>
    <row r="369" spans="6:57">
      <c r="F369" s="9"/>
      <c r="G369" s="22">
        <v>-3.7689199999999999E-2</v>
      </c>
      <c r="H369" s="22">
        <v>75.521799999999999</v>
      </c>
      <c r="I369" s="22">
        <v>-1.6864000000000001E-2</v>
      </c>
      <c r="J369" s="22">
        <v>359</v>
      </c>
      <c r="K369" s="22">
        <v>-3.7954700000000001E-2</v>
      </c>
      <c r="L369">
        <f t="shared" si="60"/>
        <v>16.864000000000001</v>
      </c>
      <c r="M369">
        <f t="shared" si="61"/>
        <v>-0.63559066880000004</v>
      </c>
      <c r="N369" s="9"/>
      <c r="O369" s="22">
        <v>1.7077599999999999</v>
      </c>
      <c r="P369" s="22">
        <v>139.84399999999999</v>
      </c>
      <c r="Q369" s="22">
        <v>-5.3283699999999998E-3</v>
      </c>
      <c r="R369" s="22">
        <v>359</v>
      </c>
      <c r="S369" s="22">
        <v>1.7071499999999999</v>
      </c>
      <c r="T369">
        <f t="shared" si="62"/>
        <v>5.3283699999999996</v>
      </c>
      <c r="U369">
        <f t="shared" si="63"/>
        <v>9.0995771511999983</v>
      </c>
      <c r="X369" s="9"/>
      <c r="Y369" s="22">
        <v>-3.7689199999999999E-2</v>
      </c>
      <c r="Z369" s="22">
        <v>209.977</v>
      </c>
      <c r="AA369" s="22">
        <v>-1.6873200000000001E-2</v>
      </c>
      <c r="AB369" s="22">
        <v>359</v>
      </c>
      <c r="AC369" s="22">
        <v>-3.8058500000000002E-2</v>
      </c>
      <c r="AD369">
        <f t="shared" si="64"/>
        <v>16.873200000000001</v>
      </c>
      <c r="AE369">
        <f t="shared" si="65"/>
        <v>-0.63593740943999999</v>
      </c>
      <c r="AF369" s="9"/>
      <c r="AG369" s="22">
        <v>1.7077599999999999</v>
      </c>
      <c r="AH369" s="22">
        <v>267.50599999999997</v>
      </c>
      <c r="AI369" s="22">
        <v>-4.7775300000000003E-3</v>
      </c>
      <c r="AJ369" s="22">
        <v>359</v>
      </c>
      <c r="AK369" s="22">
        <v>1.70685</v>
      </c>
      <c r="AL369">
        <f t="shared" si="66"/>
        <v>4.7775300000000005</v>
      </c>
      <c r="AM369">
        <f t="shared" si="67"/>
        <v>8.1588746327999999</v>
      </c>
      <c r="AP369" s="9"/>
      <c r="AQ369" s="22">
        <v>-3.7689199999999999E-2</v>
      </c>
      <c r="AR369" s="22">
        <v>346.36</v>
      </c>
      <c r="AS369" s="22">
        <v>-1.6861000000000001E-2</v>
      </c>
      <c r="AT369" s="22">
        <v>359</v>
      </c>
      <c r="AU369" s="22">
        <v>-3.8235499999999999E-2</v>
      </c>
      <c r="AV369">
        <f t="shared" si="68"/>
        <v>16.861000000000001</v>
      </c>
      <c r="AW369">
        <f t="shared" si="69"/>
        <v>-0.63547760119999996</v>
      </c>
      <c r="AX369" s="9"/>
      <c r="AY369" s="22">
        <v>1.7077599999999999</v>
      </c>
      <c r="AZ369" s="22">
        <v>404.67099999999999</v>
      </c>
      <c r="BA369" s="22">
        <v>-5.7403599999999999E-3</v>
      </c>
      <c r="BB369" s="22">
        <v>359</v>
      </c>
      <c r="BC369" s="22">
        <v>1.7071499999999999</v>
      </c>
      <c r="BD369">
        <f t="shared" si="70"/>
        <v>5.7403599999999999</v>
      </c>
      <c r="BE369">
        <f t="shared" si="71"/>
        <v>9.8031571935999988</v>
      </c>
    </row>
    <row r="370" spans="6:57">
      <c r="F370" s="9"/>
      <c r="G370" s="22">
        <v>-4.2724600000000001E-2</v>
      </c>
      <c r="H370" s="22">
        <v>75.622500000000002</v>
      </c>
      <c r="I370" s="22">
        <v>-1.6867099999999999E-2</v>
      </c>
      <c r="J370" s="22">
        <v>360</v>
      </c>
      <c r="K370" s="22">
        <v>-4.3154900000000003E-2</v>
      </c>
      <c r="L370">
        <f t="shared" si="60"/>
        <v>16.867100000000001</v>
      </c>
      <c r="M370">
        <f t="shared" si="61"/>
        <v>-0.72064010066000006</v>
      </c>
      <c r="N370" s="9"/>
      <c r="O370" s="22">
        <v>1.7128000000000001</v>
      </c>
      <c r="P370" s="22">
        <v>139.94399999999999</v>
      </c>
      <c r="Q370" s="22">
        <v>-3.2473799999999998E-3</v>
      </c>
      <c r="R370" s="22">
        <v>360</v>
      </c>
      <c r="S370" s="22">
        <v>1.71173</v>
      </c>
      <c r="T370">
        <f t="shared" si="62"/>
        <v>3.2473799999999997</v>
      </c>
      <c r="U370">
        <f t="shared" si="63"/>
        <v>5.5621124640000001</v>
      </c>
      <c r="X370" s="9"/>
      <c r="Y370" s="22">
        <v>-4.2724600000000001E-2</v>
      </c>
      <c r="Z370" s="22">
        <v>210.078</v>
      </c>
      <c r="AA370" s="22">
        <v>-1.6867099999999999E-2</v>
      </c>
      <c r="AB370" s="22">
        <v>360</v>
      </c>
      <c r="AC370" s="22">
        <v>-4.31396E-2</v>
      </c>
      <c r="AD370">
        <f t="shared" si="64"/>
        <v>16.867100000000001</v>
      </c>
      <c r="AE370">
        <f t="shared" si="65"/>
        <v>-0.72064010066000006</v>
      </c>
      <c r="AF370" s="9"/>
      <c r="AG370" s="22">
        <v>1.7128000000000001</v>
      </c>
      <c r="AH370" s="22">
        <v>267.60700000000003</v>
      </c>
      <c r="AI370" s="22">
        <v>-2.45911E-3</v>
      </c>
      <c r="AJ370" s="22">
        <v>360</v>
      </c>
      <c r="AK370" s="22">
        <v>1.71204</v>
      </c>
      <c r="AL370">
        <f t="shared" si="66"/>
        <v>2.4591099999999999</v>
      </c>
      <c r="AM370">
        <f t="shared" si="67"/>
        <v>4.2119636080000005</v>
      </c>
      <c r="AP370" s="9"/>
      <c r="AQ370" s="22">
        <v>-4.2724600000000001E-2</v>
      </c>
      <c r="AR370" s="22">
        <v>346.46100000000001</v>
      </c>
      <c r="AS370" s="22">
        <v>-1.6861000000000001E-2</v>
      </c>
      <c r="AT370" s="22">
        <v>360</v>
      </c>
      <c r="AU370" s="22">
        <v>-4.2990100000000003E-2</v>
      </c>
      <c r="AV370">
        <f t="shared" si="68"/>
        <v>16.861000000000001</v>
      </c>
      <c r="AW370">
        <f t="shared" si="69"/>
        <v>-0.72037948060000001</v>
      </c>
      <c r="AX370" s="9"/>
      <c r="AY370" s="22">
        <v>1.7128000000000001</v>
      </c>
      <c r="AZ370" s="22">
        <v>404.77199999999999</v>
      </c>
      <c r="BA370" s="22">
        <v>-4.1641200000000003E-3</v>
      </c>
      <c r="BB370" s="22">
        <v>360</v>
      </c>
      <c r="BC370" s="22">
        <v>1.71173</v>
      </c>
      <c r="BD370">
        <f t="shared" si="70"/>
        <v>4.1641200000000005</v>
      </c>
      <c r="BE370">
        <f t="shared" si="71"/>
        <v>7.1323047360000009</v>
      </c>
    </row>
    <row r="371" spans="6:57">
      <c r="F371" s="9"/>
      <c r="G371" s="22">
        <v>-4.7759999999999997E-2</v>
      </c>
      <c r="H371" s="22">
        <v>75.723200000000006</v>
      </c>
      <c r="I371" s="22">
        <v>-1.6854899999999999E-2</v>
      </c>
      <c r="J371" s="22">
        <v>361</v>
      </c>
      <c r="K371" s="22">
        <v>-4.81445E-2</v>
      </c>
      <c r="L371">
        <f t="shared" si="60"/>
        <v>16.854900000000001</v>
      </c>
      <c r="M371">
        <f t="shared" si="61"/>
        <v>-0.80499002399999997</v>
      </c>
      <c r="N371" s="9"/>
      <c r="O371" s="22">
        <v>1.71783</v>
      </c>
      <c r="P371" s="22">
        <v>140.04499999999999</v>
      </c>
      <c r="Q371" s="22">
        <v>2.3037700000000001E-4</v>
      </c>
      <c r="R371" s="22">
        <v>361</v>
      </c>
      <c r="S371" s="22">
        <v>1.71722</v>
      </c>
      <c r="T371">
        <f t="shared" si="62"/>
        <v>-0.230377</v>
      </c>
      <c r="U371">
        <f t="shared" si="63"/>
        <v>-0.39574852190999998</v>
      </c>
      <c r="X371" s="9"/>
      <c r="Y371" s="22">
        <v>-4.7759999999999997E-2</v>
      </c>
      <c r="Z371" s="22">
        <v>210.178</v>
      </c>
      <c r="AA371" s="22">
        <v>-1.6864000000000001E-2</v>
      </c>
      <c r="AB371" s="22">
        <v>361</v>
      </c>
      <c r="AC371" s="22">
        <v>-4.8016400000000001E-2</v>
      </c>
      <c r="AD371">
        <f t="shared" si="64"/>
        <v>16.864000000000001</v>
      </c>
      <c r="AE371">
        <f t="shared" si="65"/>
        <v>-0.80542464000000002</v>
      </c>
      <c r="AF371" s="9"/>
      <c r="AG371" s="22">
        <v>1.71783</v>
      </c>
      <c r="AH371" s="22">
        <v>267.70699999999999</v>
      </c>
      <c r="AI371" s="22">
        <v>2.15424E-3</v>
      </c>
      <c r="AJ371" s="22">
        <v>361</v>
      </c>
      <c r="AK371" s="22">
        <v>1.71661</v>
      </c>
      <c r="AL371">
        <f t="shared" si="66"/>
        <v>-2.1542400000000002</v>
      </c>
      <c r="AM371">
        <f t="shared" si="67"/>
        <v>-3.7006180992000002</v>
      </c>
      <c r="AP371" s="9"/>
      <c r="AQ371" s="22">
        <v>-4.7759999999999997E-2</v>
      </c>
      <c r="AR371" s="22">
        <v>346.56099999999998</v>
      </c>
      <c r="AS371" s="22">
        <v>-1.6861000000000001E-2</v>
      </c>
      <c r="AT371" s="22">
        <v>361</v>
      </c>
      <c r="AU371" s="22">
        <v>-4.8089600000000003E-2</v>
      </c>
      <c r="AV371">
        <f t="shared" si="68"/>
        <v>16.861000000000001</v>
      </c>
      <c r="AW371">
        <f t="shared" si="69"/>
        <v>-0.80528135999999995</v>
      </c>
      <c r="AX371" s="9"/>
      <c r="AY371" s="22">
        <v>1.71783</v>
      </c>
      <c r="AZ371" s="22">
        <v>404.87200000000001</v>
      </c>
      <c r="BA371" s="22">
        <v>-1.55609E-3</v>
      </c>
      <c r="BB371" s="22">
        <v>361</v>
      </c>
      <c r="BC371" s="22">
        <v>1.71661</v>
      </c>
      <c r="BD371">
        <f t="shared" si="70"/>
        <v>1.55609</v>
      </c>
      <c r="BE371">
        <f t="shared" si="71"/>
        <v>2.6730980846999999</v>
      </c>
    </row>
    <row r="372" spans="6:57">
      <c r="F372" s="9"/>
      <c r="G372" s="22">
        <v>-5.2795399999999999E-2</v>
      </c>
      <c r="H372" s="22">
        <v>75.823899999999995</v>
      </c>
      <c r="I372" s="22">
        <v>-1.6870099999999999E-2</v>
      </c>
      <c r="J372" s="22">
        <v>362</v>
      </c>
      <c r="K372" s="22">
        <v>-5.3466800000000002E-2</v>
      </c>
      <c r="L372">
        <f t="shared" si="60"/>
        <v>16.870100000000001</v>
      </c>
      <c r="M372">
        <f t="shared" si="61"/>
        <v>-0.89066367753999998</v>
      </c>
      <c r="N372" s="9"/>
      <c r="O372" s="22">
        <v>1.7228699999999999</v>
      </c>
      <c r="P372" s="22">
        <v>140.14599999999999</v>
      </c>
      <c r="Q372" s="22">
        <v>7.5286900000000002E-3</v>
      </c>
      <c r="R372" s="22">
        <v>362</v>
      </c>
      <c r="S372" s="22">
        <v>1.72211</v>
      </c>
      <c r="T372">
        <f t="shared" si="62"/>
        <v>-7.5286900000000001</v>
      </c>
      <c r="U372">
        <f t="shared" si="63"/>
        <v>-12.9709541403</v>
      </c>
      <c r="X372" s="9"/>
      <c r="Y372" s="22">
        <v>-5.2795399999999999E-2</v>
      </c>
      <c r="Z372" s="22">
        <v>210.279</v>
      </c>
      <c r="AA372" s="22">
        <v>-1.6873200000000001E-2</v>
      </c>
      <c r="AB372" s="22">
        <v>362</v>
      </c>
      <c r="AC372" s="22">
        <v>-5.3436299999999999E-2</v>
      </c>
      <c r="AD372">
        <f t="shared" si="64"/>
        <v>16.873200000000001</v>
      </c>
      <c r="AE372">
        <f t="shared" si="65"/>
        <v>-0.89082734328000002</v>
      </c>
      <c r="AF372" s="9"/>
      <c r="AG372" s="22">
        <v>1.7228699999999999</v>
      </c>
      <c r="AH372" s="22">
        <v>267.80799999999999</v>
      </c>
      <c r="AI372" s="22">
        <v>9.9273699999999996E-3</v>
      </c>
      <c r="AJ372" s="22">
        <v>362</v>
      </c>
      <c r="AK372" s="22">
        <v>1.72241</v>
      </c>
      <c r="AL372">
        <f t="shared" si="66"/>
        <v>-9.9273699999999998</v>
      </c>
      <c r="AM372">
        <f t="shared" si="67"/>
        <v>-17.103567951899997</v>
      </c>
      <c r="AP372" s="9"/>
      <c r="AQ372" s="22">
        <v>-5.2795399999999999E-2</v>
      </c>
      <c r="AR372" s="22">
        <v>346.66199999999998</v>
      </c>
      <c r="AS372" s="22">
        <v>-1.6842699999999999E-2</v>
      </c>
      <c r="AT372" s="22">
        <v>362</v>
      </c>
      <c r="AU372" s="22">
        <v>-5.3283700000000003E-2</v>
      </c>
      <c r="AV372">
        <f t="shared" si="68"/>
        <v>16.842699999999997</v>
      </c>
      <c r="AW372">
        <f t="shared" si="69"/>
        <v>-0.88921708357999985</v>
      </c>
      <c r="AX372" s="9"/>
      <c r="AY372" s="22">
        <v>1.7228699999999999</v>
      </c>
      <c r="AZ372" s="22">
        <v>404.97300000000001</v>
      </c>
      <c r="BA372" s="22">
        <v>4.6691900000000001E-3</v>
      </c>
      <c r="BB372" s="22">
        <v>362</v>
      </c>
      <c r="BC372" s="22">
        <v>1.7218</v>
      </c>
      <c r="BD372">
        <f t="shared" si="70"/>
        <v>-4.6691900000000004</v>
      </c>
      <c r="BE372">
        <f t="shared" si="71"/>
        <v>-8.0444073753000005</v>
      </c>
    </row>
    <row r="373" spans="6:57">
      <c r="F373" s="9"/>
      <c r="G373" s="22">
        <v>-5.7830800000000002E-2</v>
      </c>
      <c r="H373" s="22">
        <v>75.924599999999998</v>
      </c>
      <c r="I373" s="22">
        <v>-1.6882299999999999E-2</v>
      </c>
      <c r="J373" s="22">
        <v>363</v>
      </c>
      <c r="K373" s="22">
        <v>-5.85327E-2</v>
      </c>
      <c r="L373">
        <f t="shared" si="60"/>
        <v>16.882300000000001</v>
      </c>
      <c r="M373">
        <f t="shared" si="61"/>
        <v>-0.97631691484000005</v>
      </c>
      <c r="N373" s="9"/>
      <c r="O373" s="22">
        <v>1.7279100000000001</v>
      </c>
      <c r="P373" s="22">
        <v>140.24700000000001</v>
      </c>
      <c r="Q373" s="22">
        <v>1.6595499999999999E-2</v>
      </c>
      <c r="R373" s="22">
        <v>363</v>
      </c>
      <c r="S373" s="22">
        <v>1.72638</v>
      </c>
      <c r="T373">
        <f t="shared" si="62"/>
        <v>-16.595499999999998</v>
      </c>
      <c r="U373">
        <f t="shared" si="63"/>
        <v>-28.675530404999996</v>
      </c>
      <c r="X373" s="9"/>
      <c r="Y373" s="22">
        <v>-5.7830800000000002E-2</v>
      </c>
      <c r="Z373" s="22">
        <v>210.38</v>
      </c>
      <c r="AA373" s="22">
        <v>-1.6861000000000001E-2</v>
      </c>
      <c r="AB373" s="22">
        <v>363</v>
      </c>
      <c r="AC373" s="22">
        <v>-5.8380099999999997E-2</v>
      </c>
      <c r="AD373">
        <f t="shared" si="64"/>
        <v>16.861000000000001</v>
      </c>
      <c r="AE373">
        <f t="shared" si="65"/>
        <v>-0.97508511880000004</v>
      </c>
      <c r="AF373" s="9"/>
      <c r="AG373" s="22">
        <v>1.7279100000000001</v>
      </c>
      <c r="AH373" s="22">
        <v>267.90899999999999</v>
      </c>
      <c r="AI373" s="22">
        <v>1.9278E-2</v>
      </c>
      <c r="AJ373" s="22">
        <v>363</v>
      </c>
      <c r="AK373" s="22">
        <v>1.72729</v>
      </c>
      <c r="AL373">
        <f t="shared" si="66"/>
        <v>-19.277999999999999</v>
      </c>
      <c r="AM373">
        <f t="shared" si="67"/>
        <v>-33.310648979999996</v>
      </c>
      <c r="AP373" s="9"/>
      <c r="AQ373" s="22">
        <v>-5.7830800000000002E-2</v>
      </c>
      <c r="AR373" s="22">
        <v>346.76299999999998</v>
      </c>
      <c r="AS373" s="22">
        <v>-1.68518E-2</v>
      </c>
      <c r="AT373" s="22">
        <v>363</v>
      </c>
      <c r="AU373" s="22">
        <v>-5.84106E-2</v>
      </c>
      <c r="AV373">
        <f t="shared" si="68"/>
        <v>16.851800000000001</v>
      </c>
      <c r="AW373">
        <f t="shared" si="69"/>
        <v>-0.97455307544000003</v>
      </c>
      <c r="AX373" s="9"/>
      <c r="AY373" s="22">
        <v>1.7279100000000001</v>
      </c>
      <c r="AZ373" s="22">
        <v>405.07400000000001</v>
      </c>
      <c r="BA373" s="22">
        <v>1.55792E-2</v>
      </c>
      <c r="BB373" s="22">
        <v>363</v>
      </c>
      <c r="BC373" s="22">
        <v>1.72729</v>
      </c>
      <c r="BD373">
        <f t="shared" si="70"/>
        <v>-15.5792</v>
      </c>
      <c r="BE373">
        <f t="shared" si="71"/>
        <v>-26.919455472000003</v>
      </c>
    </row>
    <row r="374" spans="6:57">
      <c r="F374" s="9"/>
      <c r="G374" s="22">
        <v>-6.2866199999999997E-2</v>
      </c>
      <c r="H374" s="22">
        <v>76.025300000000001</v>
      </c>
      <c r="I374" s="22">
        <v>-1.6882299999999999E-2</v>
      </c>
      <c r="J374" s="22">
        <v>364</v>
      </c>
      <c r="K374" s="22">
        <v>-6.3476599999999994E-2</v>
      </c>
      <c r="L374">
        <f t="shared" si="60"/>
        <v>16.882300000000001</v>
      </c>
      <c r="M374">
        <f t="shared" si="61"/>
        <v>-1.06132604826</v>
      </c>
      <c r="N374" s="9"/>
      <c r="O374" s="22">
        <v>1.7329399999999999</v>
      </c>
      <c r="P374" s="22">
        <v>140.34700000000001</v>
      </c>
      <c r="Q374" s="22">
        <v>2.72827E-2</v>
      </c>
      <c r="R374" s="22">
        <v>364</v>
      </c>
      <c r="S374" s="22">
        <v>1.73248</v>
      </c>
      <c r="T374">
        <f t="shared" si="62"/>
        <v>-27.282699999999998</v>
      </c>
      <c r="U374">
        <f t="shared" si="63"/>
        <v>-47.279282137999992</v>
      </c>
      <c r="X374" s="9"/>
      <c r="Y374" s="22">
        <v>-6.2866199999999997E-2</v>
      </c>
      <c r="Z374" s="22">
        <v>210.48</v>
      </c>
      <c r="AA374" s="22">
        <v>-1.6876200000000001E-2</v>
      </c>
      <c r="AB374" s="22">
        <v>364</v>
      </c>
      <c r="AC374" s="22">
        <v>-6.3384999999999997E-2</v>
      </c>
      <c r="AD374">
        <f t="shared" si="64"/>
        <v>16.876200000000001</v>
      </c>
      <c r="AE374">
        <f t="shared" si="65"/>
        <v>-1.0609425644399999</v>
      </c>
      <c r="AF374" s="9"/>
      <c r="AG374" s="22">
        <v>1.7329399999999999</v>
      </c>
      <c r="AH374" s="22">
        <v>268.00900000000001</v>
      </c>
      <c r="AI374" s="22">
        <v>2.9852299999999998E-2</v>
      </c>
      <c r="AJ374" s="22">
        <v>364</v>
      </c>
      <c r="AK374" s="22">
        <v>1.7315700000000001</v>
      </c>
      <c r="AL374">
        <f t="shared" si="66"/>
        <v>-29.8523</v>
      </c>
      <c r="AM374">
        <f t="shared" si="67"/>
        <v>-51.732244762000001</v>
      </c>
      <c r="AP374" s="9"/>
      <c r="AQ374" s="22">
        <v>-6.2866199999999997E-2</v>
      </c>
      <c r="AR374" s="22">
        <v>346.86399999999998</v>
      </c>
      <c r="AS374" s="22">
        <v>-1.6861000000000001E-2</v>
      </c>
      <c r="AT374" s="22">
        <v>364</v>
      </c>
      <c r="AU374" s="22">
        <v>-6.3384999999999997E-2</v>
      </c>
      <c r="AV374">
        <f t="shared" si="68"/>
        <v>16.861000000000001</v>
      </c>
      <c r="AW374">
        <f t="shared" si="69"/>
        <v>-1.0599869982000001</v>
      </c>
      <c r="AX374" s="9"/>
      <c r="AY374" s="22">
        <v>1.7329399999999999</v>
      </c>
      <c r="AZ374" s="22">
        <v>405.17500000000001</v>
      </c>
      <c r="BA374" s="22">
        <v>2.6238999999999998E-2</v>
      </c>
      <c r="BB374" s="22">
        <v>364</v>
      </c>
      <c r="BC374" s="22">
        <v>1.7321800000000001</v>
      </c>
      <c r="BD374">
        <f t="shared" si="70"/>
        <v>-26.238999999999997</v>
      </c>
      <c r="BE374">
        <f t="shared" si="71"/>
        <v>-45.470612659999993</v>
      </c>
    </row>
    <row r="375" spans="6:57">
      <c r="F375" s="9"/>
      <c r="G375" s="22">
        <v>-6.7901600000000006E-2</v>
      </c>
      <c r="H375" s="22">
        <v>76.126000000000005</v>
      </c>
      <c r="I375" s="22">
        <v>-1.68793E-2</v>
      </c>
      <c r="J375" s="22">
        <v>365</v>
      </c>
      <c r="K375" s="22">
        <v>-6.8512000000000003E-2</v>
      </c>
      <c r="L375">
        <f t="shared" si="60"/>
        <v>16.879300000000001</v>
      </c>
      <c r="M375">
        <f t="shared" si="61"/>
        <v>-1.1461314768800002</v>
      </c>
      <c r="N375" s="9"/>
      <c r="O375" s="22">
        <v>1.7379800000000001</v>
      </c>
      <c r="P375" s="22">
        <v>140.44800000000001</v>
      </c>
      <c r="Q375" s="22">
        <v>3.8348399999999998E-2</v>
      </c>
      <c r="R375" s="22">
        <v>365</v>
      </c>
      <c r="S375" s="22">
        <v>1.73706</v>
      </c>
      <c r="T375">
        <f t="shared" si="62"/>
        <v>-38.348399999999998</v>
      </c>
      <c r="U375">
        <f t="shared" si="63"/>
        <v>-66.648752232000007</v>
      </c>
      <c r="X375" s="9"/>
      <c r="Y375" s="22">
        <v>-6.7901600000000006E-2</v>
      </c>
      <c r="Z375" s="22">
        <v>210.58099999999999</v>
      </c>
      <c r="AA375" s="22">
        <v>-1.6870099999999999E-2</v>
      </c>
      <c r="AB375" s="22">
        <v>365</v>
      </c>
      <c r="AC375" s="22">
        <v>-6.8420400000000006E-2</v>
      </c>
      <c r="AD375">
        <f t="shared" si="64"/>
        <v>16.870100000000001</v>
      </c>
      <c r="AE375">
        <f t="shared" si="65"/>
        <v>-1.1455067821600002</v>
      </c>
      <c r="AF375" s="9"/>
      <c r="AG375" s="22">
        <v>1.7379800000000001</v>
      </c>
      <c r="AH375" s="22">
        <v>268.11</v>
      </c>
      <c r="AI375" s="22">
        <v>4.0679899999999998E-2</v>
      </c>
      <c r="AJ375" s="22">
        <v>365</v>
      </c>
      <c r="AK375" s="22">
        <v>1.73706</v>
      </c>
      <c r="AL375">
        <f t="shared" si="66"/>
        <v>-40.679899999999996</v>
      </c>
      <c r="AM375">
        <f t="shared" si="67"/>
        <v>-70.700852601999998</v>
      </c>
      <c r="AP375" s="9"/>
      <c r="AQ375" s="22">
        <v>-6.7901600000000006E-2</v>
      </c>
      <c r="AR375" s="22">
        <v>346.964</v>
      </c>
      <c r="AS375" s="22">
        <v>-1.6864000000000001E-2</v>
      </c>
      <c r="AT375" s="22">
        <v>365</v>
      </c>
      <c r="AU375" s="22">
        <v>-6.8450899999999995E-2</v>
      </c>
      <c r="AV375">
        <f t="shared" si="68"/>
        <v>16.864000000000001</v>
      </c>
      <c r="AW375">
        <f t="shared" si="69"/>
        <v>-1.1450925824000002</v>
      </c>
      <c r="AX375" s="9"/>
      <c r="AY375" s="22">
        <v>1.7379800000000001</v>
      </c>
      <c r="AZ375" s="22">
        <v>405.27499999999998</v>
      </c>
      <c r="BA375" s="22">
        <v>3.7536600000000003E-2</v>
      </c>
      <c r="BB375" s="22">
        <v>365</v>
      </c>
      <c r="BC375" s="22">
        <v>1.7367600000000001</v>
      </c>
      <c r="BD375">
        <f t="shared" si="70"/>
        <v>-37.5366</v>
      </c>
      <c r="BE375">
        <f t="shared" si="71"/>
        <v>-65.237860068000003</v>
      </c>
    </row>
    <row r="376" spans="6:57">
      <c r="F376" s="9"/>
      <c r="G376" s="22">
        <v>-7.2937000000000002E-2</v>
      </c>
      <c r="H376" s="22">
        <v>76.226699999999994</v>
      </c>
      <c r="I376" s="22">
        <v>-1.6876200000000001E-2</v>
      </c>
      <c r="J376" s="22">
        <v>366</v>
      </c>
      <c r="K376" s="22">
        <v>-7.3516799999999993E-2</v>
      </c>
      <c r="L376">
        <f t="shared" si="60"/>
        <v>16.876200000000001</v>
      </c>
      <c r="M376">
        <f t="shared" si="61"/>
        <v>-1.2308993994000001</v>
      </c>
      <c r="N376" s="9"/>
      <c r="O376" s="22">
        <v>1.7430099999999999</v>
      </c>
      <c r="P376" s="22">
        <v>140.54900000000001</v>
      </c>
      <c r="Q376" s="22">
        <v>5.0094600000000003E-2</v>
      </c>
      <c r="R376" s="22">
        <v>366</v>
      </c>
      <c r="S376" s="22">
        <v>1.74255</v>
      </c>
      <c r="T376">
        <f t="shared" si="62"/>
        <v>-50.0946</v>
      </c>
      <c r="U376">
        <f t="shared" si="63"/>
        <v>-87.315388745999996</v>
      </c>
      <c r="X376" s="9"/>
      <c r="Y376" s="22">
        <v>-7.2937000000000002E-2</v>
      </c>
      <c r="Z376" s="22">
        <v>210.68199999999999</v>
      </c>
      <c r="AA376" s="22">
        <v>-1.6876200000000001E-2</v>
      </c>
      <c r="AB376" s="22">
        <v>366</v>
      </c>
      <c r="AC376" s="22">
        <v>-7.3425299999999999E-2</v>
      </c>
      <c r="AD376">
        <f t="shared" si="64"/>
        <v>16.876200000000001</v>
      </c>
      <c r="AE376">
        <f t="shared" si="65"/>
        <v>-1.2308993994000001</v>
      </c>
      <c r="AF376" s="9"/>
      <c r="AG376" s="22">
        <v>1.7430099999999999</v>
      </c>
      <c r="AH376" s="22">
        <v>268.21100000000001</v>
      </c>
      <c r="AI376" s="22">
        <v>5.2056900000000003E-2</v>
      </c>
      <c r="AJ376" s="22">
        <v>366</v>
      </c>
      <c r="AK376" s="22">
        <v>1.7422500000000001</v>
      </c>
      <c r="AL376">
        <f t="shared" si="66"/>
        <v>-52.056900000000006</v>
      </c>
      <c r="AM376">
        <f t="shared" si="67"/>
        <v>-90.735697269000013</v>
      </c>
      <c r="AP376" s="9"/>
      <c r="AQ376" s="22">
        <v>-7.2937000000000002E-2</v>
      </c>
      <c r="AR376" s="22">
        <v>347.065</v>
      </c>
      <c r="AS376" s="22">
        <v>-1.6861000000000001E-2</v>
      </c>
      <c r="AT376" s="22">
        <v>366</v>
      </c>
      <c r="AU376" s="22">
        <v>-7.3303199999999999E-2</v>
      </c>
      <c r="AV376">
        <f t="shared" si="68"/>
        <v>16.861000000000001</v>
      </c>
      <c r="AW376">
        <f t="shared" si="69"/>
        <v>-1.2297907570000002</v>
      </c>
      <c r="AX376" s="9"/>
      <c r="AY376" s="22">
        <v>1.7430099999999999</v>
      </c>
      <c r="AZ376" s="22">
        <v>405.37599999999998</v>
      </c>
      <c r="BA376" s="22">
        <v>5.0289899999999998E-2</v>
      </c>
      <c r="BB376" s="22">
        <v>366</v>
      </c>
      <c r="BC376" s="22">
        <v>1.74255</v>
      </c>
      <c r="BD376">
        <f t="shared" si="70"/>
        <v>-50.289899999999996</v>
      </c>
      <c r="BE376">
        <f t="shared" si="71"/>
        <v>-87.655798598999993</v>
      </c>
    </row>
    <row r="377" spans="6:57">
      <c r="F377" s="9"/>
      <c r="G377" s="22">
        <v>-7.7972399999999997E-2</v>
      </c>
      <c r="H377" s="22">
        <v>76.327399999999997</v>
      </c>
      <c r="I377" s="22">
        <v>-1.6885399999999998E-2</v>
      </c>
      <c r="J377" s="22">
        <v>367</v>
      </c>
      <c r="K377" s="22">
        <v>-7.8582799999999994E-2</v>
      </c>
      <c r="L377">
        <f t="shared" si="60"/>
        <v>16.885399999999997</v>
      </c>
      <c r="M377">
        <f t="shared" si="61"/>
        <v>-1.3165951629599997</v>
      </c>
      <c r="N377" s="9"/>
      <c r="O377" s="22">
        <v>1.7480500000000001</v>
      </c>
      <c r="P377" s="22">
        <v>140.649</v>
      </c>
      <c r="Q377" s="22">
        <v>6.2139899999999998E-2</v>
      </c>
      <c r="R377" s="22">
        <v>367</v>
      </c>
      <c r="S377" s="22">
        <v>1.7477400000000001</v>
      </c>
      <c r="T377">
        <f t="shared" si="62"/>
        <v>-62.139899999999997</v>
      </c>
      <c r="U377">
        <f t="shared" si="63"/>
        <v>-108.62365219500001</v>
      </c>
      <c r="X377" s="9"/>
      <c r="Y377" s="22">
        <v>-7.7972399999999997E-2</v>
      </c>
      <c r="Z377" s="22">
        <v>210.78299999999999</v>
      </c>
      <c r="AA377" s="22">
        <v>-1.6882299999999999E-2</v>
      </c>
      <c r="AB377" s="22">
        <v>367</v>
      </c>
      <c r="AC377" s="22">
        <v>-7.8552200000000003E-2</v>
      </c>
      <c r="AD377">
        <f t="shared" si="64"/>
        <v>16.882300000000001</v>
      </c>
      <c r="AE377">
        <f t="shared" si="65"/>
        <v>-1.3163534485199999</v>
      </c>
      <c r="AF377" s="9"/>
      <c r="AG377" s="22">
        <v>1.7480500000000001</v>
      </c>
      <c r="AH377" s="22">
        <v>268.31099999999998</v>
      </c>
      <c r="AI377" s="22">
        <v>6.3504000000000005E-2</v>
      </c>
      <c r="AJ377" s="22">
        <v>367</v>
      </c>
      <c r="AK377" s="22">
        <v>1.7474400000000001</v>
      </c>
      <c r="AL377">
        <f t="shared" si="66"/>
        <v>-63.504000000000005</v>
      </c>
      <c r="AM377">
        <f t="shared" si="67"/>
        <v>-111.00816720000002</v>
      </c>
      <c r="AP377" s="9"/>
      <c r="AQ377" s="22">
        <v>-7.7972399999999997E-2</v>
      </c>
      <c r="AR377" s="22">
        <v>347.166</v>
      </c>
      <c r="AS377" s="22">
        <v>-1.6861000000000001E-2</v>
      </c>
      <c r="AT377" s="22">
        <v>367</v>
      </c>
      <c r="AU377" s="22">
        <v>-7.8613299999999997E-2</v>
      </c>
      <c r="AV377">
        <f t="shared" si="68"/>
        <v>16.861000000000001</v>
      </c>
      <c r="AW377">
        <f t="shared" si="69"/>
        <v>-1.3146926364</v>
      </c>
      <c r="AX377" s="9"/>
      <c r="AY377" s="22">
        <v>1.7480500000000001</v>
      </c>
      <c r="AZ377" s="22">
        <v>405.47699999999998</v>
      </c>
      <c r="BA377" s="22">
        <v>6.1737100000000003E-2</v>
      </c>
      <c r="BB377" s="22">
        <v>367</v>
      </c>
      <c r="BC377" s="22">
        <v>1.7474400000000001</v>
      </c>
      <c r="BD377">
        <f t="shared" si="70"/>
        <v>-61.737100000000005</v>
      </c>
      <c r="BE377">
        <f t="shared" si="71"/>
        <v>-107.91953765500001</v>
      </c>
    </row>
    <row r="378" spans="6:57">
      <c r="F378" s="9"/>
      <c r="G378" s="22">
        <v>-8.3007800000000007E-2</v>
      </c>
      <c r="H378" s="22">
        <v>76.428100000000001</v>
      </c>
      <c r="I378" s="22">
        <v>-1.68945E-2</v>
      </c>
      <c r="J378" s="22">
        <v>368</v>
      </c>
      <c r="K378" s="22">
        <v>-8.3648700000000006E-2</v>
      </c>
      <c r="L378">
        <f t="shared" si="60"/>
        <v>16.894500000000001</v>
      </c>
      <c r="M378">
        <f t="shared" si="61"/>
        <v>-1.4023752771000002</v>
      </c>
      <c r="N378" s="9"/>
      <c r="O378" s="22">
        <v>1.75308</v>
      </c>
      <c r="P378" s="22">
        <v>140.75</v>
      </c>
      <c r="Q378" s="22">
        <v>7.5103799999999998E-2</v>
      </c>
      <c r="R378" s="22">
        <v>368</v>
      </c>
      <c r="S378" s="22">
        <v>1.7523200000000001</v>
      </c>
      <c r="T378">
        <f t="shared" si="62"/>
        <v>-75.103799999999993</v>
      </c>
      <c r="U378">
        <f t="shared" si="63"/>
        <v>-131.66296970399998</v>
      </c>
      <c r="X378" s="9"/>
      <c r="Y378" s="22">
        <v>-8.3007800000000007E-2</v>
      </c>
      <c r="Z378" s="22">
        <v>210.88300000000001</v>
      </c>
      <c r="AA378" s="22">
        <v>-1.6870099999999999E-2</v>
      </c>
      <c r="AB378" s="22">
        <v>368</v>
      </c>
      <c r="AC378" s="22">
        <v>-8.3557099999999995E-2</v>
      </c>
      <c r="AD378">
        <f t="shared" si="64"/>
        <v>16.870100000000001</v>
      </c>
      <c r="AE378">
        <f t="shared" si="65"/>
        <v>-1.4003498867800002</v>
      </c>
      <c r="AF378" s="9"/>
      <c r="AG378" s="22">
        <v>1.75308</v>
      </c>
      <c r="AH378" s="22">
        <v>268.41199999999998</v>
      </c>
      <c r="AI378" s="22">
        <v>7.5714100000000006E-2</v>
      </c>
      <c r="AJ378" s="22">
        <v>368</v>
      </c>
      <c r="AK378" s="22">
        <v>1.7526200000000001</v>
      </c>
      <c r="AL378">
        <f t="shared" si="66"/>
        <v>-75.714100000000002</v>
      </c>
      <c r="AM378">
        <f t="shared" si="67"/>
        <v>-132.732874428</v>
      </c>
      <c r="AP378" s="9"/>
      <c r="AQ378" s="22">
        <v>-8.3007800000000007E-2</v>
      </c>
      <c r="AR378" s="22">
        <v>347.26600000000002</v>
      </c>
      <c r="AS378" s="22">
        <v>-1.6870099999999999E-2</v>
      </c>
      <c r="AT378" s="22">
        <v>368</v>
      </c>
      <c r="AU378" s="22">
        <v>-8.3526600000000006E-2</v>
      </c>
      <c r="AV378">
        <f t="shared" si="68"/>
        <v>16.870100000000001</v>
      </c>
      <c r="AW378">
        <f t="shared" si="69"/>
        <v>-1.4003498867800002</v>
      </c>
      <c r="AX378" s="9"/>
      <c r="AY378" s="22">
        <v>1.75308</v>
      </c>
      <c r="AZ378" s="22">
        <v>405.577</v>
      </c>
      <c r="BA378" s="22">
        <v>7.5378399999999998E-2</v>
      </c>
      <c r="BB378" s="22">
        <v>368</v>
      </c>
      <c r="BC378" s="22">
        <v>1.7526200000000001</v>
      </c>
      <c r="BD378">
        <f t="shared" si="70"/>
        <v>-75.378399999999999</v>
      </c>
      <c r="BE378">
        <f t="shared" si="71"/>
        <v>-132.144365472</v>
      </c>
    </row>
    <row r="379" spans="6:57">
      <c r="F379" s="9"/>
      <c r="G379" s="22">
        <v>-8.8043200000000002E-2</v>
      </c>
      <c r="H379" s="22">
        <v>76.528800000000004</v>
      </c>
      <c r="I379" s="22">
        <v>-1.6885399999999998E-2</v>
      </c>
      <c r="J379" s="22">
        <v>369</v>
      </c>
      <c r="K379" s="22">
        <v>-8.8622999999999993E-2</v>
      </c>
      <c r="L379">
        <f t="shared" si="60"/>
        <v>16.885399999999997</v>
      </c>
      <c r="M379">
        <f t="shared" si="61"/>
        <v>-1.4866446492799998</v>
      </c>
      <c r="N379" s="9"/>
      <c r="O379" s="22">
        <v>1.7581199999999999</v>
      </c>
      <c r="P379" s="22">
        <v>140.851</v>
      </c>
      <c r="Q379" s="22">
        <v>8.7402300000000002E-2</v>
      </c>
      <c r="R379" s="22">
        <v>369</v>
      </c>
      <c r="S379" s="22">
        <v>1.7575099999999999</v>
      </c>
      <c r="T379">
        <f t="shared" si="62"/>
        <v>-87.402299999999997</v>
      </c>
      <c r="U379">
        <f t="shared" si="63"/>
        <v>-153.663731676</v>
      </c>
      <c r="X379" s="9"/>
      <c r="Y379" s="22">
        <v>-8.8043200000000002E-2</v>
      </c>
      <c r="Z379" s="22">
        <v>210.98400000000001</v>
      </c>
      <c r="AA379" s="22">
        <v>-1.68915E-2</v>
      </c>
      <c r="AB379" s="22">
        <v>369</v>
      </c>
      <c r="AC379" s="22">
        <v>-8.8622999999999993E-2</v>
      </c>
      <c r="AD379">
        <f t="shared" si="64"/>
        <v>16.891500000000001</v>
      </c>
      <c r="AE379">
        <f t="shared" si="65"/>
        <v>-1.4871817128</v>
      </c>
      <c r="AF379" s="9"/>
      <c r="AG379" s="22">
        <v>1.7581199999999999</v>
      </c>
      <c r="AH379" s="22">
        <v>268.51299999999998</v>
      </c>
      <c r="AI379" s="22">
        <v>8.8012699999999999E-2</v>
      </c>
      <c r="AJ379" s="22">
        <v>369</v>
      </c>
      <c r="AK379" s="22">
        <v>1.7581199999999999</v>
      </c>
      <c r="AL379">
        <f t="shared" si="66"/>
        <v>-88.012699999999995</v>
      </c>
      <c r="AM379">
        <f t="shared" si="67"/>
        <v>-154.73688812399999</v>
      </c>
      <c r="AP379" s="9"/>
      <c r="AQ379" s="22">
        <v>-8.8043200000000002E-2</v>
      </c>
      <c r="AR379" s="22">
        <v>347.36700000000002</v>
      </c>
      <c r="AS379" s="22">
        <v>-1.6864000000000001E-2</v>
      </c>
      <c r="AT379" s="22">
        <v>369</v>
      </c>
      <c r="AU379" s="22">
        <v>-8.8684100000000002E-2</v>
      </c>
      <c r="AV379">
        <f t="shared" si="68"/>
        <v>16.864000000000001</v>
      </c>
      <c r="AW379">
        <f t="shared" si="69"/>
        <v>-1.4847605248000002</v>
      </c>
      <c r="AX379" s="9"/>
      <c r="AY379" s="22">
        <v>1.7581199999999999</v>
      </c>
      <c r="AZ379" s="22">
        <v>405.678</v>
      </c>
      <c r="BA379" s="22">
        <v>8.8104199999999994E-2</v>
      </c>
      <c r="BB379" s="22">
        <v>369</v>
      </c>
      <c r="BC379" s="22">
        <v>1.7575099999999999</v>
      </c>
      <c r="BD379">
        <f t="shared" si="70"/>
        <v>-88.104199999999992</v>
      </c>
      <c r="BE379">
        <f t="shared" si="71"/>
        <v>-154.89775610399997</v>
      </c>
    </row>
    <row r="380" spans="6:57">
      <c r="F380" s="9"/>
      <c r="G380" s="22">
        <v>-9.3078599999999997E-2</v>
      </c>
      <c r="H380" s="22">
        <v>76.629599999999996</v>
      </c>
      <c r="I380" s="22">
        <v>-1.6867099999999999E-2</v>
      </c>
      <c r="J380" s="22">
        <v>370</v>
      </c>
      <c r="K380" s="22">
        <v>-9.3597399999999997E-2</v>
      </c>
      <c r="L380">
        <f t="shared" si="60"/>
        <v>16.867100000000001</v>
      </c>
      <c r="M380">
        <f t="shared" si="61"/>
        <v>-1.56996605406</v>
      </c>
      <c r="N380" s="9"/>
      <c r="O380" s="22">
        <v>1.76315</v>
      </c>
      <c r="P380" s="22">
        <v>140.952</v>
      </c>
      <c r="Q380" s="22">
        <v>9.9090600000000001E-2</v>
      </c>
      <c r="R380" s="22">
        <v>370</v>
      </c>
      <c r="S380" s="22">
        <v>1.7623899999999999</v>
      </c>
      <c r="T380">
        <f t="shared" si="62"/>
        <v>-99.090599999999995</v>
      </c>
      <c r="U380">
        <f t="shared" si="63"/>
        <v>-174.71159139</v>
      </c>
      <c r="X380" s="9"/>
      <c r="Y380" s="22">
        <v>-9.3078599999999997E-2</v>
      </c>
      <c r="Z380" s="22">
        <v>211.08500000000001</v>
      </c>
      <c r="AA380" s="22">
        <v>-1.6885399999999998E-2</v>
      </c>
      <c r="AB380" s="22">
        <v>370</v>
      </c>
      <c r="AC380" s="22">
        <v>-9.3780500000000003E-2</v>
      </c>
      <c r="AD380">
        <f t="shared" si="64"/>
        <v>16.885399999999997</v>
      </c>
      <c r="AE380">
        <f t="shared" si="65"/>
        <v>-1.5716693924399996</v>
      </c>
      <c r="AF380" s="9"/>
      <c r="AG380" s="22">
        <v>1.76315</v>
      </c>
      <c r="AH380" s="22">
        <v>268.61399999999998</v>
      </c>
      <c r="AI380" s="22">
        <v>9.9792500000000006E-2</v>
      </c>
      <c r="AJ380" s="22">
        <v>370</v>
      </c>
      <c r="AK380" s="22">
        <v>1.7620800000000001</v>
      </c>
      <c r="AL380">
        <f t="shared" si="66"/>
        <v>-99.792500000000004</v>
      </c>
      <c r="AM380">
        <f t="shared" si="67"/>
        <v>-175.949146375</v>
      </c>
      <c r="AP380" s="9"/>
      <c r="AQ380" s="22">
        <v>-9.3078599999999997E-2</v>
      </c>
      <c r="AR380" s="22">
        <v>347.46800000000002</v>
      </c>
      <c r="AS380" s="22">
        <v>-1.6864000000000001E-2</v>
      </c>
      <c r="AT380" s="22">
        <v>370</v>
      </c>
      <c r="AU380" s="22">
        <v>-9.3688999999999995E-2</v>
      </c>
      <c r="AV380">
        <f t="shared" si="68"/>
        <v>16.864000000000001</v>
      </c>
      <c r="AW380">
        <f t="shared" si="69"/>
        <v>-1.5696775104</v>
      </c>
      <c r="AX380" s="9"/>
      <c r="AY380" s="22">
        <v>1.76315</v>
      </c>
      <c r="AZ380" s="22">
        <v>405.779</v>
      </c>
      <c r="BA380" s="22">
        <v>0.101868</v>
      </c>
      <c r="BB380" s="22">
        <v>370</v>
      </c>
      <c r="BC380" s="22">
        <v>1.7623899999999999</v>
      </c>
      <c r="BD380">
        <f t="shared" si="70"/>
        <v>-101.86799999999999</v>
      </c>
      <c r="BE380">
        <f t="shared" si="71"/>
        <v>-179.60856419999999</v>
      </c>
    </row>
    <row r="381" spans="6:57">
      <c r="F381" s="9"/>
      <c r="G381" s="22">
        <v>-9.8114000000000007E-2</v>
      </c>
      <c r="H381" s="22">
        <v>76.7303</v>
      </c>
      <c r="I381" s="22">
        <v>-1.68793E-2</v>
      </c>
      <c r="J381" s="22">
        <v>371</v>
      </c>
      <c r="K381" s="22">
        <v>-9.8724400000000004E-2</v>
      </c>
      <c r="L381">
        <f t="shared" si="60"/>
        <v>16.879300000000001</v>
      </c>
      <c r="M381">
        <f t="shared" si="61"/>
        <v>-1.6560956402000002</v>
      </c>
      <c r="N381" s="9"/>
      <c r="O381" s="22">
        <v>1.7681899999999999</v>
      </c>
      <c r="P381" s="22">
        <v>141.05199999999999</v>
      </c>
      <c r="Q381" s="22">
        <v>0.11068699999999999</v>
      </c>
      <c r="R381" s="22">
        <v>371</v>
      </c>
      <c r="S381" s="22">
        <v>1.7669699999999999</v>
      </c>
      <c r="T381">
        <f t="shared" si="62"/>
        <v>-110.687</v>
      </c>
      <c r="U381">
        <f t="shared" si="63"/>
        <v>-195.71564652999999</v>
      </c>
      <c r="X381" s="9"/>
      <c r="Y381" s="22">
        <v>-9.8114000000000007E-2</v>
      </c>
      <c r="Z381" s="22">
        <v>211.185</v>
      </c>
      <c r="AA381" s="22">
        <v>-1.6873200000000001E-2</v>
      </c>
      <c r="AB381" s="22">
        <v>371</v>
      </c>
      <c r="AC381" s="22">
        <v>-9.8724400000000004E-2</v>
      </c>
      <c r="AD381">
        <f t="shared" si="64"/>
        <v>16.873200000000001</v>
      </c>
      <c r="AE381">
        <f t="shared" si="65"/>
        <v>-1.6554971448000002</v>
      </c>
      <c r="AF381" s="9"/>
      <c r="AG381" s="22">
        <v>1.7681899999999999</v>
      </c>
      <c r="AH381" s="22">
        <v>268.714</v>
      </c>
      <c r="AI381" s="22">
        <v>0.112</v>
      </c>
      <c r="AJ381" s="22">
        <v>371</v>
      </c>
      <c r="AK381" s="22">
        <v>1.7675799999999999</v>
      </c>
      <c r="AL381">
        <f t="shared" si="66"/>
        <v>-112</v>
      </c>
      <c r="AM381">
        <f t="shared" si="67"/>
        <v>-198.03727999999998</v>
      </c>
      <c r="AP381" s="9"/>
      <c r="AQ381" s="22">
        <v>-9.8114000000000007E-2</v>
      </c>
      <c r="AR381" s="22">
        <v>347.56900000000002</v>
      </c>
      <c r="AS381" s="22">
        <v>-1.6870099999999999E-2</v>
      </c>
      <c r="AT381" s="22">
        <v>371</v>
      </c>
      <c r="AU381" s="22">
        <v>-9.8693799999999998E-2</v>
      </c>
      <c r="AV381">
        <f t="shared" si="68"/>
        <v>16.870100000000001</v>
      </c>
      <c r="AW381">
        <f t="shared" si="69"/>
        <v>-1.6551929914000001</v>
      </c>
      <c r="AX381" s="9"/>
      <c r="AY381" s="22">
        <v>1.7681899999999999</v>
      </c>
      <c r="AZ381" s="22">
        <v>405.87900000000002</v>
      </c>
      <c r="BA381" s="22">
        <v>0.11465500000000001</v>
      </c>
      <c r="BB381" s="22">
        <v>371</v>
      </c>
      <c r="BC381" s="22">
        <v>1.7672699999999999</v>
      </c>
      <c r="BD381">
        <f t="shared" si="70"/>
        <v>-114.655</v>
      </c>
      <c r="BE381">
        <f t="shared" si="71"/>
        <v>-202.73182445</v>
      </c>
    </row>
    <row r="382" spans="6:57">
      <c r="F382" s="9"/>
      <c r="G382" s="22">
        <v>-0.103149</v>
      </c>
      <c r="H382" s="22">
        <v>76.831000000000003</v>
      </c>
      <c r="I382" s="22">
        <v>-1.68915E-2</v>
      </c>
      <c r="J382" s="22">
        <v>372</v>
      </c>
      <c r="K382" s="22">
        <v>-0.10363799999999999</v>
      </c>
      <c r="L382">
        <f t="shared" si="60"/>
        <v>16.891500000000001</v>
      </c>
      <c r="M382">
        <f t="shared" si="61"/>
        <v>-1.7423413335000002</v>
      </c>
      <c r="N382" s="9"/>
      <c r="O382" s="22">
        <v>1.77322</v>
      </c>
      <c r="P382" s="22">
        <v>141.15299999999999</v>
      </c>
      <c r="Q382" s="22">
        <v>0.12262000000000001</v>
      </c>
      <c r="R382" s="22">
        <v>372</v>
      </c>
      <c r="S382" s="22">
        <v>1.77216</v>
      </c>
      <c r="T382">
        <f t="shared" si="62"/>
        <v>-122.62</v>
      </c>
      <c r="U382">
        <f t="shared" si="63"/>
        <v>-217.43223640000002</v>
      </c>
      <c r="X382" s="9"/>
      <c r="Y382" s="22">
        <v>-0.103149</v>
      </c>
      <c r="Z382" s="22">
        <v>211.286</v>
      </c>
      <c r="AA382" s="22">
        <v>-1.6876200000000001E-2</v>
      </c>
      <c r="AB382" s="22">
        <v>372</v>
      </c>
      <c r="AC382" s="22">
        <v>-0.10378999999999999</v>
      </c>
      <c r="AD382">
        <f t="shared" si="64"/>
        <v>16.876200000000001</v>
      </c>
      <c r="AE382">
        <f t="shared" si="65"/>
        <v>-1.7407631538000001</v>
      </c>
      <c r="AF382" s="9"/>
      <c r="AG382" s="22">
        <v>1.77322</v>
      </c>
      <c r="AH382" s="22">
        <v>268.815</v>
      </c>
      <c r="AI382" s="22">
        <v>0.12295499999999999</v>
      </c>
      <c r="AJ382" s="22">
        <v>372</v>
      </c>
      <c r="AK382" s="22">
        <v>1.7724599999999999</v>
      </c>
      <c r="AL382">
        <f t="shared" si="66"/>
        <v>-122.955</v>
      </c>
      <c r="AM382">
        <f t="shared" si="67"/>
        <v>-218.02626509999999</v>
      </c>
      <c r="AP382" s="9"/>
      <c r="AQ382" s="22">
        <v>-0.103149</v>
      </c>
      <c r="AR382" s="22">
        <v>347.66899999999998</v>
      </c>
      <c r="AS382" s="22">
        <v>-1.6870099999999999E-2</v>
      </c>
      <c r="AT382" s="22">
        <v>372</v>
      </c>
      <c r="AU382" s="22">
        <v>-0.103668</v>
      </c>
      <c r="AV382">
        <f t="shared" si="68"/>
        <v>16.870100000000001</v>
      </c>
      <c r="AW382">
        <f t="shared" si="69"/>
        <v>-1.7401339449000002</v>
      </c>
      <c r="AX382" s="9"/>
      <c r="AY382" s="22">
        <v>1.77322</v>
      </c>
      <c r="AZ382" s="22">
        <v>405.98</v>
      </c>
      <c r="BA382" s="22">
        <v>0.12759400000000001</v>
      </c>
      <c r="BB382" s="22">
        <v>372</v>
      </c>
      <c r="BC382" s="22">
        <v>1.7724599999999999</v>
      </c>
      <c r="BD382">
        <f t="shared" si="70"/>
        <v>-127.59400000000001</v>
      </c>
      <c r="BE382">
        <f t="shared" si="71"/>
        <v>-226.25223268000002</v>
      </c>
    </row>
    <row r="383" spans="6:57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7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N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339.50855263157666</v>
      </c>
      <c r="H2" s="2"/>
      <c r="I2" s="6" t="s">
        <v>12</v>
      </c>
      <c r="J2" s="2"/>
      <c r="K2" s="7" t="s">
        <v>13</v>
      </c>
      <c r="L2" s="3">
        <f>L4*I6*L9/100*100</f>
        <v>22.801957024</v>
      </c>
      <c r="M2" s="8" t="s">
        <v>14</v>
      </c>
      <c r="N2" s="9"/>
      <c r="O2" s="2">
        <f>ABS(S7-S6)/ABS(T7-T6)*1000</f>
        <v>16854.850000019323</v>
      </c>
      <c r="P2" s="2"/>
      <c r="Q2" s="6" t="s">
        <v>15</v>
      </c>
      <c r="R2" s="2"/>
      <c r="S2" s="7" t="s">
        <v>13</v>
      </c>
      <c r="T2" s="3">
        <f>T4*Q6*T9/100*100</f>
        <v>21.867984219999997</v>
      </c>
      <c r="U2" s="8" t="s">
        <v>14</v>
      </c>
      <c r="X2" s="9"/>
      <c r="Y2" s="2">
        <f>ABS(AC7-AC6)/ABS(AD7-AD6)*1000</f>
        <v>4701.6774193604087</v>
      </c>
      <c r="Z2" s="2"/>
      <c r="AA2" s="6" t="s">
        <v>12</v>
      </c>
      <c r="AB2" s="2"/>
      <c r="AC2" s="7" t="s">
        <v>13</v>
      </c>
      <c r="AD2" s="3">
        <f>AD4*AA6*AD9/100*100</f>
        <v>23.166968327999999</v>
      </c>
      <c r="AE2" s="8" t="s">
        <v>14</v>
      </c>
      <c r="AF2" s="9"/>
      <c r="AG2" s="2">
        <f>ABS(AK7-AK6)/ABS(AL7-AL6)*1000</f>
        <v>1655.9508196711672</v>
      </c>
      <c r="AH2" s="2"/>
      <c r="AI2" s="6" t="s">
        <v>15</v>
      </c>
      <c r="AJ2" s="2"/>
      <c r="AK2" s="7" t="s">
        <v>13</v>
      </c>
      <c r="AL2" s="3">
        <f>AL4*AI6*AL9/100*100</f>
        <v>21.817707564000003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23.094911069999995</v>
      </c>
      <c r="AW2" s="8" t="s">
        <v>14</v>
      </c>
      <c r="AX2" s="9"/>
      <c r="AY2" s="2">
        <f>ABS(BC7-BC6)/ABS(BD7-BD6)*1000</f>
        <v>805.45901639297358</v>
      </c>
      <c r="AZ2" s="2"/>
      <c r="BA2" s="6" t="s">
        <v>15</v>
      </c>
      <c r="BB2" s="2"/>
      <c r="BC2" s="7" t="s">
        <v>13</v>
      </c>
      <c r="BD2" s="3">
        <f>BD4*BA6*BD9/100*100</f>
        <v>21.589375235999999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1.7489600000000001</v>
      </c>
      <c r="J3" s="2"/>
      <c r="K3" s="10">
        <f>INDEX(L11:L1056,MATCH(I3,K11:K1056,0))</f>
        <v>-2.3135400000000002</v>
      </c>
      <c r="L3" s="33" t="s">
        <v>16</v>
      </c>
      <c r="M3" s="11">
        <f>M9</f>
        <v>22.801957024</v>
      </c>
      <c r="N3" s="9"/>
      <c r="O3" s="2" t="s">
        <v>44</v>
      </c>
      <c r="P3" s="2"/>
      <c r="Q3" s="2">
        <f>INDEX(S11:S1056,MATCH(0,T11:T1056,-1))</f>
        <v>1.7422500000000001</v>
      </c>
      <c r="R3" s="2"/>
      <c r="S3" s="10">
        <f>INDEX(T11:T1056,MATCH(Q3,S11:S1056,0))</f>
        <v>0.53253199999999989</v>
      </c>
      <c r="T3" s="33" t="s">
        <v>16</v>
      </c>
      <c r="U3" s="11">
        <f>U9</f>
        <v>21.86798422</v>
      </c>
      <c r="X3" s="9"/>
      <c r="Y3" s="2" t="s">
        <v>44</v>
      </c>
      <c r="Z3" s="2"/>
      <c r="AA3" s="2">
        <f>INDEX(AC11:AC856,MATCH(0,AD11:AD856,1))</f>
        <v>1.7486600000000001</v>
      </c>
      <c r="AB3" s="2"/>
      <c r="AC3" s="10">
        <f>INDEX(AD11:AD1056,MATCH(AA3,AC11:AC1056,0))</f>
        <v>-3.6856100000000001</v>
      </c>
      <c r="AD3" s="33" t="s">
        <v>16</v>
      </c>
      <c r="AE3" s="11">
        <f>AE9</f>
        <v>23.166968327999999</v>
      </c>
      <c r="AF3" s="9"/>
      <c r="AG3" s="2" t="s">
        <v>44</v>
      </c>
      <c r="AH3" s="2"/>
      <c r="AI3" s="2">
        <f>INDEX(AK11:AK1056,MATCH(0,AL11:AL1056,-1))</f>
        <v>1.7373700000000001</v>
      </c>
      <c r="AJ3" s="2"/>
      <c r="AK3" s="10">
        <f>INDEX(AL11:AL1056,MATCH(AI3,AK11:AK1056,0))</f>
        <v>1.0726900000000001</v>
      </c>
      <c r="AL3" s="33" t="s">
        <v>16</v>
      </c>
      <c r="AM3" s="11">
        <f>AM9</f>
        <v>21.817707564000003</v>
      </c>
      <c r="AP3" s="9"/>
      <c r="AQ3" s="2" t="s">
        <v>44</v>
      </c>
      <c r="AR3" s="2"/>
      <c r="AS3" s="2">
        <f>INDEX(AU11:AU856,MATCH(0,AV11:AV856,1))</f>
        <v>1.7434700000000001</v>
      </c>
      <c r="AT3" s="2"/>
      <c r="AU3" s="10">
        <f>INDEX(AV11:AV1056,MATCH(AS3,AU11:AU1056,0))</f>
        <v>-2.6171900000000003</v>
      </c>
      <c r="AV3" s="33" t="s">
        <v>16</v>
      </c>
      <c r="AW3" s="11">
        <f>AW9</f>
        <v>23.094911069999995</v>
      </c>
      <c r="AX3" s="9"/>
      <c r="AY3" s="2" t="s">
        <v>44</v>
      </c>
      <c r="AZ3" s="2"/>
      <c r="BA3" s="2">
        <f>INDEX(BC11:BC1056,MATCH(0,BD11:BD1056,-1))</f>
        <v>1.7327900000000001</v>
      </c>
      <c r="BB3" s="2"/>
      <c r="BC3" s="10">
        <f>INDEX(BD11:BD1056,MATCH(BA3,BC11:BC1056,0))</f>
        <v>2.6123E-2</v>
      </c>
      <c r="BD3" s="33" t="s">
        <v>16</v>
      </c>
      <c r="BE3" s="11">
        <f>BE9</f>
        <v>21.589375235999999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1.2675880731275933</v>
      </c>
      <c r="H4" s="2"/>
      <c r="I4" s="2">
        <f>INDEX(K11:K1000,1+MATCH(0,L11:L856,1))</f>
        <v>1.7434700000000001</v>
      </c>
      <c r="J4" s="2"/>
      <c r="K4" s="10">
        <f>INDEX(L11:L1056,MATCH(I4,K11:K1056,0))</f>
        <v>2.0175200000000002</v>
      </c>
      <c r="L4" s="32">
        <f>M3/(I6*L9)</f>
        <v>0.8077378161433183</v>
      </c>
      <c r="M4" s="8" t="s">
        <v>17</v>
      </c>
      <c r="N4" s="9"/>
      <c r="O4" s="2">
        <f>ABS(Q3-Q4)/ABS(S3-S4)*1000</f>
        <v>1.4087750519465168</v>
      </c>
      <c r="P4" s="2"/>
      <c r="Q4" s="2">
        <f>INDEX(S11:S856,1+MATCH(0,T11:T856,-1))</f>
        <v>1.7465200000000001</v>
      </c>
      <c r="R4" s="2"/>
      <c r="S4" s="10">
        <f>INDEX(T11:T856,MATCH(Q4,S11:S856,0))</f>
        <v>-2.4984700000000002</v>
      </c>
      <c r="T4" s="32">
        <f>U3/(Q6*T9)</f>
        <v>0.77804612272356044</v>
      </c>
      <c r="U4" s="8" t="s">
        <v>17</v>
      </c>
      <c r="X4" s="9"/>
      <c r="Y4" s="2">
        <f>ABS(AA3-AA4)/ABS(AC3-AC4)*1000</f>
        <v>1.0054301452219576</v>
      </c>
      <c r="Z4" s="2"/>
      <c r="AA4" s="2">
        <f>INDEX(AC11:AC1000,1+MATCH(0,AD11:AD856,1))</f>
        <v>1.74377</v>
      </c>
      <c r="AB4" s="2"/>
      <c r="AC4" s="10">
        <f>INDEX(AD11:AD1056,MATCH(AA4,AC11:AC1056,0))</f>
        <v>1.1779799999999998</v>
      </c>
      <c r="AD4" s="32">
        <f>AE3/(AA6*AD9)</f>
        <v>0.82042531184799328</v>
      </c>
      <c r="AE4" s="8" t="s">
        <v>17</v>
      </c>
      <c r="AF4" s="9"/>
      <c r="AG4" s="2">
        <f>ABS(AI3-AI4)/ABS(AK3-AK4)*1000</f>
        <v>1.5944400445187068</v>
      </c>
      <c r="AH4" s="2"/>
      <c r="AI4" s="2">
        <f>INDEX(AK11:AK856,1+MATCH(0,AL11:AL856,-1))</f>
        <v>1.74194</v>
      </c>
      <c r="AJ4" s="2"/>
      <c r="AK4" s="10">
        <f>INDEX(AL11:AL856,MATCH(AI4,AK11:AK856,0))</f>
        <v>-1.79352</v>
      </c>
      <c r="AL4" s="32">
        <f>AM3/(AI6*AL9)</f>
        <v>0.77376076456683596</v>
      </c>
      <c r="AM4" s="8" t="s">
        <v>17</v>
      </c>
      <c r="AP4" s="9"/>
      <c r="AQ4" s="2">
        <f>ABS(AS3-AS4)/ABS(AU3-AU4)*1000</f>
        <v>1.1821361782118727</v>
      </c>
      <c r="AR4" s="2"/>
      <c r="AS4" s="2">
        <f>INDEX(AU11:AU1000,1+MATCH(0,AV11:AV856,1))</f>
        <v>1.7385900000000001</v>
      </c>
      <c r="AT4" s="2"/>
      <c r="AU4" s="10">
        <f>INDEX(AV11:AV1056,MATCH(AS4,AU11:AU1056,0))</f>
        <v>1.5109299999999999</v>
      </c>
      <c r="AV4" s="32">
        <f>AW3/(AS6*AV9)</f>
        <v>0.81858927561122841</v>
      </c>
      <c r="AW4" s="8" t="s">
        <v>17</v>
      </c>
      <c r="AX4" s="9"/>
      <c r="AY4" s="2">
        <f>ABS(BA3-BA4)/ABS(BC3-BC4)*1000</f>
        <v>1.5820563685387325</v>
      </c>
      <c r="AZ4" s="2"/>
      <c r="BA4" s="2">
        <f>INDEX(BC11:BC856,1+MATCH(0,BD11:BD856,-1))</f>
        <v>1.73767</v>
      </c>
      <c r="BB4" s="2"/>
      <c r="BC4" s="10">
        <f>INDEX(BD11:BD856,MATCH(BA4,BC11:BC856,0))</f>
        <v>-3.0584700000000002</v>
      </c>
      <c r="BD4" s="32">
        <f>BE3/(BA6*BD9)</f>
        <v>0.76469751454706458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14.492800000000001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14.517199999999999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14.538600000000001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14.581300000000001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14.678999999999998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14.428699999999999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1.7460273842892964</v>
      </c>
      <c r="J6" s="32"/>
      <c r="K6" s="13">
        <f>INDEX(K11:K1056,MATCH(L6,L11:L1056,0))</f>
        <v>1.93176E-3</v>
      </c>
      <c r="L6" s="10">
        <f>INDEX(L11:L1056,MATCH(0,K11:K1056,-1))</f>
        <v>16.162099999999999</v>
      </c>
      <c r="M6" s="8" t="s">
        <v>22</v>
      </c>
      <c r="N6" s="9"/>
      <c r="O6" s="2"/>
      <c r="P6" s="2"/>
      <c r="Q6" s="34">
        <f>(Q3-Q4)/(S3-S4)*(-S4)+Q4</f>
        <v>1.7430002177959634</v>
      </c>
      <c r="R6" s="34"/>
      <c r="S6" s="13">
        <f>INDEX(S11:S1056,MATCH(T6,T11:T1056,0))</f>
        <v>-4.5196500000000001E-3</v>
      </c>
      <c r="T6" s="10">
        <f>INDEX(T11:T1056,MATCH(0,S11:S1056,1))</f>
        <v>16.125500000000002</v>
      </c>
      <c r="U6" s="8" t="s">
        <v>22</v>
      </c>
      <c r="X6" s="9"/>
      <c r="Y6" s="2"/>
      <c r="Z6" s="2"/>
      <c r="AA6" s="32">
        <f>(AA3-AA4)/(AC3-AC4)*(-AC4)+AA4</f>
        <v>1.7449543766024687</v>
      </c>
      <c r="AB6" s="32"/>
      <c r="AC6" s="13">
        <f>INDEX(AC11:AC1056,MATCH(AD6,AD11:AD1056,0))</f>
        <v>6.19812E-2</v>
      </c>
      <c r="AD6" s="10">
        <f>INDEX(AD11:AD1056,MATCH(0,AC11:AC1056,-1))</f>
        <v>16.195699999999999</v>
      </c>
      <c r="AE6" s="8" t="s">
        <v>22</v>
      </c>
      <c r="AF6" s="9"/>
      <c r="AG6" s="2"/>
      <c r="AH6" s="2"/>
      <c r="AI6" s="34">
        <f>(AI3-AI4)/(AK3-AK4)*(-AK4)+AI4</f>
        <v>1.7390803398913548</v>
      </c>
      <c r="AJ6" s="34"/>
      <c r="AK6" s="13">
        <f>INDEX(AK11:AK1056,MATCH(AL6,AL11:AL1056,0))</f>
        <v>-8.0352800000000002E-2</v>
      </c>
      <c r="AL6" s="10">
        <f>INDEX(AL11:AL1056,MATCH(0,AK11:AK1056,1))</f>
        <v>16.165200000000002</v>
      </c>
      <c r="AM6" s="8" t="s">
        <v>22</v>
      </c>
      <c r="AP6" s="9"/>
      <c r="AQ6" s="2"/>
      <c r="AR6" s="2"/>
      <c r="AS6" s="32">
        <f>(AS3-AS4)/(AU3-AU4)*(-AU4)+AS4</f>
        <v>1.7403761250157457</v>
      </c>
      <c r="AT6" s="32"/>
      <c r="AU6" s="13">
        <f>INDEX(AU11:AU1056,MATCH(AV6,AV11:AV1056,0))</f>
        <v>0.112488</v>
      </c>
      <c r="AV6" s="10">
        <f>INDEX(AV11:AV1056,MATCH(0,AU11:AU1056,-1))</f>
        <v>16.210899999999999</v>
      </c>
      <c r="AW6" s="8" t="s">
        <v>22</v>
      </c>
      <c r="AX6" s="9"/>
      <c r="AY6" s="2"/>
      <c r="AZ6" s="2"/>
      <c r="BA6" s="34">
        <f>(BA3-BA4)/(BC3-BC4)*(-BC4)+BA4</f>
        <v>1.7328313280585155</v>
      </c>
      <c r="BB6" s="34"/>
      <c r="BC6" s="13">
        <f>INDEX(BC11:BC1056,MATCH(BD6,BD11:BD1056,0))</f>
        <v>-9.5397899999999994E-2</v>
      </c>
      <c r="BD6" s="10">
        <f>INDEX(BD11:BD1056,MATCH(0,BC11:BC1056,1))</f>
        <v>16.174299999999999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7.0922900000000002E-3</v>
      </c>
      <c r="L7" s="10">
        <f>INDEX(L11:L856,1+MATCH(0,K11:K856,-1))</f>
        <v>16.146899999999999</v>
      </c>
      <c r="M7" s="12">
        <f>INDEX(K11:K1056,MATCH(M9,M11:M1056,0))</f>
        <v>1.57257</v>
      </c>
      <c r="N7" s="9"/>
      <c r="O7" s="2"/>
      <c r="P7" s="2"/>
      <c r="Q7" s="2"/>
      <c r="R7" s="2"/>
      <c r="S7" s="13">
        <f>INDEX(S11:S1056,MATCH(T7,T11:T1056,0))</f>
        <v>-5.50842E-2</v>
      </c>
      <c r="T7" s="10">
        <f>INDEX(T11:T1056,1+MATCH(0,S11:S1056,1))</f>
        <v>16.128499999999999</v>
      </c>
      <c r="U7" s="12">
        <f>INDEX(S11:S1056,MATCH(U9,U11:U1056,0))</f>
        <v>1.50482</v>
      </c>
      <c r="X7" s="9"/>
      <c r="Y7" s="2"/>
      <c r="Z7" s="2"/>
      <c r="AA7" s="2"/>
      <c r="AB7" s="2"/>
      <c r="AC7" s="13">
        <f>INDEX(AC11:AC856,MATCH(AD7,AD11:AD856,1))</f>
        <v>4.7405999999999997E-2</v>
      </c>
      <c r="AD7" s="10">
        <f>INDEX(AD11:AD856,1+MATCH(0,AC11:AC856,-1))</f>
        <v>16.192600000000002</v>
      </c>
      <c r="AE7" s="12">
        <f>INDEX(AC11:AC1056,MATCH(AE9,AE11:AE1056,0))</f>
        <v>1.5924100000000001</v>
      </c>
      <c r="AF7" s="9"/>
      <c r="AG7" s="2"/>
      <c r="AH7" s="2"/>
      <c r="AI7" s="2"/>
      <c r="AJ7" s="2"/>
      <c r="AK7" s="13">
        <f>INDEX(AK11:AK1056,MATCH(AL7,AL11:AL1056,0))</f>
        <v>-9.0454099999999996E-2</v>
      </c>
      <c r="AL7" s="10">
        <f>INDEX(AL11:AL1056,1+MATCH(0,AK11:AK1056,1))</f>
        <v>16.159099999999999</v>
      </c>
      <c r="AM7" s="12">
        <f>INDEX(AK11:AK1056,MATCH(AM9,AM11:AM1056,0))</f>
        <v>1.4950600000000001</v>
      </c>
      <c r="AP7" s="9"/>
      <c r="AQ7" s="2"/>
      <c r="AR7" s="2"/>
      <c r="AS7" s="2"/>
      <c r="AT7" s="2"/>
      <c r="AU7" s="13">
        <f>INDEX(AU11:AU856,MATCH(AV7,AV11:AV856,1))</f>
        <v>7.2052000000000005E-2</v>
      </c>
      <c r="AV7" s="10">
        <f>INDEX(AV11:AV856,1+MATCH(0,AU11:AU856,-1))</f>
        <v>16.210899999999999</v>
      </c>
      <c r="AW7" s="12">
        <f>INDEX(AU11:AU1056,MATCH(AW9,AW11:AW1056,0))</f>
        <v>1.57196</v>
      </c>
      <c r="AX7" s="9"/>
      <c r="AY7" s="2"/>
      <c r="AZ7" s="2"/>
      <c r="BA7" s="2"/>
      <c r="BB7" s="2"/>
      <c r="BC7" s="13">
        <f>INDEX(BC11:BC1056,MATCH(BD7,BD11:BD1056,0))</f>
        <v>-9.0484599999999998E-2</v>
      </c>
      <c r="BD7" s="10">
        <f>INDEX(BD11:BD1056,1+MATCH(0,BC11:BC1056,1))</f>
        <v>16.180400000000002</v>
      </c>
      <c r="BE7" s="12">
        <f>INDEX(BC11:BC1056,MATCH(BE9,BE11:BE1056,0))</f>
        <v>1.49536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4.0960203679752505</v>
      </c>
      <c r="J9" s="2"/>
      <c r="K9" s="2"/>
      <c r="L9" s="3">
        <f>(L6-L7)/(K6-K7)*(-K7)+L7</f>
        <v>16.167789871389179</v>
      </c>
      <c r="M9" s="16">
        <f>MAX(M11:M1056)</f>
        <v>22.801957024</v>
      </c>
      <c r="N9" s="9"/>
      <c r="O9" s="2"/>
      <c r="P9" s="2"/>
      <c r="Q9" s="2"/>
      <c r="R9" s="2"/>
      <c r="S9" s="2"/>
      <c r="T9" s="3">
        <f>(T6-T7)/(S6-S7)*(-S7)+T7</f>
        <v>16.125231848696373</v>
      </c>
      <c r="U9" s="16">
        <f>MAX(U11:U1056)</f>
        <v>21.86798422</v>
      </c>
      <c r="X9" s="9"/>
      <c r="Y9" s="2"/>
      <c r="Z9" s="2"/>
      <c r="AA9" s="15">
        <f>(MAX(AD2,AL2)-MIN(AD2,AL2))/MAX(AD2,AL2)%</f>
        <v>5.8240713454477202</v>
      </c>
      <c r="AB9" s="2"/>
      <c r="AC9" s="2"/>
      <c r="AD9" s="3">
        <f>(AD6-AD7)/(AC6-AC7)*(-AC7)+AD7</f>
        <v>16.182517215544227</v>
      </c>
      <c r="AE9" s="16">
        <f>MAX(AE11:AE1056)</f>
        <v>23.166968327999999</v>
      </c>
      <c r="AF9" s="9"/>
      <c r="AG9" s="2"/>
      <c r="AH9" s="2"/>
      <c r="AI9" s="2"/>
      <c r="AJ9" s="2"/>
      <c r="AK9" s="2"/>
      <c r="AL9" s="3">
        <f>(AL6-AL7)/(AK6-AK7)*(-AK7)+AL7</f>
        <v>16.213723663290892</v>
      </c>
      <c r="AM9" s="16">
        <f>MAX(AM11:AM1056)</f>
        <v>21.817707564000003</v>
      </c>
      <c r="AP9" s="9"/>
      <c r="AQ9" s="2"/>
      <c r="AR9" s="2"/>
      <c r="AS9" s="15">
        <f>(MAX(AV2,BD2)-MIN(AV2,BD2))/MAX(AV2,BD2)%</f>
        <v>6.5189072581260925</v>
      </c>
      <c r="AT9" s="2"/>
      <c r="AU9" s="2"/>
      <c r="AV9" s="3">
        <f>(AV6-AV7)/(AU6-AU7)*(-AU7)+AV7</f>
        <v>16.210899999999999</v>
      </c>
      <c r="AW9" s="16">
        <f>MAX(AW11:AW1056)</f>
        <v>23.094911069999995</v>
      </c>
      <c r="AX9" s="9"/>
      <c r="AY9" s="2"/>
      <c r="AZ9" s="2"/>
      <c r="BA9" s="2"/>
      <c r="BB9" s="2"/>
      <c r="BC9" s="2"/>
      <c r="BD9" s="3">
        <f>(BD6-BD7)/(BC6-BC7)*(-BC7)+BD7</f>
        <v>16.292739173264472</v>
      </c>
      <c r="BE9" s="16">
        <f>MAX(BE11:BE1056)</f>
        <v>21.589375235999999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1.7460273842892964</v>
      </c>
      <c r="B11" s="19">
        <f>IFERROR(L9,0)</f>
        <v>16.167789871389179</v>
      </c>
      <c r="C11" s="20">
        <f>IFERROR(L4,0)</f>
        <v>0.8077378161433183</v>
      </c>
      <c r="D11" s="21">
        <f>IFERROR(L2,0)</f>
        <v>22.801957024</v>
      </c>
      <c r="E11" s="21">
        <f>IFERROR(I9,0)</f>
        <v>4.0960203679752505</v>
      </c>
      <c r="F11" s="9"/>
      <c r="G11" s="22">
        <v>1.7948900000000001</v>
      </c>
      <c r="H11" s="22">
        <v>73.3459</v>
      </c>
      <c r="I11" s="22">
        <v>1E-4</v>
      </c>
      <c r="J11" s="22">
        <v>1</v>
      </c>
      <c r="K11" s="22">
        <v>1.77765</v>
      </c>
      <c r="L11">
        <f>-I11/$F$2*1000</f>
        <v>-0.1</v>
      </c>
      <c r="M11">
        <f>L11*G11</f>
        <v>-0.17948900000000001</v>
      </c>
      <c r="N11" s="9"/>
      <c r="O11" s="22">
        <v>-9.49097E-2</v>
      </c>
      <c r="P11" s="22">
        <v>180.63300000000001</v>
      </c>
      <c r="Q11" s="22">
        <v>-1.6131599999999999E-2</v>
      </c>
      <c r="R11" s="22">
        <v>1</v>
      </c>
      <c r="S11" s="22">
        <v>-9.5703099999999999E-2</v>
      </c>
      <c r="T11">
        <f>-Q11/$F$2*1000</f>
        <v>16.131599999999999</v>
      </c>
      <c r="U11">
        <f>T11*O11</f>
        <v>-1.53104531652</v>
      </c>
      <c r="V11" s="23"/>
      <c r="W11" s="24"/>
      <c r="X11" s="9"/>
      <c r="Y11" s="22">
        <v>1.7948900000000001</v>
      </c>
      <c r="Z11" s="22">
        <v>263.14600000000002</v>
      </c>
      <c r="AA11" s="22">
        <v>5.9753399999999998E-2</v>
      </c>
      <c r="AB11" s="22">
        <v>1</v>
      </c>
      <c r="AC11" s="22">
        <v>1.79443</v>
      </c>
      <c r="AD11">
        <f>-AA11/$F$2*1000</f>
        <v>-59.753399999999999</v>
      </c>
      <c r="AE11">
        <f>AD11*Y11</f>
        <v>-107.25078012600001</v>
      </c>
      <c r="AF11" s="9"/>
      <c r="AG11" s="22">
        <v>-9.49097E-2</v>
      </c>
      <c r="AH11" s="22">
        <v>348.24</v>
      </c>
      <c r="AI11" s="22">
        <v>-1.6156E-2</v>
      </c>
      <c r="AJ11" s="22">
        <v>1</v>
      </c>
      <c r="AK11" s="22">
        <v>-9.5428499999999999E-2</v>
      </c>
      <c r="AL11">
        <f>-AI11/$F$2*1000</f>
        <v>16.155999999999999</v>
      </c>
      <c r="AM11">
        <f>AL11*AG11</f>
        <v>-1.5333611131999998</v>
      </c>
      <c r="AP11" s="9"/>
      <c r="AQ11" s="22">
        <v>1.7948900000000001</v>
      </c>
      <c r="AR11" s="22">
        <v>431.64</v>
      </c>
      <c r="AS11" s="22">
        <v>6.0211199999999999E-2</v>
      </c>
      <c r="AT11" s="22">
        <v>1</v>
      </c>
      <c r="AU11" s="22">
        <v>1.79382</v>
      </c>
      <c r="AV11">
        <f>-AS11/$F$2*1000</f>
        <v>-60.211199999999998</v>
      </c>
      <c r="AW11">
        <f>AV11*AQ11</f>
        <v>-108.07248076800001</v>
      </c>
      <c r="AX11" s="9"/>
      <c r="AY11" s="22">
        <v>-9.49097E-2</v>
      </c>
      <c r="AZ11" s="22">
        <v>553.57399999999996</v>
      </c>
      <c r="BA11" s="22">
        <v>-1.6174299999999999E-2</v>
      </c>
      <c r="BB11" s="22">
        <v>1</v>
      </c>
      <c r="BC11" s="22">
        <v>-9.5397899999999994E-2</v>
      </c>
      <c r="BD11">
        <f>-BA11/$F$2*1000</f>
        <v>16.174299999999999</v>
      </c>
      <c r="BE11">
        <f>BD11*AY11</f>
        <v>-1.5350979607099999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1.7430002177959634</v>
      </c>
      <c r="B12" s="19">
        <f>IFERROR(T9,0)</f>
        <v>16.125231848696373</v>
      </c>
      <c r="C12" s="20">
        <f>IFERROR(T4,0)</f>
        <v>0.77804612272356044</v>
      </c>
      <c r="D12" s="21">
        <f>IFERROR(T2,0)</f>
        <v>21.867984219999997</v>
      </c>
      <c r="E12" s="21"/>
      <c r="F12" s="9"/>
      <c r="G12" s="22">
        <v>1.78986</v>
      </c>
      <c r="H12" s="22">
        <v>73.446700000000007</v>
      </c>
      <c r="I12" s="22">
        <v>1E-3</v>
      </c>
      <c r="J12" s="22">
        <v>2</v>
      </c>
      <c r="K12" s="22">
        <v>1.7767299999999999</v>
      </c>
      <c r="L12">
        <f t="shared" ref="L12:L75" si="0">-I12/$F$2*1000</f>
        <v>-1</v>
      </c>
      <c r="M12">
        <f t="shared" ref="M12:M75" si="1">L12*G12</f>
        <v>-1.78986</v>
      </c>
      <c r="N12" s="9"/>
      <c r="O12" s="22">
        <v>-8.9874300000000004E-2</v>
      </c>
      <c r="P12" s="22">
        <v>180.733</v>
      </c>
      <c r="Q12" s="22">
        <v>-1.6131599999999999E-2</v>
      </c>
      <c r="R12" s="22">
        <v>2</v>
      </c>
      <c r="S12" s="22">
        <v>-9.0393100000000004E-2</v>
      </c>
      <c r="T12">
        <f t="shared" ref="T12:T75" si="2">-Q12/$F$2*1000</f>
        <v>16.131599999999999</v>
      </c>
      <c r="U12">
        <f t="shared" ref="U12:U75" si="3">T12*O12</f>
        <v>-1.44981625788</v>
      </c>
      <c r="V12" s="23"/>
      <c r="W12" s="24"/>
      <c r="X12" s="9"/>
      <c r="Y12" s="22">
        <v>1.78986</v>
      </c>
      <c r="Z12" s="22">
        <v>263.24700000000001</v>
      </c>
      <c r="AA12" s="22">
        <v>5.3253200000000001E-2</v>
      </c>
      <c r="AB12" s="22">
        <v>2</v>
      </c>
      <c r="AC12" s="22">
        <v>1.78894</v>
      </c>
      <c r="AD12">
        <f t="shared" ref="AD12:AD75" si="4">-AA12/$F$2*1000</f>
        <v>-53.2532</v>
      </c>
      <c r="AE12">
        <f t="shared" ref="AE12:AE75" si="5">AD12*Y12</f>
        <v>-95.315772551999999</v>
      </c>
      <c r="AF12" s="9"/>
      <c r="AG12" s="22">
        <v>-8.9874300000000004E-2</v>
      </c>
      <c r="AH12" s="22">
        <v>348.34100000000001</v>
      </c>
      <c r="AI12" s="22">
        <v>-1.6159099999999999E-2</v>
      </c>
      <c r="AJ12" s="22">
        <v>2</v>
      </c>
      <c r="AK12" s="22">
        <v>-9.0454099999999996E-2</v>
      </c>
      <c r="AL12">
        <f t="shared" ref="AL12:AL75" si="6">-AI12/$F$2*1000</f>
        <v>16.159099999999999</v>
      </c>
      <c r="AM12">
        <f t="shared" ref="AM12:AM75" si="7">AL12*AG12</f>
        <v>-1.45228780113</v>
      </c>
      <c r="AP12" s="9"/>
      <c r="AQ12" s="22">
        <v>1.78986</v>
      </c>
      <c r="AR12" s="22">
        <v>431.74099999999999</v>
      </c>
      <c r="AS12" s="22">
        <v>5.4321300000000003E-2</v>
      </c>
      <c r="AT12" s="22">
        <v>2</v>
      </c>
      <c r="AU12" s="22">
        <v>1.78925</v>
      </c>
      <c r="AV12">
        <f t="shared" ref="AV12:AV75" si="8">-AS12/$F$2*1000</f>
        <v>-54.321300000000001</v>
      </c>
      <c r="AW12">
        <f t="shared" ref="AW12:AW75" si="9">AV12*AQ12</f>
        <v>-97.227522018000002</v>
      </c>
      <c r="AX12" s="9"/>
      <c r="AY12" s="22">
        <v>-8.9874300000000004E-2</v>
      </c>
      <c r="AZ12" s="22">
        <v>553.67499999999995</v>
      </c>
      <c r="BA12" s="22">
        <v>-1.6180400000000001E-2</v>
      </c>
      <c r="BB12" s="22">
        <v>2</v>
      </c>
      <c r="BC12" s="22">
        <v>-9.0484599999999998E-2</v>
      </c>
      <c r="BD12">
        <f t="shared" ref="BD12:BD75" si="10">-BA12/$F$2*1000</f>
        <v>16.180400000000002</v>
      </c>
      <c r="BE12">
        <f t="shared" ref="BE12:BE75" si="11">BD12*AY12</f>
        <v>-1.4542021237200002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1.7449543766024687</v>
      </c>
      <c r="B13" s="19">
        <f>IFERROR(AD9,0)</f>
        <v>16.182517215544227</v>
      </c>
      <c r="C13" s="20">
        <f>IFERROR(AD4,0)</f>
        <v>0.82042531184799328</v>
      </c>
      <c r="D13" s="21">
        <f>IFERROR(AD2,0)</f>
        <v>23.166968327999999</v>
      </c>
      <c r="E13" s="21">
        <f>IFERROR(AA9,0)</f>
        <v>5.8240713454477202</v>
      </c>
      <c r="F13" s="9"/>
      <c r="G13" s="22">
        <v>1.7848200000000001</v>
      </c>
      <c r="H13" s="22">
        <v>73.547399999999996</v>
      </c>
      <c r="I13" s="22">
        <v>0.01</v>
      </c>
      <c r="J13" s="22">
        <v>3</v>
      </c>
      <c r="K13" s="22">
        <v>1.77765</v>
      </c>
      <c r="L13">
        <f t="shared" si="0"/>
        <v>-10</v>
      </c>
      <c r="M13">
        <f t="shared" si="1"/>
        <v>-17.848200000000002</v>
      </c>
      <c r="N13" s="9"/>
      <c r="O13" s="22">
        <v>-8.4838899999999995E-2</v>
      </c>
      <c r="P13" s="22">
        <v>180.834</v>
      </c>
      <c r="Q13" s="22">
        <v>-1.6131599999999999E-2</v>
      </c>
      <c r="R13" s="22">
        <v>3</v>
      </c>
      <c r="S13" s="22">
        <v>-8.54187E-2</v>
      </c>
      <c r="T13">
        <f t="shared" si="2"/>
        <v>16.131599999999999</v>
      </c>
      <c r="U13">
        <f t="shared" si="3"/>
        <v>-1.3685871992399998</v>
      </c>
      <c r="V13" s="23"/>
      <c r="W13" s="24"/>
      <c r="X13" s="9"/>
      <c r="Y13" s="22">
        <v>1.7848200000000001</v>
      </c>
      <c r="Z13" s="22">
        <v>263.34699999999998</v>
      </c>
      <c r="AA13" s="22">
        <v>4.6820100000000003E-2</v>
      </c>
      <c r="AB13" s="22">
        <v>3</v>
      </c>
      <c r="AC13" s="22">
        <v>1.78406</v>
      </c>
      <c r="AD13">
        <f t="shared" si="4"/>
        <v>-46.820100000000004</v>
      </c>
      <c r="AE13">
        <f t="shared" si="5"/>
        <v>-83.565450882000007</v>
      </c>
      <c r="AF13" s="9"/>
      <c r="AG13" s="22">
        <v>-8.4838899999999995E-2</v>
      </c>
      <c r="AH13" s="22">
        <v>348.44200000000001</v>
      </c>
      <c r="AI13" s="22">
        <v>-1.6159099999999999E-2</v>
      </c>
      <c r="AJ13" s="22">
        <v>3</v>
      </c>
      <c r="AK13" s="22">
        <v>-8.5388199999999997E-2</v>
      </c>
      <c r="AL13">
        <f t="shared" si="6"/>
        <v>16.159099999999999</v>
      </c>
      <c r="AM13">
        <f t="shared" si="7"/>
        <v>-1.3709202689899997</v>
      </c>
      <c r="AP13" s="9"/>
      <c r="AQ13" s="22">
        <v>1.7848200000000001</v>
      </c>
      <c r="AR13" s="22">
        <v>431.84100000000001</v>
      </c>
      <c r="AS13" s="22">
        <v>4.8327599999999998E-2</v>
      </c>
      <c r="AT13" s="22">
        <v>3</v>
      </c>
      <c r="AU13" s="22">
        <v>1.7837499999999999</v>
      </c>
      <c r="AV13">
        <f t="shared" si="8"/>
        <v>-48.327599999999997</v>
      </c>
      <c r="AW13">
        <f t="shared" si="9"/>
        <v>-86.256067032000004</v>
      </c>
      <c r="AX13" s="9"/>
      <c r="AY13" s="22">
        <v>-8.4838899999999995E-2</v>
      </c>
      <c r="AZ13" s="22">
        <v>553.77499999999998</v>
      </c>
      <c r="BA13" s="22">
        <v>-1.61835E-2</v>
      </c>
      <c r="BB13" s="22">
        <v>3</v>
      </c>
      <c r="BC13" s="22">
        <v>-8.5327100000000003E-2</v>
      </c>
      <c r="BD13">
        <f t="shared" si="10"/>
        <v>16.183499999999999</v>
      </c>
      <c r="BE13">
        <f t="shared" si="11"/>
        <v>-1.3729903381499997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1.7390803398913548</v>
      </c>
      <c r="B14" s="19">
        <f>IFERROR(AL9,0)</f>
        <v>16.213723663290892</v>
      </c>
      <c r="C14" s="20">
        <f>IFERROR(AL4,0)</f>
        <v>0.77376076456683596</v>
      </c>
      <c r="D14" s="21">
        <f>IFERROR(AL2,0)</f>
        <v>21.817707564000003</v>
      </c>
      <c r="E14" s="21"/>
      <c r="F14" s="9"/>
      <c r="G14" s="22">
        <v>1.77979</v>
      </c>
      <c r="H14" s="22">
        <v>73.648099999999999</v>
      </c>
      <c r="I14" s="22">
        <v>4.0744000000000002E-2</v>
      </c>
      <c r="J14" s="22">
        <v>4</v>
      </c>
      <c r="K14" s="22">
        <v>1.7791699999999999</v>
      </c>
      <c r="L14">
        <f t="shared" si="0"/>
        <v>-40.744</v>
      </c>
      <c r="M14">
        <f t="shared" si="1"/>
        <v>-72.515763759999999</v>
      </c>
      <c r="N14" s="9"/>
      <c r="O14" s="22">
        <v>-7.9803499999999999E-2</v>
      </c>
      <c r="P14" s="22">
        <v>180.935</v>
      </c>
      <c r="Q14" s="22">
        <v>-1.6140700000000001E-2</v>
      </c>
      <c r="R14" s="22">
        <v>4</v>
      </c>
      <c r="S14" s="22">
        <v>-8.0413799999999994E-2</v>
      </c>
      <c r="T14">
        <f t="shared" si="2"/>
        <v>16.140700000000002</v>
      </c>
      <c r="U14">
        <f t="shared" si="3"/>
        <v>-1.2880843524500001</v>
      </c>
      <c r="V14" s="23"/>
      <c r="W14" s="24"/>
      <c r="X14" s="9"/>
      <c r="Y14" s="22">
        <v>1.77979</v>
      </c>
      <c r="Z14" s="22">
        <v>263.44799999999998</v>
      </c>
      <c r="AA14" s="22">
        <v>4.03687E-2</v>
      </c>
      <c r="AB14" s="22">
        <v>4</v>
      </c>
      <c r="AC14" s="22">
        <v>1.77887</v>
      </c>
      <c r="AD14">
        <f t="shared" si="4"/>
        <v>-40.368699999999997</v>
      </c>
      <c r="AE14">
        <f t="shared" si="5"/>
        <v>-71.847808572999995</v>
      </c>
      <c r="AF14" s="9"/>
      <c r="AG14" s="22">
        <v>-7.9803499999999999E-2</v>
      </c>
      <c r="AH14" s="22">
        <v>348.54300000000001</v>
      </c>
      <c r="AI14" s="22">
        <v>-1.6165200000000001E-2</v>
      </c>
      <c r="AJ14" s="22">
        <v>4</v>
      </c>
      <c r="AK14" s="22">
        <v>-8.0352800000000002E-2</v>
      </c>
      <c r="AL14">
        <f t="shared" si="6"/>
        <v>16.165200000000002</v>
      </c>
      <c r="AM14">
        <f t="shared" si="7"/>
        <v>-1.2900395382000003</v>
      </c>
      <c r="AP14" s="9"/>
      <c r="AQ14" s="22">
        <v>1.77979</v>
      </c>
      <c r="AR14" s="22">
        <v>431.94200000000001</v>
      </c>
      <c r="AS14" s="22">
        <v>4.2501799999999999E-2</v>
      </c>
      <c r="AT14" s="22">
        <v>4</v>
      </c>
      <c r="AU14" s="22">
        <v>1.77948</v>
      </c>
      <c r="AV14">
        <f t="shared" si="8"/>
        <v>-42.501799999999996</v>
      </c>
      <c r="AW14">
        <f t="shared" si="9"/>
        <v>-75.644278621999987</v>
      </c>
      <c r="AX14" s="9"/>
      <c r="AY14" s="22">
        <v>-7.9803499999999999E-2</v>
      </c>
      <c r="AZ14" s="22">
        <v>553.87599999999998</v>
      </c>
      <c r="BA14" s="22">
        <v>-1.6186499999999999E-2</v>
      </c>
      <c r="BB14" s="22">
        <v>4</v>
      </c>
      <c r="BC14" s="22">
        <v>-8.0322299999999999E-2</v>
      </c>
      <c r="BD14">
        <f t="shared" si="10"/>
        <v>16.186499999999999</v>
      </c>
      <c r="BE14">
        <f t="shared" si="11"/>
        <v>-1.2917393527499998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1.7403761250157457</v>
      </c>
      <c r="B15" s="19">
        <f>IFERROR(AV9,0)</f>
        <v>16.210899999999999</v>
      </c>
      <c r="C15" s="20">
        <f>IFERROR(AV4,0)</f>
        <v>0.81858927561122841</v>
      </c>
      <c r="D15" s="21">
        <f>IFERROR(AV2,0)</f>
        <v>23.094911069999995</v>
      </c>
      <c r="E15" s="21">
        <f>IFERROR(AS9,0)</f>
        <v>6.5189072581260925</v>
      </c>
      <c r="F15" s="9"/>
      <c r="G15" s="22">
        <v>1.77475</v>
      </c>
      <c r="H15" s="22">
        <v>73.748800000000003</v>
      </c>
      <c r="I15" s="22">
        <v>3.3657800000000002E-2</v>
      </c>
      <c r="J15" s="22">
        <v>5</v>
      </c>
      <c r="K15" s="22">
        <v>1.7736799999999999</v>
      </c>
      <c r="L15">
        <f t="shared" si="0"/>
        <v>-33.657800000000002</v>
      </c>
      <c r="M15">
        <f t="shared" si="1"/>
        <v>-59.734180550000005</v>
      </c>
      <c r="N15" s="9"/>
      <c r="O15" s="22">
        <v>-7.4768100000000004E-2</v>
      </c>
      <c r="P15" s="22">
        <v>181.036</v>
      </c>
      <c r="Q15" s="22">
        <v>-1.6134599999999999E-2</v>
      </c>
      <c r="R15" s="22">
        <v>5</v>
      </c>
      <c r="S15" s="22">
        <v>-7.5195300000000007E-2</v>
      </c>
      <c r="T15">
        <f t="shared" si="2"/>
        <v>16.134599999999999</v>
      </c>
      <c r="U15">
        <f t="shared" si="3"/>
        <v>-1.20635338626</v>
      </c>
      <c r="V15" s="23"/>
      <c r="W15" s="24"/>
      <c r="X15" s="9"/>
      <c r="Y15" s="22">
        <v>1.77475</v>
      </c>
      <c r="Z15" s="22">
        <v>263.54899999999998</v>
      </c>
      <c r="AA15" s="22">
        <v>3.4017899999999997E-2</v>
      </c>
      <c r="AB15" s="22">
        <v>5</v>
      </c>
      <c r="AC15" s="22">
        <v>1.7746</v>
      </c>
      <c r="AD15">
        <f t="shared" si="4"/>
        <v>-34.017899999999997</v>
      </c>
      <c r="AE15">
        <f t="shared" si="5"/>
        <v>-60.373268024999994</v>
      </c>
      <c r="AF15" s="9"/>
      <c r="AG15" s="22">
        <v>-7.4768100000000004E-2</v>
      </c>
      <c r="AH15" s="22">
        <v>348.64299999999997</v>
      </c>
      <c r="AI15" s="22">
        <v>-1.6159099999999999E-2</v>
      </c>
      <c r="AJ15" s="22">
        <v>5</v>
      </c>
      <c r="AK15" s="22">
        <v>-7.5286900000000004E-2</v>
      </c>
      <c r="AL15">
        <f t="shared" si="6"/>
        <v>16.159099999999999</v>
      </c>
      <c r="AM15">
        <f t="shared" si="7"/>
        <v>-1.2081852047099999</v>
      </c>
      <c r="AP15" s="9"/>
      <c r="AQ15" s="22">
        <v>1.77475</v>
      </c>
      <c r="AR15" s="22">
        <v>432.04300000000001</v>
      </c>
      <c r="AS15" s="22">
        <v>3.6492900000000002E-2</v>
      </c>
      <c r="AT15" s="22">
        <v>5</v>
      </c>
      <c r="AU15" s="22">
        <v>1.77399</v>
      </c>
      <c r="AV15">
        <f t="shared" si="8"/>
        <v>-36.492899999999999</v>
      </c>
      <c r="AW15">
        <f t="shared" si="9"/>
        <v>-64.765774274999998</v>
      </c>
      <c r="AX15" s="9"/>
      <c r="AY15" s="22">
        <v>-7.4768100000000004E-2</v>
      </c>
      <c r="AZ15" s="22">
        <v>553.97699999999998</v>
      </c>
      <c r="BA15" s="22">
        <v>-1.6177400000000002E-2</v>
      </c>
      <c r="BB15" s="22">
        <v>5</v>
      </c>
      <c r="BC15" s="22">
        <v>-7.5256299999999998E-2</v>
      </c>
      <c r="BD15">
        <f t="shared" si="10"/>
        <v>16.177400000000002</v>
      </c>
      <c r="BE15">
        <f t="shared" si="11"/>
        <v>-1.2095534609400003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1.7328313280585155</v>
      </c>
      <c r="B16" s="19">
        <f>IFERROR(BD9,0)</f>
        <v>16.292739173264472</v>
      </c>
      <c r="C16" s="20">
        <f>IFERROR(BD4,0)</f>
        <v>0.76469751454706458</v>
      </c>
      <c r="D16" s="21">
        <f>IFERROR(BD2,0)</f>
        <v>21.589375235999999</v>
      </c>
      <c r="E16" s="21"/>
      <c r="F16" s="9"/>
      <c r="G16" s="22">
        <v>1.7697099999999999</v>
      </c>
      <c r="H16" s="22">
        <v>73.849500000000006</v>
      </c>
      <c r="I16" s="22">
        <v>2.7059900000000001E-2</v>
      </c>
      <c r="J16" s="22">
        <v>6</v>
      </c>
      <c r="K16" s="22">
        <v>1.7694099999999999</v>
      </c>
      <c r="L16">
        <f t="shared" si="0"/>
        <v>-27.059900000000003</v>
      </c>
      <c r="M16">
        <f t="shared" si="1"/>
        <v>-47.888175629000003</v>
      </c>
      <c r="N16" s="9"/>
      <c r="O16" s="22">
        <v>-6.9732699999999995E-2</v>
      </c>
      <c r="P16" s="22">
        <v>181.136</v>
      </c>
      <c r="Q16" s="22">
        <v>-1.6131599999999999E-2</v>
      </c>
      <c r="R16" s="22">
        <v>6</v>
      </c>
      <c r="S16" s="22">
        <v>-7.01904E-2</v>
      </c>
      <c r="T16">
        <f t="shared" si="2"/>
        <v>16.131599999999999</v>
      </c>
      <c r="U16">
        <f t="shared" si="3"/>
        <v>-1.1249000233199999</v>
      </c>
      <c r="V16" s="23"/>
      <c r="W16" s="24"/>
      <c r="X16" s="9"/>
      <c r="Y16" s="22">
        <v>1.7697099999999999</v>
      </c>
      <c r="Z16" s="22">
        <v>263.64999999999998</v>
      </c>
      <c r="AA16" s="22">
        <v>2.7648900000000001E-2</v>
      </c>
      <c r="AB16" s="22">
        <v>6</v>
      </c>
      <c r="AC16" s="22">
        <v>1.7687999999999999</v>
      </c>
      <c r="AD16">
        <f t="shared" si="4"/>
        <v>-27.648900000000001</v>
      </c>
      <c r="AE16">
        <f t="shared" si="5"/>
        <v>-48.930534819000002</v>
      </c>
      <c r="AF16" s="9"/>
      <c r="AG16" s="22">
        <v>-6.9732699999999995E-2</v>
      </c>
      <c r="AH16" s="22">
        <v>348.74400000000003</v>
      </c>
      <c r="AI16" s="22">
        <v>-1.6162099999999999E-2</v>
      </c>
      <c r="AJ16" s="22">
        <v>6</v>
      </c>
      <c r="AK16" s="22">
        <v>-7.0098900000000006E-2</v>
      </c>
      <c r="AL16">
        <f t="shared" si="6"/>
        <v>16.162099999999999</v>
      </c>
      <c r="AM16">
        <f t="shared" si="7"/>
        <v>-1.1270268706699997</v>
      </c>
      <c r="AP16" s="9"/>
      <c r="AQ16" s="22">
        <v>1.7697099999999999</v>
      </c>
      <c r="AR16" s="22">
        <v>432.14299999999997</v>
      </c>
      <c r="AS16" s="22">
        <v>3.07709E-2</v>
      </c>
      <c r="AT16" s="22">
        <v>6</v>
      </c>
      <c r="AU16" s="22">
        <v>1.7694099999999999</v>
      </c>
      <c r="AV16">
        <f t="shared" si="8"/>
        <v>-30.770900000000001</v>
      </c>
      <c r="AW16">
        <f t="shared" si="9"/>
        <v>-54.455569439000001</v>
      </c>
      <c r="AX16" s="9"/>
      <c r="AY16" s="22">
        <v>-6.9732699999999995E-2</v>
      </c>
      <c r="AZ16" s="22">
        <v>554.077</v>
      </c>
      <c r="BA16" s="22">
        <v>-1.6177400000000002E-2</v>
      </c>
      <c r="BB16" s="22">
        <v>6</v>
      </c>
      <c r="BC16" s="22">
        <v>-7.0251499999999995E-2</v>
      </c>
      <c r="BD16">
        <f t="shared" si="10"/>
        <v>16.177400000000002</v>
      </c>
      <c r="BE16">
        <f t="shared" si="11"/>
        <v>-1.12809378098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73.950199999999995</v>
      </c>
      <c r="I17" s="22">
        <v>2.0468099999999999E-2</v>
      </c>
      <c r="J17" s="22">
        <v>7</v>
      </c>
      <c r="K17" s="22">
        <v>1.7648299999999999</v>
      </c>
      <c r="L17">
        <f t="shared" si="0"/>
        <v>-20.4681</v>
      </c>
      <c r="M17">
        <f t="shared" si="1"/>
        <v>-36.119646707999998</v>
      </c>
      <c r="N17" s="9"/>
      <c r="O17" s="22">
        <v>-6.4697299999999999E-2</v>
      </c>
      <c r="P17" s="22">
        <v>181.23699999999999</v>
      </c>
      <c r="Q17" s="22">
        <v>-1.6131599999999999E-2</v>
      </c>
      <c r="R17" s="22">
        <v>7</v>
      </c>
      <c r="S17" s="22">
        <v>-6.5277100000000005E-2</v>
      </c>
      <c r="T17">
        <f t="shared" si="2"/>
        <v>16.131599999999999</v>
      </c>
      <c r="U17">
        <f t="shared" si="3"/>
        <v>-1.04367096468</v>
      </c>
      <c r="V17" s="23"/>
      <c r="W17" s="24"/>
      <c r="X17" s="9"/>
      <c r="Y17" s="22">
        <v>1.76468</v>
      </c>
      <c r="Z17" s="22">
        <v>263.75</v>
      </c>
      <c r="AA17" s="22">
        <v>2.1292100000000001E-2</v>
      </c>
      <c r="AB17" s="22">
        <v>7</v>
      </c>
      <c r="AC17" s="22">
        <v>1.7639199999999999</v>
      </c>
      <c r="AD17">
        <f t="shared" si="4"/>
        <v>-21.292100000000001</v>
      </c>
      <c r="AE17">
        <f t="shared" si="5"/>
        <v>-37.573743028000003</v>
      </c>
      <c r="AF17" s="9"/>
      <c r="AG17" s="22">
        <v>-6.4697299999999999E-2</v>
      </c>
      <c r="AH17" s="22">
        <v>348.84500000000003</v>
      </c>
      <c r="AI17" s="22">
        <v>-1.6159099999999999E-2</v>
      </c>
      <c r="AJ17" s="22">
        <v>7</v>
      </c>
      <c r="AK17" s="22">
        <v>-6.5185499999999993E-2</v>
      </c>
      <c r="AL17">
        <f t="shared" si="6"/>
        <v>16.159099999999999</v>
      </c>
      <c r="AM17">
        <f t="shared" si="7"/>
        <v>-1.0454501404299998</v>
      </c>
      <c r="AP17" s="9"/>
      <c r="AQ17" s="22">
        <v>1.76468</v>
      </c>
      <c r="AR17" s="22">
        <v>432.24400000000003</v>
      </c>
      <c r="AS17" s="22">
        <v>2.4871799999999999E-2</v>
      </c>
      <c r="AT17" s="22">
        <v>7</v>
      </c>
      <c r="AU17" s="22">
        <v>1.7642199999999999</v>
      </c>
      <c r="AV17">
        <f t="shared" si="8"/>
        <v>-24.8718</v>
      </c>
      <c r="AW17">
        <f t="shared" si="9"/>
        <v>-43.890768024000003</v>
      </c>
      <c r="AX17" s="9"/>
      <c r="AY17" s="22">
        <v>-6.4697299999999999E-2</v>
      </c>
      <c r="AZ17" s="22">
        <v>554.178</v>
      </c>
      <c r="BA17" s="22">
        <v>-1.6177400000000002E-2</v>
      </c>
      <c r="BB17" s="22">
        <v>7</v>
      </c>
      <c r="BC17" s="22">
        <v>-6.5216099999999999E-2</v>
      </c>
      <c r="BD17">
        <f t="shared" si="10"/>
        <v>16.177400000000002</v>
      </c>
      <c r="BE17">
        <f t="shared" si="11"/>
        <v>-1.0466341010200002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74.050899999999999</v>
      </c>
      <c r="I18" s="22">
        <v>1.41815E-2</v>
      </c>
      <c r="J18" s="22">
        <v>8</v>
      </c>
      <c r="K18" s="22">
        <v>1.7593399999999999</v>
      </c>
      <c r="L18">
        <f t="shared" si="0"/>
        <v>-14.1815</v>
      </c>
      <c r="M18">
        <f t="shared" si="1"/>
        <v>-24.954334660000001</v>
      </c>
      <c r="N18" s="9"/>
      <c r="O18" s="22">
        <v>-5.9661899999999997E-2</v>
      </c>
      <c r="P18" s="22">
        <v>181.33799999999999</v>
      </c>
      <c r="Q18" s="22">
        <v>-1.6131599999999999E-2</v>
      </c>
      <c r="R18" s="22">
        <v>8</v>
      </c>
      <c r="S18" s="22">
        <v>-6.0424800000000001E-2</v>
      </c>
      <c r="T18">
        <f t="shared" si="2"/>
        <v>16.131599999999999</v>
      </c>
      <c r="U18">
        <f t="shared" si="3"/>
        <v>-0.96244190603999991</v>
      </c>
      <c r="V18" s="23"/>
      <c r="W18" s="24"/>
      <c r="X18" s="9"/>
      <c r="Y18" s="22">
        <v>1.7596400000000001</v>
      </c>
      <c r="Z18" s="22">
        <v>263.851</v>
      </c>
      <c r="AA18" s="22">
        <v>1.51337E-2</v>
      </c>
      <c r="AB18" s="22">
        <v>8</v>
      </c>
      <c r="AC18" s="22">
        <v>1.7590300000000001</v>
      </c>
      <c r="AD18">
        <f t="shared" si="4"/>
        <v>-15.133699999999999</v>
      </c>
      <c r="AE18">
        <f t="shared" si="5"/>
        <v>-26.629863868000001</v>
      </c>
      <c r="AF18" s="9"/>
      <c r="AG18" s="22">
        <v>-5.9661899999999997E-2</v>
      </c>
      <c r="AH18" s="22">
        <v>348.94499999999999</v>
      </c>
      <c r="AI18" s="22">
        <v>-1.6168200000000001E-2</v>
      </c>
      <c r="AJ18" s="22">
        <v>8</v>
      </c>
      <c r="AK18" s="22">
        <v>-6.0180699999999997E-2</v>
      </c>
      <c r="AL18">
        <f t="shared" si="6"/>
        <v>16.168200000000002</v>
      </c>
      <c r="AM18">
        <f t="shared" si="7"/>
        <v>-0.96462553158000008</v>
      </c>
      <c r="AP18" s="9"/>
      <c r="AQ18" s="22">
        <v>1.7596400000000001</v>
      </c>
      <c r="AR18" s="22">
        <v>432.34500000000003</v>
      </c>
      <c r="AS18" s="22">
        <v>1.8795800000000001E-2</v>
      </c>
      <c r="AT18" s="22">
        <v>8</v>
      </c>
      <c r="AU18" s="22">
        <v>1.7590300000000001</v>
      </c>
      <c r="AV18">
        <f t="shared" si="8"/>
        <v>-18.7958</v>
      </c>
      <c r="AW18">
        <f t="shared" si="9"/>
        <v>-33.073841512000001</v>
      </c>
      <c r="AX18" s="9"/>
      <c r="AY18" s="22">
        <v>-5.9661899999999997E-2</v>
      </c>
      <c r="AZ18" s="22">
        <v>554.279</v>
      </c>
      <c r="BA18" s="22">
        <v>-1.6177400000000002E-2</v>
      </c>
      <c r="BB18" s="22">
        <v>8</v>
      </c>
      <c r="BC18" s="22">
        <v>-6.0119600000000002E-2</v>
      </c>
      <c r="BD18">
        <f t="shared" si="10"/>
        <v>16.177400000000002</v>
      </c>
      <c r="BE18">
        <f t="shared" si="11"/>
        <v>-0.96517442106000007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74.151600000000002</v>
      </c>
      <c r="I19" s="22">
        <v>8.1176800000000004E-3</v>
      </c>
      <c r="J19" s="22">
        <v>9</v>
      </c>
      <c r="K19" s="22">
        <v>1.7535400000000001</v>
      </c>
      <c r="L19">
        <f t="shared" si="0"/>
        <v>-8.11768</v>
      </c>
      <c r="M19">
        <f t="shared" si="1"/>
        <v>-14.2433625048</v>
      </c>
      <c r="N19" s="9"/>
      <c r="O19" s="22">
        <v>-5.4626500000000001E-2</v>
      </c>
      <c r="P19" s="22">
        <v>181.43799999999999</v>
      </c>
      <c r="Q19" s="22">
        <v>-1.61285E-2</v>
      </c>
      <c r="R19" s="22">
        <v>9</v>
      </c>
      <c r="S19" s="22">
        <v>-5.50842E-2</v>
      </c>
      <c r="T19">
        <f t="shared" si="2"/>
        <v>16.128499999999999</v>
      </c>
      <c r="U19">
        <f t="shared" si="3"/>
        <v>-0.88104350524999997</v>
      </c>
      <c r="V19" s="23"/>
      <c r="W19" s="24"/>
      <c r="X19" s="9"/>
      <c r="Y19" s="22">
        <v>1.75461</v>
      </c>
      <c r="Z19" s="22">
        <v>263.952</v>
      </c>
      <c r="AA19" s="22">
        <v>9.1949500000000003E-3</v>
      </c>
      <c r="AB19" s="22">
        <v>9</v>
      </c>
      <c r="AC19" s="22">
        <v>1.7544599999999999</v>
      </c>
      <c r="AD19">
        <f t="shared" si="4"/>
        <v>-9.1949500000000004</v>
      </c>
      <c r="AE19">
        <f t="shared" si="5"/>
        <v>-16.133551219499999</v>
      </c>
      <c r="AF19" s="9"/>
      <c r="AG19" s="22">
        <v>-5.4626500000000001E-2</v>
      </c>
      <c r="AH19" s="22">
        <v>349.04599999999999</v>
      </c>
      <c r="AI19" s="22">
        <v>-1.6162099999999999E-2</v>
      </c>
      <c r="AJ19" s="22">
        <v>9</v>
      </c>
      <c r="AK19" s="22">
        <v>-5.5114700000000003E-2</v>
      </c>
      <c r="AL19">
        <f t="shared" si="6"/>
        <v>16.162099999999999</v>
      </c>
      <c r="AM19">
        <f t="shared" si="7"/>
        <v>-0.88287895564999996</v>
      </c>
      <c r="AP19" s="9"/>
      <c r="AQ19" s="22">
        <v>1.75461</v>
      </c>
      <c r="AR19" s="22">
        <v>432.44600000000003</v>
      </c>
      <c r="AS19" s="22">
        <v>1.30981E-2</v>
      </c>
      <c r="AT19" s="22">
        <v>9</v>
      </c>
      <c r="AU19" s="22">
        <v>1.7541500000000001</v>
      </c>
      <c r="AV19">
        <f t="shared" si="8"/>
        <v>-13.098100000000001</v>
      </c>
      <c r="AW19">
        <f t="shared" si="9"/>
        <v>-22.982057241</v>
      </c>
      <c r="AX19" s="9"/>
      <c r="AY19" s="22">
        <v>-5.4626500000000001E-2</v>
      </c>
      <c r="AZ19" s="22">
        <v>554.38</v>
      </c>
      <c r="BA19" s="22">
        <v>-1.61713E-2</v>
      </c>
      <c r="BB19" s="22">
        <v>9</v>
      </c>
      <c r="BC19" s="22">
        <v>-5.4962200000000003E-2</v>
      </c>
      <c r="BD19">
        <f t="shared" si="10"/>
        <v>16.171299999999999</v>
      </c>
      <c r="BE19">
        <f t="shared" si="11"/>
        <v>-0.88338151944999999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74.252300000000005</v>
      </c>
      <c r="I20" s="22">
        <v>2.3135400000000002E-3</v>
      </c>
      <c r="J20" s="22">
        <v>10</v>
      </c>
      <c r="K20" s="22">
        <v>1.7489600000000001</v>
      </c>
      <c r="L20">
        <f t="shared" si="0"/>
        <v>-2.3135400000000002</v>
      </c>
      <c r="M20">
        <f t="shared" si="1"/>
        <v>-4.0477001778000004</v>
      </c>
      <c r="N20" s="9"/>
      <c r="O20" s="22">
        <v>-4.9591099999999999E-2</v>
      </c>
      <c r="P20" s="22">
        <v>181.53899999999999</v>
      </c>
      <c r="Q20" s="22">
        <v>-1.6140700000000001E-2</v>
      </c>
      <c r="R20" s="22">
        <v>10</v>
      </c>
      <c r="S20" s="22">
        <v>-5.0170899999999997E-2</v>
      </c>
      <c r="T20">
        <f t="shared" si="2"/>
        <v>16.140700000000002</v>
      </c>
      <c r="U20">
        <f t="shared" si="3"/>
        <v>-0.80043506777000006</v>
      </c>
      <c r="V20" s="23"/>
      <c r="W20" s="24"/>
      <c r="X20" s="9"/>
      <c r="Y20" s="22">
        <v>1.7495700000000001</v>
      </c>
      <c r="Z20" s="22">
        <v>264.05200000000002</v>
      </c>
      <c r="AA20" s="22">
        <v>3.6856100000000002E-3</v>
      </c>
      <c r="AB20" s="22">
        <v>10</v>
      </c>
      <c r="AC20" s="22">
        <v>1.7486600000000001</v>
      </c>
      <c r="AD20">
        <f t="shared" si="4"/>
        <v>-3.6856100000000001</v>
      </c>
      <c r="AE20">
        <f t="shared" si="5"/>
        <v>-6.4482326877</v>
      </c>
      <c r="AF20" s="9"/>
      <c r="AG20" s="22">
        <v>-4.9591099999999999E-2</v>
      </c>
      <c r="AH20" s="22">
        <v>349.14699999999999</v>
      </c>
      <c r="AI20" s="22">
        <v>-1.6165200000000001E-2</v>
      </c>
      <c r="AJ20" s="22">
        <v>10</v>
      </c>
      <c r="AK20" s="22">
        <v>-5.0048799999999997E-2</v>
      </c>
      <c r="AL20">
        <f t="shared" si="6"/>
        <v>16.165200000000002</v>
      </c>
      <c r="AM20">
        <f t="shared" si="7"/>
        <v>-0.80165004972000009</v>
      </c>
      <c r="AP20" s="9"/>
      <c r="AQ20" s="22">
        <v>1.7495700000000001</v>
      </c>
      <c r="AR20" s="22">
        <v>432.54599999999999</v>
      </c>
      <c r="AS20" s="22">
        <v>7.5347900000000004E-3</v>
      </c>
      <c r="AT20" s="22">
        <v>10</v>
      </c>
      <c r="AU20" s="22">
        <v>1.7486600000000001</v>
      </c>
      <c r="AV20">
        <f t="shared" si="8"/>
        <v>-7.5347900000000001</v>
      </c>
      <c r="AW20">
        <f t="shared" si="9"/>
        <v>-13.1826425403</v>
      </c>
      <c r="AX20" s="9"/>
      <c r="AY20" s="22">
        <v>-4.9591099999999999E-2</v>
      </c>
      <c r="AZ20" s="22">
        <v>554.48</v>
      </c>
      <c r="BA20" s="22">
        <v>-1.61713E-2</v>
      </c>
      <c r="BB20" s="22">
        <v>10</v>
      </c>
      <c r="BC20" s="22">
        <v>-5.0140400000000002E-2</v>
      </c>
      <c r="BD20">
        <f t="shared" si="10"/>
        <v>16.171299999999999</v>
      </c>
      <c r="BE20">
        <f t="shared" si="11"/>
        <v>-0.80195255542999988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74.352999999999994</v>
      </c>
      <c r="I21" s="22">
        <v>-2.0175200000000001E-3</v>
      </c>
      <c r="J21" s="22">
        <v>11</v>
      </c>
      <c r="K21" s="22">
        <v>1.7434700000000001</v>
      </c>
      <c r="L21">
        <f t="shared" si="0"/>
        <v>2.0175200000000002</v>
      </c>
      <c r="M21">
        <f t="shared" si="1"/>
        <v>3.5196443408000002</v>
      </c>
      <c r="N21" s="9"/>
      <c r="O21" s="22">
        <v>-4.4555699999999997E-2</v>
      </c>
      <c r="P21" s="22">
        <v>181.64</v>
      </c>
      <c r="Q21" s="22">
        <v>-1.6137700000000001E-2</v>
      </c>
      <c r="R21" s="22">
        <v>11</v>
      </c>
      <c r="S21" s="22">
        <v>-4.4928000000000003E-2</v>
      </c>
      <c r="T21">
        <f t="shared" si="2"/>
        <v>16.137700000000002</v>
      </c>
      <c r="U21">
        <f t="shared" si="3"/>
        <v>-0.7190265198900001</v>
      </c>
      <c r="V21" s="23"/>
      <c r="W21" s="24"/>
      <c r="X21" s="9"/>
      <c r="Y21" s="22">
        <v>1.74454</v>
      </c>
      <c r="Z21" s="22">
        <v>264.15300000000002</v>
      </c>
      <c r="AA21" s="22">
        <v>-1.1779799999999999E-3</v>
      </c>
      <c r="AB21" s="22">
        <v>11</v>
      </c>
      <c r="AC21" s="22">
        <v>1.74377</v>
      </c>
      <c r="AD21">
        <f t="shared" si="4"/>
        <v>1.1779799999999998</v>
      </c>
      <c r="AE21">
        <f t="shared" si="5"/>
        <v>2.0550332291999998</v>
      </c>
      <c r="AF21" s="9"/>
      <c r="AG21" s="22">
        <v>-4.4555699999999997E-2</v>
      </c>
      <c r="AH21" s="22">
        <v>349.24799999999999</v>
      </c>
      <c r="AI21" s="22">
        <v>-1.6165200000000001E-2</v>
      </c>
      <c r="AJ21" s="22">
        <v>11</v>
      </c>
      <c r="AK21" s="22">
        <v>-4.4915799999999999E-2</v>
      </c>
      <c r="AL21">
        <f t="shared" si="6"/>
        <v>16.165200000000002</v>
      </c>
      <c r="AM21">
        <f t="shared" si="7"/>
        <v>-0.72025180164000002</v>
      </c>
      <c r="AP21" s="9"/>
      <c r="AQ21" s="22">
        <v>1.74454</v>
      </c>
      <c r="AR21" s="22">
        <v>432.64699999999999</v>
      </c>
      <c r="AS21" s="22">
        <v>2.6171900000000001E-3</v>
      </c>
      <c r="AT21" s="22">
        <v>11</v>
      </c>
      <c r="AU21" s="22">
        <v>1.7434700000000001</v>
      </c>
      <c r="AV21">
        <f t="shared" si="8"/>
        <v>-2.6171900000000003</v>
      </c>
      <c r="AW21">
        <f t="shared" si="9"/>
        <v>-4.5657926426000008</v>
      </c>
      <c r="AX21" s="9"/>
      <c r="AY21" s="22">
        <v>-4.4555699999999997E-2</v>
      </c>
      <c r="AZ21" s="22">
        <v>554.58100000000002</v>
      </c>
      <c r="BA21" s="22">
        <v>-1.61713E-2</v>
      </c>
      <c r="BB21" s="22">
        <v>11</v>
      </c>
      <c r="BC21" s="22">
        <v>-4.5254500000000003E-2</v>
      </c>
      <c r="BD21">
        <f t="shared" si="10"/>
        <v>16.171299999999999</v>
      </c>
      <c r="BE21">
        <f t="shared" si="11"/>
        <v>-0.72052359140999989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74.453699999999998</v>
      </c>
      <c r="I22" s="22">
        <v>-4.8165899999999999E-3</v>
      </c>
      <c r="J22" s="22">
        <v>12</v>
      </c>
      <c r="K22" s="22">
        <v>1.7385900000000001</v>
      </c>
      <c r="L22">
        <f t="shared" si="0"/>
        <v>4.8165899999999997</v>
      </c>
      <c r="M22">
        <f t="shared" si="1"/>
        <v>8.3784583050000005</v>
      </c>
      <c r="N22" s="9"/>
      <c r="O22" s="22">
        <v>-3.9520300000000001E-2</v>
      </c>
      <c r="P22" s="22">
        <v>181.74100000000001</v>
      </c>
      <c r="Q22" s="22">
        <v>-1.6146899999999999E-2</v>
      </c>
      <c r="R22" s="22">
        <v>12</v>
      </c>
      <c r="S22" s="22">
        <v>-3.9739999999999998E-2</v>
      </c>
      <c r="T22">
        <f t="shared" si="2"/>
        <v>16.146899999999999</v>
      </c>
      <c r="U22">
        <f t="shared" si="3"/>
        <v>-0.63813033206999992</v>
      </c>
      <c r="V22" s="23"/>
      <c r="W22" s="24"/>
      <c r="X22" s="9"/>
      <c r="Y22" s="22">
        <v>1.7395</v>
      </c>
      <c r="Z22" s="22">
        <v>264.25400000000002</v>
      </c>
      <c r="AA22" s="22">
        <v>-4.3627900000000001E-3</v>
      </c>
      <c r="AB22" s="22">
        <v>12</v>
      </c>
      <c r="AC22" s="22">
        <v>1.7385900000000001</v>
      </c>
      <c r="AD22">
        <f t="shared" si="4"/>
        <v>4.3627900000000004</v>
      </c>
      <c r="AE22">
        <f t="shared" si="5"/>
        <v>7.5890732050000009</v>
      </c>
      <c r="AF22" s="9"/>
      <c r="AG22" s="22">
        <v>-3.9520300000000001E-2</v>
      </c>
      <c r="AH22" s="22">
        <v>349.34800000000001</v>
      </c>
      <c r="AI22" s="22">
        <v>-1.61713E-2</v>
      </c>
      <c r="AJ22" s="22">
        <v>12</v>
      </c>
      <c r="AK22" s="22">
        <v>-3.9886499999999998E-2</v>
      </c>
      <c r="AL22">
        <f t="shared" si="6"/>
        <v>16.171299999999999</v>
      </c>
      <c r="AM22">
        <f t="shared" si="7"/>
        <v>-0.63909462739</v>
      </c>
      <c r="AP22" s="9"/>
      <c r="AQ22" s="22">
        <v>1.7395</v>
      </c>
      <c r="AR22" s="22">
        <v>432.74799999999999</v>
      </c>
      <c r="AS22" s="22">
        <v>-1.51093E-3</v>
      </c>
      <c r="AT22" s="22">
        <v>12</v>
      </c>
      <c r="AU22" s="22">
        <v>1.7385900000000001</v>
      </c>
      <c r="AV22">
        <f t="shared" si="8"/>
        <v>1.5109299999999999</v>
      </c>
      <c r="AW22">
        <f t="shared" si="9"/>
        <v>2.6282627349999999</v>
      </c>
      <c r="AX22" s="9"/>
      <c r="AY22" s="22">
        <v>-3.9520300000000001E-2</v>
      </c>
      <c r="AZ22" s="22">
        <v>554.68200000000002</v>
      </c>
      <c r="BA22" s="22">
        <v>-1.6168200000000001E-2</v>
      </c>
      <c r="BB22" s="22">
        <v>12</v>
      </c>
      <c r="BC22" s="22">
        <v>-3.9865100000000001E-2</v>
      </c>
      <c r="BD22">
        <f t="shared" si="10"/>
        <v>16.168200000000002</v>
      </c>
      <c r="BE22">
        <f t="shared" si="11"/>
        <v>-0.63897211446000013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74.554400000000001</v>
      </c>
      <c r="I23" s="22">
        <v>-6.6924999999999997E-3</v>
      </c>
      <c r="J23" s="22">
        <v>13</v>
      </c>
      <c r="K23" s="22">
        <v>1.73431</v>
      </c>
      <c r="L23">
        <f t="shared" si="0"/>
        <v>6.6924999999999999</v>
      </c>
      <c r="M23">
        <f t="shared" si="1"/>
        <v>11.607940474999999</v>
      </c>
      <c r="N23" s="9"/>
      <c r="O23" s="22">
        <v>-3.4484899999999999E-2</v>
      </c>
      <c r="P23" s="22">
        <v>181.84100000000001</v>
      </c>
      <c r="Q23" s="22">
        <v>-1.6137700000000001E-2</v>
      </c>
      <c r="R23" s="22">
        <v>13</v>
      </c>
      <c r="S23" s="22">
        <v>-3.4817500000000001E-2</v>
      </c>
      <c r="T23">
        <f t="shared" si="2"/>
        <v>16.137700000000002</v>
      </c>
      <c r="U23">
        <f t="shared" si="3"/>
        <v>-0.55650697073000011</v>
      </c>
      <c r="V23" s="23"/>
      <c r="W23" s="24"/>
      <c r="X23" s="9"/>
      <c r="Y23" s="22">
        <v>1.73447</v>
      </c>
      <c r="Z23" s="22">
        <v>264.35500000000002</v>
      </c>
      <c r="AA23" s="22">
        <v>-6.5368700000000002E-3</v>
      </c>
      <c r="AB23" s="22">
        <v>13</v>
      </c>
      <c r="AC23" s="22">
        <v>1.7337</v>
      </c>
      <c r="AD23">
        <f t="shared" si="4"/>
        <v>6.5368700000000004</v>
      </c>
      <c r="AE23">
        <f t="shared" si="5"/>
        <v>11.3380049089</v>
      </c>
      <c r="AF23" s="9"/>
      <c r="AG23" s="22">
        <v>-3.4484899999999999E-2</v>
      </c>
      <c r="AH23" s="22">
        <v>349.44900000000001</v>
      </c>
      <c r="AI23" s="22">
        <v>-1.6165200000000001E-2</v>
      </c>
      <c r="AJ23" s="22">
        <v>13</v>
      </c>
      <c r="AK23" s="22">
        <v>-3.4683199999999997E-2</v>
      </c>
      <c r="AL23">
        <f t="shared" si="6"/>
        <v>16.165200000000002</v>
      </c>
      <c r="AM23">
        <f t="shared" si="7"/>
        <v>-0.55745530548000011</v>
      </c>
      <c r="AP23" s="9"/>
      <c r="AQ23" s="22">
        <v>1.73447</v>
      </c>
      <c r="AR23" s="22">
        <v>432.84800000000001</v>
      </c>
      <c r="AS23" s="22">
        <v>-4.57458E-3</v>
      </c>
      <c r="AT23" s="22">
        <v>13</v>
      </c>
      <c r="AU23" s="22">
        <v>1.7334000000000001</v>
      </c>
      <c r="AV23">
        <f t="shared" si="8"/>
        <v>4.5745800000000001</v>
      </c>
      <c r="AW23">
        <f t="shared" si="9"/>
        <v>7.9344717726000003</v>
      </c>
      <c r="AX23" s="9"/>
      <c r="AY23" s="22">
        <v>-3.4484899999999999E-2</v>
      </c>
      <c r="AZ23" s="22">
        <v>554.78200000000004</v>
      </c>
      <c r="BA23" s="22">
        <v>-1.6168200000000001E-2</v>
      </c>
      <c r="BB23" s="22">
        <v>13</v>
      </c>
      <c r="BC23" s="22">
        <v>-3.4802199999999998E-2</v>
      </c>
      <c r="BD23">
        <f t="shared" si="10"/>
        <v>16.168200000000002</v>
      </c>
      <c r="BE23">
        <f t="shared" si="11"/>
        <v>-0.55755876018000006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74.655100000000004</v>
      </c>
      <c r="I24" s="22">
        <v>-7.9711899999999995E-3</v>
      </c>
      <c r="J24" s="22">
        <v>14</v>
      </c>
      <c r="K24" s="22">
        <v>1.7291300000000001</v>
      </c>
      <c r="L24">
        <f t="shared" si="0"/>
        <v>7.9711899999999991</v>
      </c>
      <c r="M24">
        <f t="shared" si="1"/>
        <v>13.785615121699999</v>
      </c>
      <c r="N24" s="9"/>
      <c r="O24" s="22">
        <v>-2.94495E-2</v>
      </c>
      <c r="P24" s="22">
        <v>181.94200000000001</v>
      </c>
      <c r="Q24" s="22">
        <v>-1.6149899999999998E-2</v>
      </c>
      <c r="R24" s="22">
        <v>14</v>
      </c>
      <c r="S24" s="22">
        <v>-2.98309E-2</v>
      </c>
      <c r="T24">
        <f t="shared" si="2"/>
        <v>16.149899999999999</v>
      </c>
      <c r="U24">
        <f t="shared" si="3"/>
        <v>-0.47560648004999995</v>
      </c>
      <c r="V24" s="23"/>
      <c r="W24" s="24"/>
      <c r="X24" s="9"/>
      <c r="Y24" s="22">
        <v>1.72943</v>
      </c>
      <c r="Z24" s="22">
        <v>264.45499999999998</v>
      </c>
      <c r="AA24" s="22">
        <v>-7.9833999999999999E-3</v>
      </c>
      <c r="AB24" s="22">
        <v>14</v>
      </c>
      <c r="AC24" s="22">
        <v>1.72882</v>
      </c>
      <c r="AD24">
        <f t="shared" si="4"/>
        <v>7.9833999999999996</v>
      </c>
      <c r="AE24">
        <f t="shared" si="5"/>
        <v>13.806731462</v>
      </c>
      <c r="AF24" s="9"/>
      <c r="AG24" s="22">
        <v>-2.94495E-2</v>
      </c>
      <c r="AH24" s="22">
        <v>349.55</v>
      </c>
      <c r="AI24" s="22">
        <v>-1.61713E-2</v>
      </c>
      <c r="AJ24" s="22">
        <v>14</v>
      </c>
      <c r="AK24" s="22">
        <v>-2.9693600000000001E-2</v>
      </c>
      <c r="AL24">
        <f t="shared" si="6"/>
        <v>16.171299999999999</v>
      </c>
      <c r="AM24">
        <f t="shared" si="7"/>
        <v>-0.47623669934999996</v>
      </c>
      <c r="AP24" s="9"/>
      <c r="AQ24" s="22">
        <v>1.72943</v>
      </c>
      <c r="AR24" s="22">
        <v>432.94900000000001</v>
      </c>
      <c r="AS24" s="22">
        <v>-6.5399200000000003E-3</v>
      </c>
      <c r="AT24" s="22">
        <v>14</v>
      </c>
      <c r="AU24" s="22">
        <v>1.72821</v>
      </c>
      <c r="AV24">
        <f t="shared" si="8"/>
        <v>6.5399200000000004</v>
      </c>
      <c r="AW24">
        <f t="shared" si="9"/>
        <v>11.310333845600001</v>
      </c>
      <c r="AX24" s="9"/>
      <c r="AY24" s="22">
        <v>-2.94495E-2</v>
      </c>
      <c r="AZ24" s="22">
        <v>554.88300000000004</v>
      </c>
      <c r="BA24" s="22">
        <v>-1.61713E-2</v>
      </c>
      <c r="BB24" s="22">
        <v>14</v>
      </c>
      <c r="BC24" s="22">
        <v>-2.9782099999999999E-2</v>
      </c>
      <c r="BD24">
        <f t="shared" si="10"/>
        <v>16.171299999999999</v>
      </c>
      <c r="BE24">
        <f t="shared" si="11"/>
        <v>-0.47623669934999996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74.755899999999997</v>
      </c>
      <c r="I25" s="22">
        <v>-8.8470500000000004E-3</v>
      </c>
      <c r="J25" s="22">
        <v>15</v>
      </c>
      <c r="K25" s="22">
        <v>1.72333</v>
      </c>
      <c r="L25">
        <f t="shared" si="0"/>
        <v>8.8470500000000012</v>
      </c>
      <c r="M25">
        <f t="shared" si="1"/>
        <v>15.255853020000002</v>
      </c>
      <c r="N25" s="9"/>
      <c r="O25" s="22">
        <v>-2.4414100000000001E-2</v>
      </c>
      <c r="P25" s="22">
        <v>182.04300000000001</v>
      </c>
      <c r="Q25" s="22">
        <v>-1.6137700000000001E-2</v>
      </c>
      <c r="R25" s="22">
        <v>15</v>
      </c>
      <c r="S25" s="22">
        <v>-2.4740600000000001E-2</v>
      </c>
      <c r="T25">
        <f t="shared" si="2"/>
        <v>16.137700000000002</v>
      </c>
      <c r="U25">
        <f t="shared" si="3"/>
        <v>-0.39398742157000005</v>
      </c>
      <c r="V25" s="23"/>
      <c r="W25" s="24"/>
      <c r="X25" s="9"/>
      <c r="Y25" s="22">
        <v>1.7243999999999999</v>
      </c>
      <c r="Z25" s="22">
        <v>264.55599999999998</v>
      </c>
      <c r="AA25" s="22">
        <v>-8.9385999999999997E-3</v>
      </c>
      <c r="AB25" s="22">
        <v>15</v>
      </c>
      <c r="AC25" s="22">
        <v>1.72394</v>
      </c>
      <c r="AD25">
        <f t="shared" si="4"/>
        <v>8.9385999999999992</v>
      </c>
      <c r="AE25">
        <f t="shared" si="5"/>
        <v>15.413721839999997</v>
      </c>
      <c r="AF25" s="9"/>
      <c r="AG25" s="22">
        <v>-2.4414100000000001E-2</v>
      </c>
      <c r="AH25" s="22">
        <v>349.65</v>
      </c>
      <c r="AI25" s="22">
        <v>-1.6159099999999999E-2</v>
      </c>
      <c r="AJ25" s="22">
        <v>15</v>
      </c>
      <c r="AK25" s="22">
        <v>-2.47742E-2</v>
      </c>
      <c r="AL25">
        <f t="shared" si="6"/>
        <v>16.159099999999999</v>
      </c>
      <c r="AM25">
        <f t="shared" si="7"/>
        <v>-0.39450988330999998</v>
      </c>
      <c r="AP25" s="9"/>
      <c r="AQ25" s="22">
        <v>1.7243999999999999</v>
      </c>
      <c r="AR25" s="22">
        <v>433.05</v>
      </c>
      <c r="AS25" s="22">
        <v>-7.9071000000000002E-3</v>
      </c>
      <c r="AT25" s="22">
        <v>15</v>
      </c>
      <c r="AU25" s="22">
        <v>1.72302</v>
      </c>
      <c r="AV25">
        <f t="shared" si="8"/>
        <v>7.9070999999999998</v>
      </c>
      <c r="AW25">
        <f t="shared" si="9"/>
        <v>13.63500324</v>
      </c>
      <c r="AX25" s="9"/>
      <c r="AY25" s="22">
        <v>-2.4414100000000001E-2</v>
      </c>
      <c r="AZ25" s="22">
        <v>554.98400000000004</v>
      </c>
      <c r="BA25" s="22">
        <v>-1.61713E-2</v>
      </c>
      <c r="BB25" s="22">
        <v>15</v>
      </c>
      <c r="BC25" s="22">
        <v>-2.47345E-2</v>
      </c>
      <c r="BD25">
        <f t="shared" si="10"/>
        <v>16.171299999999999</v>
      </c>
      <c r="BE25">
        <f t="shared" si="11"/>
        <v>-0.39480773532999996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74.8566</v>
      </c>
      <c r="I26" s="22">
        <v>-9.6008299999999994E-3</v>
      </c>
      <c r="J26" s="22">
        <v>16</v>
      </c>
      <c r="K26" s="22">
        <v>1.71906</v>
      </c>
      <c r="L26">
        <f t="shared" si="0"/>
        <v>9.6008300000000002</v>
      </c>
      <c r="M26">
        <f t="shared" si="1"/>
        <v>16.5072830688</v>
      </c>
      <c r="N26" s="9"/>
      <c r="O26" s="22">
        <v>-1.9378699999999999E-2</v>
      </c>
      <c r="P26" s="22">
        <v>182.143</v>
      </c>
      <c r="Q26" s="22">
        <v>-1.61438E-2</v>
      </c>
      <c r="R26" s="22">
        <v>16</v>
      </c>
      <c r="S26" s="22">
        <v>-1.9406099999999999E-2</v>
      </c>
      <c r="T26">
        <f t="shared" si="2"/>
        <v>16.143799999999999</v>
      </c>
      <c r="U26">
        <f t="shared" si="3"/>
        <v>-0.31284585705999995</v>
      </c>
      <c r="V26" s="23"/>
      <c r="W26" s="24"/>
      <c r="X26" s="9"/>
      <c r="Y26" s="22">
        <v>1.71936</v>
      </c>
      <c r="Z26" s="22">
        <v>264.65699999999998</v>
      </c>
      <c r="AA26" s="22">
        <v>-9.7503699999999995E-3</v>
      </c>
      <c r="AB26" s="22">
        <v>16</v>
      </c>
      <c r="AC26" s="22">
        <v>1.71875</v>
      </c>
      <c r="AD26">
        <f t="shared" si="4"/>
        <v>9.7503700000000002</v>
      </c>
      <c r="AE26">
        <f t="shared" si="5"/>
        <v>16.764396163200001</v>
      </c>
      <c r="AF26" s="9"/>
      <c r="AG26" s="22">
        <v>-1.9378699999999999E-2</v>
      </c>
      <c r="AH26" s="22">
        <v>349.75099999999998</v>
      </c>
      <c r="AI26" s="22">
        <v>-1.6156E-2</v>
      </c>
      <c r="AJ26" s="22">
        <v>16</v>
      </c>
      <c r="AK26" s="22">
        <v>-1.9540399999999999E-2</v>
      </c>
      <c r="AL26">
        <f t="shared" si="6"/>
        <v>16.155999999999999</v>
      </c>
      <c r="AM26">
        <f t="shared" si="7"/>
        <v>-0.31308227719999998</v>
      </c>
      <c r="AP26" s="9"/>
      <c r="AQ26" s="22">
        <v>1.71936</v>
      </c>
      <c r="AR26" s="22">
        <v>433.15</v>
      </c>
      <c r="AS26" s="22">
        <v>-8.9721699999999998E-3</v>
      </c>
      <c r="AT26" s="22">
        <v>16</v>
      </c>
      <c r="AU26" s="22">
        <v>1.71844</v>
      </c>
      <c r="AV26">
        <f t="shared" si="8"/>
        <v>8.9721700000000002</v>
      </c>
      <c r="AW26">
        <f t="shared" si="9"/>
        <v>15.426390211200001</v>
      </c>
      <c r="AX26" s="9"/>
      <c r="AY26" s="22">
        <v>-1.9378699999999999E-2</v>
      </c>
      <c r="AZ26" s="22">
        <v>555.08500000000004</v>
      </c>
      <c r="BA26" s="22">
        <v>-1.61713E-2</v>
      </c>
      <c r="BB26" s="22">
        <v>16</v>
      </c>
      <c r="BC26" s="22">
        <v>-1.9699100000000001E-2</v>
      </c>
      <c r="BD26">
        <f t="shared" si="10"/>
        <v>16.171299999999999</v>
      </c>
      <c r="BE26">
        <f t="shared" si="11"/>
        <v>-0.31337877130999997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74.957300000000004</v>
      </c>
      <c r="I27" s="22">
        <v>-1.0195900000000001E-2</v>
      </c>
      <c r="J27" s="22">
        <v>17</v>
      </c>
      <c r="K27" s="22">
        <v>1.71356</v>
      </c>
      <c r="L27">
        <f t="shared" si="0"/>
        <v>10.1959</v>
      </c>
      <c r="M27">
        <f t="shared" si="1"/>
        <v>17.479035288000002</v>
      </c>
      <c r="N27" s="9"/>
      <c r="O27" s="22">
        <v>-1.43433E-2</v>
      </c>
      <c r="P27" s="22">
        <v>182.244</v>
      </c>
      <c r="Q27" s="22">
        <v>-1.61438E-2</v>
      </c>
      <c r="R27" s="22">
        <v>17</v>
      </c>
      <c r="S27" s="22">
        <v>-1.4477500000000001E-2</v>
      </c>
      <c r="T27">
        <f t="shared" si="2"/>
        <v>16.143799999999999</v>
      </c>
      <c r="U27">
        <f t="shared" si="3"/>
        <v>-0.23155536653999997</v>
      </c>
      <c r="X27" s="9"/>
      <c r="Y27" s="22">
        <v>1.7143200000000001</v>
      </c>
      <c r="Z27" s="22">
        <v>264.75700000000001</v>
      </c>
      <c r="AA27" s="22">
        <v>-1.03699E-2</v>
      </c>
      <c r="AB27" s="22">
        <v>17</v>
      </c>
      <c r="AC27" s="22">
        <v>1.71356</v>
      </c>
      <c r="AD27">
        <f t="shared" si="4"/>
        <v>10.369899999999999</v>
      </c>
      <c r="AE27">
        <f t="shared" si="5"/>
        <v>17.777326968000001</v>
      </c>
      <c r="AF27" s="9"/>
      <c r="AG27" s="22">
        <v>-1.43433E-2</v>
      </c>
      <c r="AH27" s="22">
        <v>349.85199999999998</v>
      </c>
      <c r="AI27" s="22">
        <v>-1.6165200000000001E-2</v>
      </c>
      <c r="AJ27" s="22">
        <v>17</v>
      </c>
      <c r="AK27" s="22">
        <v>-1.4660599999999999E-2</v>
      </c>
      <c r="AL27">
        <f t="shared" si="6"/>
        <v>16.165200000000002</v>
      </c>
      <c r="AM27">
        <f t="shared" si="7"/>
        <v>-0.23186231316000003</v>
      </c>
      <c r="AP27" s="9"/>
      <c r="AQ27" s="22">
        <v>1.7143200000000001</v>
      </c>
      <c r="AR27" s="22">
        <v>433.25099999999998</v>
      </c>
      <c r="AS27" s="22">
        <v>-9.8113999999999996E-3</v>
      </c>
      <c r="AT27" s="22">
        <v>17</v>
      </c>
      <c r="AU27" s="22">
        <v>1.71387</v>
      </c>
      <c r="AV27">
        <f t="shared" si="8"/>
        <v>9.811399999999999</v>
      </c>
      <c r="AW27">
        <f t="shared" si="9"/>
        <v>16.819879247999999</v>
      </c>
      <c r="AX27" s="9"/>
      <c r="AY27" s="22">
        <v>-1.43433E-2</v>
      </c>
      <c r="AZ27" s="22">
        <v>555.18499999999995</v>
      </c>
      <c r="BA27" s="22">
        <v>-1.6174299999999999E-2</v>
      </c>
      <c r="BB27" s="22">
        <v>17</v>
      </c>
      <c r="BC27" s="22">
        <v>-1.46149E-2</v>
      </c>
      <c r="BD27">
        <f t="shared" si="10"/>
        <v>16.174299999999999</v>
      </c>
      <c r="BE27">
        <f t="shared" si="11"/>
        <v>-0.23199283718999997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75.058000000000007</v>
      </c>
      <c r="I28" s="22">
        <v>-1.06689E-2</v>
      </c>
      <c r="J28" s="22">
        <v>18</v>
      </c>
      <c r="K28" s="22">
        <v>1.7083699999999999</v>
      </c>
      <c r="L28">
        <f t="shared" si="0"/>
        <v>10.668900000000001</v>
      </c>
      <c r="M28">
        <f t="shared" si="1"/>
        <v>18.236244081000002</v>
      </c>
      <c r="N28" s="9"/>
      <c r="O28" s="22">
        <v>-9.3078599999999994E-3</v>
      </c>
      <c r="P28" s="22">
        <v>182.345</v>
      </c>
      <c r="Q28" s="22">
        <v>-1.6146899999999999E-2</v>
      </c>
      <c r="R28" s="22">
        <v>18</v>
      </c>
      <c r="S28" s="22">
        <v>-9.7045900000000008E-3</v>
      </c>
      <c r="T28">
        <f t="shared" si="2"/>
        <v>16.146899999999999</v>
      </c>
      <c r="U28">
        <f t="shared" si="3"/>
        <v>-0.15029308463399998</v>
      </c>
      <c r="X28" s="9"/>
      <c r="Y28" s="22">
        <v>1.70929</v>
      </c>
      <c r="Z28" s="22">
        <v>264.858</v>
      </c>
      <c r="AA28" s="22">
        <v>-1.08795E-2</v>
      </c>
      <c r="AB28" s="22">
        <v>18</v>
      </c>
      <c r="AC28" s="22">
        <v>1.70929</v>
      </c>
      <c r="AD28">
        <f t="shared" si="4"/>
        <v>10.8795</v>
      </c>
      <c r="AE28">
        <f t="shared" si="5"/>
        <v>18.596220554999999</v>
      </c>
      <c r="AF28" s="9"/>
      <c r="AG28" s="22">
        <v>-9.3078599999999994E-3</v>
      </c>
      <c r="AH28" s="22">
        <v>349.95299999999997</v>
      </c>
      <c r="AI28" s="22">
        <v>-1.6165200000000001E-2</v>
      </c>
      <c r="AJ28" s="22">
        <v>18</v>
      </c>
      <c r="AK28" s="22">
        <v>-9.5184299999999996E-3</v>
      </c>
      <c r="AL28">
        <f t="shared" si="6"/>
        <v>16.165200000000002</v>
      </c>
      <c r="AM28">
        <f t="shared" si="7"/>
        <v>-0.15046341847200001</v>
      </c>
      <c r="AP28" s="9"/>
      <c r="AQ28" s="22">
        <v>1.70929</v>
      </c>
      <c r="AR28" s="22">
        <v>433.35199999999998</v>
      </c>
      <c r="AS28" s="22">
        <v>-1.03394E-2</v>
      </c>
      <c r="AT28" s="22">
        <v>18</v>
      </c>
      <c r="AU28" s="22">
        <v>1.7083699999999999</v>
      </c>
      <c r="AV28">
        <f t="shared" si="8"/>
        <v>10.339399999999999</v>
      </c>
      <c r="AW28">
        <f t="shared" si="9"/>
        <v>17.673033025999999</v>
      </c>
      <c r="AX28" s="9"/>
      <c r="AY28" s="22">
        <v>-9.3078599999999994E-3</v>
      </c>
      <c r="AZ28" s="22">
        <v>555.28599999999994</v>
      </c>
      <c r="BA28" s="22">
        <v>-1.6177400000000002E-2</v>
      </c>
      <c r="BB28" s="22">
        <v>18</v>
      </c>
      <c r="BC28" s="22">
        <v>-9.5794699999999997E-3</v>
      </c>
      <c r="BD28">
        <f t="shared" si="10"/>
        <v>16.177400000000002</v>
      </c>
      <c r="BE28">
        <f t="shared" si="11"/>
        <v>-0.150576974364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75.158699999999996</v>
      </c>
      <c r="I29" s="22">
        <v>-1.1084E-2</v>
      </c>
      <c r="J29" s="22">
        <v>19</v>
      </c>
      <c r="K29" s="22">
        <v>1.7034899999999999</v>
      </c>
      <c r="L29">
        <f t="shared" si="0"/>
        <v>11.084</v>
      </c>
      <c r="M29">
        <f t="shared" si="1"/>
        <v>18.889907000000001</v>
      </c>
      <c r="N29" s="9"/>
      <c r="O29" s="22">
        <v>-4.2724599999999996E-3</v>
      </c>
      <c r="P29" s="22">
        <v>182.44499999999999</v>
      </c>
      <c r="Q29" s="22">
        <v>-1.6125500000000001E-2</v>
      </c>
      <c r="R29" s="22">
        <v>19</v>
      </c>
      <c r="S29" s="22">
        <v>-4.5196500000000001E-3</v>
      </c>
      <c r="T29">
        <f t="shared" si="2"/>
        <v>16.125500000000002</v>
      </c>
      <c r="U29">
        <f t="shared" si="3"/>
        <v>-6.8895553730000003E-2</v>
      </c>
      <c r="X29" s="9"/>
      <c r="Y29" s="22">
        <v>1.70425</v>
      </c>
      <c r="Z29" s="22">
        <v>264.959</v>
      </c>
      <c r="AA29" s="22">
        <v>-1.13098E-2</v>
      </c>
      <c r="AB29" s="22">
        <v>19</v>
      </c>
      <c r="AC29" s="22">
        <v>1.7034899999999999</v>
      </c>
      <c r="AD29">
        <f t="shared" si="4"/>
        <v>11.309799999999999</v>
      </c>
      <c r="AE29">
        <f t="shared" si="5"/>
        <v>19.274726649999998</v>
      </c>
      <c r="AF29" s="9"/>
      <c r="AG29" s="22">
        <v>-4.2724599999999996E-3</v>
      </c>
      <c r="AH29" s="22">
        <v>350.053</v>
      </c>
      <c r="AI29" s="22">
        <v>-1.6165200000000001E-2</v>
      </c>
      <c r="AJ29" s="22">
        <v>19</v>
      </c>
      <c r="AK29" s="22">
        <v>-4.5379599999999997E-3</v>
      </c>
      <c r="AL29">
        <f t="shared" si="6"/>
        <v>16.165200000000002</v>
      </c>
      <c r="AM29">
        <f t="shared" si="7"/>
        <v>-6.9065170391999997E-2</v>
      </c>
      <c r="AP29" s="9"/>
      <c r="AQ29" s="22">
        <v>1.70425</v>
      </c>
      <c r="AR29" s="22">
        <v>433.45299999999997</v>
      </c>
      <c r="AS29" s="22">
        <v>-1.08246E-2</v>
      </c>
      <c r="AT29" s="22">
        <v>19</v>
      </c>
      <c r="AU29" s="22">
        <v>1.7040999999999999</v>
      </c>
      <c r="AV29">
        <f t="shared" si="8"/>
        <v>10.8246</v>
      </c>
      <c r="AW29">
        <f t="shared" si="9"/>
        <v>18.44782455</v>
      </c>
      <c r="AX29" s="9"/>
      <c r="AY29" s="22">
        <v>-4.2724599999999996E-3</v>
      </c>
      <c r="AZ29" s="22">
        <v>555.38699999999994</v>
      </c>
      <c r="BA29" s="22">
        <v>-1.6174299999999999E-2</v>
      </c>
      <c r="BB29" s="22">
        <v>19</v>
      </c>
      <c r="BC29" s="22">
        <v>-4.4708300000000003E-3</v>
      </c>
      <c r="BD29">
        <f t="shared" si="10"/>
        <v>16.174299999999999</v>
      </c>
      <c r="BE29">
        <f t="shared" si="11"/>
        <v>-6.9104049777999985E-2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75.259399999999999</v>
      </c>
      <c r="I30" s="22">
        <v>-1.13922E-2</v>
      </c>
      <c r="J30" s="22">
        <v>20</v>
      </c>
      <c r="K30" s="22">
        <v>1.6982999999999999</v>
      </c>
      <c r="L30">
        <f t="shared" si="0"/>
        <v>11.392200000000001</v>
      </c>
      <c r="M30">
        <f t="shared" si="1"/>
        <v>19.357854084</v>
      </c>
      <c r="N30" s="9"/>
      <c r="O30" s="22">
        <v>7.6293900000000002E-4</v>
      </c>
      <c r="P30" s="22">
        <v>182.54599999999999</v>
      </c>
      <c r="Q30" s="22">
        <v>-1.61285E-2</v>
      </c>
      <c r="R30" s="22">
        <v>20</v>
      </c>
      <c r="S30" s="22">
        <v>6.1035199999999999E-4</v>
      </c>
      <c r="T30">
        <f t="shared" si="2"/>
        <v>16.128499999999999</v>
      </c>
      <c r="U30">
        <f t="shared" si="3"/>
        <v>1.23050616615E-2</v>
      </c>
      <c r="X30" s="9"/>
      <c r="Y30" s="22">
        <v>1.69922</v>
      </c>
      <c r="Z30" s="22">
        <v>265.06</v>
      </c>
      <c r="AA30" s="22">
        <v>-1.1660800000000001E-2</v>
      </c>
      <c r="AB30" s="22">
        <v>20</v>
      </c>
      <c r="AC30" s="22">
        <v>1.69861</v>
      </c>
      <c r="AD30">
        <f t="shared" si="4"/>
        <v>11.6608</v>
      </c>
      <c r="AE30">
        <f t="shared" si="5"/>
        <v>19.814264575999999</v>
      </c>
      <c r="AF30" s="9"/>
      <c r="AG30" s="22">
        <v>7.6293900000000002E-4</v>
      </c>
      <c r="AH30" s="22">
        <v>350.154</v>
      </c>
      <c r="AI30" s="22">
        <v>-1.6159099999999999E-2</v>
      </c>
      <c r="AJ30" s="22">
        <v>20</v>
      </c>
      <c r="AK30" s="22">
        <v>5.7067900000000004E-4</v>
      </c>
      <c r="AL30">
        <f t="shared" si="6"/>
        <v>16.159099999999999</v>
      </c>
      <c r="AM30">
        <f t="shared" si="7"/>
        <v>1.2328407594899999E-2</v>
      </c>
      <c r="AP30" s="9"/>
      <c r="AQ30" s="22">
        <v>1.69922</v>
      </c>
      <c r="AR30" s="22">
        <v>433.553</v>
      </c>
      <c r="AS30" s="22">
        <v>-1.1239600000000001E-2</v>
      </c>
      <c r="AT30" s="22">
        <v>20</v>
      </c>
      <c r="AU30" s="22">
        <v>1.6989099999999999</v>
      </c>
      <c r="AV30">
        <f t="shared" si="8"/>
        <v>11.239600000000001</v>
      </c>
      <c r="AW30">
        <f t="shared" si="9"/>
        <v>19.098553112000001</v>
      </c>
      <c r="AX30" s="9"/>
      <c r="AY30" s="22">
        <v>7.6293900000000002E-4</v>
      </c>
      <c r="AZ30" s="22">
        <v>555.48699999999997</v>
      </c>
      <c r="BA30" s="22">
        <v>-1.6180400000000001E-2</v>
      </c>
      <c r="BB30" s="22">
        <v>20</v>
      </c>
      <c r="BC30" s="22">
        <v>6.3781700000000005E-4</v>
      </c>
      <c r="BD30">
        <f t="shared" si="10"/>
        <v>16.180400000000002</v>
      </c>
      <c r="BE30">
        <f t="shared" si="11"/>
        <v>1.2344658195600003E-2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75.360100000000003</v>
      </c>
      <c r="I31" s="22">
        <v>-1.16852E-2</v>
      </c>
      <c r="J31" s="22">
        <v>21</v>
      </c>
      <c r="K31" s="22">
        <v>1.69373</v>
      </c>
      <c r="L31">
        <f t="shared" si="0"/>
        <v>11.6852</v>
      </c>
      <c r="M31">
        <f t="shared" si="1"/>
        <v>19.796832135999999</v>
      </c>
      <c r="N31" s="9"/>
      <c r="O31" s="22">
        <v>5.7983399999999999E-3</v>
      </c>
      <c r="P31" s="22">
        <v>182.64699999999999</v>
      </c>
      <c r="Q31" s="22">
        <v>-1.6140700000000001E-2</v>
      </c>
      <c r="R31" s="22">
        <v>21</v>
      </c>
      <c r="S31" s="22">
        <v>5.5419900000000001E-3</v>
      </c>
      <c r="T31">
        <f t="shared" si="2"/>
        <v>16.140700000000002</v>
      </c>
      <c r="U31">
        <f t="shared" si="3"/>
        <v>9.3589266438000016E-2</v>
      </c>
      <c r="X31" s="9"/>
      <c r="Y31" s="22">
        <v>1.69418</v>
      </c>
      <c r="Z31" s="22">
        <v>265.16000000000003</v>
      </c>
      <c r="AA31" s="22">
        <v>-1.1920200000000001E-2</v>
      </c>
      <c r="AB31" s="22">
        <v>21</v>
      </c>
      <c r="AC31" s="22">
        <v>1.6934199999999999</v>
      </c>
      <c r="AD31">
        <f t="shared" si="4"/>
        <v>11.920200000000001</v>
      </c>
      <c r="AE31">
        <f t="shared" si="5"/>
        <v>20.194964436000003</v>
      </c>
      <c r="AF31" s="9"/>
      <c r="AG31" s="22">
        <v>5.7983399999999999E-3</v>
      </c>
      <c r="AH31" s="22">
        <v>350.255</v>
      </c>
      <c r="AI31" s="22">
        <v>-1.6159099999999999E-2</v>
      </c>
      <c r="AJ31" s="22">
        <v>21</v>
      </c>
      <c r="AK31" s="22">
        <v>5.5481000000000003E-3</v>
      </c>
      <c r="AL31">
        <f t="shared" si="6"/>
        <v>16.159099999999999</v>
      </c>
      <c r="AM31">
        <f t="shared" si="7"/>
        <v>9.3695955893999996E-2</v>
      </c>
      <c r="AP31" s="9"/>
      <c r="AQ31" s="22">
        <v>1.69418</v>
      </c>
      <c r="AR31" s="22">
        <v>433.654</v>
      </c>
      <c r="AS31" s="22">
        <v>-1.15631E-2</v>
      </c>
      <c r="AT31" s="22">
        <v>21</v>
      </c>
      <c r="AU31" s="22">
        <v>1.69312</v>
      </c>
      <c r="AV31">
        <f t="shared" si="8"/>
        <v>11.5631</v>
      </c>
      <c r="AW31">
        <f t="shared" si="9"/>
        <v>19.589972758000002</v>
      </c>
      <c r="AX31" s="9"/>
      <c r="AY31" s="22">
        <v>5.7983399999999999E-3</v>
      </c>
      <c r="AZ31" s="22">
        <v>555.58799999999997</v>
      </c>
      <c r="BA31" s="22">
        <v>-1.6177400000000002E-2</v>
      </c>
      <c r="BB31" s="22">
        <v>21</v>
      </c>
      <c r="BC31" s="22">
        <v>5.65491E-3</v>
      </c>
      <c r="BD31">
        <f t="shared" si="10"/>
        <v>16.177400000000002</v>
      </c>
      <c r="BE31">
        <f t="shared" si="11"/>
        <v>9.3802065516000011E-2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75.460800000000006</v>
      </c>
      <c r="I32" s="22">
        <v>-1.19507E-2</v>
      </c>
      <c r="J32" s="22">
        <v>22</v>
      </c>
      <c r="K32" s="22">
        <v>1.6882299999999999</v>
      </c>
      <c r="L32">
        <f t="shared" si="0"/>
        <v>11.950699999999999</v>
      </c>
      <c r="M32">
        <f t="shared" si="1"/>
        <v>20.186524904999999</v>
      </c>
      <c r="N32" s="9"/>
      <c r="O32" s="22">
        <v>1.08337E-2</v>
      </c>
      <c r="P32" s="22">
        <v>182.74799999999999</v>
      </c>
      <c r="Q32" s="22">
        <v>-1.6134599999999999E-2</v>
      </c>
      <c r="R32" s="22">
        <v>22</v>
      </c>
      <c r="S32" s="22">
        <v>1.0617100000000001E-2</v>
      </c>
      <c r="T32">
        <f t="shared" si="2"/>
        <v>16.134599999999999</v>
      </c>
      <c r="U32">
        <f t="shared" si="3"/>
        <v>0.17479741601999998</v>
      </c>
      <c r="X32" s="9"/>
      <c r="Y32" s="22">
        <v>1.6891499999999999</v>
      </c>
      <c r="Z32" s="22">
        <v>265.26100000000002</v>
      </c>
      <c r="AA32" s="22">
        <v>-1.2213099999999999E-2</v>
      </c>
      <c r="AB32" s="22">
        <v>22</v>
      </c>
      <c r="AC32" s="22">
        <v>1.6885399999999999</v>
      </c>
      <c r="AD32">
        <f t="shared" si="4"/>
        <v>12.213099999999999</v>
      </c>
      <c r="AE32">
        <f t="shared" si="5"/>
        <v>20.629757864999998</v>
      </c>
      <c r="AF32" s="9"/>
      <c r="AG32" s="22">
        <v>1.08337E-2</v>
      </c>
      <c r="AH32" s="22">
        <v>350.35500000000002</v>
      </c>
      <c r="AI32" s="22">
        <v>-1.6162099999999999E-2</v>
      </c>
      <c r="AJ32" s="22">
        <v>22</v>
      </c>
      <c r="AK32" s="22">
        <v>1.05988E-2</v>
      </c>
      <c r="AL32">
        <f t="shared" si="6"/>
        <v>16.162099999999999</v>
      </c>
      <c r="AM32">
        <f t="shared" si="7"/>
        <v>0.17509534277</v>
      </c>
      <c r="AP32" s="9"/>
      <c r="AQ32" s="22">
        <v>1.6891499999999999</v>
      </c>
      <c r="AR32" s="22">
        <v>433.755</v>
      </c>
      <c r="AS32" s="22">
        <v>-1.18774E-2</v>
      </c>
      <c r="AT32" s="22">
        <v>22</v>
      </c>
      <c r="AU32" s="22">
        <v>1.6882299999999999</v>
      </c>
      <c r="AV32">
        <f t="shared" si="8"/>
        <v>11.8774</v>
      </c>
      <c r="AW32">
        <f t="shared" si="9"/>
        <v>20.062710209999999</v>
      </c>
      <c r="AX32" s="9"/>
      <c r="AY32" s="22">
        <v>1.08337E-2</v>
      </c>
      <c r="AZ32" s="22">
        <v>555.68899999999996</v>
      </c>
      <c r="BA32" s="22">
        <v>-1.61835E-2</v>
      </c>
      <c r="BB32" s="22">
        <v>22</v>
      </c>
      <c r="BC32" s="22">
        <v>1.0659800000000001E-2</v>
      </c>
      <c r="BD32">
        <f t="shared" si="10"/>
        <v>16.183499999999999</v>
      </c>
      <c r="BE32">
        <f t="shared" si="11"/>
        <v>0.17532718394999999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75.561499999999995</v>
      </c>
      <c r="I33" s="22">
        <v>-1.22101E-2</v>
      </c>
      <c r="J33" s="22">
        <v>23</v>
      </c>
      <c r="K33" s="22">
        <v>1.6836500000000001</v>
      </c>
      <c r="L33">
        <f t="shared" si="0"/>
        <v>12.210100000000001</v>
      </c>
      <c r="M33">
        <f t="shared" si="1"/>
        <v>20.563151511000001</v>
      </c>
      <c r="N33" s="9"/>
      <c r="O33" s="22">
        <v>1.5869100000000001E-2</v>
      </c>
      <c r="P33" s="22">
        <v>182.84800000000001</v>
      </c>
      <c r="Q33" s="22">
        <v>-1.6140700000000001E-2</v>
      </c>
      <c r="R33" s="22">
        <v>23</v>
      </c>
      <c r="S33" s="22">
        <v>1.56921E-2</v>
      </c>
      <c r="T33">
        <f t="shared" si="2"/>
        <v>16.140700000000002</v>
      </c>
      <c r="U33">
        <f t="shared" si="3"/>
        <v>0.25613838237000003</v>
      </c>
      <c r="X33" s="9"/>
      <c r="Y33" s="22">
        <v>1.68411</v>
      </c>
      <c r="Z33" s="22">
        <v>265.36200000000002</v>
      </c>
      <c r="AA33" s="22">
        <v>-1.24146E-2</v>
      </c>
      <c r="AB33" s="22">
        <v>23</v>
      </c>
      <c r="AC33" s="22">
        <v>1.6836500000000001</v>
      </c>
      <c r="AD33">
        <f t="shared" si="4"/>
        <v>12.4146</v>
      </c>
      <c r="AE33">
        <f t="shared" si="5"/>
        <v>20.907552006</v>
      </c>
      <c r="AF33" s="9"/>
      <c r="AG33" s="22">
        <v>1.5869100000000001E-2</v>
      </c>
      <c r="AH33" s="22">
        <v>350.45600000000002</v>
      </c>
      <c r="AI33" s="22">
        <v>-1.6162099999999999E-2</v>
      </c>
      <c r="AJ33" s="22">
        <v>23</v>
      </c>
      <c r="AK33" s="22">
        <v>1.5646400000000001E-2</v>
      </c>
      <c r="AL33">
        <f t="shared" si="6"/>
        <v>16.162099999999999</v>
      </c>
      <c r="AM33">
        <f t="shared" si="7"/>
        <v>0.25647798110999998</v>
      </c>
      <c r="AP33" s="9"/>
      <c r="AQ33" s="22">
        <v>1.68411</v>
      </c>
      <c r="AR33" s="22">
        <v>433.85500000000002</v>
      </c>
      <c r="AS33" s="22">
        <v>-1.2146000000000001E-2</v>
      </c>
      <c r="AT33" s="22">
        <v>23</v>
      </c>
      <c r="AU33" s="22">
        <v>1.6839599999999999</v>
      </c>
      <c r="AV33">
        <f t="shared" si="8"/>
        <v>12.146000000000001</v>
      </c>
      <c r="AW33">
        <f t="shared" si="9"/>
        <v>20.455200060000003</v>
      </c>
      <c r="AX33" s="9"/>
      <c r="AY33" s="22">
        <v>1.5869100000000001E-2</v>
      </c>
      <c r="AZ33" s="22">
        <v>555.79</v>
      </c>
      <c r="BA33" s="22">
        <v>-1.6180400000000001E-2</v>
      </c>
      <c r="BB33" s="22">
        <v>23</v>
      </c>
      <c r="BC33" s="22">
        <v>1.56921E-2</v>
      </c>
      <c r="BD33">
        <f t="shared" si="10"/>
        <v>16.180400000000002</v>
      </c>
      <c r="BE33">
        <f t="shared" si="11"/>
        <v>0.25676838564000004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75.662199999999999</v>
      </c>
      <c r="I34" s="22">
        <v>-1.2383999999999999E-2</v>
      </c>
      <c r="J34" s="22">
        <v>24</v>
      </c>
      <c r="K34" s="22">
        <v>1.6781600000000001</v>
      </c>
      <c r="L34">
        <f t="shared" si="0"/>
        <v>12.383999999999999</v>
      </c>
      <c r="M34">
        <f t="shared" si="1"/>
        <v>20.793726719999995</v>
      </c>
      <c r="N34" s="9"/>
      <c r="O34" s="22">
        <v>2.0904499999999999E-2</v>
      </c>
      <c r="P34" s="22">
        <v>182.94900000000001</v>
      </c>
      <c r="Q34" s="22">
        <v>-1.6134599999999999E-2</v>
      </c>
      <c r="R34" s="22">
        <v>24</v>
      </c>
      <c r="S34" s="22">
        <v>2.0703099999999999E-2</v>
      </c>
      <c r="T34">
        <f t="shared" si="2"/>
        <v>16.134599999999999</v>
      </c>
      <c r="U34">
        <f t="shared" si="3"/>
        <v>0.33728574569999997</v>
      </c>
      <c r="X34" s="9"/>
      <c r="Y34" s="22">
        <v>1.6790799999999999</v>
      </c>
      <c r="Z34" s="22">
        <v>265.46199999999999</v>
      </c>
      <c r="AA34" s="22">
        <v>-1.26404E-2</v>
      </c>
      <c r="AB34" s="22">
        <v>24</v>
      </c>
      <c r="AC34" s="22">
        <v>1.6784699999999999</v>
      </c>
      <c r="AD34">
        <f t="shared" si="4"/>
        <v>12.6404</v>
      </c>
      <c r="AE34">
        <f t="shared" si="5"/>
        <v>21.224242831999998</v>
      </c>
      <c r="AF34" s="9"/>
      <c r="AG34" s="22">
        <v>2.0904499999999999E-2</v>
      </c>
      <c r="AH34" s="22">
        <v>350.55700000000002</v>
      </c>
      <c r="AI34" s="22">
        <v>-1.61713E-2</v>
      </c>
      <c r="AJ34" s="22">
        <v>24</v>
      </c>
      <c r="AK34" s="22">
        <v>2.0626800000000001E-2</v>
      </c>
      <c r="AL34">
        <f t="shared" si="6"/>
        <v>16.171299999999999</v>
      </c>
      <c r="AM34">
        <f t="shared" si="7"/>
        <v>0.33805294084999998</v>
      </c>
      <c r="AP34" s="9"/>
      <c r="AQ34" s="22">
        <v>1.6790799999999999</v>
      </c>
      <c r="AR34" s="22">
        <v>433.95600000000002</v>
      </c>
      <c r="AS34" s="22">
        <v>-1.2374899999999999E-2</v>
      </c>
      <c r="AT34" s="22">
        <v>24</v>
      </c>
      <c r="AU34" s="22">
        <v>1.6784699999999999</v>
      </c>
      <c r="AV34">
        <f t="shared" si="8"/>
        <v>12.3749</v>
      </c>
      <c r="AW34">
        <f t="shared" si="9"/>
        <v>20.778447092</v>
      </c>
      <c r="AX34" s="9"/>
      <c r="AY34" s="22">
        <v>2.0904499999999999E-2</v>
      </c>
      <c r="AZ34" s="22">
        <v>555.89</v>
      </c>
      <c r="BA34" s="22">
        <v>-1.6174299999999999E-2</v>
      </c>
      <c r="BB34" s="22">
        <v>24</v>
      </c>
      <c r="BC34" s="22">
        <v>2.07764E-2</v>
      </c>
      <c r="BD34">
        <f t="shared" si="10"/>
        <v>16.174299999999999</v>
      </c>
      <c r="BE34">
        <f t="shared" si="11"/>
        <v>0.33811565434999996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75.762900000000002</v>
      </c>
      <c r="I35" s="22">
        <v>-1.2600699999999999E-2</v>
      </c>
      <c r="J35" s="22">
        <v>25</v>
      </c>
      <c r="K35" s="22">
        <v>1.6726700000000001</v>
      </c>
      <c r="L35">
        <f t="shared" si="0"/>
        <v>12.6007</v>
      </c>
      <c r="M35">
        <f t="shared" si="1"/>
        <v>21.094075827999998</v>
      </c>
      <c r="N35" s="9"/>
      <c r="O35" s="22">
        <v>2.5939899999999998E-2</v>
      </c>
      <c r="P35" s="22">
        <v>183.05</v>
      </c>
      <c r="Q35" s="22">
        <v>-1.6131599999999999E-2</v>
      </c>
      <c r="R35" s="22">
        <v>25</v>
      </c>
      <c r="S35" s="22">
        <v>2.57935E-2</v>
      </c>
      <c r="T35">
        <f t="shared" si="2"/>
        <v>16.131599999999999</v>
      </c>
      <c r="U35">
        <f t="shared" si="3"/>
        <v>0.41845209083999996</v>
      </c>
      <c r="X35" s="9"/>
      <c r="Y35" s="22">
        <v>1.67404</v>
      </c>
      <c r="Z35" s="22">
        <v>265.56299999999999</v>
      </c>
      <c r="AA35" s="22">
        <v>-1.2811299999999999E-2</v>
      </c>
      <c r="AB35" s="22">
        <v>25</v>
      </c>
      <c r="AC35" s="22">
        <v>1.6732800000000001</v>
      </c>
      <c r="AD35">
        <f t="shared" si="4"/>
        <v>12.811299999999999</v>
      </c>
      <c r="AE35">
        <f t="shared" si="5"/>
        <v>21.446628651999998</v>
      </c>
      <c r="AF35" s="9"/>
      <c r="AG35" s="22">
        <v>2.5939899999999998E-2</v>
      </c>
      <c r="AH35" s="22">
        <v>350.65699999999998</v>
      </c>
      <c r="AI35" s="22">
        <v>-1.6165200000000001E-2</v>
      </c>
      <c r="AJ35" s="22">
        <v>25</v>
      </c>
      <c r="AK35" s="22">
        <v>2.5869799999999998E-2</v>
      </c>
      <c r="AL35">
        <f t="shared" si="6"/>
        <v>16.165200000000002</v>
      </c>
      <c r="AM35">
        <f t="shared" si="7"/>
        <v>0.41932367148000005</v>
      </c>
      <c r="AP35" s="9"/>
      <c r="AQ35" s="22">
        <v>1.67404</v>
      </c>
      <c r="AR35" s="22">
        <v>434.05700000000002</v>
      </c>
      <c r="AS35" s="22">
        <v>-1.25763E-2</v>
      </c>
      <c r="AT35" s="22">
        <v>25</v>
      </c>
      <c r="AU35" s="22">
        <v>1.6735800000000001</v>
      </c>
      <c r="AV35">
        <f t="shared" si="8"/>
        <v>12.5763</v>
      </c>
      <c r="AW35">
        <f t="shared" si="9"/>
        <v>21.053229251999998</v>
      </c>
      <c r="AX35" s="9"/>
      <c r="AY35" s="22">
        <v>2.5939899999999998E-2</v>
      </c>
      <c r="AZ35" s="22">
        <v>555.99099999999999</v>
      </c>
      <c r="BA35" s="22">
        <v>-1.6177400000000002E-2</v>
      </c>
      <c r="BB35" s="22">
        <v>25</v>
      </c>
      <c r="BC35" s="22">
        <v>2.58362E-2</v>
      </c>
      <c r="BD35">
        <f t="shared" si="10"/>
        <v>16.177400000000002</v>
      </c>
      <c r="BE35">
        <f t="shared" si="11"/>
        <v>0.41964013826000002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75.863600000000005</v>
      </c>
      <c r="I36" s="22">
        <v>-1.27472E-2</v>
      </c>
      <c r="J36" s="22">
        <v>26</v>
      </c>
      <c r="K36" s="22">
        <v>1.6680900000000001</v>
      </c>
      <c r="L36">
        <f t="shared" si="0"/>
        <v>12.747199999999999</v>
      </c>
      <c r="M36">
        <f t="shared" si="1"/>
        <v>21.275204272</v>
      </c>
      <c r="N36" s="9"/>
      <c r="O36" s="22">
        <v>3.0975300000000001E-2</v>
      </c>
      <c r="P36" s="22">
        <v>183.15</v>
      </c>
      <c r="Q36" s="22">
        <v>-1.6140700000000001E-2</v>
      </c>
      <c r="R36" s="22">
        <v>26</v>
      </c>
      <c r="S36" s="22">
        <v>3.0673200000000001E-2</v>
      </c>
      <c r="T36">
        <f t="shared" si="2"/>
        <v>16.140700000000002</v>
      </c>
      <c r="U36">
        <f t="shared" si="3"/>
        <v>0.49996302471000009</v>
      </c>
      <c r="X36" s="9"/>
      <c r="Y36" s="22">
        <v>1.6690100000000001</v>
      </c>
      <c r="Z36" s="22">
        <v>265.66399999999999</v>
      </c>
      <c r="AA36" s="22">
        <v>-1.2988299999999999E-2</v>
      </c>
      <c r="AB36" s="22">
        <v>26</v>
      </c>
      <c r="AC36" s="22">
        <v>1.6677900000000001</v>
      </c>
      <c r="AD36">
        <f t="shared" si="4"/>
        <v>12.988299999999999</v>
      </c>
      <c r="AE36">
        <f t="shared" si="5"/>
        <v>21.677602582999999</v>
      </c>
      <c r="AF36" s="9"/>
      <c r="AG36" s="22">
        <v>3.0975300000000001E-2</v>
      </c>
      <c r="AH36" s="22">
        <v>350.75799999999998</v>
      </c>
      <c r="AI36" s="22">
        <v>-1.6165200000000001E-2</v>
      </c>
      <c r="AJ36" s="22">
        <v>26</v>
      </c>
      <c r="AK36" s="22">
        <v>3.1036399999999999E-2</v>
      </c>
      <c r="AL36">
        <f t="shared" si="6"/>
        <v>16.165200000000002</v>
      </c>
      <c r="AM36">
        <f t="shared" si="7"/>
        <v>0.50072191956000012</v>
      </c>
      <c r="AP36" s="9"/>
      <c r="AQ36" s="22">
        <v>1.6690100000000001</v>
      </c>
      <c r="AR36" s="22">
        <v>434.15800000000002</v>
      </c>
      <c r="AS36" s="22">
        <v>-1.27502E-2</v>
      </c>
      <c r="AT36" s="22">
        <v>26</v>
      </c>
      <c r="AU36" s="22">
        <v>1.6677900000000001</v>
      </c>
      <c r="AV36">
        <f t="shared" si="8"/>
        <v>12.7502</v>
      </c>
      <c r="AW36">
        <f t="shared" si="9"/>
        <v>21.280211302000001</v>
      </c>
      <c r="AX36" s="9"/>
      <c r="AY36" s="22">
        <v>3.0975300000000001E-2</v>
      </c>
      <c r="AZ36" s="22">
        <v>556.09199999999998</v>
      </c>
      <c r="BA36" s="22">
        <v>-1.61713E-2</v>
      </c>
      <c r="BB36" s="22">
        <v>26</v>
      </c>
      <c r="BC36" s="22">
        <v>3.0828899999999999E-2</v>
      </c>
      <c r="BD36">
        <f t="shared" si="10"/>
        <v>16.171299999999999</v>
      </c>
      <c r="BE36">
        <f t="shared" si="11"/>
        <v>0.50091086888999992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75.964399999999998</v>
      </c>
      <c r="I37" s="22">
        <v>-1.2948599999999999E-2</v>
      </c>
      <c r="J37" s="22">
        <v>27</v>
      </c>
      <c r="K37" s="22">
        <v>1.6629</v>
      </c>
      <c r="L37">
        <f t="shared" si="0"/>
        <v>12.948599999999999</v>
      </c>
      <c r="M37">
        <f t="shared" si="1"/>
        <v>21.546081941999997</v>
      </c>
      <c r="N37" s="9"/>
      <c r="O37" s="22">
        <v>3.60107E-2</v>
      </c>
      <c r="P37" s="22">
        <v>183.251</v>
      </c>
      <c r="Q37" s="22">
        <v>-1.6137700000000001E-2</v>
      </c>
      <c r="R37" s="22">
        <v>27</v>
      </c>
      <c r="S37" s="22">
        <v>3.5794100000000002E-2</v>
      </c>
      <c r="T37">
        <f t="shared" si="2"/>
        <v>16.137700000000002</v>
      </c>
      <c r="U37">
        <f t="shared" si="3"/>
        <v>0.58112987339000011</v>
      </c>
      <c r="X37" s="9"/>
      <c r="Y37" s="22">
        <v>1.6639699999999999</v>
      </c>
      <c r="Z37" s="22">
        <v>265.76400000000001</v>
      </c>
      <c r="AA37" s="22">
        <v>-1.31561E-2</v>
      </c>
      <c r="AB37" s="22">
        <v>27</v>
      </c>
      <c r="AC37" s="22">
        <v>1.6626000000000001</v>
      </c>
      <c r="AD37">
        <f t="shared" si="4"/>
        <v>13.1561</v>
      </c>
      <c r="AE37">
        <f t="shared" si="5"/>
        <v>21.891355717</v>
      </c>
      <c r="AF37" s="9"/>
      <c r="AG37" s="22">
        <v>3.60107E-2</v>
      </c>
      <c r="AH37" s="22">
        <v>350.85899999999998</v>
      </c>
      <c r="AI37" s="22">
        <v>-1.61713E-2</v>
      </c>
      <c r="AJ37" s="22">
        <v>27</v>
      </c>
      <c r="AK37" s="22">
        <v>3.6044300000000001E-2</v>
      </c>
      <c r="AL37">
        <f t="shared" si="6"/>
        <v>16.171299999999999</v>
      </c>
      <c r="AM37">
        <f t="shared" si="7"/>
        <v>0.58233983290999991</v>
      </c>
      <c r="AP37" s="9"/>
      <c r="AQ37" s="22">
        <v>1.6639699999999999</v>
      </c>
      <c r="AR37" s="22">
        <v>434.25799999999998</v>
      </c>
      <c r="AS37" s="22">
        <v>-1.29395E-2</v>
      </c>
      <c r="AT37" s="22">
        <v>27</v>
      </c>
      <c r="AU37" s="22">
        <v>1.66351</v>
      </c>
      <c r="AV37">
        <f t="shared" si="8"/>
        <v>12.939499999999999</v>
      </c>
      <c r="AW37">
        <f t="shared" si="9"/>
        <v>21.530939814999996</v>
      </c>
      <c r="AX37" s="9"/>
      <c r="AY37" s="22">
        <v>3.60107E-2</v>
      </c>
      <c r="AZ37" s="22">
        <v>556.19200000000001</v>
      </c>
      <c r="BA37" s="22">
        <v>-1.6177400000000002E-2</v>
      </c>
      <c r="BB37" s="22">
        <v>27</v>
      </c>
      <c r="BC37" s="22">
        <v>3.5684199999999999E-2</v>
      </c>
      <c r="BD37">
        <f t="shared" si="10"/>
        <v>16.177400000000002</v>
      </c>
      <c r="BE37">
        <f t="shared" si="11"/>
        <v>0.58255949818000008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76.065100000000001</v>
      </c>
      <c r="I38" s="22">
        <v>-1.30951E-2</v>
      </c>
      <c r="J38" s="22">
        <v>28</v>
      </c>
      <c r="K38" s="22">
        <v>1.65771</v>
      </c>
      <c r="L38">
        <f t="shared" si="0"/>
        <v>13.0951</v>
      </c>
      <c r="M38">
        <f t="shared" si="1"/>
        <v>21.723985194000001</v>
      </c>
      <c r="N38" s="9"/>
      <c r="O38" s="22">
        <v>4.1046100000000002E-2</v>
      </c>
      <c r="P38" s="22">
        <v>183.352</v>
      </c>
      <c r="Q38" s="22">
        <v>-1.6140700000000001E-2</v>
      </c>
      <c r="R38" s="22">
        <v>28</v>
      </c>
      <c r="S38" s="22">
        <v>4.0884400000000001E-2</v>
      </c>
      <c r="T38">
        <f t="shared" si="2"/>
        <v>16.140700000000002</v>
      </c>
      <c r="U38">
        <f t="shared" si="3"/>
        <v>0.6625127862700001</v>
      </c>
      <c r="X38" s="9"/>
      <c r="Y38" s="22">
        <v>1.6589400000000001</v>
      </c>
      <c r="Z38" s="22">
        <v>265.86500000000001</v>
      </c>
      <c r="AA38" s="22">
        <v>-1.32996E-2</v>
      </c>
      <c r="AB38" s="22">
        <v>28</v>
      </c>
      <c r="AC38" s="22">
        <v>1.6583300000000001</v>
      </c>
      <c r="AD38">
        <f t="shared" si="4"/>
        <v>13.2996</v>
      </c>
      <c r="AE38">
        <f t="shared" si="5"/>
        <v>22.063238424000001</v>
      </c>
      <c r="AF38" s="9"/>
      <c r="AG38" s="22">
        <v>4.1046100000000002E-2</v>
      </c>
      <c r="AH38" s="22">
        <v>350.96</v>
      </c>
      <c r="AI38" s="22">
        <v>-1.6168200000000001E-2</v>
      </c>
      <c r="AJ38" s="22">
        <v>28</v>
      </c>
      <c r="AK38" s="22">
        <v>4.0838600000000003E-2</v>
      </c>
      <c r="AL38">
        <f t="shared" si="6"/>
        <v>16.168200000000002</v>
      </c>
      <c r="AM38">
        <f t="shared" si="7"/>
        <v>0.66364155402000014</v>
      </c>
      <c r="AP38" s="9"/>
      <c r="AQ38" s="22">
        <v>1.6589400000000001</v>
      </c>
      <c r="AR38" s="22">
        <v>434.35899999999998</v>
      </c>
      <c r="AS38" s="22">
        <v>-1.3119499999999999E-2</v>
      </c>
      <c r="AT38" s="22">
        <v>28</v>
      </c>
      <c r="AU38" s="22">
        <v>1.65771</v>
      </c>
      <c r="AV38">
        <f t="shared" si="8"/>
        <v>13.119499999999999</v>
      </c>
      <c r="AW38">
        <f t="shared" si="9"/>
        <v>21.764463329999998</v>
      </c>
      <c r="AX38" s="9"/>
      <c r="AY38" s="22">
        <v>4.1046100000000002E-2</v>
      </c>
      <c r="AZ38" s="22">
        <v>556.29300000000001</v>
      </c>
      <c r="BA38" s="22">
        <v>-1.6186499999999999E-2</v>
      </c>
      <c r="BB38" s="22">
        <v>28</v>
      </c>
      <c r="BC38" s="22">
        <v>4.1131599999999997E-2</v>
      </c>
      <c r="BD38">
        <f t="shared" si="10"/>
        <v>16.186499999999999</v>
      </c>
      <c r="BE38">
        <f t="shared" si="11"/>
        <v>0.66439269764999997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76.165800000000004</v>
      </c>
      <c r="I39" s="22">
        <v>-1.32233E-2</v>
      </c>
      <c r="J39" s="22">
        <v>29</v>
      </c>
      <c r="K39" s="22">
        <v>1.65283</v>
      </c>
      <c r="L39">
        <f t="shared" si="0"/>
        <v>13.2233</v>
      </c>
      <c r="M39">
        <f t="shared" si="1"/>
        <v>21.87001587</v>
      </c>
      <c r="N39" s="9"/>
      <c r="O39" s="22">
        <v>4.6081499999999997E-2</v>
      </c>
      <c r="P39" s="22">
        <v>183.453</v>
      </c>
      <c r="Q39" s="22">
        <v>-1.6140700000000001E-2</v>
      </c>
      <c r="R39" s="22">
        <v>29</v>
      </c>
      <c r="S39" s="22">
        <v>4.6038799999999998E-2</v>
      </c>
      <c r="T39">
        <f t="shared" si="2"/>
        <v>16.140700000000002</v>
      </c>
      <c r="U39">
        <f t="shared" si="3"/>
        <v>0.7437876670500001</v>
      </c>
      <c r="X39" s="9"/>
      <c r="Y39" s="22">
        <v>1.6538999999999999</v>
      </c>
      <c r="Z39" s="22">
        <v>265.96600000000001</v>
      </c>
      <c r="AA39" s="22">
        <v>-1.3439899999999999E-2</v>
      </c>
      <c r="AB39" s="22">
        <v>29</v>
      </c>
      <c r="AC39" s="22">
        <v>1.6525300000000001</v>
      </c>
      <c r="AD39">
        <f t="shared" si="4"/>
        <v>13.4399</v>
      </c>
      <c r="AE39">
        <f t="shared" si="5"/>
        <v>22.22825061</v>
      </c>
      <c r="AF39" s="9"/>
      <c r="AG39" s="22">
        <v>4.6081499999999997E-2</v>
      </c>
      <c r="AH39" s="22">
        <v>351.06</v>
      </c>
      <c r="AI39" s="22">
        <v>-1.6159099999999999E-2</v>
      </c>
      <c r="AJ39" s="22">
        <v>29</v>
      </c>
      <c r="AK39" s="22">
        <v>4.5803799999999999E-2</v>
      </c>
      <c r="AL39">
        <f t="shared" si="6"/>
        <v>16.159099999999999</v>
      </c>
      <c r="AM39">
        <f t="shared" si="7"/>
        <v>0.74463556664999986</v>
      </c>
      <c r="AP39" s="9"/>
      <c r="AQ39" s="22">
        <v>1.6538999999999999</v>
      </c>
      <c r="AR39" s="22">
        <v>434.46</v>
      </c>
      <c r="AS39" s="22">
        <v>-1.3266E-2</v>
      </c>
      <c r="AT39" s="22">
        <v>29</v>
      </c>
      <c r="AU39" s="22">
        <v>1.6531400000000001</v>
      </c>
      <c r="AV39">
        <f t="shared" si="8"/>
        <v>13.266</v>
      </c>
      <c r="AW39">
        <f t="shared" si="9"/>
        <v>21.9406374</v>
      </c>
      <c r="AX39" s="9"/>
      <c r="AY39" s="22">
        <v>4.6081499999999997E-2</v>
      </c>
      <c r="AZ39" s="22">
        <v>556.39400000000001</v>
      </c>
      <c r="BA39" s="22">
        <v>-1.61835E-2</v>
      </c>
      <c r="BB39" s="22">
        <v>29</v>
      </c>
      <c r="BC39" s="22">
        <v>4.59747E-2</v>
      </c>
      <c r="BD39">
        <f t="shared" si="10"/>
        <v>16.183499999999999</v>
      </c>
      <c r="BE39">
        <f t="shared" si="11"/>
        <v>0.74575995524999994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76.266499999999994</v>
      </c>
      <c r="I40" s="22">
        <v>-1.33057E-2</v>
      </c>
      <c r="J40" s="22">
        <v>30</v>
      </c>
      <c r="K40" s="22">
        <v>1.64825</v>
      </c>
      <c r="L40">
        <f t="shared" si="0"/>
        <v>13.3057</v>
      </c>
      <c r="M40">
        <f t="shared" si="1"/>
        <v>21.939236502</v>
      </c>
      <c r="N40" s="9"/>
      <c r="O40" s="22">
        <v>5.11169E-2</v>
      </c>
      <c r="P40" s="22">
        <v>183.553</v>
      </c>
      <c r="Q40" s="22">
        <v>-1.6140700000000001E-2</v>
      </c>
      <c r="R40" s="22">
        <v>30</v>
      </c>
      <c r="S40" s="22">
        <v>5.0881999999999997E-2</v>
      </c>
      <c r="T40">
        <f t="shared" si="2"/>
        <v>16.140700000000002</v>
      </c>
      <c r="U40">
        <f t="shared" si="3"/>
        <v>0.8250625478300001</v>
      </c>
      <c r="X40" s="9"/>
      <c r="Y40" s="22">
        <v>1.64886</v>
      </c>
      <c r="Z40" s="22">
        <v>266.06700000000001</v>
      </c>
      <c r="AA40" s="22">
        <v>-1.35651E-2</v>
      </c>
      <c r="AB40" s="22">
        <v>30</v>
      </c>
      <c r="AC40" s="22">
        <v>1.64764</v>
      </c>
      <c r="AD40">
        <f t="shared" si="4"/>
        <v>13.565099999999999</v>
      </c>
      <c r="AE40">
        <f t="shared" si="5"/>
        <v>22.366950786</v>
      </c>
      <c r="AF40" s="9"/>
      <c r="AG40" s="22">
        <v>5.11169E-2</v>
      </c>
      <c r="AH40" s="22">
        <v>351.161</v>
      </c>
      <c r="AI40" s="22">
        <v>-1.6159099999999999E-2</v>
      </c>
      <c r="AJ40" s="22">
        <v>30</v>
      </c>
      <c r="AK40" s="22">
        <v>5.0945999999999998E-2</v>
      </c>
      <c r="AL40">
        <f t="shared" si="6"/>
        <v>16.159099999999999</v>
      </c>
      <c r="AM40">
        <f t="shared" si="7"/>
        <v>0.82600309878999989</v>
      </c>
      <c r="AP40" s="9"/>
      <c r="AQ40" s="22">
        <v>1.64886</v>
      </c>
      <c r="AR40" s="22">
        <v>434.56</v>
      </c>
      <c r="AS40" s="22">
        <v>-1.3382E-2</v>
      </c>
      <c r="AT40" s="22">
        <v>30</v>
      </c>
      <c r="AU40" s="22">
        <v>1.64856</v>
      </c>
      <c r="AV40">
        <f t="shared" si="8"/>
        <v>13.382</v>
      </c>
      <c r="AW40">
        <f t="shared" si="9"/>
        <v>22.065044520000001</v>
      </c>
      <c r="AX40" s="9"/>
      <c r="AY40" s="22">
        <v>5.11169E-2</v>
      </c>
      <c r="AZ40" s="22">
        <v>556.49400000000003</v>
      </c>
      <c r="BA40" s="22">
        <v>-1.6180400000000001E-2</v>
      </c>
      <c r="BB40" s="22">
        <v>30</v>
      </c>
      <c r="BC40" s="22">
        <v>5.0985700000000002E-2</v>
      </c>
      <c r="BD40">
        <f t="shared" si="10"/>
        <v>16.180400000000002</v>
      </c>
      <c r="BE40">
        <f t="shared" si="11"/>
        <v>0.82709188876000017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76.367199999999997</v>
      </c>
      <c r="I41" s="22">
        <v>-1.3406400000000001E-2</v>
      </c>
      <c r="J41" s="22">
        <v>31</v>
      </c>
      <c r="K41" s="22">
        <v>1.64276</v>
      </c>
      <c r="L41">
        <f t="shared" si="0"/>
        <v>13.406400000000001</v>
      </c>
      <c r="M41">
        <f t="shared" si="1"/>
        <v>22.037842512000001</v>
      </c>
      <c r="N41" s="9"/>
      <c r="O41" s="22">
        <v>5.6152300000000002E-2</v>
      </c>
      <c r="P41" s="22">
        <v>183.654</v>
      </c>
      <c r="Q41" s="22">
        <v>-1.6137700000000001E-2</v>
      </c>
      <c r="R41" s="22">
        <v>31</v>
      </c>
      <c r="S41" s="22">
        <v>5.5481000000000003E-2</v>
      </c>
      <c r="T41">
        <f t="shared" si="2"/>
        <v>16.137700000000002</v>
      </c>
      <c r="U41">
        <f t="shared" si="3"/>
        <v>0.90616897171000022</v>
      </c>
      <c r="X41" s="9"/>
      <c r="Y41" s="22">
        <v>1.6438299999999999</v>
      </c>
      <c r="Z41" s="22">
        <v>266.16699999999997</v>
      </c>
      <c r="AA41" s="22">
        <v>-1.3665800000000001E-2</v>
      </c>
      <c r="AB41" s="22">
        <v>31</v>
      </c>
      <c r="AC41" s="22">
        <v>1.64368</v>
      </c>
      <c r="AD41">
        <f t="shared" si="4"/>
        <v>13.665800000000001</v>
      </c>
      <c r="AE41">
        <f t="shared" si="5"/>
        <v>22.464252013999999</v>
      </c>
      <c r="AF41" s="9"/>
      <c r="AG41" s="22">
        <v>5.6152300000000002E-2</v>
      </c>
      <c r="AH41" s="22">
        <v>351.262</v>
      </c>
      <c r="AI41" s="22">
        <v>-1.6174299999999999E-2</v>
      </c>
      <c r="AJ41" s="22">
        <v>31</v>
      </c>
      <c r="AK41" s="22">
        <v>5.5542000000000001E-2</v>
      </c>
      <c r="AL41">
        <f t="shared" si="6"/>
        <v>16.174299999999999</v>
      </c>
      <c r="AM41">
        <f t="shared" si="7"/>
        <v>0.90822414589</v>
      </c>
      <c r="AP41" s="9"/>
      <c r="AQ41" s="22">
        <v>1.6438299999999999</v>
      </c>
      <c r="AR41" s="22">
        <v>434.661</v>
      </c>
      <c r="AS41" s="22">
        <v>-1.3510100000000001E-2</v>
      </c>
      <c r="AT41" s="22">
        <v>31</v>
      </c>
      <c r="AU41" s="22">
        <v>1.64337</v>
      </c>
      <c r="AV41">
        <f t="shared" si="8"/>
        <v>13.510100000000001</v>
      </c>
      <c r="AW41">
        <f t="shared" si="9"/>
        <v>22.208307683000001</v>
      </c>
      <c r="AX41" s="9"/>
      <c r="AY41" s="22">
        <v>5.6152300000000002E-2</v>
      </c>
      <c r="AZ41" s="22">
        <v>556.59500000000003</v>
      </c>
      <c r="BA41" s="22">
        <v>-1.6177400000000002E-2</v>
      </c>
      <c r="BB41" s="22">
        <v>31</v>
      </c>
      <c r="BC41" s="22">
        <v>5.57251E-2</v>
      </c>
      <c r="BD41">
        <f t="shared" si="10"/>
        <v>16.177400000000002</v>
      </c>
      <c r="BE41">
        <f t="shared" si="11"/>
        <v>0.9083982180200002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76.4679</v>
      </c>
      <c r="I42" s="22">
        <v>-1.3510100000000001E-2</v>
      </c>
      <c r="J42" s="22">
        <v>32</v>
      </c>
      <c r="K42" s="22">
        <v>1.63757</v>
      </c>
      <c r="L42">
        <f t="shared" si="0"/>
        <v>13.510100000000001</v>
      </c>
      <c r="M42">
        <f t="shared" si="1"/>
        <v>22.140216779000003</v>
      </c>
      <c r="N42" s="9"/>
      <c r="O42" s="22">
        <v>6.1187699999999998E-2</v>
      </c>
      <c r="P42" s="22">
        <v>183.755</v>
      </c>
      <c r="Q42" s="22">
        <v>-1.6131599999999999E-2</v>
      </c>
      <c r="R42" s="22">
        <v>32</v>
      </c>
      <c r="S42" s="22">
        <v>6.0638400000000002E-2</v>
      </c>
      <c r="T42">
        <f t="shared" si="2"/>
        <v>16.131599999999999</v>
      </c>
      <c r="U42">
        <f t="shared" si="3"/>
        <v>0.98705550131999986</v>
      </c>
      <c r="X42" s="9"/>
      <c r="Y42" s="22">
        <v>1.63879</v>
      </c>
      <c r="Z42" s="22">
        <v>266.26799999999997</v>
      </c>
      <c r="AA42" s="22">
        <v>-1.3772599999999999E-2</v>
      </c>
      <c r="AB42" s="22">
        <v>32</v>
      </c>
      <c r="AC42" s="22">
        <v>1.63849</v>
      </c>
      <c r="AD42">
        <f t="shared" si="4"/>
        <v>13.772599999999999</v>
      </c>
      <c r="AE42">
        <f t="shared" si="5"/>
        <v>22.570399153999997</v>
      </c>
      <c r="AF42" s="9"/>
      <c r="AG42" s="22">
        <v>6.1187699999999998E-2</v>
      </c>
      <c r="AH42" s="22">
        <v>351.36200000000002</v>
      </c>
      <c r="AI42" s="22">
        <v>-1.6174299999999999E-2</v>
      </c>
      <c r="AJ42" s="22">
        <v>32</v>
      </c>
      <c r="AK42" s="22">
        <v>6.0516399999999998E-2</v>
      </c>
      <c r="AL42">
        <f t="shared" si="6"/>
        <v>16.174299999999999</v>
      </c>
      <c r="AM42">
        <f t="shared" si="7"/>
        <v>0.98966821610999989</v>
      </c>
      <c r="AP42" s="9"/>
      <c r="AQ42" s="22">
        <v>1.63879</v>
      </c>
      <c r="AR42" s="22">
        <v>434.762</v>
      </c>
      <c r="AS42" s="22">
        <v>-1.3665800000000001E-2</v>
      </c>
      <c r="AT42" s="22">
        <v>32</v>
      </c>
      <c r="AU42" s="22">
        <v>1.63788</v>
      </c>
      <c r="AV42">
        <f t="shared" si="8"/>
        <v>13.665800000000001</v>
      </c>
      <c r="AW42">
        <f t="shared" si="9"/>
        <v>22.395376382000002</v>
      </c>
      <c r="AX42" s="9"/>
      <c r="AY42" s="22">
        <v>6.1187699999999998E-2</v>
      </c>
      <c r="AZ42" s="22">
        <v>556.69600000000003</v>
      </c>
      <c r="BA42" s="22">
        <v>-1.6186499999999999E-2</v>
      </c>
      <c r="BB42" s="22">
        <v>32</v>
      </c>
      <c r="BC42" s="22">
        <v>6.0577400000000003E-2</v>
      </c>
      <c r="BD42">
        <f t="shared" si="10"/>
        <v>16.186499999999999</v>
      </c>
      <c r="BE42">
        <f t="shared" si="11"/>
        <v>0.99041470604999993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76.568600000000004</v>
      </c>
      <c r="I43" s="22">
        <v>-1.36139E-2</v>
      </c>
      <c r="J43" s="22">
        <v>33</v>
      </c>
      <c r="K43" s="22">
        <v>1.6333</v>
      </c>
      <c r="L43">
        <f t="shared" si="0"/>
        <v>13.613899999999999</v>
      </c>
      <c r="M43">
        <f t="shared" si="1"/>
        <v>22.241845263999998</v>
      </c>
      <c r="N43" s="9"/>
      <c r="O43" s="22">
        <v>6.6223099999999993E-2</v>
      </c>
      <c r="P43" s="22">
        <v>183.85499999999999</v>
      </c>
      <c r="Q43" s="22">
        <v>-1.6134599999999999E-2</v>
      </c>
      <c r="R43" s="22">
        <v>33</v>
      </c>
      <c r="S43" s="22">
        <v>6.5612799999999999E-2</v>
      </c>
      <c r="T43">
        <f t="shared" si="2"/>
        <v>16.134599999999999</v>
      </c>
      <c r="U43">
        <f t="shared" si="3"/>
        <v>1.0684832292599997</v>
      </c>
      <c r="X43" s="9"/>
      <c r="Y43" s="22">
        <v>1.6337600000000001</v>
      </c>
      <c r="Z43" s="22">
        <v>266.36900000000003</v>
      </c>
      <c r="AA43" s="22">
        <v>-1.3903799999999999E-2</v>
      </c>
      <c r="AB43" s="22">
        <v>33</v>
      </c>
      <c r="AC43" s="22">
        <v>1.6333</v>
      </c>
      <c r="AD43">
        <f t="shared" si="4"/>
        <v>13.903799999999999</v>
      </c>
      <c r="AE43">
        <f t="shared" si="5"/>
        <v>22.715472288000001</v>
      </c>
      <c r="AF43" s="9"/>
      <c r="AG43" s="22">
        <v>6.6223099999999993E-2</v>
      </c>
      <c r="AH43" s="22">
        <v>351.46300000000002</v>
      </c>
      <c r="AI43" s="22">
        <v>-1.6168200000000001E-2</v>
      </c>
      <c r="AJ43" s="22">
        <v>33</v>
      </c>
      <c r="AK43" s="22">
        <v>6.5734899999999999E-2</v>
      </c>
      <c r="AL43">
        <f t="shared" si="6"/>
        <v>16.168200000000002</v>
      </c>
      <c r="AM43">
        <f t="shared" si="7"/>
        <v>1.0707083254200001</v>
      </c>
      <c r="AP43" s="9"/>
      <c r="AQ43" s="22">
        <v>1.6337600000000001</v>
      </c>
      <c r="AR43" s="22">
        <v>434.86200000000002</v>
      </c>
      <c r="AS43" s="22">
        <v>-1.3760400000000001E-2</v>
      </c>
      <c r="AT43" s="22">
        <v>33</v>
      </c>
      <c r="AU43" s="22">
        <v>1.633</v>
      </c>
      <c r="AV43">
        <f t="shared" si="8"/>
        <v>13.760400000000001</v>
      </c>
      <c r="AW43">
        <f t="shared" si="9"/>
        <v>22.481191104000004</v>
      </c>
      <c r="AX43" s="9"/>
      <c r="AY43" s="22">
        <v>6.6223099999999993E-2</v>
      </c>
      <c r="AZ43" s="22">
        <v>556.79700000000003</v>
      </c>
      <c r="BA43" s="22">
        <v>-1.6177400000000002E-2</v>
      </c>
      <c r="BB43" s="22">
        <v>33</v>
      </c>
      <c r="BC43" s="22">
        <v>6.5704299999999993E-2</v>
      </c>
      <c r="BD43">
        <f t="shared" si="10"/>
        <v>16.177400000000002</v>
      </c>
      <c r="BE43">
        <f t="shared" si="11"/>
        <v>1.0713175779399999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76.669300000000007</v>
      </c>
      <c r="I44" s="22">
        <v>-1.37085E-2</v>
      </c>
      <c r="J44" s="22">
        <v>34</v>
      </c>
      <c r="K44" s="22">
        <v>1.6281099999999999</v>
      </c>
      <c r="L44">
        <f t="shared" si="0"/>
        <v>13.708500000000001</v>
      </c>
      <c r="M44">
        <f t="shared" si="1"/>
        <v>22.327308120000001</v>
      </c>
      <c r="N44" s="9"/>
      <c r="O44" s="22">
        <v>7.1258500000000002E-2</v>
      </c>
      <c r="P44" s="22">
        <v>183.95599999999999</v>
      </c>
      <c r="Q44" s="22">
        <v>-1.6146899999999999E-2</v>
      </c>
      <c r="R44" s="22">
        <v>34</v>
      </c>
      <c r="S44" s="22">
        <v>7.04346E-2</v>
      </c>
      <c r="T44">
        <f t="shared" si="2"/>
        <v>16.146899999999999</v>
      </c>
      <c r="U44">
        <f t="shared" si="3"/>
        <v>1.1506038736499999</v>
      </c>
      <c r="X44" s="9"/>
      <c r="Y44" s="22">
        <v>1.6287199999999999</v>
      </c>
      <c r="Z44" s="22">
        <v>266.46899999999999</v>
      </c>
      <c r="AA44" s="22">
        <v>-1.3998399999999999E-2</v>
      </c>
      <c r="AB44" s="22">
        <v>34</v>
      </c>
      <c r="AC44" s="22">
        <v>1.62842</v>
      </c>
      <c r="AD44">
        <f t="shared" si="4"/>
        <v>13.9984</v>
      </c>
      <c r="AE44">
        <f t="shared" si="5"/>
        <v>22.799474048</v>
      </c>
      <c r="AF44" s="9"/>
      <c r="AG44" s="22">
        <v>7.1258500000000002E-2</v>
      </c>
      <c r="AH44" s="22">
        <v>351.56400000000002</v>
      </c>
      <c r="AI44" s="22">
        <v>-1.6162099999999999E-2</v>
      </c>
      <c r="AJ44" s="22">
        <v>34</v>
      </c>
      <c r="AK44" s="22">
        <v>7.0800799999999997E-2</v>
      </c>
      <c r="AL44">
        <f t="shared" si="6"/>
        <v>16.162099999999999</v>
      </c>
      <c r="AM44">
        <f t="shared" si="7"/>
        <v>1.1516870028499999</v>
      </c>
      <c r="AP44" s="9"/>
      <c r="AQ44" s="22">
        <v>1.6287199999999999</v>
      </c>
      <c r="AR44" s="22">
        <v>434.96300000000002</v>
      </c>
      <c r="AS44" s="22">
        <v>-1.3858000000000001E-2</v>
      </c>
      <c r="AT44" s="22">
        <v>34</v>
      </c>
      <c r="AU44" s="22">
        <v>1.62781</v>
      </c>
      <c r="AV44">
        <f t="shared" si="8"/>
        <v>13.858000000000001</v>
      </c>
      <c r="AW44">
        <f t="shared" si="9"/>
        <v>22.570801759999998</v>
      </c>
      <c r="AX44" s="9"/>
      <c r="AY44" s="22">
        <v>7.1258500000000002E-2</v>
      </c>
      <c r="AZ44" s="22">
        <v>556.89700000000005</v>
      </c>
      <c r="BA44" s="22">
        <v>-1.6177400000000002E-2</v>
      </c>
      <c r="BB44" s="22">
        <v>34</v>
      </c>
      <c r="BC44" s="22">
        <v>7.0678699999999997E-2</v>
      </c>
      <c r="BD44">
        <f t="shared" si="10"/>
        <v>16.177400000000002</v>
      </c>
      <c r="BE44">
        <f t="shared" si="11"/>
        <v>1.1527772579000002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76.77</v>
      </c>
      <c r="I45" s="22">
        <v>-1.3772599999999999E-2</v>
      </c>
      <c r="J45" s="22">
        <v>35</v>
      </c>
      <c r="K45" s="22">
        <v>1.6229199999999999</v>
      </c>
      <c r="L45">
        <f t="shared" si="0"/>
        <v>13.772599999999999</v>
      </c>
      <c r="M45">
        <f t="shared" si="1"/>
        <v>22.362432893999998</v>
      </c>
      <c r="N45" s="9"/>
      <c r="O45" s="22">
        <v>7.6293899999999998E-2</v>
      </c>
      <c r="P45" s="22">
        <v>184.05699999999999</v>
      </c>
      <c r="Q45" s="22">
        <v>-1.6146899999999999E-2</v>
      </c>
      <c r="R45" s="22">
        <v>35</v>
      </c>
      <c r="S45" s="22">
        <v>7.5927700000000001E-2</v>
      </c>
      <c r="T45">
        <f t="shared" si="2"/>
        <v>16.146899999999999</v>
      </c>
      <c r="U45">
        <f t="shared" si="3"/>
        <v>1.2319099739099999</v>
      </c>
      <c r="X45" s="9"/>
      <c r="Y45" s="22">
        <v>1.6236900000000001</v>
      </c>
      <c r="Z45" s="22">
        <v>266.57</v>
      </c>
      <c r="AA45" s="22">
        <v>-1.409E-2</v>
      </c>
      <c r="AB45" s="22">
        <v>35</v>
      </c>
      <c r="AC45" s="22">
        <v>1.6229199999999999</v>
      </c>
      <c r="AD45">
        <f t="shared" si="4"/>
        <v>14.09</v>
      </c>
      <c r="AE45">
        <f t="shared" si="5"/>
        <v>22.877792100000001</v>
      </c>
      <c r="AF45" s="9"/>
      <c r="AG45" s="22">
        <v>7.6293899999999998E-2</v>
      </c>
      <c r="AH45" s="22">
        <v>351.66500000000002</v>
      </c>
      <c r="AI45" s="22">
        <v>-1.6165200000000001E-2</v>
      </c>
      <c r="AJ45" s="22">
        <v>35</v>
      </c>
      <c r="AK45" s="22">
        <v>7.5683600000000004E-2</v>
      </c>
      <c r="AL45">
        <f t="shared" si="6"/>
        <v>16.165200000000002</v>
      </c>
      <c r="AM45">
        <f t="shared" si="7"/>
        <v>1.2333061522800002</v>
      </c>
      <c r="AP45" s="9"/>
      <c r="AQ45" s="22">
        <v>1.6236900000000001</v>
      </c>
      <c r="AR45" s="22">
        <v>435.06400000000002</v>
      </c>
      <c r="AS45" s="22">
        <v>-1.3943499999999999E-2</v>
      </c>
      <c r="AT45" s="22">
        <v>35</v>
      </c>
      <c r="AU45" s="22">
        <v>1.62323</v>
      </c>
      <c r="AV45">
        <f t="shared" si="8"/>
        <v>13.943499999999998</v>
      </c>
      <c r="AW45">
        <f t="shared" si="9"/>
        <v>22.639921514999997</v>
      </c>
      <c r="AX45" s="9"/>
      <c r="AY45" s="22">
        <v>7.6293899999999998E-2</v>
      </c>
      <c r="AZ45" s="22">
        <v>556.99800000000005</v>
      </c>
      <c r="BA45" s="22">
        <v>-1.6180400000000001E-2</v>
      </c>
      <c r="BB45" s="22">
        <v>35</v>
      </c>
      <c r="BC45" s="22">
        <v>7.5714100000000006E-2</v>
      </c>
      <c r="BD45">
        <f t="shared" si="10"/>
        <v>16.180400000000002</v>
      </c>
      <c r="BE45">
        <f t="shared" si="11"/>
        <v>1.2344658195600002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76.870699999999999</v>
      </c>
      <c r="I46" s="22">
        <v>-1.38519E-2</v>
      </c>
      <c r="J46" s="22">
        <v>36</v>
      </c>
      <c r="K46" s="22">
        <v>1.6180399999999999</v>
      </c>
      <c r="L46">
        <f t="shared" si="0"/>
        <v>13.851900000000001</v>
      </c>
      <c r="M46">
        <f t="shared" si="1"/>
        <v>22.421377934999999</v>
      </c>
      <c r="N46" s="9"/>
      <c r="O46" s="22">
        <v>8.1329299999999993E-2</v>
      </c>
      <c r="P46" s="22">
        <v>184.15799999999999</v>
      </c>
      <c r="Q46" s="22">
        <v>-1.6140700000000001E-2</v>
      </c>
      <c r="R46" s="22">
        <v>36</v>
      </c>
      <c r="S46" s="22">
        <v>8.0780000000000005E-2</v>
      </c>
      <c r="T46">
        <f t="shared" si="2"/>
        <v>16.140700000000002</v>
      </c>
      <c r="U46">
        <f t="shared" si="3"/>
        <v>1.31271183251</v>
      </c>
      <c r="X46" s="9"/>
      <c r="Y46" s="22">
        <v>1.6186499999999999</v>
      </c>
      <c r="Z46" s="22">
        <v>266.67099999999999</v>
      </c>
      <c r="AA46" s="22">
        <v>-1.4169299999999999E-2</v>
      </c>
      <c r="AB46" s="22">
        <v>36</v>
      </c>
      <c r="AC46" s="22">
        <v>1.61774</v>
      </c>
      <c r="AD46">
        <f t="shared" si="4"/>
        <v>14.1693</v>
      </c>
      <c r="AE46">
        <f t="shared" si="5"/>
        <v>22.935137444999999</v>
      </c>
      <c r="AF46" s="9"/>
      <c r="AG46" s="22">
        <v>8.1329299999999993E-2</v>
      </c>
      <c r="AH46" s="22">
        <v>351.76499999999999</v>
      </c>
      <c r="AI46" s="22">
        <v>-1.6162099999999999E-2</v>
      </c>
      <c r="AJ46" s="22">
        <v>36</v>
      </c>
      <c r="AK46" s="22">
        <v>8.0535899999999994E-2</v>
      </c>
      <c r="AL46">
        <f t="shared" si="6"/>
        <v>16.162099999999999</v>
      </c>
      <c r="AM46">
        <f t="shared" si="7"/>
        <v>1.3144522795299998</v>
      </c>
      <c r="AP46" s="9"/>
      <c r="AQ46" s="22">
        <v>1.6186499999999999</v>
      </c>
      <c r="AR46" s="22">
        <v>435.16500000000002</v>
      </c>
      <c r="AS46" s="22">
        <v>-1.3998399999999999E-2</v>
      </c>
      <c r="AT46" s="22">
        <v>36</v>
      </c>
      <c r="AU46" s="22">
        <v>1.6174299999999999</v>
      </c>
      <c r="AV46">
        <f t="shared" si="8"/>
        <v>13.9984</v>
      </c>
      <c r="AW46">
        <f t="shared" si="9"/>
        <v>22.658510159999999</v>
      </c>
      <c r="AX46" s="9"/>
      <c r="AY46" s="22">
        <v>8.1329299999999993E-2</v>
      </c>
      <c r="AZ46" s="22">
        <v>557.09900000000005</v>
      </c>
      <c r="BA46" s="22">
        <v>-1.6177400000000002E-2</v>
      </c>
      <c r="BB46" s="22">
        <v>36</v>
      </c>
      <c r="BC46" s="22">
        <v>8.0749500000000002E-2</v>
      </c>
      <c r="BD46">
        <f t="shared" si="10"/>
        <v>16.177400000000002</v>
      </c>
      <c r="BE46">
        <f t="shared" si="11"/>
        <v>1.31569661782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76.971400000000003</v>
      </c>
      <c r="I47" s="22">
        <v>-1.39618E-2</v>
      </c>
      <c r="J47" s="22">
        <v>37</v>
      </c>
      <c r="K47" s="22">
        <v>1.6125499999999999</v>
      </c>
      <c r="L47">
        <f t="shared" si="0"/>
        <v>13.9618</v>
      </c>
      <c r="M47">
        <f t="shared" si="1"/>
        <v>22.529039716</v>
      </c>
      <c r="N47" s="9"/>
      <c r="O47" s="22">
        <v>8.6364700000000003E-2</v>
      </c>
      <c r="P47" s="22">
        <v>184.25800000000001</v>
      </c>
      <c r="Q47" s="22">
        <v>-1.6140700000000001E-2</v>
      </c>
      <c r="R47" s="22">
        <v>37</v>
      </c>
      <c r="S47" s="22">
        <v>8.5845900000000003E-2</v>
      </c>
      <c r="T47">
        <f t="shared" si="2"/>
        <v>16.140700000000002</v>
      </c>
      <c r="U47">
        <f t="shared" si="3"/>
        <v>1.3939867132900003</v>
      </c>
      <c r="X47" s="9"/>
      <c r="Y47" s="22">
        <v>1.6136200000000001</v>
      </c>
      <c r="Z47" s="22">
        <v>266.77199999999999</v>
      </c>
      <c r="AA47" s="22">
        <v>-1.42334E-2</v>
      </c>
      <c r="AB47" s="22">
        <v>37</v>
      </c>
      <c r="AC47" s="22">
        <v>1.6131599999999999</v>
      </c>
      <c r="AD47">
        <f t="shared" si="4"/>
        <v>14.2334</v>
      </c>
      <c r="AE47">
        <f t="shared" si="5"/>
        <v>22.967298908</v>
      </c>
      <c r="AF47" s="9"/>
      <c r="AG47" s="22">
        <v>8.6364700000000003E-2</v>
      </c>
      <c r="AH47" s="22">
        <v>351.86599999999999</v>
      </c>
      <c r="AI47" s="22">
        <v>-1.6165200000000001E-2</v>
      </c>
      <c r="AJ47" s="22">
        <v>37</v>
      </c>
      <c r="AK47" s="22">
        <v>8.5784899999999997E-2</v>
      </c>
      <c r="AL47">
        <f t="shared" si="6"/>
        <v>16.165200000000002</v>
      </c>
      <c r="AM47">
        <f t="shared" si="7"/>
        <v>1.3961026484400003</v>
      </c>
      <c r="AP47" s="9"/>
      <c r="AQ47" s="22">
        <v>1.6136200000000001</v>
      </c>
      <c r="AR47" s="22">
        <v>435.26499999999999</v>
      </c>
      <c r="AS47" s="22">
        <v>-1.4120499999999999E-2</v>
      </c>
      <c r="AT47" s="22">
        <v>37</v>
      </c>
      <c r="AU47" s="22">
        <v>1.6131599999999999</v>
      </c>
      <c r="AV47">
        <f t="shared" si="8"/>
        <v>14.1205</v>
      </c>
      <c r="AW47">
        <f t="shared" si="9"/>
        <v>22.78512121</v>
      </c>
      <c r="AX47" s="9"/>
      <c r="AY47" s="22">
        <v>8.6364700000000003E-2</v>
      </c>
      <c r="AZ47" s="22">
        <v>557.19899999999996</v>
      </c>
      <c r="BA47" s="22">
        <v>-1.61835E-2</v>
      </c>
      <c r="BB47" s="22">
        <v>37</v>
      </c>
      <c r="BC47" s="22">
        <v>8.5784899999999997E-2</v>
      </c>
      <c r="BD47">
        <f t="shared" si="10"/>
        <v>16.183499999999999</v>
      </c>
      <c r="BE47">
        <f t="shared" si="11"/>
        <v>1.3976831224499999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77.072100000000006</v>
      </c>
      <c r="I48" s="22">
        <v>-1.40167E-2</v>
      </c>
      <c r="J48" s="22">
        <v>38</v>
      </c>
      <c r="K48" s="22">
        <v>1.6079699999999999</v>
      </c>
      <c r="L48">
        <f t="shared" si="0"/>
        <v>14.0167</v>
      </c>
      <c r="M48">
        <f t="shared" si="1"/>
        <v>22.546983286</v>
      </c>
      <c r="N48" s="9"/>
      <c r="O48" s="22">
        <v>9.1400099999999998E-2</v>
      </c>
      <c r="P48" s="22">
        <v>184.35900000000001</v>
      </c>
      <c r="Q48" s="22">
        <v>-1.6137700000000001E-2</v>
      </c>
      <c r="R48" s="22">
        <v>38</v>
      </c>
      <c r="S48" s="22">
        <v>9.0820300000000007E-2</v>
      </c>
      <c r="T48">
        <f t="shared" si="2"/>
        <v>16.137700000000002</v>
      </c>
      <c r="U48">
        <f t="shared" si="3"/>
        <v>1.4749873937700002</v>
      </c>
      <c r="X48" s="9"/>
      <c r="Y48" s="22">
        <v>1.6085799999999999</v>
      </c>
      <c r="Z48" s="22">
        <v>266.87200000000001</v>
      </c>
      <c r="AA48" s="22">
        <v>-1.4331099999999999E-2</v>
      </c>
      <c r="AB48" s="22">
        <v>38</v>
      </c>
      <c r="AC48" s="22">
        <v>1.6079699999999999</v>
      </c>
      <c r="AD48">
        <f t="shared" si="4"/>
        <v>14.331099999999999</v>
      </c>
      <c r="AE48">
        <f t="shared" si="5"/>
        <v>23.052720837999999</v>
      </c>
      <c r="AF48" s="9"/>
      <c r="AG48" s="22">
        <v>9.1400099999999998E-2</v>
      </c>
      <c r="AH48" s="22">
        <v>351.96699999999998</v>
      </c>
      <c r="AI48" s="22">
        <v>-1.6162099999999999E-2</v>
      </c>
      <c r="AJ48" s="22">
        <v>38</v>
      </c>
      <c r="AK48" s="22">
        <v>9.0911900000000004E-2</v>
      </c>
      <c r="AL48">
        <f t="shared" si="6"/>
        <v>16.162099999999999</v>
      </c>
      <c r="AM48">
        <f t="shared" si="7"/>
        <v>1.4772175562099998</v>
      </c>
      <c r="AP48" s="9"/>
      <c r="AQ48" s="22">
        <v>1.6085799999999999</v>
      </c>
      <c r="AR48" s="22">
        <v>435.36599999999999</v>
      </c>
      <c r="AS48" s="22">
        <v>-1.4208999999999999E-2</v>
      </c>
      <c r="AT48" s="22">
        <v>38</v>
      </c>
      <c r="AU48" s="22">
        <v>1.6079699999999999</v>
      </c>
      <c r="AV48">
        <f t="shared" si="8"/>
        <v>14.209</v>
      </c>
      <c r="AW48">
        <f t="shared" si="9"/>
        <v>22.856313219999997</v>
      </c>
      <c r="AX48" s="9"/>
      <c r="AY48" s="22">
        <v>9.1400099999999998E-2</v>
      </c>
      <c r="AZ48" s="22">
        <v>557.29999999999995</v>
      </c>
      <c r="BA48" s="22">
        <v>-1.6174299999999999E-2</v>
      </c>
      <c r="BB48" s="22">
        <v>38</v>
      </c>
      <c r="BC48" s="22">
        <v>9.0820300000000007E-2</v>
      </c>
      <c r="BD48">
        <f t="shared" si="10"/>
        <v>16.174299999999999</v>
      </c>
      <c r="BE48">
        <f t="shared" si="11"/>
        <v>1.4783326374299999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77.172799999999995</v>
      </c>
      <c r="I49" s="22">
        <v>-1.40991E-2</v>
      </c>
      <c r="J49" s="22">
        <v>39</v>
      </c>
      <c r="K49" s="22">
        <v>1.6024799999999999</v>
      </c>
      <c r="L49">
        <f t="shared" si="0"/>
        <v>14.0991</v>
      </c>
      <c r="M49">
        <f t="shared" si="1"/>
        <v>22.608611804999999</v>
      </c>
      <c r="N49" s="9"/>
      <c r="O49" s="22">
        <v>9.6435499999999993E-2</v>
      </c>
      <c r="P49" s="22">
        <v>184.46</v>
      </c>
      <c r="Q49" s="22">
        <v>-1.6140700000000001E-2</v>
      </c>
      <c r="R49" s="22">
        <v>39</v>
      </c>
      <c r="S49" s="22">
        <v>9.6191399999999996E-2</v>
      </c>
      <c r="T49">
        <f t="shared" si="2"/>
        <v>16.140700000000002</v>
      </c>
      <c r="U49">
        <f t="shared" si="3"/>
        <v>1.5565364748500001</v>
      </c>
      <c r="X49" s="9"/>
      <c r="Y49" s="22">
        <v>1.60355</v>
      </c>
      <c r="Z49" s="22">
        <v>266.97300000000001</v>
      </c>
      <c r="AA49" s="22">
        <v>-1.4382900000000001E-2</v>
      </c>
      <c r="AB49" s="22">
        <v>39</v>
      </c>
      <c r="AC49" s="22">
        <v>1.6027800000000001</v>
      </c>
      <c r="AD49">
        <f t="shared" si="4"/>
        <v>14.382900000000001</v>
      </c>
      <c r="AE49">
        <f t="shared" si="5"/>
        <v>23.063699295000003</v>
      </c>
      <c r="AF49" s="9"/>
      <c r="AG49" s="22">
        <v>9.6435499999999993E-2</v>
      </c>
      <c r="AH49" s="22">
        <v>352.06700000000001</v>
      </c>
      <c r="AI49" s="22">
        <v>-1.6165200000000001E-2</v>
      </c>
      <c r="AJ49" s="22">
        <v>39</v>
      </c>
      <c r="AK49" s="22">
        <v>9.5489500000000005E-2</v>
      </c>
      <c r="AL49">
        <f t="shared" si="6"/>
        <v>16.165200000000002</v>
      </c>
      <c r="AM49">
        <f t="shared" si="7"/>
        <v>1.5588991446</v>
      </c>
      <c r="AP49" s="9"/>
      <c r="AQ49" s="22">
        <v>1.60355</v>
      </c>
      <c r="AR49" s="22">
        <v>435.46699999999998</v>
      </c>
      <c r="AS49" s="22">
        <v>-1.427E-2</v>
      </c>
      <c r="AT49" s="22">
        <v>39</v>
      </c>
      <c r="AU49" s="22">
        <v>1.6030899999999999</v>
      </c>
      <c r="AV49">
        <f t="shared" si="8"/>
        <v>14.27</v>
      </c>
      <c r="AW49">
        <f t="shared" si="9"/>
        <v>22.882658499999998</v>
      </c>
      <c r="AX49" s="9"/>
      <c r="AY49" s="22">
        <v>9.6435499999999993E-2</v>
      </c>
      <c r="AZ49" s="22">
        <v>557.40099999999995</v>
      </c>
      <c r="BA49" s="22">
        <v>-1.61835E-2</v>
      </c>
      <c r="BB49" s="22">
        <v>39</v>
      </c>
      <c r="BC49" s="22">
        <v>9.5916699999999994E-2</v>
      </c>
      <c r="BD49">
        <f t="shared" si="10"/>
        <v>16.183499999999999</v>
      </c>
      <c r="BE49">
        <f t="shared" si="11"/>
        <v>1.5606639142499998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77.273600000000002</v>
      </c>
      <c r="I50" s="22">
        <v>-1.41724E-2</v>
      </c>
      <c r="J50" s="22">
        <v>40</v>
      </c>
      <c r="K50" s="22">
        <v>1.5975999999999999</v>
      </c>
      <c r="L50">
        <f t="shared" si="0"/>
        <v>14.1724</v>
      </c>
      <c r="M50">
        <f t="shared" si="1"/>
        <v>22.654723124</v>
      </c>
      <c r="N50" s="9"/>
      <c r="O50" s="22">
        <v>0.10147100000000001</v>
      </c>
      <c r="P50" s="22">
        <v>184.56</v>
      </c>
      <c r="Q50" s="22">
        <v>-1.6137700000000001E-2</v>
      </c>
      <c r="R50" s="22">
        <v>40</v>
      </c>
      <c r="S50" s="22">
        <v>0.10086100000000001</v>
      </c>
      <c r="T50">
        <f t="shared" si="2"/>
        <v>16.137700000000002</v>
      </c>
      <c r="U50">
        <f t="shared" si="3"/>
        <v>1.6375085567000003</v>
      </c>
      <c r="X50" s="9"/>
      <c r="Y50" s="22">
        <v>1.5985100000000001</v>
      </c>
      <c r="Z50" s="22">
        <v>267.07400000000001</v>
      </c>
      <c r="AA50" s="22">
        <v>-1.44501E-2</v>
      </c>
      <c r="AB50" s="22">
        <v>40</v>
      </c>
      <c r="AC50" s="22">
        <v>1.5982099999999999</v>
      </c>
      <c r="AD50">
        <f t="shared" si="4"/>
        <v>14.450100000000001</v>
      </c>
      <c r="AE50">
        <f t="shared" si="5"/>
        <v>23.098629351000003</v>
      </c>
      <c r="AF50" s="9"/>
      <c r="AG50" s="22">
        <v>0.10147100000000001</v>
      </c>
      <c r="AH50" s="22">
        <v>352.16800000000001</v>
      </c>
      <c r="AI50" s="22">
        <v>-1.6168200000000001E-2</v>
      </c>
      <c r="AJ50" s="22">
        <v>40</v>
      </c>
      <c r="AK50" s="22">
        <v>0.10086100000000001</v>
      </c>
      <c r="AL50">
        <f t="shared" si="6"/>
        <v>16.168200000000002</v>
      </c>
      <c r="AM50">
        <f t="shared" si="7"/>
        <v>1.6406034222000003</v>
      </c>
      <c r="AP50" s="9"/>
      <c r="AQ50" s="22">
        <v>1.5985100000000001</v>
      </c>
      <c r="AR50" s="22">
        <v>435.56700000000001</v>
      </c>
      <c r="AS50" s="22">
        <v>-1.43555E-2</v>
      </c>
      <c r="AT50" s="22">
        <v>40</v>
      </c>
      <c r="AU50" s="22">
        <v>1.5982099999999999</v>
      </c>
      <c r="AV50">
        <f t="shared" si="8"/>
        <v>14.355500000000001</v>
      </c>
      <c r="AW50">
        <f t="shared" si="9"/>
        <v>22.947410305000002</v>
      </c>
      <c r="AX50" s="9"/>
      <c r="AY50" s="22">
        <v>0.10147100000000001</v>
      </c>
      <c r="AZ50" s="22">
        <v>557.50199999999995</v>
      </c>
      <c r="BA50" s="22">
        <v>-1.6180400000000001E-2</v>
      </c>
      <c r="BB50" s="22">
        <v>40</v>
      </c>
      <c r="BC50" s="22">
        <v>0.1008</v>
      </c>
      <c r="BD50">
        <f t="shared" si="10"/>
        <v>16.180400000000002</v>
      </c>
      <c r="BE50">
        <f t="shared" si="11"/>
        <v>1.6418413684000004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77.374300000000005</v>
      </c>
      <c r="I51" s="22">
        <v>-1.42548E-2</v>
      </c>
      <c r="J51" s="22">
        <v>41</v>
      </c>
      <c r="K51" s="22">
        <v>1.5924100000000001</v>
      </c>
      <c r="L51">
        <f t="shared" si="0"/>
        <v>14.254799999999999</v>
      </c>
      <c r="M51">
        <f t="shared" si="1"/>
        <v>22.714738703999998</v>
      </c>
      <c r="N51" s="9"/>
      <c r="O51" s="22">
        <v>0.106506</v>
      </c>
      <c r="P51" s="22">
        <v>184.661</v>
      </c>
      <c r="Q51" s="22">
        <v>-1.6137700000000001E-2</v>
      </c>
      <c r="R51" s="22">
        <v>41</v>
      </c>
      <c r="S51" s="22">
        <v>0.105957</v>
      </c>
      <c r="T51">
        <f t="shared" si="2"/>
        <v>16.137700000000002</v>
      </c>
      <c r="U51">
        <f t="shared" si="3"/>
        <v>1.7187618762000003</v>
      </c>
      <c r="X51" s="9"/>
      <c r="Y51" s="22">
        <v>1.59348</v>
      </c>
      <c r="Z51" s="22">
        <v>267.17399999999998</v>
      </c>
      <c r="AA51" s="22">
        <v>-1.45386E-2</v>
      </c>
      <c r="AB51" s="22">
        <v>41</v>
      </c>
      <c r="AC51" s="22">
        <v>1.5924100000000001</v>
      </c>
      <c r="AD51">
        <f t="shared" si="4"/>
        <v>14.538600000000001</v>
      </c>
      <c r="AE51">
        <f t="shared" si="5"/>
        <v>23.166968327999999</v>
      </c>
      <c r="AF51" s="9"/>
      <c r="AG51" s="22">
        <v>0.106506</v>
      </c>
      <c r="AH51" s="22">
        <v>352.26900000000001</v>
      </c>
      <c r="AI51" s="22">
        <v>-1.6162099999999999E-2</v>
      </c>
      <c r="AJ51" s="22">
        <v>41</v>
      </c>
      <c r="AK51" s="22">
        <v>0.105865</v>
      </c>
      <c r="AL51">
        <f t="shared" si="6"/>
        <v>16.162099999999999</v>
      </c>
      <c r="AM51">
        <f t="shared" si="7"/>
        <v>1.7213606226</v>
      </c>
      <c r="AP51" s="9"/>
      <c r="AQ51" s="22">
        <v>1.59348</v>
      </c>
      <c r="AR51" s="22">
        <v>435.66800000000001</v>
      </c>
      <c r="AS51" s="22">
        <v>-1.4422600000000001E-2</v>
      </c>
      <c r="AT51" s="22">
        <v>41</v>
      </c>
      <c r="AU51" s="22">
        <v>1.5927100000000001</v>
      </c>
      <c r="AV51">
        <f t="shared" si="8"/>
        <v>14.422600000000001</v>
      </c>
      <c r="AW51">
        <f t="shared" si="9"/>
        <v>22.982124648000003</v>
      </c>
      <c r="AX51" s="9"/>
      <c r="AY51" s="22">
        <v>0.106506</v>
      </c>
      <c r="AZ51" s="22">
        <v>557.60199999999998</v>
      </c>
      <c r="BA51" s="22">
        <v>-1.6186499999999999E-2</v>
      </c>
      <c r="BB51" s="22">
        <v>41</v>
      </c>
      <c r="BC51" s="22">
        <v>0.10592699999999999</v>
      </c>
      <c r="BD51">
        <f t="shared" si="10"/>
        <v>16.186499999999999</v>
      </c>
      <c r="BE51">
        <f t="shared" si="11"/>
        <v>1.7239593689999999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77.474999999999994</v>
      </c>
      <c r="I52" s="22">
        <v>-1.4294400000000001E-2</v>
      </c>
      <c r="J52" s="22">
        <v>42</v>
      </c>
      <c r="K52" s="22">
        <v>1.58752</v>
      </c>
      <c r="L52">
        <f t="shared" si="0"/>
        <v>14.294400000000001</v>
      </c>
      <c r="M52">
        <f t="shared" si="1"/>
        <v>22.705796736000003</v>
      </c>
      <c r="N52" s="9"/>
      <c r="O52" s="22">
        <v>0.111542</v>
      </c>
      <c r="P52" s="22">
        <v>184.762</v>
      </c>
      <c r="Q52" s="22">
        <v>-1.61285E-2</v>
      </c>
      <c r="R52" s="22">
        <v>42</v>
      </c>
      <c r="S52" s="22">
        <v>0.11087</v>
      </c>
      <c r="T52">
        <f t="shared" si="2"/>
        <v>16.128499999999999</v>
      </c>
      <c r="U52">
        <f t="shared" si="3"/>
        <v>1.7990051469999999</v>
      </c>
      <c r="X52" s="9"/>
      <c r="Y52" s="22">
        <v>1.5884400000000001</v>
      </c>
      <c r="Z52" s="22">
        <v>267.27499999999998</v>
      </c>
      <c r="AA52" s="22">
        <v>-1.45752E-2</v>
      </c>
      <c r="AB52" s="22">
        <v>42</v>
      </c>
      <c r="AC52" s="22">
        <v>1.58752</v>
      </c>
      <c r="AD52">
        <f t="shared" si="4"/>
        <v>14.575200000000001</v>
      </c>
      <c r="AE52">
        <f t="shared" si="5"/>
        <v>23.151830688</v>
      </c>
      <c r="AF52" s="9"/>
      <c r="AG52" s="22">
        <v>0.111542</v>
      </c>
      <c r="AH52" s="22">
        <v>352.37</v>
      </c>
      <c r="AI52" s="22">
        <v>-1.6165200000000001E-2</v>
      </c>
      <c r="AJ52" s="22">
        <v>42</v>
      </c>
      <c r="AK52" s="22">
        <v>0.110901</v>
      </c>
      <c r="AL52">
        <f t="shared" si="6"/>
        <v>16.165200000000002</v>
      </c>
      <c r="AM52">
        <f t="shared" si="7"/>
        <v>1.8030987384000003</v>
      </c>
      <c r="AP52" s="9"/>
      <c r="AQ52" s="22">
        <v>1.5884400000000001</v>
      </c>
      <c r="AR52" s="22">
        <v>435.76900000000001</v>
      </c>
      <c r="AS52" s="22">
        <v>-1.44928E-2</v>
      </c>
      <c r="AT52" s="22">
        <v>42</v>
      </c>
      <c r="AU52" s="22">
        <v>1.58752</v>
      </c>
      <c r="AV52">
        <f t="shared" si="8"/>
        <v>14.492800000000001</v>
      </c>
      <c r="AW52">
        <f t="shared" si="9"/>
        <v>23.020943232000004</v>
      </c>
      <c r="AX52" s="9"/>
      <c r="AY52" s="22">
        <v>0.111542</v>
      </c>
      <c r="AZ52" s="22">
        <v>557.70299999999997</v>
      </c>
      <c r="BA52" s="22">
        <v>-1.61713E-2</v>
      </c>
      <c r="BB52" s="22">
        <v>42</v>
      </c>
      <c r="BC52" s="22">
        <v>0.11099199999999999</v>
      </c>
      <c r="BD52">
        <f t="shared" si="10"/>
        <v>16.171299999999999</v>
      </c>
      <c r="BE52">
        <f t="shared" si="11"/>
        <v>1.8037791446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77.575699999999998</v>
      </c>
      <c r="I53" s="22">
        <v>-1.43524E-2</v>
      </c>
      <c r="J53" s="22">
        <v>43</v>
      </c>
      <c r="K53" s="22">
        <v>1.58264</v>
      </c>
      <c r="L53">
        <f t="shared" si="0"/>
        <v>14.352399999999999</v>
      </c>
      <c r="M53">
        <f t="shared" si="1"/>
        <v>22.725590159999999</v>
      </c>
      <c r="N53" s="9"/>
      <c r="O53" s="22">
        <v>0.116577</v>
      </c>
      <c r="P53" s="22">
        <v>184.86199999999999</v>
      </c>
      <c r="Q53" s="22">
        <v>-1.6131599999999999E-2</v>
      </c>
      <c r="R53" s="22">
        <v>43</v>
      </c>
      <c r="S53" s="22">
        <v>0.115967</v>
      </c>
      <c r="T53">
        <f t="shared" si="2"/>
        <v>16.131599999999999</v>
      </c>
      <c r="U53">
        <f t="shared" si="3"/>
        <v>1.8805735331999998</v>
      </c>
      <c r="X53" s="9"/>
      <c r="Y53" s="22">
        <v>1.5833999999999999</v>
      </c>
      <c r="Z53" s="22">
        <v>267.37599999999998</v>
      </c>
      <c r="AA53" s="22">
        <v>-1.4605699999999999E-2</v>
      </c>
      <c r="AB53" s="22">
        <v>43</v>
      </c>
      <c r="AC53" s="22">
        <v>1.5823400000000001</v>
      </c>
      <c r="AD53">
        <f t="shared" si="4"/>
        <v>14.605699999999999</v>
      </c>
      <c r="AE53">
        <f t="shared" si="5"/>
        <v>23.126665379999999</v>
      </c>
      <c r="AF53" s="9"/>
      <c r="AG53" s="22">
        <v>0.116577</v>
      </c>
      <c r="AH53" s="22">
        <v>352.47</v>
      </c>
      <c r="AI53" s="22">
        <v>-1.6165200000000001E-2</v>
      </c>
      <c r="AJ53" s="22">
        <v>43</v>
      </c>
      <c r="AK53" s="22">
        <v>0.115936</v>
      </c>
      <c r="AL53">
        <f t="shared" si="6"/>
        <v>16.165200000000002</v>
      </c>
      <c r="AM53">
        <f t="shared" si="7"/>
        <v>1.8844905204000002</v>
      </c>
      <c r="AP53" s="9"/>
      <c r="AQ53" s="22">
        <v>1.5833999999999999</v>
      </c>
      <c r="AR53" s="22">
        <v>435.87</v>
      </c>
      <c r="AS53" s="22">
        <v>-1.4556899999999999E-2</v>
      </c>
      <c r="AT53" s="22">
        <v>43</v>
      </c>
      <c r="AU53" s="22">
        <v>1.58264</v>
      </c>
      <c r="AV53">
        <f t="shared" si="8"/>
        <v>14.556899999999999</v>
      </c>
      <c r="AW53">
        <f t="shared" si="9"/>
        <v>23.049395459999996</v>
      </c>
      <c r="AX53" s="9"/>
      <c r="AY53" s="22">
        <v>0.116577</v>
      </c>
      <c r="AZ53" s="22">
        <v>557.80399999999997</v>
      </c>
      <c r="BA53" s="22">
        <v>-1.61713E-2</v>
      </c>
      <c r="BB53" s="22">
        <v>43</v>
      </c>
      <c r="BC53" s="22">
        <v>0.115906</v>
      </c>
      <c r="BD53">
        <f t="shared" si="10"/>
        <v>16.171299999999999</v>
      </c>
      <c r="BE53">
        <f t="shared" si="11"/>
        <v>1.8852016400999998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77.676400000000001</v>
      </c>
      <c r="I54" s="22">
        <v>-1.44379E-2</v>
      </c>
      <c r="J54" s="22">
        <v>44</v>
      </c>
      <c r="K54" s="22">
        <v>1.5771500000000001</v>
      </c>
      <c r="L54">
        <f t="shared" si="0"/>
        <v>14.437900000000001</v>
      </c>
      <c r="M54">
        <f t="shared" si="1"/>
        <v>22.788348223000003</v>
      </c>
      <c r="N54" s="9"/>
      <c r="O54" s="22">
        <v>0.121613</v>
      </c>
      <c r="P54" s="22">
        <v>184.96299999999999</v>
      </c>
      <c r="Q54" s="22">
        <v>-1.6131599999999999E-2</v>
      </c>
      <c r="R54" s="22">
        <v>44</v>
      </c>
      <c r="S54" s="22">
        <v>0.121002</v>
      </c>
      <c r="T54">
        <f t="shared" si="2"/>
        <v>16.131599999999999</v>
      </c>
      <c r="U54">
        <f t="shared" si="3"/>
        <v>1.9618122707999999</v>
      </c>
      <c r="X54" s="9"/>
      <c r="Y54" s="22">
        <v>1.5783700000000001</v>
      </c>
      <c r="Z54" s="22">
        <v>267.47699999999998</v>
      </c>
      <c r="AA54" s="22">
        <v>-1.46515E-2</v>
      </c>
      <c r="AB54" s="22">
        <v>44</v>
      </c>
      <c r="AC54" s="22">
        <v>1.5777600000000001</v>
      </c>
      <c r="AD54">
        <f t="shared" si="4"/>
        <v>14.6515</v>
      </c>
      <c r="AE54">
        <f t="shared" si="5"/>
        <v>23.125488055000002</v>
      </c>
      <c r="AF54" s="9"/>
      <c r="AG54" s="22">
        <v>0.121613</v>
      </c>
      <c r="AH54" s="22">
        <v>352.57100000000003</v>
      </c>
      <c r="AI54" s="22">
        <v>-1.6168200000000001E-2</v>
      </c>
      <c r="AJ54" s="22">
        <v>44</v>
      </c>
      <c r="AK54" s="22">
        <v>0.12094100000000001</v>
      </c>
      <c r="AL54">
        <f t="shared" si="6"/>
        <v>16.168200000000002</v>
      </c>
      <c r="AM54">
        <f t="shared" si="7"/>
        <v>1.9662633066000004</v>
      </c>
      <c r="AP54" s="9"/>
      <c r="AQ54" s="22">
        <v>1.5783700000000001</v>
      </c>
      <c r="AR54" s="22">
        <v>435.97</v>
      </c>
      <c r="AS54" s="22">
        <v>-1.46088E-2</v>
      </c>
      <c r="AT54" s="22">
        <v>44</v>
      </c>
      <c r="AU54" s="22">
        <v>1.57745</v>
      </c>
      <c r="AV54">
        <f t="shared" si="8"/>
        <v>14.6088</v>
      </c>
      <c r="AW54">
        <f t="shared" si="9"/>
        <v>23.058091656000002</v>
      </c>
      <c r="AX54" s="9"/>
      <c r="AY54" s="22">
        <v>0.121613</v>
      </c>
      <c r="AZ54" s="22">
        <v>557.904</v>
      </c>
      <c r="BA54" s="22">
        <v>-1.6180400000000001E-2</v>
      </c>
      <c r="BB54" s="22">
        <v>44</v>
      </c>
      <c r="BC54" s="22">
        <v>0.121002</v>
      </c>
      <c r="BD54">
        <f t="shared" si="10"/>
        <v>16.180400000000002</v>
      </c>
      <c r="BE54">
        <f t="shared" si="11"/>
        <v>1.9677469852000002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77.777100000000004</v>
      </c>
      <c r="I55" s="22">
        <v>-1.44928E-2</v>
      </c>
      <c r="J55" s="22">
        <v>45</v>
      </c>
      <c r="K55" s="22">
        <v>1.57257</v>
      </c>
      <c r="L55">
        <f t="shared" si="0"/>
        <v>14.492800000000001</v>
      </c>
      <c r="M55">
        <f t="shared" si="1"/>
        <v>22.801957024</v>
      </c>
      <c r="N55" s="9"/>
      <c r="O55" s="22">
        <v>0.12664800000000001</v>
      </c>
      <c r="P55" s="22">
        <v>185.06399999999999</v>
      </c>
      <c r="Q55" s="22">
        <v>-1.6131599999999999E-2</v>
      </c>
      <c r="R55" s="22">
        <v>45</v>
      </c>
      <c r="S55" s="22">
        <v>0.12606800000000001</v>
      </c>
      <c r="T55">
        <f t="shared" si="2"/>
        <v>16.131599999999999</v>
      </c>
      <c r="U55">
        <f t="shared" si="3"/>
        <v>2.0430348768000002</v>
      </c>
      <c r="X55" s="9"/>
      <c r="Y55" s="22">
        <v>1.5733299999999999</v>
      </c>
      <c r="Z55" s="22">
        <v>267.577</v>
      </c>
      <c r="AA55" s="22">
        <v>-1.47064E-2</v>
      </c>
      <c r="AB55" s="22">
        <v>45</v>
      </c>
      <c r="AC55" s="22">
        <v>1.5728800000000001</v>
      </c>
      <c r="AD55">
        <f t="shared" si="4"/>
        <v>14.7064</v>
      </c>
      <c r="AE55">
        <f t="shared" si="5"/>
        <v>23.138020311999998</v>
      </c>
      <c r="AF55" s="9"/>
      <c r="AG55" s="22">
        <v>0.12664800000000001</v>
      </c>
      <c r="AH55" s="22">
        <v>352.67200000000003</v>
      </c>
      <c r="AI55" s="22">
        <v>-1.6177400000000002E-2</v>
      </c>
      <c r="AJ55" s="22">
        <v>45</v>
      </c>
      <c r="AK55" s="22">
        <v>0.12600700000000001</v>
      </c>
      <c r="AL55">
        <f t="shared" si="6"/>
        <v>16.177400000000002</v>
      </c>
      <c r="AM55">
        <f t="shared" si="7"/>
        <v>2.0488353552000005</v>
      </c>
      <c r="AP55" s="9"/>
      <c r="AQ55" s="22">
        <v>1.5733299999999999</v>
      </c>
      <c r="AR55" s="22">
        <v>436.07100000000003</v>
      </c>
      <c r="AS55" s="22">
        <v>-1.4678999999999999E-2</v>
      </c>
      <c r="AT55" s="22">
        <v>45</v>
      </c>
      <c r="AU55" s="22">
        <v>1.57196</v>
      </c>
      <c r="AV55">
        <f t="shared" si="8"/>
        <v>14.678999999999998</v>
      </c>
      <c r="AW55">
        <f t="shared" si="9"/>
        <v>23.094911069999995</v>
      </c>
      <c r="AX55" s="9"/>
      <c r="AY55" s="22">
        <v>0.12664800000000001</v>
      </c>
      <c r="AZ55" s="22">
        <v>558.005</v>
      </c>
      <c r="BA55" s="22">
        <v>-1.61713E-2</v>
      </c>
      <c r="BB55" s="22">
        <v>45</v>
      </c>
      <c r="BC55" s="22">
        <v>0.12600700000000001</v>
      </c>
      <c r="BD55">
        <f t="shared" si="10"/>
        <v>16.171299999999999</v>
      </c>
      <c r="BE55">
        <f t="shared" si="11"/>
        <v>2.0480628024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77.877799999999993</v>
      </c>
      <c r="I56" s="22">
        <v>-1.4523299999999999E-2</v>
      </c>
      <c r="J56" s="22">
        <v>46</v>
      </c>
      <c r="K56" s="22">
        <v>1.56708</v>
      </c>
      <c r="L56">
        <f t="shared" si="0"/>
        <v>14.523299999999999</v>
      </c>
      <c r="M56">
        <f t="shared" si="1"/>
        <v>22.776891389999999</v>
      </c>
      <c r="N56" s="9"/>
      <c r="O56" s="22">
        <v>0.13168299999999999</v>
      </c>
      <c r="P56" s="22">
        <v>185.16499999999999</v>
      </c>
      <c r="Q56" s="22">
        <v>-1.6131599999999999E-2</v>
      </c>
      <c r="R56" s="22">
        <v>46</v>
      </c>
      <c r="S56" s="22">
        <v>0.131165</v>
      </c>
      <c r="T56">
        <f t="shared" si="2"/>
        <v>16.131599999999999</v>
      </c>
      <c r="U56">
        <f t="shared" si="3"/>
        <v>2.1242574827999996</v>
      </c>
      <c r="X56" s="9"/>
      <c r="Y56" s="22">
        <v>1.5683</v>
      </c>
      <c r="Z56" s="22">
        <v>267.678</v>
      </c>
      <c r="AA56" s="22">
        <v>-1.47552E-2</v>
      </c>
      <c r="AB56" s="22">
        <v>46</v>
      </c>
      <c r="AC56" s="22">
        <v>1.56738</v>
      </c>
      <c r="AD56">
        <f t="shared" si="4"/>
        <v>14.7552</v>
      </c>
      <c r="AE56">
        <f t="shared" si="5"/>
        <v>23.140580160000003</v>
      </c>
      <c r="AF56" s="9"/>
      <c r="AG56" s="22">
        <v>0.13168299999999999</v>
      </c>
      <c r="AH56" s="22">
        <v>352.77199999999999</v>
      </c>
      <c r="AI56" s="22">
        <v>-1.6180400000000001E-2</v>
      </c>
      <c r="AJ56" s="22">
        <v>46</v>
      </c>
      <c r="AK56" s="22">
        <v>0.13104199999999999</v>
      </c>
      <c r="AL56">
        <f t="shared" si="6"/>
        <v>16.180400000000002</v>
      </c>
      <c r="AM56">
        <f t="shared" si="7"/>
        <v>2.1306836132000004</v>
      </c>
      <c r="AP56" s="9"/>
      <c r="AQ56" s="22">
        <v>1.5683</v>
      </c>
      <c r="AR56" s="22">
        <v>436.17200000000003</v>
      </c>
      <c r="AS56" s="22">
        <v>-1.47095E-2</v>
      </c>
      <c r="AT56" s="22">
        <v>46</v>
      </c>
      <c r="AU56" s="22">
        <v>1.56708</v>
      </c>
      <c r="AV56">
        <f t="shared" si="8"/>
        <v>14.7095</v>
      </c>
      <c r="AW56">
        <f t="shared" si="9"/>
        <v>23.06890885</v>
      </c>
      <c r="AX56" s="9"/>
      <c r="AY56" s="22">
        <v>0.13168299999999999</v>
      </c>
      <c r="AZ56" s="22">
        <v>558.10599999999999</v>
      </c>
      <c r="BA56" s="22">
        <v>-1.61835E-2</v>
      </c>
      <c r="BB56" s="22">
        <v>46</v>
      </c>
      <c r="BC56" s="22">
        <v>0.131073</v>
      </c>
      <c r="BD56">
        <f t="shared" si="10"/>
        <v>16.183499999999999</v>
      </c>
      <c r="BE56">
        <f t="shared" si="11"/>
        <v>2.1310918305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77.978499999999997</v>
      </c>
      <c r="I57" s="22">
        <v>-1.4572099999999999E-2</v>
      </c>
      <c r="J57" s="22">
        <v>47</v>
      </c>
      <c r="K57" s="22">
        <v>1.56281</v>
      </c>
      <c r="L57">
        <f t="shared" si="0"/>
        <v>14.572099999999999</v>
      </c>
      <c r="M57">
        <f t="shared" si="1"/>
        <v>22.779981046</v>
      </c>
      <c r="N57" s="9"/>
      <c r="O57" s="22">
        <v>0.13671900000000001</v>
      </c>
      <c r="P57" s="22">
        <v>185.26499999999999</v>
      </c>
      <c r="Q57" s="22">
        <v>-1.61285E-2</v>
      </c>
      <c r="R57" s="22">
        <v>47</v>
      </c>
      <c r="S57" s="22">
        <v>0.136078</v>
      </c>
      <c r="T57">
        <f t="shared" si="2"/>
        <v>16.128499999999999</v>
      </c>
      <c r="U57">
        <f t="shared" si="3"/>
        <v>2.2050723914999999</v>
      </c>
      <c r="X57" s="9"/>
      <c r="Y57" s="22">
        <v>1.5632600000000001</v>
      </c>
      <c r="Z57" s="22">
        <v>267.779</v>
      </c>
      <c r="AA57" s="22">
        <v>-1.47888E-2</v>
      </c>
      <c r="AB57" s="22">
        <v>47</v>
      </c>
      <c r="AC57" s="22">
        <v>1.5625</v>
      </c>
      <c r="AD57">
        <f t="shared" si="4"/>
        <v>14.7888</v>
      </c>
      <c r="AE57">
        <f t="shared" si="5"/>
        <v>23.118739488000003</v>
      </c>
      <c r="AF57" s="9"/>
      <c r="AG57" s="22">
        <v>0.13671900000000001</v>
      </c>
      <c r="AH57" s="22">
        <v>352.87299999999999</v>
      </c>
      <c r="AI57" s="22">
        <v>-1.6174299999999999E-2</v>
      </c>
      <c r="AJ57" s="22">
        <v>47</v>
      </c>
      <c r="AK57" s="22">
        <v>0.13610800000000001</v>
      </c>
      <c r="AL57">
        <f t="shared" si="6"/>
        <v>16.174299999999999</v>
      </c>
      <c r="AM57">
        <f t="shared" si="7"/>
        <v>2.2113341216999998</v>
      </c>
      <c r="AP57" s="9"/>
      <c r="AQ57" s="22">
        <v>1.5632600000000001</v>
      </c>
      <c r="AR57" s="22">
        <v>436.27199999999999</v>
      </c>
      <c r="AS57" s="22">
        <v>-1.4761399999999999E-2</v>
      </c>
      <c r="AT57" s="22">
        <v>47</v>
      </c>
      <c r="AU57" s="22">
        <v>1.56281</v>
      </c>
      <c r="AV57">
        <f t="shared" si="8"/>
        <v>14.761399999999998</v>
      </c>
      <c r="AW57">
        <f t="shared" si="9"/>
        <v>23.075906163999999</v>
      </c>
      <c r="AX57" s="9"/>
      <c r="AY57" s="22">
        <v>0.13671900000000001</v>
      </c>
      <c r="AZ57" s="22">
        <v>558.20699999999999</v>
      </c>
      <c r="BA57" s="22">
        <v>-1.6174299999999999E-2</v>
      </c>
      <c r="BB57" s="22">
        <v>47</v>
      </c>
      <c r="BC57" s="22">
        <v>0.13613900000000001</v>
      </c>
      <c r="BD57">
        <f t="shared" si="10"/>
        <v>16.174299999999999</v>
      </c>
      <c r="BE57">
        <f t="shared" si="11"/>
        <v>2.2113341216999998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78.0792</v>
      </c>
      <c r="I58" s="22">
        <v>-1.4605699999999999E-2</v>
      </c>
      <c r="J58" s="22">
        <v>48</v>
      </c>
      <c r="K58" s="22">
        <v>1.55792</v>
      </c>
      <c r="L58">
        <f t="shared" si="0"/>
        <v>14.605699999999999</v>
      </c>
      <c r="M58">
        <f t="shared" si="1"/>
        <v>22.759039910999999</v>
      </c>
      <c r="N58" s="9"/>
      <c r="O58" s="22">
        <v>0.14175399999999999</v>
      </c>
      <c r="P58" s="22">
        <v>185.36600000000001</v>
      </c>
      <c r="Q58" s="22">
        <v>-1.6134599999999999E-2</v>
      </c>
      <c r="R58" s="22">
        <v>48</v>
      </c>
      <c r="S58" s="22">
        <v>0.141205</v>
      </c>
      <c r="T58">
        <f t="shared" si="2"/>
        <v>16.134599999999999</v>
      </c>
      <c r="U58">
        <f t="shared" si="3"/>
        <v>2.2871440883999998</v>
      </c>
      <c r="X58" s="9"/>
      <c r="Y58" s="22">
        <v>1.55823</v>
      </c>
      <c r="Z58" s="22">
        <v>267.87900000000002</v>
      </c>
      <c r="AA58" s="22">
        <v>-1.48346E-2</v>
      </c>
      <c r="AB58" s="22">
        <v>48</v>
      </c>
      <c r="AC58" s="22">
        <v>1.55701</v>
      </c>
      <c r="AD58">
        <f t="shared" si="4"/>
        <v>14.8346</v>
      </c>
      <c r="AE58">
        <f t="shared" si="5"/>
        <v>23.115718758</v>
      </c>
      <c r="AF58" s="9"/>
      <c r="AG58" s="22">
        <v>0.14175399999999999</v>
      </c>
      <c r="AH58" s="22">
        <v>352.97399999999999</v>
      </c>
      <c r="AI58" s="22">
        <v>-1.61713E-2</v>
      </c>
      <c r="AJ58" s="22">
        <v>48</v>
      </c>
      <c r="AK58" s="22">
        <v>0.14117399999999999</v>
      </c>
      <c r="AL58">
        <f t="shared" si="6"/>
        <v>16.171299999999999</v>
      </c>
      <c r="AM58">
        <f t="shared" si="7"/>
        <v>2.2923464601999997</v>
      </c>
      <c r="AP58" s="9"/>
      <c r="AQ58" s="22">
        <v>1.55823</v>
      </c>
      <c r="AR58" s="22">
        <v>436.37299999999999</v>
      </c>
      <c r="AS58" s="22">
        <v>-1.47919E-2</v>
      </c>
      <c r="AT58" s="22">
        <v>48</v>
      </c>
      <c r="AU58" s="22">
        <v>1.55731</v>
      </c>
      <c r="AV58">
        <f t="shared" si="8"/>
        <v>14.7919</v>
      </c>
      <c r="AW58">
        <f t="shared" si="9"/>
        <v>23.049182337000001</v>
      </c>
      <c r="AX58" s="9"/>
      <c r="AY58" s="22">
        <v>0.14175399999999999</v>
      </c>
      <c r="AZ58" s="22">
        <v>558.30700000000002</v>
      </c>
      <c r="BA58" s="22">
        <v>-1.6174299999999999E-2</v>
      </c>
      <c r="BB58" s="22">
        <v>48</v>
      </c>
      <c r="BC58" s="22">
        <v>0.14111299999999999</v>
      </c>
      <c r="BD58">
        <f t="shared" si="10"/>
        <v>16.174299999999999</v>
      </c>
      <c r="BE58">
        <f t="shared" si="11"/>
        <v>2.2927717221999995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78.179900000000004</v>
      </c>
      <c r="I59" s="22">
        <v>-1.46301E-2</v>
      </c>
      <c r="J59" s="22">
        <v>49</v>
      </c>
      <c r="K59" s="22">
        <v>1.5521199999999999</v>
      </c>
      <c r="L59">
        <f t="shared" si="0"/>
        <v>14.630100000000001</v>
      </c>
      <c r="M59">
        <f t="shared" si="1"/>
        <v>22.723325019000001</v>
      </c>
      <c r="N59" s="9"/>
      <c r="O59" s="22">
        <v>0.14679</v>
      </c>
      <c r="P59" s="22">
        <v>185.46700000000001</v>
      </c>
      <c r="Q59" s="22">
        <v>-1.6134599999999999E-2</v>
      </c>
      <c r="R59" s="22">
        <v>49</v>
      </c>
      <c r="S59" s="22">
        <v>0.146423</v>
      </c>
      <c r="T59">
        <f t="shared" si="2"/>
        <v>16.134599999999999</v>
      </c>
      <c r="U59">
        <f t="shared" si="3"/>
        <v>2.3683979339999999</v>
      </c>
      <c r="X59" s="9"/>
      <c r="Y59" s="22">
        <v>1.5531900000000001</v>
      </c>
      <c r="Z59" s="22">
        <v>267.98</v>
      </c>
      <c r="AA59" s="22">
        <v>-1.48682E-2</v>
      </c>
      <c r="AB59" s="22">
        <v>49</v>
      </c>
      <c r="AC59" s="22">
        <v>1.5521199999999999</v>
      </c>
      <c r="AD59">
        <f t="shared" si="4"/>
        <v>14.8682</v>
      </c>
      <c r="AE59">
        <f t="shared" si="5"/>
        <v>23.093139558000001</v>
      </c>
      <c r="AF59" s="9"/>
      <c r="AG59" s="22">
        <v>0.14679</v>
      </c>
      <c r="AH59" s="22">
        <v>353.07400000000001</v>
      </c>
      <c r="AI59" s="22">
        <v>-1.6168200000000001E-2</v>
      </c>
      <c r="AJ59" s="22">
        <v>49</v>
      </c>
      <c r="AK59" s="22">
        <v>0.146179</v>
      </c>
      <c r="AL59">
        <f t="shared" si="6"/>
        <v>16.168200000000002</v>
      </c>
      <c r="AM59">
        <f t="shared" si="7"/>
        <v>2.3733300780000004</v>
      </c>
      <c r="AP59" s="9"/>
      <c r="AQ59" s="22">
        <v>1.5531900000000001</v>
      </c>
      <c r="AR59" s="22">
        <v>436.47399999999999</v>
      </c>
      <c r="AS59" s="22">
        <v>-1.4816299999999999E-2</v>
      </c>
      <c r="AT59" s="22">
        <v>49</v>
      </c>
      <c r="AU59" s="22">
        <v>1.55243</v>
      </c>
      <c r="AV59">
        <f t="shared" si="8"/>
        <v>14.8163</v>
      </c>
      <c r="AW59">
        <f t="shared" si="9"/>
        <v>23.012528997</v>
      </c>
      <c r="AX59" s="9"/>
      <c r="AY59" s="22">
        <v>0.14679</v>
      </c>
      <c r="AZ59" s="22">
        <v>558.40800000000002</v>
      </c>
      <c r="BA59" s="22">
        <v>-1.6180400000000001E-2</v>
      </c>
      <c r="BB59" s="22">
        <v>49</v>
      </c>
      <c r="BC59" s="22">
        <v>0.146118</v>
      </c>
      <c r="BD59">
        <f t="shared" si="10"/>
        <v>16.180400000000002</v>
      </c>
      <c r="BE59">
        <f t="shared" si="11"/>
        <v>2.3751209160000002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78.280600000000007</v>
      </c>
      <c r="I60" s="22">
        <v>-1.4672899999999999E-2</v>
      </c>
      <c r="J60" s="22">
        <v>50</v>
      </c>
      <c r="K60" s="22">
        <v>1.54694</v>
      </c>
      <c r="L60">
        <f t="shared" si="0"/>
        <v>14.672899999999998</v>
      </c>
      <c r="M60">
        <f t="shared" si="1"/>
        <v>22.715996863999997</v>
      </c>
      <c r="N60" s="9"/>
      <c r="O60" s="22">
        <v>0.15182499999999999</v>
      </c>
      <c r="P60" s="22">
        <v>185.56700000000001</v>
      </c>
      <c r="Q60" s="22">
        <v>-1.61285E-2</v>
      </c>
      <c r="R60" s="22">
        <v>50</v>
      </c>
      <c r="S60" s="22">
        <v>0.151062</v>
      </c>
      <c r="T60">
        <f t="shared" si="2"/>
        <v>16.128499999999999</v>
      </c>
      <c r="U60">
        <f t="shared" si="3"/>
        <v>2.4487095124999998</v>
      </c>
      <c r="X60" s="9"/>
      <c r="Y60" s="22">
        <v>1.54816</v>
      </c>
      <c r="Z60" s="22">
        <v>268.08100000000002</v>
      </c>
      <c r="AA60" s="22">
        <v>-1.4919999999999999E-2</v>
      </c>
      <c r="AB60" s="22">
        <v>50</v>
      </c>
      <c r="AC60" s="22">
        <v>1.54755</v>
      </c>
      <c r="AD60">
        <f t="shared" si="4"/>
        <v>14.92</v>
      </c>
      <c r="AE60">
        <f t="shared" si="5"/>
        <v>23.098547199999999</v>
      </c>
      <c r="AF60" s="9"/>
      <c r="AG60" s="22">
        <v>0.15182499999999999</v>
      </c>
      <c r="AH60" s="22">
        <v>353.17500000000001</v>
      </c>
      <c r="AI60" s="22">
        <v>-1.6165200000000001E-2</v>
      </c>
      <c r="AJ60" s="22">
        <v>50</v>
      </c>
      <c r="AK60" s="22">
        <v>0.15109300000000001</v>
      </c>
      <c r="AL60">
        <f t="shared" si="6"/>
        <v>16.165200000000002</v>
      </c>
      <c r="AM60">
        <f t="shared" si="7"/>
        <v>2.4542814900000001</v>
      </c>
      <c r="AP60" s="9"/>
      <c r="AQ60" s="22">
        <v>1.54816</v>
      </c>
      <c r="AR60" s="22">
        <v>436.57499999999999</v>
      </c>
      <c r="AS60" s="22">
        <v>-1.48529E-2</v>
      </c>
      <c r="AT60" s="22">
        <v>50</v>
      </c>
      <c r="AU60" s="22">
        <v>1.54755</v>
      </c>
      <c r="AV60">
        <f t="shared" si="8"/>
        <v>14.8529</v>
      </c>
      <c r="AW60">
        <f t="shared" si="9"/>
        <v>22.994665663999999</v>
      </c>
      <c r="AX60" s="9"/>
      <c r="AY60" s="22">
        <v>0.15182499999999999</v>
      </c>
      <c r="AZ60" s="22">
        <v>558.50900000000001</v>
      </c>
      <c r="BA60" s="22">
        <v>-1.6177400000000002E-2</v>
      </c>
      <c r="BB60" s="22">
        <v>50</v>
      </c>
      <c r="BC60" s="22">
        <v>0.15118400000000001</v>
      </c>
      <c r="BD60">
        <f t="shared" si="10"/>
        <v>16.177400000000002</v>
      </c>
      <c r="BE60">
        <f t="shared" si="11"/>
        <v>2.4561337550000002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78.381299999999996</v>
      </c>
      <c r="I61" s="22">
        <v>-1.4721700000000001E-2</v>
      </c>
      <c r="J61" s="22">
        <v>51</v>
      </c>
      <c r="K61" s="22">
        <v>1.5426599999999999</v>
      </c>
      <c r="L61">
        <f t="shared" si="0"/>
        <v>14.7217</v>
      </c>
      <c r="M61">
        <f t="shared" si="1"/>
        <v>22.717349704</v>
      </c>
      <c r="N61" s="9"/>
      <c r="O61" s="22">
        <v>0.15686</v>
      </c>
      <c r="P61" s="22">
        <v>185.66800000000001</v>
      </c>
      <c r="Q61" s="22">
        <v>-1.61285E-2</v>
      </c>
      <c r="R61" s="22">
        <v>51</v>
      </c>
      <c r="S61" s="22">
        <v>0.15625</v>
      </c>
      <c r="T61">
        <f t="shared" si="2"/>
        <v>16.128499999999999</v>
      </c>
      <c r="U61">
        <f t="shared" si="3"/>
        <v>2.5299165099999996</v>
      </c>
      <c r="X61" s="9"/>
      <c r="Y61" s="22">
        <v>1.54312</v>
      </c>
      <c r="Z61" s="22">
        <v>268.18099999999998</v>
      </c>
      <c r="AA61" s="22">
        <v>-1.4941400000000001E-2</v>
      </c>
      <c r="AB61" s="22">
        <v>51</v>
      </c>
      <c r="AC61" s="22">
        <v>1.5426599999999999</v>
      </c>
      <c r="AD61">
        <f t="shared" si="4"/>
        <v>14.9414</v>
      </c>
      <c r="AE61">
        <f t="shared" si="5"/>
        <v>23.056373168</v>
      </c>
      <c r="AF61" s="9"/>
      <c r="AG61" s="22">
        <v>0.15686</v>
      </c>
      <c r="AH61" s="22">
        <v>353.27600000000001</v>
      </c>
      <c r="AI61" s="22">
        <v>-1.6168200000000001E-2</v>
      </c>
      <c r="AJ61" s="22">
        <v>51</v>
      </c>
      <c r="AK61" s="22">
        <v>0.15634200000000001</v>
      </c>
      <c r="AL61">
        <f t="shared" si="6"/>
        <v>16.168200000000002</v>
      </c>
      <c r="AM61">
        <f t="shared" si="7"/>
        <v>2.5361438520000004</v>
      </c>
      <c r="AP61" s="9"/>
      <c r="AQ61" s="22">
        <v>1.54312</v>
      </c>
      <c r="AR61" s="22">
        <v>436.67500000000001</v>
      </c>
      <c r="AS61" s="22">
        <v>-1.49017E-2</v>
      </c>
      <c r="AT61" s="22">
        <v>51</v>
      </c>
      <c r="AU61" s="22">
        <v>1.5420499999999999</v>
      </c>
      <c r="AV61">
        <f t="shared" si="8"/>
        <v>14.9017</v>
      </c>
      <c r="AW61">
        <f t="shared" si="9"/>
        <v>22.995111304000002</v>
      </c>
      <c r="AX61" s="9"/>
      <c r="AY61" s="22">
        <v>0.15686</v>
      </c>
      <c r="AZ61" s="22">
        <v>558.60900000000004</v>
      </c>
      <c r="BA61" s="22">
        <v>-1.6180400000000001E-2</v>
      </c>
      <c r="BB61" s="22">
        <v>51</v>
      </c>
      <c r="BC61" s="22">
        <v>0.156281</v>
      </c>
      <c r="BD61">
        <f t="shared" si="10"/>
        <v>16.180400000000002</v>
      </c>
      <c r="BE61">
        <f t="shared" si="11"/>
        <v>2.5380575440000004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78.482100000000003</v>
      </c>
      <c r="I62" s="22">
        <v>-1.47583E-2</v>
      </c>
      <c r="J62" s="22">
        <v>52</v>
      </c>
      <c r="K62" s="22">
        <v>1.5371699999999999</v>
      </c>
      <c r="L62">
        <f t="shared" si="0"/>
        <v>14.7583</v>
      </c>
      <c r="M62">
        <f t="shared" si="1"/>
        <v>22.699593647</v>
      </c>
      <c r="N62" s="9"/>
      <c r="O62" s="22">
        <v>0.16189600000000001</v>
      </c>
      <c r="P62" s="22">
        <v>185.76900000000001</v>
      </c>
      <c r="Q62" s="22">
        <v>-1.6131599999999999E-2</v>
      </c>
      <c r="R62" s="22">
        <v>52</v>
      </c>
      <c r="S62" s="22">
        <v>0.16125500000000001</v>
      </c>
      <c r="T62">
        <f t="shared" si="2"/>
        <v>16.131599999999999</v>
      </c>
      <c r="U62">
        <f t="shared" si="3"/>
        <v>2.6116415136</v>
      </c>
      <c r="X62" s="9"/>
      <c r="Y62" s="22">
        <v>1.53809</v>
      </c>
      <c r="Z62" s="22">
        <v>268.28199999999998</v>
      </c>
      <c r="AA62" s="22">
        <v>-1.49994E-2</v>
      </c>
      <c r="AB62" s="22">
        <v>52</v>
      </c>
      <c r="AC62" s="22">
        <v>1.53687</v>
      </c>
      <c r="AD62">
        <f t="shared" si="4"/>
        <v>14.9994</v>
      </c>
      <c r="AE62">
        <f t="shared" si="5"/>
        <v>23.070427146</v>
      </c>
      <c r="AF62" s="9"/>
      <c r="AG62" s="22">
        <v>0.16189600000000001</v>
      </c>
      <c r="AH62" s="22">
        <v>353.37700000000001</v>
      </c>
      <c r="AI62" s="22">
        <v>-1.6174299999999999E-2</v>
      </c>
      <c r="AJ62" s="22">
        <v>52</v>
      </c>
      <c r="AK62" s="22">
        <v>0.16122400000000001</v>
      </c>
      <c r="AL62">
        <f t="shared" si="6"/>
        <v>16.174299999999999</v>
      </c>
      <c r="AM62">
        <f t="shared" si="7"/>
        <v>2.6185544728000001</v>
      </c>
      <c r="AP62" s="9"/>
      <c r="AQ62" s="22">
        <v>1.53809</v>
      </c>
      <c r="AR62" s="22">
        <v>436.77600000000001</v>
      </c>
      <c r="AS62" s="22">
        <v>-1.49567E-2</v>
      </c>
      <c r="AT62" s="22">
        <v>52</v>
      </c>
      <c r="AU62" s="22">
        <v>1.53748</v>
      </c>
      <c r="AV62">
        <f t="shared" si="8"/>
        <v>14.9567</v>
      </c>
      <c r="AW62">
        <f t="shared" si="9"/>
        <v>23.004750702999999</v>
      </c>
      <c r="AX62" s="9"/>
      <c r="AY62" s="22">
        <v>0.16189600000000001</v>
      </c>
      <c r="AZ62" s="22">
        <v>558.71</v>
      </c>
      <c r="BA62" s="22">
        <v>-1.61835E-2</v>
      </c>
      <c r="BB62" s="22">
        <v>52</v>
      </c>
      <c r="BC62" s="22">
        <v>0.16128500000000001</v>
      </c>
      <c r="BD62">
        <f t="shared" si="10"/>
        <v>16.183499999999999</v>
      </c>
      <c r="BE62">
        <f t="shared" si="11"/>
        <v>2.6200439160000002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78.582800000000006</v>
      </c>
      <c r="I63" s="22">
        <v>-1.4804100000000001E-2</v>
      </c>
      <c r="J63" s="22">
        <v>53</v>
      </c>
      <c r="K63" s="22">
        <v>1.5316799999999999</v>
      </c>
      <c r="L63">
        <f t="shared" si="0"/>
        <v>14.8041</v>
      </c>
      <c r="M63">
        <f t="shared" si="1"/>
        <v>22.695425504999999</v>
      </c>
      <c r="N63" s="9"/>
      <c r="O63" s="22">
        <v>0.166931</v>
      </c>
      <c r="P63" s="22">
        <v>185.87</v>
      </c>
      <c r="Q63" s="22">
        <v>-1.61285E-2</v>
      </c>
      <c r="R63" s="22">
        <v>53</v>
      </c>
      <c r="S63" s="22">
        <v>0.16653399999999999</v>
      </c>
      <c r="T63">
        <f t="shared" si="2"/>
        <v>16.128499999999999</v>
      </c>
      <c r="U63">
        <f t="shared" si="3"/>
        <v>2.6923466334999997</v>
      </c>
      <c r="X63" s="9"/>
      <c r="Y63" s="22">
        <v>1.53305</v>
      </c>
      <c r="Z63" s="22">
        <v>268.38299999999998</v>
      </c>
      <c r="AA63" s="22">
        <v>-1.5020800000000001E-2</v>
      </c>
      <c r="AB63" s="22">
        <v>53</v>
      </c>
      <c r="AC63" s="22">
        <v>1.5319799999999999</v>
      </c>
      <c r="AD63">
        <f t="shared" si="4"/>
        <v>15.020800000000001</v>
      </c>
      <c r="AE63">
        <f t="shared" si="5"/>
        <v>23.027637440000003</v>
      </c>
      <c r="AF63" s="9"/>
      <c r="AG63" s="22">
        <v>0.166931</v>
      </c>
      <c r="AH63" s="22">
        <v>353.47699999999998</v>
      </c>
      <c r="AI63" s="22">
        <v>-1.6180400000000001E-2</v>
      </c>
      <c r="AJ63" s="22">
        <v>53</v>
      </c>
      <c r="AK63" s="22">
        <v>0.16628999999999999</v>
      </c>
      <c r="AL63">
        <f t="shared" si="6"/>
        <v>16.180400000000002</v>
      </c>
      <c r="AM63">
        <f t="shared" si="7"/>
        <v>2.7010103524000004</v>
      </c>
      <c r="AP63" s="9"/>
      <c r="AQ63" s="22">
        <v>1.53305</v>
      </c>
      <c r="AR63" s="22">
        <v>436.87700000000001</v>
      </c>
      <c r="AS63" s="22">
        <v>-1.4959699999999999E-2</v>
      </c>
      <c r="AT63" s="22">
        <v>53</v>
      </c>
      <c r="AU63" s="22">
        <v>1.5322899999999999</v>
      </c>
      <c r="AV63">
        <f t="shared" si="8"/>
        <v>14.9597</v>
      </c>
      <c r="AW63">
        <f t="shared" si="9"/>
        <v>22.933968085</v>
      </c>
      <c r="AX63" s="9"/>
      <c r="AY63" s="22">
        <v>0.166931</v>
      </c>
      <c r="AZ63" s="22">
        <v>558.81100000000004</v>
      </c>
      <c r="BA63" s="22">
        <v>-1.6177400000000002E-2</v>
      </c>
      <c r="BB63" s="22">
        <v>53</v>
      </c>
      <c r="BC63" s="22">
        <v>0.166412</v>
      </c>
      <c r="BD63">
        <f t="shared" si="10"/>
        <v>16.177400000000002</v>
      </c>
      <c r="BE63">
        <f t="shared" si="11"/>
        <v>2.7005095594000004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78.683499999999995</v>
      </c>
      <c r="I64" s="22">
        <v>-1.4825400000000001E-2</v>
      </c>
      <c r="J64" s="22">
        <v>54</v>
      </c>
      <c r="K64" s="22">
        <v>1.5274000000000001</v>
      </c>
      <c r="L64">
        <f t="shared" si="0"/>
        <v>14.8254</v>
      </c>
      <c r="M64">
        <f t="shared" si="1"/>
        <v>22.653507707999999</v>
      </c>
      <c r="N64" s="9"/>
      <c r="O64" s="22">
        <v>0.17196700000000001</v>
      </c>
      <c r="P64" s="22">
        <v>185.97</v>
      </c>
      <c r="Q64" s="22">
        <v>-1.6137700000000001E-2</v>
      </c>
      <c r="R64" s="22">
        <v>54</v>
      </c>
      <c r="S64" s="22">
        <v>0.1716</v>
      </c>
      <c r="T64">
        <f t="shared" si="2"/>
        <v>16.137700000000002</v>
      </c>
      <c r="U64">
        <f t="shared" si="3"/>
        <v>2.7751518559000004</v>
      </c>
      <c r="X64" s="9"/>
      <c r="Y64" s="22">
        <v>1.5280199999999999</v>
      </c>
      <c r="Z64" s="22">
        <v>268.48399999999998</v>
      </c>
      <c r="AA64" s="22">
        <v>-1.50513E-2</v>
      </c>
      <c r="AB64" s="22">
        <v>54</v>
      </c>
      <c r="AC64" s="22">
        <v>1.5270999999999999</v>
      </c>
      <c r="AD64">
        <f t="shared" si="4"/>
        <v>15.051299999999999</v>
      </c>
      <c r="AE64">
        <f t="shared" si="5"/>
        <v>22.998687425999996</v>
      </c>
      <c r="AF64" s="9"/>
      <c r="AG64" s="22">
        <v>0.17196700000000001</v>
      </c>
      <c r="AH64" s="22">
        <v>353.57799999999997</v>
      </c>
      <c r="AI64" s="22">
        <v>-1.61835E-2</v>
      </c>
      <c r="AJ64" s="22">
        <v>54</v>
      </c>
      <c r="AK64" s="22">
        <v>0.17138700000000001</v>
      </c>
      <c r="AL64">
        <f t="shared" si="6"/>
        <v>16.183499999999999</v>
      </c>
      <c r="AM64">
        <f t="shared" si="7"/>
        <v>2.7830279445000001</v>
      </c>
      <c r="AP64" s="9"/>
      <c r="AQ64" s="22">
        <v>1.5280199999999999</v>
      </c>
      <c r="AR64" s="22">
        <v>436.97699999999998</v>
      </c>
      <c r="AS64" s="22">
        <v>-1.5008499999999999E-2</v>
      </c>
      <c r="AT64" s="22">
        <v>54</v>
      </c>
      <c r="AU64" s="22">
        <v>1.5274000000000001</v>
      </c>
      <c r="AV64">
        <f t="shared" si="8"/>
        <v>15.0085</v>
      </c>
      <c r="AW64">
        <f t="shared" si="9"/>
        <v>22.933288169999997</v>
      </c>
      <c r="AX64" s="9"/>
      <c r="AY64" s="22">
        <v>0.17196700000000001</v>
      </c>
      <c r="AZ64" s="22">
        <v>558.91099999999994</v>
      </c>
      <c r="BA64" s="22">
        <v>-1.6180400000000001E-2</v>
      </c>
      <c r="BB64" s="22">
        <v>54</v>
      </c>
      <c r="BC64" s="22">
        <v>0.171265</v>
      </c>
      <c r="BD64">
        <f t="shared" si="10"/>
        <v>16.180400000000002</v>
      </c>
      <c r="BE64">
        <f t="shared" si="11"/>
        <v>2.7824948468000006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78.784199999999998</v>
      </c>
      <c r="I65" s="22">
        <v>-1.4871199999999999E-2</v>
      </c>
      <c r="J65" s="22">
        <v>55</v>
      </c>
      <c r="K65" s="22">
        <v>1.5225200000000001</v>
      </c>
      <c r="L65">
        <f t="shared" si="0"/>
        <v>14.8712</v>
      </c>
      <c r="M65">
        <f t="shared" si="1"/>
        <v>22.648540176000001</v>
      </c>
      <c r="N65" s="9"/>
      <c r="O65" s="22">
        <v>0.17700199999999999</v>
      </c>
      <c r="P65" s="22">
        <v>186.071</v>
      </c>
      <c r="Q65" s="22">
        <v>-1.6131599999999999E-2</v>
      </c>
      <c r="R65" s="22">
        <v>55</v>
      </c>
      <c r="S65" s="22">
        <v>0.17636099999999999</v>
      </c>
      <c r="T65">
        <f t="shared" si="2"/>
        <v>16.131599999999999</v>
      </c>
      <c r="U65">
        <f t="shared" si="3"/>
        <v>2.8553254631999998</v>
      </c>
      <c r="X65" s="9"/>
      <c r="Y65" s="22">
        <v>1.52298</v>
      </c>
      <c r="Z65" s="22">
        <v>268.584</v>
      </c>
      <c r="AA65" s="22">
        <v>-1.5090900000000001E-2</v>
      </c>
      <c r="AB65" s="22">
        <v>55</v>
      </c>
      <c r="AC65" s="22">
        <v>1.5225200000000001</v>
      </c>
      <c r="AD65">
        <f t="shared" si="4"/>
        <v>15.090900000000001</v>
      </c>
      <c r="AE65">
        <f t="shared" si="5"/>
        <v>22.983138882000002</v>
      </c>
      <c r="AF65" s="9"/>
      <c r="AG65" s="22">
        <v>0.17700199999999999</v>
      </c>
      <c r="AH65" s="22">
        <v>353.67899999999997</v>
      </c>
      <c r="AI65" s="22">
        <v>-1.6177400000000002E-2</v>
      </c>
      <c r="AJ65" s="22">
        <v>55</v>
      </c>
      <c r="AK65" s="22">
        <v>0.17633099999999999</v>
      </c>
      <c r="AL65">
        <f t="shared" si="6"/>
        <v>16.177400000000002</v>
      </c>
      <c r="AM65">
        <f t="shared" si="7"/>
        <v>2.8634321548000004</v>
      </c>
      <c r="AP65" s="9"/>
      <c r="AQ65" s="22">
        <v>1.52298</v>
      </c>
      <c r="AR65" s="22">
        <v>437.07799999999997</v>
      </c>
      <c r="AS65" s="22">
        <v>-1.50391E-2</v>
      </c>
      <c r="AT65" s="22">
        <v>55</v>
      </c>
      <c r="AU65" s="22">
        <v>1.5225200000000001</v>
      </c>
      <c r="AV65">
        <f t="shared" si="8"/>
        <v>15.039099999999999</v>
      </c>
      <c r="AW65">
        <f t="shared" si="9"/>
        <v>22.904248517999999</v>
      </c>
      <c r="AX65" s="9"/>
      <c r="AY65" s="22">
        <v>0.17700199999999999</v>
      </c>
      <c r="AZ65" s="22">
        <v>559.01199999999994</v>
      </c>
      <c r="BA65" s="22">
        <v>-1.61835E-2</v>
      </c>
      <c r="BB65" s="22">
        <v>55</v>
      </c>
      <c r="BC65" s="22">
        <v>0.17639199999999999</v>
      </c>
      <c r="BD65">
        <f t="shared" si="10"/>
        <v>16.183499999999999</v>
      </c>
      <c r="BE65">
        <f t="shared" si="11"/>
        <v>2.8645118669999996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78.884900000000002</v>
      </c>
      <c r="I66" s="22">
        <v>-1.4892600000000001E-2</v>
      </c>
      <c r="J66" s="22">
        <v>56</v>
      </c>
      <c r="K66" s="22">
        <v>1.5170300000000001</v>
      </c>
      <c r="L66">
        <f t="shared" si="0"/>
        <v>14.8926</v>
      </c>
      <c r="M66">
        <f t="shared" si="1"/>
        <v>22.606073244000001</v>
      </c>
      <c r="N66" s="9"/>
      <c r="O66" s="22">
        <v>0.182037</v>
      </c>
      <c r="P66" s="22">
        <v>186.172</v>
      </c>
      <c r="Q66" s="22">
        <v>-1.6137700000000001E-2</v>
      </c>
      <c r="R66" s="22">
        <v>56</v>
      </c>
      <c r="S66" s="22">
        <v>0.18148800000000001</v>
      </c>
      <c r="T66">
        <f t="shared" si="2"/>
        <v>16.137700000000002</v>
      </c>
      <c r="U66">
        <f t="shared" si="3"/>
        <v>2.9376584949000004</v>
      </c>
      <c r="X66" s="9"/>
      <c r="Y66" s="22">
        <v>1.5179400000000001</v>
      </c>
      <c r="Z66" s="22">
        <v>268.685</v>
      </c>
      <c r="AA66" s="22">
        <v>-1.5109300000000001E-2</v>
      </c>
      <c r="AB66" s="22">
        <v>56</v>
      </c>
      <c r="AC66" s="22">
        <v>1.5176400000000001</v>
      </c>
      <c r="AD66">
        <f t="shared" si="4"/>
        <v>15.109300000000001</v>
      </c>
      <c r="AE66">
        <f t="shared" si="5"/>
        <v>22.935010842000004</v>
      </c>
      <c r="AF66" s="9"/>
      <c r="AG66" s="22">
        <v>0.182037</v>
      </c>
      <c r="AH66" s="22">
        <v>353.779</v>
      </c>
      <c r="AI66" s="22">
        <v>-1.6174299999999999E-2</v>
      </c>
      <c r="AJ66" s="22">
        <v>56</v>
      </c>
      <c r="AK66" s="22">
        <v>0.18145800000000001</v>
      </c>
      <c r="AL66">
        <f t="shared" si="6"/>
        <v>16.174299999999999</v>
      </c>
      <c r="AM66">
        <f t="shared" si="7"/>
        <v>2.9443210491</v>
      </c>
      <c r="AP66" s="9"/>
      <c r="AQ66" s="22">
        <v>1.5179400000000001</v>
      </c>
      <c r="AR66" s="22">
        <v>437.17899999999997</v>
      </c>
      <c r="AS66" s="22">
        <v>-1.50604E-2</v>
      </c>
      <c r="AT66" s="22">
        <v>56</v>
      </c>
      <c r="AU66" s="22">
        <v>1.5167200000000001</v>
      </c>
      <c r="AV66">
        <f t="shared" si="8"/>
        <v>15.0604</v>
      </c>
      <c r="AW66">
        <f t="shared" si="9"/>
        <v>22.860783575999999</v>
      </c>
      <c r="AX66" s="9"/>
      <c r="AY66" s="22">
        <v>0.182037</v>
      </c>
      <c r="AZ66" s="22">
        <v>559.11300000000006</v>
      </c>
      <c r="BA66" s="22">
        <v>-1.6177400000000002E-2</v>
      </c>
      <c r="BB66" s="22">
        <v>56</v>
      </c>
      <c r="BC66" s="22">
        <v>0.181427</v>
      </c>
      <c r="BD66">
        <f t="shared" si="10"/>
        <v>16.177400000000002</v>
      </c>
      <c r="BE66">
        <f t="shared" si="11"/>
        <v>2.9448853638000005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78.985600000000005</v>
      </c>
      <c r="I67" s="22">
        <v>-1.4932300000000001E-2</v>
      </c>
      <c r="J67" s="22">
        <v>57</v>
      </c>
      <c r="K67" s="22">
        <v>1.5124500000000001</v>
      </c>
      <c r="L67">
        <f t="shared" si="0"/>
        <v>14.932300000000001</v>
      </c>
      <c r="M67">
        <f t="shared" si="1"/>
        <v>22.591225993000002</v>
      </c>
      <c r="N67" s="9"/>
      <c r="O67" s="22">
        <v>0.18707299999999999</v>
      </c>
      <c r="P67" s="22">
        <v>186.27199999999999</v>
      </c>
      <c r="Q67" s="22">
        <v>-1.6131599999999999E-2</v>
      </c>
      <c r="R67" s="22">
        <v>57</v>
      </c>
      <c r="S67" s="22">
        <v>0.18631</v>
      </c>
      <c r="T67">
        <f t="shared" si="2"/>
        <v>16.131599999999999</v>
      </c>
      <c r="U67">
        <f t="shared" si="3"/>
        <v>3.0177868067999998</v>
      </c>
      <c r="X67" s="9"/>
      <c r="Y67" s="22">
        <v>1.51291</v>
      </c>
      <c r="Z67" s="22">
        <v>268.786</v>
      </c>
      <c r="AA67" s="22">
        <v>-1.51428E-2</v>
      </c>
      <c r="AB67" s="22">
        <v>57</v>
      </c>
      <c r="AC67" s="22">
        <v>1.5115400000000001</v>
      </c>
      <c r="AD67">
        <f t="shared" si="4"/>
        <v>15.142799999999999</v>
      </c>
      <c r="AE67">
        <f t="shared" si="5"/>
        <v>22.909693548</v>
      </c>
      <c r="AF67" s="9"/>
      <c r="AG67" s="22">
        <v>0.18707299999999999</v>
      </c>
      <c r="AH67" s="22">
        <v>353.88</v>
      </c>
      <c r="AI67" s="22">
        <v>-1.6180400000000001E-2</v>
      </c>
      <c r="AJ67" s="22">
        <v>57</v>
      </c>
      <c r="AK67" s="22">
        <v>0.18640100000000001</v>
      </c>
      <c r="AL67">
        <f t="shared" si="6"/>
        <v>16.180400000000002</v>
      </c>
      <c r="AM67">
        <f t="shared" si="7"/>
        <v>3.0269159692000001</v>
      </c>
      <c r="AP67" s="9"/>
      <c r="AQ67" s="22">
        <v>1.51291</v>
      </c>
      <c r="AR67" s="22">
        <v>437.279</v>
      </c>
      <c r="AS67" s="22">
        <v>-1.5096999999999999E-2</v>
      </c>
      <c r="AT67" s="22">
        <v>57</v>
      </c>
      <c r="AU67" s="22">
        <v>1.5124500000000001</v>
      </c>
      <c r="AV67">
        <f t="shared" si="8"/>
        <v>15.097</v>
      </c>
      <c r="AW67">
        <f t="shared" si="9"/>
        <v>22.840402269999998</v>
      </c>
      <c r="AX67" s="9"/>
      <c r="AY67" s="22">
        <v>0.18707299999999999</v>
      </c>
      <c r="AZ67" s="22">
        <v>559.21400000000006</v>
      </c>
      <c r="BA67" s="22">
        <v>-1.6177400000000002E-2</v>
      </c>
      <c r="BB67" s="22">
        <v>57</v>
      </c>
      <c r="BC67" s="22">
        <v>0.186249</v>
      </c>
      <c r="BD67">
        <f t="shared" si="10"/>
        <v>16.177400000000002</v>
      </c>
      <c r="BE67">
        <f t="shared" si="11"/>
        <v>3.0263547502000003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79.086299999999994</v>
      </c>
      <c r="I68" s="22">
        <v>-1.49658E-2</v>
      </c>
      <c r="J68" s="22">
        <v>58</v>
      </c>
      <c r="K68" s="22">
        <v>1.5069600000000001</v>
      </c>
      <c r="L68">
        <f t="shared" si="0"/>
        <v>14.9658</v>
      </c>
      <c r="M68">
        <f t="shared" si="1"/>
        <v>22.566480846000001</v>
      </c>
      <c r="N68" s="9"/>
      <c r="O68" s="22">
        <v>0.192108</v>
      </c>
      <c r="P68" s="22">
        <v>186.37299999999999</v>
      </c>
      <c r="Q68" s="22">
        <v>-1.61285E-2</v>
      </c>
      <c r="R68" s="22">
        <v>58</v>
      </c>
      <c r="S68" s="22">
        <v>0.19162000000000001</v>
      </c>
      <c r="T68">
        <f t="shared" si="2"/>
        <v>16.128499999999999</v>
      </c>
      <c r="U68">
        <f t="shared" si="3"/>
        <v>3.0984138779999997</v>
      </c>
      <c r="X68" s="9"/>
      <c r="Y68" s="22">
        <v>1.50787</v>
      </c>
      <c r="Z68" s="22">
        <v>268.88600000000002</v>
      </c>
      <c r="AA68" s="22">
        <v>-1.5179399999999999E-2</v>
      </c>
      <c r="AB68" s="22">
        <v>58</v>
      </c>
      <c r="AC68" s="22">
        <v>1.5075700000000001</v>
      </c>
      <c r="AD68">
        <f t="shared" si="4"/>
        <v>15.179399999999999</v>
      </c>
      <c r="AE68">
        <f t="shared" si="5"/>
        <v>22.888561878000001</v>
      </c>
      <c r="AF68" s="9"/>
      <c r="AG68" s="22">
        <v>0.192108</v>
      </c>
      <c r="AH68" s="22">
        <v>353.98099999999999</v>
      </c>
      <c r="AI68" s="22">
        <v>-1.6168200000000001E-2</v>
      </c>
      <c r="AJ68" s="22">
        <v>58</v>
      </c>
      <c r="AK68" s="22">
        <v>0.191467</v>
      </c>
      <c r="AL68">
        <f t="shared" si="6"/>
        <v>16.168200000000002</v>
      </c>
      <c r="AM68">
        <f t="shared" si="7"/>
        <v>3.1060405656000003</v>
      </c>
      <c r="AP68" s="9"/>
      <c r="AQ68" s="22">
        <v>1.50787</v>
      </c>
      <c r="AR68" s="22">
        <v>437.38</v>
      </c>
      <c r="AS68" s="22">
        <v>-1.5115399999999999E-2</v>
      </c>
      <c r="AT68" s="22">
        <v>58</v>
      </c>
      <c r="AU68" s="22">
        <v>1.5063500000000001</v>
      </c>
      <c r="AV68">
        <f t="shared" si="8"/>
        <v>15.115399999999999</v>
      </c>
      <c r="AW68">
        <f t="shared" si="9"/>
        <v>22.792058197999999</v>
      </c>
      <c r="AX68" s="9"/>
      <c r="AY68" s="22">
        <v>0.192108</v>
      </c>
      <c r="AZ68" s="22">
        <v>559.31399999999996</v>
      </c>
      <c r="BA68" s="22">
        <v>-1.61835E-2</v>
      </c>
      <c r="BB68" s="22">
        <v>58</v>
      </c>
      <c r="BC68" s="22">
        <v>0.191528</v>
      </c>
      <c r="BD68">
        <f t="shared" si="10"/>
        <v>16.183499999999999</v>
      </c>
      <c r="BE68">
        <f t="shared" si="11"/>
        <v>3.1089798179999999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79.186999999999998</v>
      </c>
      <c r="I69" s="22">
        <v>-1.49902E-2</v>
      </c>
      <c r="J69" s="22">
        <v>59</v>
      </c>
      <c r="K69" s="22">
        <v>1.5020800000000001</v>
      </c>
      <c r="L69">
        <f t="shared" si="0"/>
        <v>14.9902</v>
      </c>
      <c r="M69">
        <f t="shared" si="1"/>
        <v>22.527872167999998</v>
      </c>
      <c r="N69" s="9"/>
      <c r="O69" s="22">
        <v>0.19714400000000001</v>
      </c>
      <c r="P69" s="22">
        <v>186.47399999999999</v>
      </c>
      <c r="Q69" s="22">
        <v>-1.6131599999999999E-2</v>
      </c>
      <c r="R69" s="22">
        <v>59</v>
      </c>
      <c r="S69" s="22">
        <v>0.19650300000000001</v>
      </c>
      <c r="T69">
        <f t="shared" si="2"/>
        <v>16.131599999999999</v>
      </c>
      <c r="U69">
        <f t="shared" si="3"/>
        <v>3.1802481504000002</v>
      </c>
      <c r="X69" s="9"/>
      <c r="Y69" s="22">
        <v>1.50284</v>
      </c>
      <c r="Z69" s="22">
        <v>268.98700000000002</v>
      </c>
      <c r="AA69" s="22">
        <v>-1.5191700000000001E-2</v>
      </c>
      <c r="AB69" s="22">
        <v>59</v>
      </c>
      <c r="AC69" s="22">
        <v>1.50238</v>
      </c>
      <c r="AD69">
        <f t="shared" si="4"/>
        <v>15.191700000000001</v>
      </c>
      <c r="AE69">
        <f t="shared" si="5"/>
        <v>22.830694428000001</v>
      </c>
      <c r="AF69" s="9"/>
      <c r="AG69" s="22">
        <v>0.19714400000000001</v>
      </c>
      <c r="AH69" s="22">
        <v>354.08199999999999</v>
      </c>
      <c r="AI69" s="22">
        <v>-1.61713E-2</v>
      </c>
      <c r="AJ69" s="22">
        <v>59</v>
      </c>
      <c r="AK69" s="22">
        <v>0.19647200000000001</v>
      </c>
      <c r="AL69">
        <f t="shared" si="6"/>
        <v>16.171299999999999</v>
      </c>
      <c r="AM69">
        <f t="shared" si="7"/>
        <v>3.1880747671999998</v>
      </c>
      <c r="AP69" s="9"/>
      <c r="AQ69" s="22">
        <v>1.50284</v>
      </c>
      <c r="AR69" s="22">
        <v>437.48099999999999</v>
      </c>
      <c r="AS69" s="22">
        <v>-1.5152000000000001E-2</v>
      </c>
      <c r="AT69" s="22">
        <v>59</v>
      </c>
      <c r="AU69" s="22">
        <v>1.5020800000000001</v>
      </c>
      <c r="AV69">
        <f t="shared" si="8"/>
        <v>15.152000000000001</v>
      </c>
      <c r="AW69">
        <f t="shared" si="9"/>
        <v>22.77103168</v>
      </c>
      <c r="AX69" s="9"/>
      <c r="AY69" s="22">
        <v>0.19714400000000001</v>
      </c>
      <c r="AZ69" s="22">
        <v>559.41499999999996</v>
      </c>
      <c r="BA69" s="22">
        <v>-1.6177400000000002E-2</v>
      </c>
      <c r="BB69" s="22">
        <v>59</v>
      </c>
      <c r="BC69" s="22">
        <v>0.19647200000000001</v>
      </c>
      <c r="BD69">
        <f t="shared" si="10"/>
        <v>16.177400000000002</v>
      </c>
      <c r="BE69">
        <f t="shared" si="11"/>
        <v>3.1892773456000008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79.287700000000001</v>
      </c>
      <c r="I70" s="22">
        <v>-1.5002400000000001E-2</v>
      </c>
      <c r="J70" s="22">
        <v>60</v>
      </c>
      <c r="K70" s="22">
        <v>1.4968900000000001</v>
      </c>
      <c r="L70">
        <f t="shared" si="0"/>
        <v>15.002400000000002</v>
      </c>
      <c r="M70">
        <f t="shared" si="1"/>
        <v>22.470594720000001</v>
      </c>
      <c r="N70" s="9"/>
      <c r="O70" s="22">
        <v>0.202179</v>
      </c>
      <c r="P70" s="22">
        <v>186.57400000000001</v>
      </c>
      <c r="Q70" s="22">
        <v>-1.6131599999999999E-2</v>
      </c>
      <c r="R70" s="22">
        <v>60</v>
      </c>
      <c r="S70" s="22">
        <v>0.20172100000000001</v>
      </c>
      <c r="T70">
        <f t="shared" si="2"/>
        <v>16.131599999999999</v>
      </c>
      <c r="U70">
        <f t="shared" si="3"/>
        <v>3.2614707563999996</v>
      </c>
      <c r="X70" s="9"/>
      <c r="Y70" s="22">
        <v>1.4978</v>
      </c>
      <c r="Z70" s="22">
        <v>269.08800000000002</v>
      </c>
      <c r="AA70" s="22">
        <v>-1.5213000000000001E-2</v>
      </c>
      <c r="AB70" s="22">
        <v>60</v>
      </c>
      <c r="AC70" s="22">
        <v>1.4968900000000001</v>
      </c>
      <c r="AD70">
        <f t="shared" si="4"/>
        <v>15.213000000000001</v>
      </c>
      <c r="AE70">
        <f t="shared" si="5"/>
        <v>22.786031400000002</v>
      </c>
      <c r="AF70" s="9"/>
      <c r="AG70" s="22">
        <v>0.202179</v>
      </c>
      <c r="AH70" s="22">
        <v>354.18200000000002</v>
      </c>
      <c r="AI70" s="22">
        <v>-1.6168200000000001E-2</v>
      </c>
      <c r="AJ70" s="22">
        <v>60</v>
      </c>
      <c r="AK70" s="22">
        <v>0.20138500000000001</v>
      </c>
      <c r="AL70">
        <f t="shared" si="6"/>
        <v>16.168200000000002</v>
      </c>
      <c r="AM70">
        <f t="shared" si="7"/>
        <v>3.2688705078000004</v>
      </c>
      <c r="AP70" s="9"/>
      <c r="AQ70" s="22">
        <v>1.4978</v>
      </c>
      <c r="AR70" s="22">
        <v>437.58199999999999</v>
      </c>
      <c r="AS70" s="22">
        <v>-1.5170299999999999E-2</v>
      </c>
      <c r="AT70" s="22">
        <v>60</v>
      </c>
      <c r="AU70" s="22">
        <v>1.49719</v>
      </c>
      <c r="AV70">
        <f t="shared" si="8"/>
        <v>15.170299999999999</v>
      </c>
      <c r="AW70">
        <f t="shared" si="9"/>
        <v>22.72207534</v>
      </c>
      <c r="AX70" s="9"/>
      <c r="AY70" s="22">
        <v>0.202179</v>
      </c>
      <c r="AZ70" s="22">
        <v>559.51599999999996</v>
      </c>
      <c r="BA70" s="22">
        <v>-1.6180400000000001E-2</v>
      </c>
      <c r="BB70" s="22">
        <v>60</v>
      </c>
      <c r="BC70" s="22">
        <v>0.201569</v>
      </c>
      <c r="BD70">
        <f t="shared" si="10"/>
        <v>16.180400000000002</v>
      </c>
      <c r="BE70">
        <f t="shared" si="11"/>
        <v>3.2713370916000004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79.388400000000004</v>
      </c>
      <c r="I71" s="22">
        <v>-1.50513E-2</v>
      </c>
      <c r="J71" s="22">
        <v>61</v>
      </c>
      <c r="K71" s="22">
        <v>1.492</v>
      </c>
      <c r="L71">
        <f t="shared" si="0"/>
        <v>15.051299999999999</v>
      </c>
      <c r="M71">
        <f t="shared" si="1"/>
        <v>22.468129100999999</v>
      </c>
      <c r="N71" s="9"/>
      <c r="O71" s="22">
        <v>0.20721400000000001</v>
      </c>
      <c r="P71" s="22">
        <v>186.67500000000001</v>
      </c>
      <c r="Q71" s="22">
        <v>-1.6131599999999999E-2</v>
      </c>
      <c r="R71" s="22">
        <v>61</v>
      </c>
      <c r="S71" s="22">
        <v>0.20663500000000001</v>
      </c>
      <c r="T71">
        <f t="shared" si="2"/>
        <v>16.131599999999999</v>
      </c>
      <c r="U71">
        <f t="shared" si="3"/>
        <v>3.3426933623999999</v>
      </c>
      <c r="X71" s="9"/>
      <c r="Y71" s="22">
        <v>1.4927699999999999</v>
      </c>
      <c r="Z71" s="22">
        <v>269.18900000000002</v>
      </c>
      <c r="AA71" s="22">
        <v>-1.52435E-2</v>
      </c>
      <c r="AB71" s="22">
        <v>61</v>
      </c>
      <c r="AC71" s="22">
        <v>1.492</v>
      </c>
      <c r="AD71">
        <f t="shared" si="4"/>
        <v>15.243500000000001</v>
      </c>
      <c r="AE71">
        <f t="shared" si="5"/>
        <v>22.755039495000002</v>
      </c>
      <c r="AF71" s="9"/>
      <c r="AG71" s="22">
        <v>0.20721400000000001</v>
      </c>
      <c r="AH71" s="22">
        <v>354.28300000000002</v>
      </c>
      <c r="AI71" s="22">
        <v>-1.61713E-2</v>
      </c>
      <c r="AJ71" s="22">
        <v>61</v>
      </c>
      <c r="AK71" s="22">
        <v>0.20657300000000001</v>
      </c>
      <c r="AL71">
        <f t="shared" si="6"/>
        <v>16.171299999999999</v>
      </c>
      <c r="AM71">
        <f t="shared" si="7"/>
        <v>3.3509197581999999</v>
      </c>
      <c r="AP71" s="9"/>
      <c r="AQ71" s="22">
        <v>1.4927699999999999</v>
      </c>
      <c r="AR71" s="22">
        <v>437.68200000000002</v>
      </c>
      <c r="AS71" s="22">
        <v>-1.5185499999999999E-2</v>
      </c>
      <c r="AT71" s="22">
        <v>61</v>
      </c>
      <c r="AU71" s="22">
        <v>1.492</v>
      </c>
      <c r="AV71">
        <f t="shared" si="8"/>
        <v>15.185499999999999</v>
      </c>
      <c r="AW71">
        <f t="shared" si="9"/>
        <v>22.668458834999999</v>
      </c>
      <c r="AX71" s="9"/>
      <c r="AY71" s="22">
        <v>0.20721400000000001</v>
      </c>
      <c r="AZ71" s="22">
        <v>559.61599999999999</v>
      </c>
      <c r="BA71" s="22">
        <v>-1.6180400000000001E-2</v>
      </c>
      <c r="BB71" s="22">
        <v>61</v>
      </c>
      <c r="BC71" s="22">
        <v>0.20669599999999999</v>
      </c>
      <c r="BD71">
        <f t="shared" si="10"/>
        <v>16.180400000000002</v>
      </c>
      <c r="BE71">
        <f t="shared" si="11"/>
        <v>3.3528054056000007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79.489099999999993</v>
      </c>
      <c r="I72" s="22">
        <v>-1.50452E-2</v>
      </c>
      <c r="J72" s="22">
        <v>62</v>
      </c>
      <c r="K72" s="22">
        <v>1.48682</v>
      </c>
      <c r="L72">
        <f t="shared" si="0"/>
        <v>15.045199999999999</v>
      </c>
      <c r="M72">
        <f t="shared" si="1"/>
        <v>22.383195395999998</v>
      </c>
      <c r="N72" s="9"/>
      <c r="O72" s="22">
        <v>0.21224999999999999</v>
      </c>
      <c r="P72" s="22">
        <v>186.77600000000001</v>
      </c>
      <c r="Q72" s="22">
        <v>-1.6131599999999999E-2</v>
      </c>
      <c r="R72" s="22">
        <v>62</v>
      </c>
      <c r="S72" s="22">
        <v>0.21163899999999999</v>
      </c>
      <c r="T72">
        <f t="shared" si="2"/>
        <v>16.131599999999999</v>
      </c>
      <c r="U72">
        <f t="shared" si="3"/>
        <v>3.4239320999999996</v>
      </c>
      <c r="X72" s="9"/>
      <c r="Y72" s="22">
        <v>1.48773</v>
      </c>
      <c r="Z72" s="22">
        <v>269.28899999999999</v>
      </c>
      <c r="AA72" s="22">
        <v>-1.5271E-2</v>
      </c>
      <c r="AB72" s="22">
        <v>62</v>
      </c>
      <c r="AC72" s="22">
        <v>1.48712</v>
      </c>
      <c r="AD72">
        <f t="shared" si="4"/>
        <v>15.270999999999999</v>
      </c>
      <c r="AE72">
        <f t="shared" si="5"/>
        <v>22.719124829999998</v>
      </c>
      <c r="AF72" s="9"/>
      <c r="AG72" s="22">
        <v>0.21224999999999999</v>
      </c>
      <c r="AH72" s="22">
        <v>354.38400000000001</v>
      </c>
      <c r="AI72" s="22">
        <v>-1.6162099999999999E-2</v>
      </c>
      <c r="AJ72" s="22">
        <v>62</v>
      </c>
      <c r="AK72" s="22">
        <v>0.21160899999999999</v>
      </c>
      <c r="AL72">
        <f t="shared" si="6"/>
        <v>16.162099999999999</v>
      </c>
      <c r="AM72">
        <f t="shared" si="7"/>
        <v>3.4304057249999995</v>
      </c>
      <c r="AP72" s="9"/>
      <c r="AQ72" s="22">
        <v>1.48773</v>
      </c>
      <c r="AR72" s="22">
        <v>437.78300000000002</v>
      </c>
      <c r="AS72" s="22">
        <v>-1.5206900000000001E-2</v>
      </c>
      <c r="AT72" s="22">
        <v>62</v>
      </c>
      <c r="AU72" s="22">
        <v>1.48743</v>
      </c>
      <c r="AV72">
        <f t="shared" si="8"/>
        <v>15.206900000000001</v>
      </c>
      <c r="AW72">
        <f t="shared" si="9"/>
        <v>22.623761337000001</v>
      </c>
      <c r="AX72" s="9"/>
      <c r="AY72" s="22">
        <v>0.21224999999999999</v>
      </c>
      <c r="AZ72" s="22">
        <v>559.71699999999998</v>
      </c>
      <c r="BA72" s="22">
        <v>-1.61713E-2</v>
      </c>
      <c r="BB72" s="22">
        <v>62</v>
      </c>
      <c r="BC72" s="22">
        <v>0.2117</v>
      </c>
      <c r="BD72">
        <f t="shared" si="10"/>
        <v>16.171299999999999</v>
      </c>
      <c r="BE72">
        <f t="shared" si="11"/>
        <v>3.4323584249999994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79.589799999999997</v>
      </c>
      <c r="I73" s="22">
        <v>-1.5084800000000001E-2</v>
      </c>
      <c r="J73" s="22">
        <v>63</v>
      </c>
      <c r="K73" s="22">
        <v>1.48193</v>
      </c>
      <c r="L73">
        <f t="shared" si="0"/>
        <v>15.084800000000001</v>
      </c>
      <c r="M73">
        <f t="shared" si="1"/>
        <v>22.366232960000001</v>
      </c>
      <c r="N73" s="9"/>
      <c r="O73" s="22">
        <v>0.21728500000000001</v>
      </c>
      <c r="P73" s="22">
        <v>186.87700000000001</v>
      </c>
      <c r="Q73" s="22">
        <v>-1.6134599999999999E-2</v>
      </c>
      <c r="R73" s="22">
        <v>63</v>
      </c>
      <c r="S73" s="22">
        <v>0.216644</v>
      </c>
      <c r="T73">
        <f t="shared" si="2"/>
        <v>16.134599999999999</v>
      </c>
      <c r="U73">
        <f t="shared" si="3"/>
        <v>3.505806561</v>
      </c>
      <c r="X73" s="9"/>
      <c r="Y73" s="22">
        <v>1.4826999999999999</v>
      </c>
      <c r="Z73" s="22">
        <v>269.39</v>
      </c>
      <c r="AA73" s="22">
        <v>-1.52893E-2</v>
      </c>
      <c r="AB73" s="22">
        <v>63</v>
      </c>
      <c r="AC73" s="22">
        <v>1.48193</v>
      </c>
      <c r="AD73">
        <f t="shared" si="4"/>
        <v>15.289300000000001</v>
      </c>
      <c r="AE73">
        <f t="shared" si="5"/>
        <v>22.669445109999998</v>
      </c>
      <c r="AF73" s="9"/>
      <c r="AG73" s="22">
        <v>0.21728500000000001</v>
      </c>
      <c r="AH73" s="22">
        <v>354.48399999999998</v>
      </c>
      <c r="AI73" s="22">
        <v>-1.61713E-2</v>
      </c>
      <c r="AJ73" s="22">
        <v>63</v>
      </c>
      <c r="AK73" s="22">
        <v>0.216614</v>
      </c>
      <c r="AL73">
        <f t="shared" si="6"/>
        <v>16.171299999999999</v>
      </c>
      <c r="AM73">
        <f t="shared" si="7"/>
        <v>3.5137809204999999</v>
      </c>
      <c r="AP73" s="9"/>
      <c r="AQ73" s="22">
        <v>1.4826999999999999</v>
      </c>
      <c r="AR73" s="22">
        <v>437.88400000000001</v>
      </c>
      <c r="AS73" s="22">
        <v>-1.52313E-2</v>
      </c>
      <c r="AT73" s="22">
        <v>63</v>
      </c>
      <c r="AU73" s="22">
        <v>1.48193</v>
      </c>
      <c r="AV73">
        <f t="shared" si="8"/>
        <v>15.231299999999999</v>
      </c>
      <c r="AW73">
        <f t="shared" si="9"/>
        <v>22.583448509999997</v>
      </c>
      <c r="AX73" s="9"/>
      <c r="AY73" s="22">
        <v>0.21728500000000001</v>
      </c>
      <c r="AZ73" s="22">
        <v>559.81799999999998</v>
      </c>
      <c r="BA73" s="22">
        <v>-1.6174299999999999E-2</v>
      </c>
      <c r="BB73" s="22">
        <v>63</v>
      </c>
      <c r="BC73" s="22">
        <v>0.21649199999999999</v>
      </c>
      <c r="BD73">
        <f t="shared" si="10"/>
        <v>16.174299999999999</v>
      </c>
      <c r="BE73">
        <f t="shared" si="11"/>
        <v>3.5144327755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79.6905</v>
      </c>
      <c r="I74" s="22">
        <v>-1.5094E-2</v>
      </c>
      <c r="J74" s="22">
        <v>64</v>
      </c>
      <c r="K74" s="22">
        <v>1.47675</v>
      </c>
      <c r="L74">
        <f t="shared" si="0"/>
        <v>15.093999999999999</v>
      </c>
      <c r="M74">
        <f t="shared" si="1"/>
        <v>22.303800039999999</v>
      </c>
      <c r="N74" s="9"/>
      <c r="O74" s="22">
        <v>0.22232099999999999</v>
      </c>
      <c r="P74" s="22">
        <v>186.977</v>
      </c>
      <c r="Q74" s="22">
        <v>-1.61438E-2</v>
      </c>
      <c r="R74" s="22">
        <v>64</v>
      </c>
      <c r="S74" s="22">
        <v>0.22164900000000001</v>
      </c>
      <c r="T74">
        <f t="shared" si="2"/>
        <v>16.143799999999999</v>
      </c>
      <c r="U74">
        <f t="shared" si="3"/>
        <v>3.5891057597999998</v>
      </c>
      <c r="X74" s="9"/>
      <c r="Y74" s="22">
        <v>1.47766</v>
      </c>
      <c r="Z74" s="22">
        <v>269.49099999999999</v>
      </c>
      <c r="AA74" s="22">
        <v>-1.5295400000000001E-2</v>
      </c>
      <c r="AB74" s="22">
        <v>64</v>
      </c>
      <c r="AC74" s="22">
        <v>1.47705</v>
      </c>
      <c r="AD74">
        <f t="shared" si="4"/>
        <v>15.295400000000001</v>
      </c>
      <c r="AE74">
        <f t="shared" si="5"/>
        <v>22.601400764000001</v>
      </c>
      <c r="AF74" s="9"/>
      <c r="AG74" s="22">
        <v>0.22232099999999999</v>
      </c>
      <c r="AH74" s="22">
        <v>354.58499999999998</v>
      </c>
      <c r="AI74" s="22">
        <v>-1.6177400000000002E-2</v>
      </c>
      <c r="AJ74" s="22">
        <v>64</v>
      </c>
      <c r="AK74" s="22">
        <v>0.22170999999999999</v>
      </c>
      <c r="AL74">
        <f t="shared" si="6"/>
        <v>16.177400000000002</v>
      </c>
      <c r="AM74">
        <f t="shared" si="7"/>
        <v>3.5965757454000005</v>
      </c>
      <c r="AP74" s="9"/>
      <c r="AQ74" s="22">
        <v>1.47766</v>
      </c>
      <c r="AR74" s="22">
        <v>437.98399999999998</v>
      </c>
      <c r="AS74" s="22">
        <v>-1.52435E-2</v>
      </c>
      <c r="AT74" s="22">
        <v>64</v>
      </c>
      <c r="AU74" s="22">
        <v>1.47705</v>
      </c>
      <c r="AV74">
        <f t="shared" si="8"/>
        <v>15.243500000000001</v>
      </c>
      <c r="AW74">
        <f t="shared" si="9"/>
        <v>22.524710210000002</v>
      </c>
      <c r="AX74" s="9"/>
      <c r="AY74" s="22">
        <v>0.22232099999999999</v>
      </c>
      <c r="AZ74" s="22">
        <v>559.91899999999998</v>
      </c>
      <c r="BA74" s="22">
        <v>-1.6168200000000001E-2</v>
      </c>
      <c r="BB74" s="22">
        <v>64</v>
      </c>
      <c r="BC74" s="22">
        <v>0.22174099999999999</v>
      </c>
      <c r="BD74">
        <f t="shared" si="10"/>
        <v>16.168200000000002</v>
      </c>
      <c r="BE74">
        <f t="shared" si="11"/>
        <v>3.5945303922000003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79.791300000000007</v>
      </c>
      <c r="I75" s="22">
        <v>-1.51337E-2</v>
      </c>
      <c r="J75" s="22">
        <v>65</v>
      </c>
      <c r="K75" s="22">
        <v>1.4718599999999999</v>
      </c>
      <c r="L75">
        <f t="shared" si="0"/>
        <v>15.133699999999999</v>
      </c>
      <c r="M75">
        <f t="shared" si="1"/>
        <v>22.286340631000002</v>
      </c>
      <c r="N75" s="9"/>
      <c r="O75" s="22">
        <v>0.227356</v>
      </c>
      <c r="P75" s="22">
        <v>187.078</v>
      </c>
      <c r="Q75" s="22">
        <v>-1.6131599999999999E-2</v>
      </c>
      <c r="R75" s="22">
        <v>65</v>
      </c>
      <c r="S75" s="22">
        <v>0.22656299999999999</v>
      </c>
      <c r="T75">
        <f t="shared" si="2"/>
        <v>16.131599999999999</v>
      </c>
      <c r="U75">
        <f t="shared" si="3"/>
        <v>3.6676160495999999</v>
      </c>
      <c r="X75" s="9"/>
      <c r="Y75" s="22">
        <v>1.4726300000000001</v>
      </c>
      <c r="Z75" s="22">
        <v>269.59100000000001</v>
      </c>
      <c r="AA75" s="22">
        <v>-1.5329000000000001E-2</v>
      </c>
      <c r="AB75" s="22">
        <v>65</v>
      </c>
      <c r="AC75" s="22">
        <v>1.47156</v>
      </c>
      <c r="AD75">
        <f t="shared" si="4"/>
        <v>15.329000000000001</v>
      </c>
      <c r="AE75">
        <f t="shared" si="5"/>
        <v>22.573945270000003</v>
      </c>
      <c r="AF75" s="9"/>
      <c r="AG75" s="22">
        <v>0.227356</v>
      </c>
      <c r="AH75" s="22">
        <v>354.68599999999998</v>
      </c>
      <c r="AI75" s="22">
        <v>-1.6177400000000002E-2</v>
      </c>
      <c r="AJ75" s="22">
        <v>65</v>
      </c>
      <c r="AK75" s="22">
        <v>0.226746</v>
      </c>
      <c r="AL75">
        <f t="shared" si="6"/>
        <v>16.177400000000002</v>
      </c>
      <c r="AM75">
        <f t="shared" si="7"/>
        <v>3.6780289544000007</v>
      </c>
      <c r="AP75" s="9"/>
      <c r="AQ75" s="22">
        <v>1.4726300000000001</v>
      </c>
      <c r="AR75" s="22">
        <v>438.08499999999998</v>
      </c>
      <c r="AS75" s="22">
        <v>-1.5280200000000001E-2</v>
      </c>
      <c r="AT75" s="22">
        <v>65</v>
      </c>
      <c r="AU75" s="22">
        <v>1.47217</v>
      </c>
      <c r="AV75">
        <f t="shared" si="8"/>
        <v>15.280200000000001</v>
      </c>
      <c r="AW75">
        <f t="shared" si="9"/>
        <v>22.502080926000001</v>
      </c>
      <c r="AX75" s="9"/>
      <c r="AY75" s="22">
        <v>0.227356</v>
      </c>
      <c r="AZ75" s="22">
        <v>560.01900000000001</v>
      </c>
      <c r="BA75" s="22">
        <v>-1.6168200000000001E-2</v>
      </c>
      <c r="BB75" s="22">
        <v>65</v>
      </c>
      <c r="BC75" s="22">
        <v>0.226715</v>
      </c>
      <c r="BD75">
        <f t="shared" si="10"/>
        <v>16.168200000000002</v>
      </c>
      <c r="BE75">
        <f t="shared" si="11"/>
        <v>3.6759372792000007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79.891999999999996</v>
      </c>
      <c r="I76" s="22">
        <v>-1.51611E-2</v>
      </c>
      <c r="J76" s="22">
        <v>66</v>
      </c>
      <c r="K76" s="22">
        <v>1.46637</v>
      </c>
      <c r="L76">
        <f t="shared" ref="L76:L139" si="12">-I76/$F$2*1000</f>
        <v>15.161100000000001</v>
      </c>
      <c r="M76">
        <f t="shared" ref="M76:M139" si="13">L76*G76</f>
        <v>22.250278749</v>
      </c>
      <c r="N76" s="9"/>
      <c r="O76" s="22">
        <v>0.23239099999999999</v>
      </c>
      <c r="P76" s="22">
        <v>187.179</v>
      </c>
      <c r="Q76" s="22">
        <v>-1.6134599999999999E-2</v>
      </c>
      <c r="R76" s="22">
        <v>66</v>
      </c>
      <c r="S76" s="22">
        <v>0.23178099999999999</v>
      </c>
      <c r="T76">
        <f t="shared" ref="T76:T139" si="14">-Q76/$F$2*1000</f>
        <v>16.134599999999999</v>
      </c>
      <c r="U76">
        <f t="shared" ref="U76:U139" si="15">T76*O76</f>
        <v>3.7495358285999996</v>
      </c>
      <c r="X76" s="9"/>
      <c r="Y76" s="22">
        <v>1.46759</v>
      </c>
      <c r="Z76" s="22">
        <v>269.69200000000001</v>
      </c>
      <c r="AA76" s="22">
        <v>-1.5350300000000001E-2</v>
      </c>
      <c r="AB76" s="22">
        <v>66</v>
      </c>
      <c r="AC76" s="22">
        <v>1.46729</v>
      </c>
      <c r="AD76">
        <f t="shared" ref="AD76:AD139" si="16">-AA76/$F$2*1000</f>
        <v>15.350300000000001</v>
      </c>
      <c r="AE76">
        <f t="shared" ref="AE76:AE139" si="17">AD76*Y76</f>
        <v>22.527946777</v>
      </c>
      <c r="AF76" s="9"/>
      <c r="AG76" s="22">
        <v>0.23239099999999999</v>
      </c>
      <c r="AH76" s="22">
        <v>354.78699999999998</v>
      </c>
      <c r="AI76" s="22">
        <v>-1.61713E-2</v>
      </c>
      <c r="AJ76" s="22">
        <v>66</v>
      </c>
      <c r="AK76" s="22">
        <v>0.23175000000000001</v>
      </c>
      <c r="AL76">
        <f t="shared" ref="AL76:AL139" si="18">-AI76/$F$2*1000</f>
        <v>16.171299999999999</v>
      </c>
      <c r="AM76">
        <f t="shared" ref="AM76:AM139" si="19">AL76*AG76</f>
        <v>3.7580645782999995</v>
      </c>
      <c r="AP76" s="9"/>
      <c r="AQ76" s="22">
        <v>1.46759</v>
      </c>
      <c r="AR76" s="22">
        <v>438.18599999999998</v>
      </c>
      <c r="AS76" s="22">
        <v>-1.5295400000000001E-2</v>
      </c>
      <c r="AT76" s="22">
        <v>66</v>
      </c>
      <c r="AU76" s="22">
        <v>1.46698</v>
      </c>
      <c r="AV76">
        <f t="shared" ref="AV76:AV139" si="20">-AS76/$F$2*1000</f>
        <v>15.295400000000001</v>
      </c>
      <c r="AW76">
        <f t="shared" ref="AW76:AW139" si="21">AV76*AQ76</f>
        <v>22.447376086000002</v>
      </c>
      <c r="AX76" s="9"/>
      <c r="AY76" s="22">
        <v>0.23239099999999999</v>
      </c>
      <c r="AZ76" s="22">
        <v>560.12</v>
      </c>
      <c r="BA76" s="22">
        <v>-1.6177400000000002E-2</v>
      </c>
      <c r="BB76" s="22">
        <v>66</v>
      </c>
      <c r="BC76" s="22">
        <v>0.23172000000000001</v>
      </c>
      <c r="BD76">
        <f t="shared" ref="BD76:BD139" si="22">-BA76/$F$2*1000</f>
        <v>16.177400000000002</v>
      </c>
      <c r="BE76">
        <f t="shared" ref="BE76:BE139" si="23">BD76*AY76</f>
        <v>3.7594821634000004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79.992699999999999</v>
      </c>
      <c r="I77" s="22">
        <v>-1.5179399999999999E-2</v>
      </c>
      <c r="J77" s="22">
        <v>67</v>
      </c>
      <c r="K77" s="22">
        <v>1.4621</v>
      </c>
      <c r="L77">
        <f t="shared" si="12"/>
        <v>15.179399999999999</v>
      </c>
      <c r="M77">
        <f t="shared" si="13"/>
        <v>22.200631469999998</v>
      </c>
      <c r="N77" s="9"/>
      <c r="O77" s="22">
        <v>0.237427</v>
      </c>
      <c r="P77" s="22">
        <v>187.279</v>
      </c>
      <c r="Q77" s="22">
        <v>-1.6134599999999999E-2</v>
      </c>
      <c r="R77" s="22">
        <v>67</v>
      </c>
      <c r="S77" s="22">
        <v>0.236847</v>
      </c>
      <c r="T77">
        <f t="shared" si="14"/>
        <v>16.134599999999999</v>
      </c>
      <c r="U77">
        <f t="shared" si="15"/>
        <v>3.8307896741999996</v>
      </c>
      <c r="X77" s="9"/>
      <c r="Y77" s="22">
        <v>1.46255</v>
      </c>
      <c r="Z77" s="22">
        <v>269.79300000000001</v>
      </c>
      <c r="AA77" s="22">
        <v>-1.5362499999999999E-2</v>
      </c>
      <c r="AB77" s="22">
        <v>67</v>
      </c>
      <c r="AC77" s="22">
        <v>1.4617899999999999</v>
      </c>
      <c r="AD77">
        <f t="shared" si="16"/>
        <v>15.362499999999999</v>
      </c>
      <c r="AE77">
        <f t="shared" si="17"/>
        <v>22.468424374999998</v>
      </c>
      <c r="AF77" s="9"/>
      <c r="AG77" s="22">
        <v>0.237427</v>
      </c>
      <c r="AH77" s="22">
        <v>354.887</v>
      </c>
      <c r="AI77" s="22">
        <v>-1.6165200000000001E-2</v>
      </c>
      <c r="AJ77" s="22">
        <v>67</v>
      </c>
      <c r="AK77" s="22">
        <v>0.236816</v>
      </c>
      <c r="AL77">
        <f t="shared" si="18"/>
        <v>16.165200000000002</v>
      </c>
      <c r="AM77">
        <f t="shared" si="19"/>
        <v>3.8380549404000006</v>
      </c>
      <c r="AP77" s="9"/>
      <c r="AQ77" s="22">
        <v>1.46255</v>
      </c>
      <c r="AR77" s="22">
        <v>438.28699999999998</v>
      </c>
      <c r="AS77" s="22">
        <v>-1.5335100000000001E-2</v>
      </c>
      <c r="AT77" s="22">
        <v>67</v>
      </c>
      <c r="AU77" s="22">
        <v>1.4621</v>
      </c>
      <c r="AV77">
        <f t="shared" si="20"/>
        <v>15.335100000000001</v>
      </c>
      <c r="AW77">
        <f t="shared" si="21"/>
        <v>22.428350505000001</v>
      </c>
      <c r="AX77" s="9"/>
      <c r="AY77" s="22">
        <v>0.237427</v>
      </c>
      <c r="AZ77" s="22">
        <v>560.221</v>
      </c>
      <c r="BA77" s="22">
        <v>-1.6177400000000002E-2</v>
      </c>
      <c r="BB77" s="22">
        <v>67</v>
      </c>
      <c r="BC77" s="22">
        <v>0.23666400000000001</v>
      </c>
      <c r="BD77">
        <f t="shared" si="22"/>
        <v>16.177400000000002</v>
      </c>
      <c r="BE77">
        <f t="shared" si="23"/>
        <v>3.8409515498000006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80.093400000000003</v>
      </c>
      <c r="I78" s="22">
        <v>-1.5203899999999999E-2</v>
      </c>
      <c r="J78" s="22">
        <v>68</v>
      </c>
      <c r="K78" s="22">
        <v>1.4569099999999999</v>
      </c>
      <c r="L78">
        <f t="shared" si="12"/>
        <v>15.203899999999999</v>
      </c>
      <c r="M78">
        <f t="shared" si="13"/>
        <v>22.159988327999997</v>
      </c>
      <c r="N78" s="9"/>
      <c r="O78" s="22">
        <v>0.24246200000000001</v>
      </c>
      <c r="P78" s="22">
        <v>187.38</v>
      </c>
      <c r="Q78" s="22">
        <v>-1.61438E-2</v>
      </c>
      <c r="R78" s="22">
        <v>68</v>
      </c>
      <c r="S78" s="22">
        <v>0.24185200000000001</v>
      </c>
      <c r="T78">
        <f t="shared" si="14"/>
        <v>16.143799999999999</v>
      </c>
      <c r="U78">
        <f t="shared" si="15"/>
        <v>3.9142580356000001</v>
      </c>
      <c r="X78" s="9"/>
      <c r="Y78" s="22">
        <v>1.4575199999999999</v>
      </c>
      <c r="Z78" s="22">
        <v>269.89400000000001</v>
      </c>
      <c r="AA78" s="22">
        <v>-1.53778E-2</v>
      </c>
      <c r="AB78" s="22">
        <v>68</v>
      </c>
      <c r="AC78" s="22">
        <v>1.4569099999999999</v>
      </c>
      <c r="AD78">
        <f t="shared" si="16"/>
        <v>15.377800000000001</v>
      </c>
      <c r="AE78">
        <f t="shared" si="17"/>
        <v>22.413451056</v>
      </c>
      <c r="AF78" s="9"/>
      <c r="AG78" s="22">
        <v>0.24246200000000001</v>
      </c>
      <c r="AH78" s="22">
        <v>354.988</v>
      </c>
      <c r="AI78" s="22">
        <v>-1.6174299999999999E-2</v>
      </c>
      <c r="AJ78" s="22">
        <v>68</v>
      </c>
      <c r="AK78" s="22">
        <v>0.24185200000000001</v>
      </c>
      <c r="AL78">
        <f t="shared" si="18"/>
        <v>16.174299999999999</v>
      </c>
      <c r="AM78">
        <f t="shared" si="19"/>
        <v>3.9216531265999999</v>
      </c>
      <c r="AP78" s="9"/>
      <c r="AQ78" s="22">
        <v>1.4575199999999999</v>
      </c>
      <c r="AR78" s="22">
        <v>438.387</v>
      </c>
      <c r="AS78" s="22">
        <v>-1.5335100000000001E-2</v>
      </c>
      <c r="AT78" s="22">
        <v>68</v>
      </c>
      <c r="AU78" s="22">
        <v>1.4569099999999999</v>
      </c>
      <c r="AV78">
        <f t="shared" si="20"/>
        <v>15.335100000000001</v>
      </c>
      <c r="AW78">
        <f t="shared" si="21"/>
        <v>22.351214951999999</v>
      </c>
      <c r="AX78" s="9"/>
      <c r="AY78" s="22">
        <v>0.24246200000000001</v>
      </c>
      <c r="AZ78" s="22">
        <v>560.32100000000003</v>
      </c>
      <c r="BA78" s="22">
        <v>-1.6177400000000002E-2</v>
      </c>
      <c r="BB78" s="22">
        <v>68</v>
      </c>
      <c r="BC78" s="22">
        <v>0.24179100000000001</v>
      </c>
      <c r="BD78">
        <f t="shared" si="22"/>
        <v>16.177400000000002</v>
      </c>
      <c r="BE78">
        <f t="shared" si="23"/>
        <v>3.9224047588000008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80.194100000000006</v>
      </c>
      <c r="I79" s="22">
        <v>-1.52283E-2</v>
      </c>
      <c r="J79" s="22">
        <v>69</v>
      </c>
      <c r="K79" s="22">
        <v>1.4517199999999999</v>
      </c>
      <c r="L79">
        <f t="shared" si="12"/>
        <v>15.228300000000001</v>
      </c>
      <c r="M79">
        <f t="shared" si="13"/>
        <v>22.118801184000002</v>
      </c>
      <c r="N79" s="9"/>
      <c r="O79" s="22">
        <v>0.247498</v>
      </c>
      <c r="P79" s="22">
        <v>187.48099999999999</v>
      </c>
      <c r="Q79" s="22">
        <v>-1.61285E-2</v>
      </c>
      <c r="R79" s="22">
        <v>69</v>
      </c>
      <c r="S79" s="22">
        <v>0.24679599999999999</v>
      </c>
      <c r="T79">
        <f t="shared" si="14"/>
        <v>16.128499999999999</v>
      </c>
      <c r="U79">
        <f t="shared" si="15"/>
        <v>3.9917714929999999</v>
      </c>
      <c r="X79" s="9"/>
      <c r="Y79" s="22">
        <v>1.45248</v>
      </c>
      <c r="Z79" s="22">
        <v>269.99400000000003</v>
      </c>
      <c r="AA79" s="22">
        <v>-1.5387E-2</v>
      </c>
      <c r="AB79" s="22">
        <v>69</v>
      </c>
      <c r="AC79" s="22">
        <v>1.4517199999999999</v>
      </c>
      <c r="AD79">
        <f t="shared" si="16"/>
        <v>15.387</v>
      </c>
      <c r="AE79">
        <f t="shared" si="17"/>
        <v>22.349309760000001</v>
      </c>
      <c r="AF79" s="9"/>
      <c r="AG79" s="22">
        <v>0.247498</v>
      </c>
      <c r="AH79" s="22">
        <v>355.089</v>
      </c>
      <c r="AI79" s="22">
        <v>-1.6165200000000001E-2</v>
      </c>
      <c r="AJ79" s="22">
        <v>69</v>
      </c>
      <c r="AK79" s="22">
        <v>0.246918</v>
      </c>
      <c r="AL79">
        <f t="shared" si="18"/>
        <v>16.165200000000002</v>
      </c>
      <c r="AM79">
        <f t="shared" si="19"/>
        <v>4.0008546696000007</v>
      </c>
      <c r="AP79" s="9"/>
      <c r="AQ79" s="22">
        <v>1.45248</v>
      </c>
      <c r="AR79" s="22">
        <v>438.488</v>
      </c>
      <c r="AS79" s="22">
        <v>-1.5362499999999999E-2</v>
      </c>
      <c r="AT79" s="22">
        <v>69</v>
      </c>
      <c r="AU79" s="22">
        <v>1.4520299999999999</v>
      </c>
      <c r="AV79">
        <f t="shared" si="20"/>
        <v>15.362499999999999</v>
      </c>
      <c r="AW79">
        <f t="shared" si="21"/>
        <v>22.313723999999997</v>
      </c>
      <c r="AX79" s="9"/>
      <c r="AY79" s="22">
        <v>0.247498</v>
      </c>
      <c r="AZ79" s="22">
        <v>560.42200000000003</v>
      </c>
      <c r="BA79" s="22">
        <v>-1.6174299999999999E-2</v>
      </c>
      <c r="BB79" s="22">
        <v>69</v>
      </c>
      <c r="BC79" s="22">
        <v>0.246887</v>
      </c>
      <c r="BD79">
        <f t="shared" si="22"/>
        <v>16.174299999999999</v>
      </c>
      <c r="BE79">
        <f t="shared" si="23"/>
        <v>4.0031069013999998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80.294799999999995</v>
      </c>
      <c r="I80" s="22">
        <v>-1.52435E-2</v>
      </c>
      <c r="J80" s="22">
        <v>70</v>
      </c>
      <c r="K80" s="22">
        <v>1.4471400000000001</v>
      </c>
      <c r="L80">
        <f t="shared" si="12"/>
        <v>15.243500000000001</v>
      </c>
      <c r="M80">
        <f t="shared" si="13"/>
        <v>22.064204074999999</v>
      </c>
      <c r="N80" s="9"/>
      <c r="O80" s="22">
        <v>0.25253300000000001</v>
      </c>
      <c r="P80" s="22">
        <v>187.58199999999999</v>
      </c>
      <c r="Q80" s="22">
        <v>-1.6134599999999999E-2</v>
      </c>
      <c r="R80" s="22">
        <v>70</v>
      </c>
      <c r="S80" s="22">
        <v>0.251801</v>
      </c>
      <c r="T80">
        <f t="shared" si="14"/>
        <v>16.134599999999999</v>
      </c>
      <c r="U80">
        <f t="shared" si="15"/>
        <v>4.0745189418000001</v>
      </c>
      <c r="X80" s="9"/>
      <c r="Y80" s="22">
        <v>1.4474499999999999</v>
      </c>
      <c r="Z80" s="22">
        <v>270.09500000000003</v>
      </c>
      <c r="AA80" s="22">
        <v>-1.53992E-2</v>
      </c>
      <c r="AB80" s="22">
        <v>70</v>
      </c>
      <c r="AC80" s="22">
        <v>1.4465300000000001</v>
      </c>
      <c r="AD80">
        <f t="shared" si="16"/>
        <v>15.3992</v>
      </c>
      <c r="AE80">
        <f t="shared" si="17"/>
        <v>22.289572039999999</v>
      </c>
      <c r="AF80" s="9"/>
      <c r="AG80" s="22">
        <v>0.25253300000000001</v>
      </c>
      <c r="AH80" s="22">
        <v>355.18900000000002</v>
      </c>
      <c r="AI80" s="22">
        <v>-1.6165200000000001E-2</v>
      </c>
      <c r="AJ80" s="22">
        <v>70</v>
      </c>
      <c r="AK80" s="22">
        <v>0.251801</v>
      </c>
      <c r="AL80">
        <f t="shared" si="18"/>
        <v>16.165200000000002</v>
      </c>
      <c r="AM80">
        <f t="shared" si="19"/>
        <v>4.0822464516000005</v>
      </c>
      <c r="AP80" s="9"/>
      <c r="AQ80" s="22">
        <v>1.4474499999999999</v>
      </c>
      <c r="AR80" s="22">
        <v>438.589</v>
      </c>
      <c r="AS80" s="22">
        <v>-1.5383900000000001E-2</v>
      </c>
      <c r="AT80" s="22">
        <v>70</v>
      </c>
      <c r="AU80" s="22">
        <v>1.4459200000000001</v>
      </c>
      <c r="AV80">
        <f t="shared" si="20"/>
        <v>15.383900000000001</v>
      </c>
      <c r="AW80">
        <f t="shared" si="21"/>
        <v>22.267426054999998</v>
      </c>
      <c r="AX80" s="9"/>
      <c r="AY80" s="22">
        <v>0.25253300000000001</v>
      </c>
      <c r="AZ80" s="22">
        <v>560.52300000000002</v>
      </c>
      <c r="BA80" s="22">
        <v>-1.61713E-2</v>
      </c>
      <c r="BB80" s="22">
        <v>70</v>
      </c>
      <c r="BC80" s="22">
        <v>0.25195299999999998</v>
      </c>
      <c r="BD80">
        <f t="shared" si="22"/>
        <v>16.171299999999999</v>
      </c>
      <c r="BE80">
        <f t="shared" si="23"/>
        <v>4.0837869029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80.395499999999998</v>
      </c>
      <c r="I81" s="22">
        <v>-1.52649E-2</v>
      </c>
      <c r="J81" s="22">
        <v>71</v>
      </c>
      <c r="K81" s="22">
        <v>1.4410400000000001</v>
      </c>
      <c r="L81">
        <f t="shared" si="12"/>
        <v>15.264899999999999</v>
      </c>
      <c r="M81">
        <f t="shared" si="13"/>
        <v>22.018244408999998</v>
      </c>
      <c r="N81" s="9"/>
      <c r="O81" s="22">
        <v>0.25756800000000002</v>
      </c>
      <c r="P81" s="22">
        <v>187.68199999999999</v>
      </c>
      <c r="Q81" s="22">
        <v>-1.61285E-2</v>
      </c>
      <c r="R81" s="22">
        <v>71</v>
      </c>
      <c r="S81" s="22">
        <v>0.25686599999999998</v>
      </c>
      <c r="T81">
        <f t="shared" si="14"/>
        <v>16.128499999999999</v>
      </c>
      <c r="U81">
        <f t="shared" si="15"/>
        <v>4.1541854880000004</v>
      </c>
      <c r="X81" s="9"/>
      <c r="Y81" s="22">
        <v>1.44241</v>
      </c>
      <c r="Z81" s="22">
        <v>270.19600000000003</v>
      </c>
      <c r="AA81" s="22">
        <v>-1.54205E-2</v>
      </c>
      <c r="AB81" s="22">
        <v>71</v>
      </c>
      <c r="AC81" s="22">
        <v>1.4419599999999999</v>
      </c>
      <c r="AD81">
        <f t="shared" si="16"/>
        <v>15.420500000000001</v>
      </c>
      <c r="AE81">
        <f t="shared" si="17"/>
        <v>22.242683405000001</v>
      </c>
      <c r="AF81" s="9"/>
      <c r="AG81" s="22">
        <v>0.25756800000000002</v>
      </c>
      <c r="AH81" s="22">
        <v>355.29</v>
      </c>
      <c r="AI81" s="22">
        <v>-1.6168200000000001E-2</v>
      </c>
      <c r="AJ81" s="22">
        <v>71</v>
      </c>
      <c r="AK81" s="22">
        <v>0.25680500000000001</v>
      </c>
      <c r="AL81">
        <f t="shared" si="18"/>
        <v>16.168200000000002</v>
      </c>
      <c r="AM81">
        <f t="shared" si="19"/>
        <v>4.1644109376000005</v>
      </c>
      <c r="AP81" s="9"/>
      <c r="AQ81" s="22">
        <v>1.44241</v>
      </c>
      <c r="AR81" s="22">
        <v>438.68900000000002</v>
      </c>
      <c r="AS81" s="22">
        <v>-1.5396099999999999E-2</v>
      </c>
      <c r="AT81" s="22">
        <v>71</v>
      </c>
      <c r="AU81" s="22">
        <v>1.4416500000000001</v>
      </c>
      <c r="AV81">
        <f t="shared" si="20"/>
        <v>15.396099999999999</v>
      </c>
      <c r="AW81">
        <f t="shared" si="21"/>
        <v>22.207488600999998</v>
      </c>
      <c r="AX81" s="9"/>
      <c r="AY81" s="22">
        <v>0.25756800000000002</v>
      </c>
      <c r="AZ81" s="22">
        <v>560.62300000000005</v>
      </c>
      <c r="BA81" s="22">
        <v>-1.61713E-2</v>
      </c>
      <c r="BB81" s="22">
        <v>71</v>
      </c>
      <c r="BC81" s="22">
        <v>0.25677499999999998</v>
      </c>
      <c r="BD81">
        <f t="shared" si="22"/>
        <v>16.171299999999999</v>
      </c>
      <c r="BE81">
        <f t="shared" si="23"/>
        <v>4.1652093984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80.496200000000002</v>
      </c>
      <c r="I82" s="22">
        <v>-1.5273999999999999E-2</v>
      </c>
      <c r="J82" s="22">
        <v>72</v>
      </c>
      <c r="K82" s="22">
        <v>1.4361600000000001</v>
      </c>
      <c r="L82">
        <f t="shared" si="12"/>
        <v>15.273999999999999</v>
      </c>
      <c r="M82">
        <f t="shared" si="13"/>
        <v>21.954542119999999</v>
      </c>
      <c r="N82" s="9"/>
      <c r="O82" s="22">
        <v>0.262604</v>
      </c>
      <c r="P82" s="22">
        <v>187.78299999999999</v>
      </c>
      <c r="Q82" s="22">
        <v>-1.6134599999999999E-2</v>
      </c>
      <c r="R82" s="22">
        <v>72</v>
      </c>
      <c r="S82" s="22">
        <v>0.26178000000000001</v>
      </c>
      <c r="T82">
        <f t="shared" si="14"/>
        <v>16.134599999999999</v>
      </c>
      <c r="U82">
        <f t="shared" si="15"/>
        <v>4.2370104984000001</v>
      </c>
      <c r="X82" s="9"/>
      <c r="Y82" s="22">
        <v>1.4373800000000001</v>
      </c>
      <c r="Z82" s="22">
        <v>270.29599999999999</v>
      </c>
      <c r="AA82" s="22">
        <v>-1.5438800000000001E-2</v>
      </c>
      <c r="AB82" s="22">
        <v>72</v>
      </c>
      <c r="AC82" s="22">
        <v>1.4361600000000001</v>
      </c>
      <c r="AD82">
        <f t="shared" si="16"/>
        <v>15.438800000000001</v>
      </c>
      <c r="AE82">
        <f t="shared" si="17"/>
        <v>22.191422344000003</v>
      </c>
      <c r="AF82" s="9"/>
      <c r="AG82" s="22">
        <v>0.262604</v>
      </c>
      <c r="AH82" s="22">
        <v>355.39100000000002</v>
      </c>
      <c r="AI82" s="22">
        <v>-1.61713E-2</v>
      </c>
      <c r="AJ82" s="22">
        <v>72</v>
      </c>
      <c r="AK82" s="22">
        <v>0.26202399999999998</v>
      </c>
      <c r="AL82">
        <f t="shared" si="18"/>
        <v>16.171299999999999</v>
      </c>
      <c r="AM82">
        <f t="shared" si="19"/>
        <v>4.2466480651999996</v>
      </c>
      <c r="AP82" s="9"/>
      <c r="AQ82" s="22">
        <v>1.4373800000000001</v>
      </c>
      <c r="AR82" s="22">
        <v>438.79</v>
      </c>
      <c r="AS82" s="22">
        <v>-1.5417500000000001E-2</v>
      </c>
      <c r="AT82" s="22">
        <v>72</v>
      </c>
      <c r="AU82" s="22">
        <v>1.4367700000000001</v>
      </c>
      <c r="AV82">
        <f t="shared" si="20"/>
        <v>15.4175</v>
      </c>
      <c r="AW82">
        <f t="shared" si="21"/>
        <v>22.160806150000003</v>
      </c>
      <c r="AX82" s="9"/>
      <c r="AY82" s="22">
        <v>0.262604</v>
      </c>
      <c r="AZ82" s="22">
        <v>560.72400000000005</v>
      </c>
      <c r="BA82" s="22">
        <v>-1.6177400000000002E-2</v>
      </c>
      <c r="BB82" s="22">
        <v>72</v>
      </c>
      <c r="BC82" s="22">
        <v>0.26190200000000002</v>
      </c>
      <c r="BD82">
        <f t="shared" si="22"/>
        <v>16.177400000000002</v>
      </c>
      <c r="BE82">
        <f t="shared" si="23"/>
        <v>4.2482499496000008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80.596900000000005</v>
      </c>
      <c r="I83" s="22">
        <v>-1.5286299999999999E-2</v>
      </c>
      <c r="J83" s="22">
        <v>73</v>
      </c>
      <c r="K83" s="22">
        <v>1.4315800000000001</v>
      </c>
      <c r="L83">
        <f t="shared" si="12"/>
        <v>15.286299999999999</v>
      </c>
      <c r="M83">
        <f t="shared" si="13"/>
        <v>21.895178941999998</v>
      </c>
      <c r="N83" s="9"/>
      <c r="O83" s="22">
        <v>0.26763900000000002</v>
      </c>
      <c r="P83" s="22">
        <v>187.88399999999999</v>
      </c>
      <c r="Q83" s="22">
        <v>-1.6134599999999999E-2</v>
      </c>
      <c r="R83" s="22">
        <v>73</v>
      </c>
      <c r="S83" s="22">
        <v>0.26681500000000002</v>
      </c>
      <c r="T83">
        <f t="shared" si="14"/>
        <v>16.134599999999999</v>
      </c>
      <c r="U83">
        <f t="shared" si="15"/>
        <v>4.3182482094000001</v>
      </c>
      <c r="X83" s="9"/>
      <c r="Y83" s="22">
        <v>1.4323399999999999</v>
      </c>
      <c r="Z83" s="22">
        <v>270.39699999999999</v>
      </c>
      <c r="AA83" s="22">
        <v>-1.54541E-2</v>
      </c>
      <c r="AB83" s="22">
        <v>73</v>
      </c>
      <c r="AC83" s="22">
        <v>1.43127</v>
      </c>
      <c r="AD83">
        <f t="shared" si="16"/>
        <v>15.4541</v>
      </c>
      <c r="AE83">
        <f t="shared" si="17"/>
        <v>22.135525594000001</v>
      </c>
      <c r="AF83" s="9"/>
      <c r="AG83" s="22">
        <v>0.26763900000000002</v>
      </c>
      <c r="AH83" s="22">
        <v>355.49099999999999</v>
      </c>
      <c r="AI83" s="22">
        <v>-1.6153000000000001E-2</v>
      </c>
      <c r="AJ83" s="22">
        <v>73</v>
      </c>
      <c r="AK83" s="22">
        <v>0.26699800000000001</v>
      </c>
      <c r="AL83">
        <f t="shared" si="18"/>
        <v>16.153000000000002</v>
      </c>
      <c r="AM83">
        <f t="shared" si="19"/>
        <v>4.3231727670000009</v>
      </c>
      <c r="AP83" s="9"/>
      <c r="AQ83" s="22">
        <v>1.4323399999999999</v>
      </c>
      <c r="AR83" s="22">
        <v>438.89100000000002</v>
      </c>
      <c r="AS83" s="22">
        <v>-1.5417500000000001E-2</v>
      </c>
      <c r="AT83" s="22">
        <v>73</v>
      </c>
      <c r="AU83" s="22">
        <v>1.4315800000000001</v>
      </c>
      <c r="AV83">
        <f t="shared" si="20"/>
        <v>15.4175</v>
      </c>
      <c r="AW83">
        <f t="shared" si="21"/>
        <v>22.08310195</v>
      </c>
      <c r="AX83" s="9"/>
      <c r="AY83" s="22">
        <v>0.26763900000000002</v>
      </c>
      <c r="AZ83" s="22">
        <v>560.82500000000005</v>
      </c>
      <c r="BA83" s="22">
        <v>-1.6168200000000001E-2</v>
      </c>
      <c r="BB83" s="22">
        <v>73</v>
      </c>
      <c r="BC83" s="22">
        <v>0.26693699999999998</v>
      </c>
      <c r="BD83">
        <f t="shared" si="22"/>
        <v>16.168200000000002</v>
      </c>
      <c r="BE83">
        <f t="shared" si="23"/>
        <v>4.3272408798000006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80.697599999999994</v>
      </c>
      <c r="I84" s="22">
        <v>-1.53046E-2</v>
      </c>
      <c r="J84" s="22">
        <v>74</v>
      </c>
      <c r="K84" s="22">
        <v>1.4267000000000001</v>
      </c>
      <c r="L84">
        <f t="shared" si="12"/>
        <v>15.304600000000001</v>
      </c>
      <c r="M84">
        <f t="shared" si="13"/>
        <v>21.844408626000003</v>
      </c>
      <c r="N84" s="9"/>
      <c r="O84" s="22">
        <v>0.272675</v>
      </c>
      <c r="P84" s="22">
        <v>187.98400000000001</v>
      </c>
      <c r="Q84" s="22">
        <v>-1.6134599999999999E-2</v>
      </c>
      <c r="R84" s="22">
        <v>74</v>
      </c>
      <c r="S84" s="22">
        <v>0.272034</v>
      </c>
      <c r="T84">
        <f t="shared" si="14"/>
        <v>16.134599999999999</v>
      </c>
      <c r="U84">
        <f t="shared" si="15"/>
        <v>4.3995020550000001</v>
      </c>
      <c r="X84" s="9"/>
      <c r="Y84" s="22">
        <v>1.4273100000000001</v>
      </c>
      <c r="Z84" s="22">
        <v>270.49799999999999</v>
      </c>
      <c r="AA84" s="22">
        <v>-1.5466300000000001E-2</v>
      </c>
      <c r="AB84" s="22">
        <v>74</v>
      </c>
      <c r="AC84" s="22">
        <v>1.4260900000000001</v>
      </c>
      <c r="AD84">
        <f t="shared" si="16"/>
        <v>15.4663</v>
      </c>
      <c r="AE84">
        <f t="shared" si="17"/>
        <v>22.075204653</v>
      </c>
      <c r="AF84" s="9"/>
      <c r="AG84" s="22">
        <v>0.272675</v>
      </c>
      <c r="AH84" s="22">
        <v>355.59199999999998</v>
      </c>
      <c r="AI84" s="22">
        <v>-1.6159099999999999E-2</v>
      </c>
      <c r="AJ84" s="22">
        <v>74</v>
      </c>
      <c r="AK84" s="22">
        <v>0.27200299999999999</v>
      </c>
      <c r="AL84">
        <f t="shared" si="18"/>
        <v>16.159099999999999</v>
      </c>
      <c r="AM84">
        <f t="shared" si="19"/>
        <v>4.4061825924999996</v>
      </c>
      <c r="AP84" s="9"/>
      <c r="AQ84" s="22">
        <v>1.4273100000000001</v>
      </c>
      <c r="AR84" s="22">
        <v>438.99200000000002</v>
      </c>
      <c r="AS84" s="22">
        <v>-1.5438800000000001E-2</v>
      </c>
      <c r="AT84" s="22">
        <v>74</v>
      </c>
      <c r="AU84" s="22">
        <v>1.42639</v>
      </c>
      <c r="AV84">
        <f t="shared" si="20"/>
        <v>15.438800000000001</v>
      </c>
      <c r="AW84">
        <f t="shared" si="21"/>
        <v>22.035953628000001</v>
      </c>
      <c r="AX84" s="9"/>
      <c r="AY84" s="22">
        <v>0.272675</v>
      </c>
      <c r="AZ84" s="22">
        <v>560.92600000000004</v>
      </c>
      <c r="BA84" s="22">
        <v>-1.6177400000000002E-2</v>
      </c>
      <c r="BB84" s="22">
        <v>74</v>
      </c>
      <c r="BC84" s="22">
        <v>0.27178999999999998</v>
      </c>
      <c r="BD84">
        <f t="shared" si="22"/>
        <v>16.177400000000002</v>
      </c>
      <c r="BE84">
        <f t="shared" si="23"/>
        <v>4.4111725450000003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80.798299999999998</v>
      </c>
      <c r="I85" s="22">
        <v>-1.53198E-2</v>
      </c>
      <c r="J85" s="22">
        <v>75</v>
      </c>
      <c r="K85" s="22">
        <v>1.4212</v>
      </c>
      <c r="L85">
        <f t="shared" si="12"/>
        <v>15.319799999999999</v>
      </c>
      <c r="M85">
        <f t="shared" si="13"/>
        <v>21.788891945999996</v>
      </c>
      <c r="N85" s="9"/>
      <c r="O85" s="22">
        <v>0.27771000000000001</v>
      </c>
      <c r="P85" s="22">
        <v>188.08500000000001</v>
      </c>
      <c r="Q85" s="22">
        <v>-1.6134599999999999E-2</v>
      </c>
      <c r="R85" s="22">
        <v>75</v>
      </c>
      <c r="S85" s="22">
        <v>0.27716099999999999</v>
      </c>
      <c r="T85">
        <f t="shared" si="14"/>
        <v>16.134599999999999</v>
      </c>
      <c r="U85">
        <f t="shared" si="15"/>
        <v>4.4807397660000001</v>
      </c>
      <c r="X85" s="9"/>
      <c r="Y85" s="22">
        <v>1.4222699999999999</v>
      </c>
      <c r="Z85" s="22">
        <v>270.59800000000001</v>
      </c>
      <c r="AA85" s="22">
        <v>-1.5463299999999999E-2</v>
      </c>
      <c r="AB85" s="22">
        <v>75</v>
      </c>
      <c r="AC85" s="22">
        <v>1.4215100000000001</v>
      </c>
      <c r="AD85">
        <f t="shared" si="16"/>
        <v>15.463299999999998</v>
      </c>
      <c r="AE85">
        <f t="shared" si="17"/>
        <v>21.992987690999996</v>
      </c>
      <c r="AF85" s="9"/>
      <c r="AG85" s="22">
        <v>0.27771000000000001</v>
      </c>
      <c r="AH85" s="22">
        <v>355.69299999999998</v>
      </c>
      <c r="AI85" s="22">
        <v>-1.6153000000000001E-2</v>
      </c>
      <c r="AJ85" s="22">
        <v>75</v>
      </c>
      <c r="AK85" s="22">
        <v>0.27703899999999998</v>
      </c>
      <c r="AL85">
        <f t="shared" si="18"/>
        <v>16.153000000000002</v>
      </c>
      <c r="AM85">
        <f t="shared" si="19"/>
        <v>4.4858496300000006</v>
      </c>
      <c r="AP85" s="9"/>
      <c r="AQ85" s="22">
        <v>1.4222699999999999</v>
      </c>
      <c r="AR85" s="22">
        <v>439.09199999999998</v>
      </c>
      <c r="AS85" s="22">
        <v>-1.54541E-2</v>
      </c>
      <c r="AT85" s="22">
        <v>75</v>
      </c>
      <c r="AU85" s="22">
        <v>1.4215100000000001</v>
      </c>
      <c r="AV85">
        <f t="shared" si="20"/>
        <v>15.4541</v>
      </c>
      <c r="AW85">
        <f t="shared" si="21"/>
        <v>21.979902806999998</v>
      </c>
      <c r="AX85" s="9"/>
      <c r="AY85" s="22">
        <v>0.27771000000000001</v>
      </c>
      <c r="AZ85" s="22">
        <v>561.02599999999995</v>
      </c>
      <c r="BA85" s="22">
        <v>-1.6177400000000002E-2</v>
      </c>
      <c r="BB85" s="22">
        <v>75</v>
      </c>
      <c r="BC85" s="22">
        <v>0.27719100000000002</v>
      </c>
      <c r="BD85">
        <f t="shared" si="22"/>
        <v>16.177400000000002</v>
      </c>
      <c r="BE85">
        <f t="shared" si="23"/>
        <v>4.4926257540000005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80.899000000000001</v>
      </c>
      <c r="I86" s="22">
        <v>-1.5335100000000001E-2</v>
      </c>
      <c r="J86" s="22">
        <v>76</v>
      </c>
      <c r="K86" s="22">
        <v>1.41632</v>
      </c>
      <c r="L86">
        <f t="shared" si="12"/>
        <v>15.335100000000001</v>
      </c>
      <c r="M86">
        <f t="shared" si="13"/>
        <v>21.733517124000002</v>
      </c>
      <c r="N86" s="9"/>
      <c r="O86" s="22">
        <v>0.28274500000000002</v>
      </c>
      <c r="P86" s="22">
        <v>188.18600000000001</v>
      </c>
      <c r="Q86" s="22">
        <v>-1.61285E-2</v>
      </c>
      <c r="R86" s="22">
        <v>76</v>
      </c>
      <c r="S86" s="22">
        <v>0.28198200000000001</v>
      </c>
      <c r="T86">
        <f t="shared" si="14"/>
        <v>16.128499999999999</v>
      </c>
      <c r="U86">
        <f t="shared" si="15"/>
        <v>4.5602527325000004</v>
      </c>
      <c r="X86" s="9"/>
      <c r="Y86" s="22">
        <v>1.4172400000000001</v>
      </c>
      <c r="Z86" s="22">
        <v>270.69900000000001</v>
      </c>
      <c r="AA86" s="22">
        <v>-1.54755E-2</v>
      </c>
      <c r="AB86" s="22">
        <v>76</v>
      </c>
      <c r="AC86" s="22">
        <v>1.4166300000000001</v>
      </c>
      <c r="AD86">
        <f t="shared" si="16"/>
        <v>15.4755</v>
      </c>
      <c r="AE86">
        <f t="shared" si="17"/>
        <v>21.932497619999999</v>
      </c>
      <c r="AF86" s="9"/>
      <c r="AG86" s="22">
        <v>0.28274500000000002</v>
      </c>
      <c r="AH86" s="22">
        <v>355.79399999999998</v>
      </c>
      <c r="AI86" s="22">
        <v>-1.6146899999999999E-2</v>
      </c>
      <c r="AJ86" s="22">
        <v>76</v>
      </c>
      <c r="AK86" s="22">
        <v>0.28222700000000001</v>
      </c>
      <c r="AL86">
        <f t="shared" si="18"/>
        <v>16.146899999999999</v>
      </c>
      <c r="AM86">
        <f t="shared" si="19"/>
        <v>4.5654552405000004</v>
      </c>
      <c r="AP86" s="9"/>
      <c r="AQ86" s="22">
        <v>1.4172400000000001</v>
      </c>
      <c r="AR86" s="22">
        <v>439.19299999999998</v>
      </c>
      <c r="AS86" s="22">
        <v>-1.5463299999999999E-2</v>
      </c>
      <c r="AT86" s="22">
        <v>76</v>
      </c>
      <c r="AU86" s="22">
        <v>1.4166300000000001</v>
      </c>
      <c r="AV86">
        <f t="shared" si="20"/>
        <v>15.463299999999998</v>
      </c>
      <c r="AW86">
        <f t="shared" si="21"/>
        <v>21.915207291999998</v>
      </c>
      <c r="AX86" s="9"/>
      <c r="AY86" s="22">
        <v>0.28274500000000002</v>
      </c>
      <c r="AZ86" s="22">
        <v>561.12699999999995</v>
      </c>
      <c r="BA86" s="22">
        <v>-1.6174299999999999E-2</v>
      </c>
      <c r="BB86" s="22">
        <v>76</v>
      </c>
      <c r="BC86" s="22">
        <v>0.28210400000000002</v>
      </c>
      <c r="BD86">
        <f t="shared" si="22"/>
        <v>16.174299999999999</v>
      </c>
      <c r="BE86">
        <f t="shared" si="23"/>
        <v>4.5732024535000004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80.999799999999993</v>
      </c>
      <c r="I87" s="22">
        <v>-1.5347299999999999E-2</v>
      </c>
      <c r="J87" s="22">
        <v>77</v>
      </c>
      <c r="K87" s="22">
        <v>1.41174</v>
      </c>
      <c r="L87">
        <f t="shared" si="12"/>
        <v>15.347299999999999</v>
      </c>
      <c r="M87">
        <f t="shared" si="13"/>
        <v>21.673457059999997</v>
      </c>
      <c r="N87" s="9"/>
      <c r="O87" s="22">
        <v>0.28778100000000001</v>
      </c>
      <c r="P87" s="22">
        <v>188.28700000000001</v>
      </c>
      <c r="Q87" s="22">
        <v>-1.61285E-2</v>
      </c>
      <c r="R87" s="22">
        <v>77</v>
      </c>
      <c r="S87" s="22">
        <v>0.28714000000000001</v>
      </c>
      <c r="T87">
        <f t="shared" si="14"/>
        <v>16.128499999999999</v>
      </c>
      <c r="U87">
        <f t="shared" si="15"/>
        <v>4.6414758584999998</v>
      </c>
      <c r="X87" s="9"/>
      <c r="Y87" s="22">
        <v>1.4121999999999999</v>
      </c>
      <c r="Z87" s="22">
        <v>270.8</v>
      </c>
      <c r="AA87" s="22">
        <v>-1.5472400000000001E-2</v>
      </c>
      <c r="AB87" s="22">
        <v>77</v>
      </c>
      <c r="AC87" s="22">
        <v>1.41174</v>
      </c>
      <c r="AD87">
        <f t="shared" si="16"/>
        <v>15.4724</v>
      </c>
      <c r="AE87">
        <f t="shared" si="17"/>
        <v>21.850123279999998</v>
      </c>
      <c r="AF87" s="9"/>
      <c r="AG87" s="22">
        <v>0.28778100000000001</v>
      </c>
      <c r="AH87" s="22">
        <v>355.89400000000001</v>
      </c>
      <c r="AI87" s="22">
        <v>-1.6159099999999999E-2</v>
      </c>
      <c r="AJ87" s="22">
        <v>77</v>
      </c>
      <c r="AK87" s="22">
        <v>0.28716999999999998</v>
      </c>
      <c r="AL87">
        <f t="shared" si="18"/>
        <v>16.159099999999999</v>
      </c>
      <c r="AM87">
        <f t="shared" si="19"/>
        <v>4.6502819570999998</v>
      </c>
      <c r="AP87" s="9"/>
      <c r="AQ87" s="22">
        <v>1.4121999999999999</v>
      </c>
      <c r="AR87" s="22">
        <v>439.29399999999998</v>
      </c>
      <c r="AS87" s="22">
        <v>-1.5463299999999999E-2</v>
      </c>
      <c r="AT87" s="22">
        <v>77</v>
      </c>
      <c r="AU87" s="22">
        <v>1.41144</v>
      </c>
      <c r="AV87">
        <f t="shared" si="20"/>
        <v>15.463299999999998</v>
      </c>
      <c r="AW87">
        <f t="shared" si="21"/>
        <v>21.837272259999995</v>
      </c>
      <c r="AX87" s="9"/>
      <c r="AY87" s="22">
        <v>0.28778100000000001</v>
      </c>
      <c r="AZ87" s="22">
        <v>561.22799999999995</v>
      </c>
      <c r="BA87" s="22">
        <v>-1.61713E-2</v>
      </c>
      <c r="BB87" s="22">
        <v>77</v>
      </c>
      <c r="BC87" s="22">
        <v>0.28714000000000001</v>
      </c>
      <c r="BD87">
        <f t="shared" si="22"/>
        <v>16.171299999999999</v>
      </c>
      <c r="BE87">
        <f t="shared" si="23"/>
        <v>4.6537928852999997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81.100499999999997</v>
      </c>
      <c r="I88" s="22">
        <v>-1.53656E-2</v>
      </c>
      <c r="J88" s="22">
        <v>78</v>
      </c>
      <c r="K88" s="22">
        <v>1.40656</v>
      </c>
      <c r="L88">
        <f t="shared" si="12"/>
        <v>15.365600000000001</v>
      </c>
      <c r="M88">
        <f t="shared" si="13"/>
        <v>21.622011352000001</v>
      </c>
      <c r="N88" s="9"/>
      <c r="O88" s="22">
        <v>0.29281600000000002</v>
      </c>
      <c r="P88" s="22">
        <v>188.387</v>
      </c>
      <c r="Q88" s="22">
        <v>-1.6131599999999999E-2</v>
      </c>
      <c r="R88" s="22">
        <v>78</v>
      </c>
      <c r="S88" s="22">
        <v>0.29217500000000002</v>
      </c>
      <c r="T88">
        <f t="shared" si="14"/>
        <v>16.131599999999999</v>
      </c>
      <c r="U88">
        <f t="shared" si="15"/>
        <v>4.7235905856000002</v>
      </c>
      <c r="X88" s="9"/>
      <c r="Y88" s="22">
        <v>1.40717</v>
      </c>
      <c r="Z88" s="22">
        <v>270.90100000000001</v>
      </c>
      <c r="AA88" s="22">
        <v>-1.54968E-2</v>
      </c>
      <c r="AB88" s="22">
        <v>78</v>
      </c>
      <c r="AC88" s="22">
        <v>1.40717</v>
      </c>
      <c r="AD88">
        <f t="shared" si="16"/>
        <v>15.4968</v>
      </c>
      <c r="AE88">
        <f t="shared" si="17"/>
        <v>21.806632056000002</v>
      </c>
      <c r="AF88" s="9"/>
      <c r="AG88" s="22">
        <v>0.29281600000000002</v>
      </c>
      <c r="AH88" s="22">
        <v>355.995</v>
      </c>
      <c r="AI88" s="22">
        <v>-1.6156E-2</v>
      </c>
      <c r="AJ88" s="22">
        <v>78</v>
      </c>
      <c r="AK88" s="22">
        <v>0.29205300000000001</v>
      </c>
      <c r="AL88">
        <f t="shared" si="18"/>
        <v>16.155999999999999</v>
      </c>
      <c r="AM88">
        <f t="shared" si="19"/>
        <v>4.7307352959999998</v>
      </c>
      <c r="AP88" s="9"/>
      <c r="AQ88" s="22">
        <v>1.40717</v>
      </c>
      <c r="AR88" s="22">
        <v>439.39400000000001</v>
      </c>
      <c r="AS88" s="22">
        <v>-1.54877E-2</v>
      </c>
      <c r="AT88" s="22">
        <v>78</v>
      </c>
      <c r="AU88" s="22">
        <v>1.40656</v>
      </c>
      <c r="AV88">
        <f t="shared" si="20"/>
        <v>15.4877</v>
      </c>
      <c r="AW88">
        <f t="shared" si="21"/>
        <v>21.793826809000002</v>
      </c>
      <c r="AX88" s="9"/>
      <c r="AY88" s="22">
        <v>0.29281600000000002</v>
      </c>
      <c r="AZ88" s="22">
        <v>561.32799999999997</v>
      </c>
      <c r="BA88" s="22">
        <v>-1.61713E-2</v>
      </c>
      <c r="BB88" s="22">
        <v>78</v>
      </c>
      <c r="BC88" s="22">
        <v>0.29217500000000002</v>
      </c>
      <c r="BD88">
        <f t="shared" si="22"/>
        <v>16.171299999999999</v>
      </c>
      <c r="BE88">
        <f t="shared" si="23"/>
        <v>4.7352153807999997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81.2012</v>
      </c>
      <c r="I89" s="22">
        <v>-1.53778E-2</v>
      </c>
      <c r="J89" s="22">
        <v>79</v>
      </c>
      <c r="K89" s="22">
        <v>1.40137</v>
      </c>
      <c r="L89">
        <f t="shared" si="12"/>
        <v>15.377800000000001</v>
      </c>
      <c r="M89">
        <f t="shared" si="13"/>
        <v>21.561674714000002</v>
      </c>
      <c r="N89" s="9"/>
      <c r="O89" s="22">
        <v>0.29785200000000001</v>
      </c>
      <c r="P89" s="22">
        <v>188.488</v>
      </c>
      <c r="Q89" s="22">
        <v>-1.6122399999999999E-2</v>
      </c>
      <c r="R89" s="22">
        <v>79</v>
      </c>
      <c r="S89" s="22">
        <v>0.29739399999999999</v>
      </c>
      <c r="T89">
        <f t="shared" si="14"/>
        <v>16.122399999999999</v>
      </c>
      <c r="U89">
        <f t="shared" si="15"/>
        <v>4.8020890847999995</v>
      </c>
      <c r="X89" s="9"/>
      <c r="Y89" s="22">
        <v>1.4021300000000001</v>
      </c>
      <c r="Z89" s="22">
        <v>271.00099999999998</v>
      </c>
      <c r="AA89" s="22">
        <v>-1.5518199999999999E-2</v>
      </c>
      <c r="AB89" s="22">
        <v>79</v>
      </c>
      <c r="AC89" s="22">
        <v>1.40137</v>
      </c>
      <c r="AD89">
        <f t="shared" si="16"/>
        <v>15.5182</v>
      </c>
      <c r="AE89">
        <f t="shared" si="17"/>
        <v>21.758533766000003</v>
      </c>
      <c r="AF89" s="9"/>
      <c r="AG89" s="22">
        <v>0.29785200000000001</v>
      </c>
      <c r="AH89" s="22">
        <v>356.096</v>
      </c>
      <c r="AI89" s="22">
        <v>-1.6156E-2</v>
      </c>
      <c r="AJ89" s="22">
        <v>79</v>
      </c>
      <c r="AK89" s="22">
        <v>0.29718</v>
      </c>
      <c r="AL89">
        <f t="shared" si="18"/>
        <v>16.155999999999999</v>
      </c>
      <c r="AM89">
        <f t="shared" si="19"/>
        <v>4.8120969119999994</v>
      </c>
      <c r="AP89" s="9"/>
      <c r="AQ89" s="22">
        <v>1.4021300000000001</v>
      </c>
      <c r="AR89" s="22">
        <v>439.495</v>
      </c>
      <c r="AS89" s="22">
        <v>-1.54877E-2</v>
      </c>
      <c r="AT89" s="22">
        <v>79</v>
      </c>
      <c r="AU89" s="22">
        <v>1.40137</v>
      </c>
      <c r="AV89">
        <f t="shared" si="20"/>
        <v>15.4877</v>
      </c>
      <c r="AW89">
        <f t="shared" si="21"/>
        <v>21.715768801000003</v>
      </c>
      <c r="AX89" s="9"/>
      <c r="AY89" s="22">
        <v>0.29785200000000001</v>
      </c>
      <c r="AZ89" s="22">
        <v>561.42899999999997</v>
      </c>
      <c r="BA89" s="22">
        <v>-1.61713E-2</v>
      </c>
      <c r="BB89" s="22">
        <v>79</v>
      </c>
      <c r="BC89" s="22">
        <v>0.29715000000000003</v>
      </c>
      <c r="BD89">
        <f t="shared" si="22"/>
        <v>16.171299999999999</v>
      </c>
      <c r="BE89">
        <f t="shared" si="23"/>
        <v>4.8166540475999993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81.301900000000003</v>
      </c>
      <c r="I90" s="22">
        <v>-1.53931E-2</v>
      </c>
      <c r="J90" s="22">
        <v>80</v>
      </c>
      <c r="K90" s="22">
        <v>1.39618</v>
      </c>
      <c r="L90">
        <f t="shared" si="12"/>
        <v>15.3931</v>
      </c>
      <c r="M90">
        <f t="shared" si="13"/>
        <v>21.505546078999998</v>
      </c>
      <c r="N90" s="9"/>
      <c r="O90" s="22">
        <v>0.30288700000000002</v>
      </c>
      <c r="P90" s="22">
        <v>188.589</v>
      </c>
      <c r="Q90" s="22">
        <v>-1.6125500000000001E-2</v>
      </c>
      <c r="R90" s="22">
        <v>80</v>
      </c>
      <c r="S90" s="22">
        <v>0.30227700000000002</v>
      </c>
      <c r="T90">
        <f t="shared" si="14"/>
        <v>16.125500000000002</v>
      </c>
      <c r="U90">
        <f t="shared" si="15"/>
        <v>4.884204318500001</v>
      </c>
      <c r="X90" s="9"/>
      <c r="Y90" s="22">
        <v>1.3970899999999999</v>
      </c>
      <c r="Z90" s="22">
        <v>271.10199999999998</v>
      </c>
      <c r="AA90" s="22">
        <v>-1.5518199999999999E-2</v>
      </c>
      <c r="AB90" s="22">
        <v>80</v>
      </c>
      <c r="AC90" s="22">
        <v>1.3964799999999999</v>
      </c>
      <c r="AD90">
        <f t="shared" si="16"/>
        <v>15.5182</v>
      </c>
      <c r="AE90">
        <f t="shared" si="17"/>
        <v>21.680322038</v>
      </c>
      <c r="AF90" s="9"/>
      <c r="AG90" s="22">
        <v>0.30288700000000002</v>
      </c>
      <c r="AH90" s="22">
        <v>356.19600000000003</v>
      </c>
      <c r="AI90" s="22">
        <v>-1.6162099999999999E-2</v>
      </c>
      <c r="AJ90" s="22">
        <v>80</v>
      </c>
      <c r="AK90" s="22">
        <v>0.302124</v>
      </c>
      <c r="AL90">
        <f t="shared" si="18"/>
        <v>16.162099999999999</v>
      </c>
      <c r="AM90">
        <f t="shared" si="19"/>
        <v>4.8952899826999996</v>
      </c>
      <c r="AP90" s="9"/>
      <c r="AQ90" s="22">
        <v>1.3970899999999999</v>
      </c>
      <c r="AR90" s="22">
        <v>439.596</v>
      </c>
      <c r="AS90" s="22">
        <v>-1.54968E-2</v>
      </c>
      <c r="AT90" s="22">
        <v>80</v>
      </c>
      <c r="AU90" s="22">
        <v>1.39618</v>
      </c>
      <c r="AV90">
        <f t="shared" si="20"/>
        <v>15.4968</v>
      </c>
      <c r="AW90">
        <f t="shared" si="21"/>
        <v>21.650424311999998</v>
      </c>
      <c r="AX90" s="9"/>
      <c r="AY90" s="22">
        <v>0.30288700000000002</v>
      </c>
      <c r="AZ90" s="22">
        <v>561.53</v>
      </c>
      <c r="BA90" s="22">
        <v>-1.6174299999999999E-2</v>
      </c>
      <c r="BB90" s="22">
        <v>80</v>
      </c>
      <c r="BC90" s="22">
        <v>0.30221599999999998</v>
      </c>
      <c r="BD90">
        <f t="shared" si="22"/>
        <v>16.174299999999999</v>
      </c>
      <c r="BE90">
        <f t="shared" si="23"/>
        <v>4.8989852040999997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81.402600000000007</v>
      </c>
      <c r="I91" s="22">
        <v>-1.54083E-2</v>
      </c>
      <c r="J91" s="22">
        <v>81</v>
      </c>
      <c r="K91" s="22">
        <v>1.3909899999999999</v>
      </c>
      <c r="L91">
        <f t="shared" si="12"/>
        <v>15.408300000000001</v>
      </c>
      <c r="M91">
        <f t="shared" si="13"/>
        <v>21.449278098000001</v>
      </c>
      <c r="N91" s="9"/>
      <c r="O91" s="22">
        <v>0.30792199999999997</v>
      </c>
      <c r="P91" s="22">
        <v>188.68899999999999</v>
      </c>
      <c r="Q91" s="22">
        <v>-1.6134599999999999E-2</v>
      </c>
      <c r="R91" s="22">
        <v>81</v>
      </c>
      <c r="S91" s="22">
        <v>0.30721999999999999</v>
      </c>
      <c r="T91">
        <f t="shared" si="14"/>
        <v>16.134599999999999</v>
      </c>
      <c r="U91">
        <f t="shared" si="15"/>
        <v>4.9681983011999993</v>
      </c>
      <c r="X91" s="9"/>
      <c r="Y91" s="22">
        <v>1.3920600000000001</v>
      </c>
      <c r="Z91" s="22">
        <v>271.20299999999997</v>
      </c>
      <c r="AA91" s="22">
        <v>-1.55243E-2</v>
      </c>
      <c r="AB91" s="22">
        <v>81</v>
      </c>
      <c r="AC91" s="22">
        <v>1.3913</v>
      </c>
      <c r="AD91">
        <f t="shared" si="16"/>
        <v>15.5243</v>
      </c>
      <c r="AE91">
        <f t="shared" si="17"/>
        <v>21.610757058000001</v>
      </c>
      <c r="AF91" s="9"/>
      <c r="AG91" s="22">
        <v>0.30792199999999997</v>
      </c>
      <c r="AH91" s="22">
        <v>356.29700000000003</v>
      </c>
      <c r="AI91" s="22">
        <v>-1.6159099999999999E-2</v>
      </c>
      <c r="AJ91" s="22">
        <v>81</v>
      </c>
      <c r="AK91" s="22">
        <v>0.30721999999999999</v>
      </c>
      <c r="AL91">
        <f t="shared" si="18"/>
        <v>16.159099999999999</v>
      </c>
      <c r="AM91">
        <f t="shared" si="19"/>
        <v>4.9757423901999989</v>
      </c>
      <c r="AP91" s="9"/>
      <c r="AQ91" s="22">
        <v>1.3920600000000001</v>
      </c>
      <c r="AR91" s="22">
        <v>439.69600000000003</v>
      </c>
      <c r="AS91" s="22">
        <v>-1.55151E-2</v>
      </c>
      <c r="AT91" s="22">
        <v>81</v>
      </c>
      <c r="AU91" s="22">
        <v>1.3913</v>
      </c>
      <c r="AV91">
        <f t="shared" si="20"/>
        <v>15.5151</v>
      </c>
      <c r="AW91">
        <f t="shared" si="21"/>
        <v>21.597950106000003</v>
      </c>
      <c r="AX91" s="9"/>
      <c r="AY91" s="22">
        <v>0.30792199999999997</v>
      </c>
      <c r="AZ91" s="22">
        <v>561.63099999999997</v>
      </c>
      <c r="BA91" s="22">
        <v>-1.6174299999999999E-2</v>
      </c>
      <c r="BB91" s="22">
        <v>81</v>
      </c>
      <c r="BC91" s="22">
        <v>0.30721999999999999</v>
      </c>
      <c r="BD91">
        <f t="shared" si="22"/>
        <v>16.174299999999999</v>
      </c>
      <c r="BE91">
        <f t="shared" si="23"/>
        <v>4.980422804599999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81.503299999999996</v>
      </c>
      <c r="I92" s="22">
        <v>-1.54266E-2</v>
      </c>
      <c r="J92" s="22">
        <v>82</v>
      </c>
      <c r="K92" s="22">
        <v>1.3864099999999999</v>
      </c>
      <c r="L92">
        <f t="shared" si="12"/>
        <v>15.426600000000001</v>
      </c>
      <c r="M92">
        <f t="shared" si="13"/>
        <v>21.397002732000001</v>
      </c>
      <c r="N92" s="9"/>
      <c r="O92" s="22">
        <v>0.31295800000000001</v>
      </c>
      <c r="P92" s="22">
        <v>188.79</v>
      </c>
      <c r="Q92" s="22">
        <v>-1.6125500000000001E-2</v>
      </c>
      <c r="R92" s="22">
        <v>82</v>
      </c>
      <c r="S92" s="22">
        <v>0.31231700000000001</v>
      </c>
      <c r="T92">
        <f t="shared" si="14"/>
        <v>16.125500000000002</v>
      </c>
      <c r="U92">
        <f t="shared" si="15"/>
        <v>5.0466042290000006</v>
      </c>
      <c r="X92" s="9"/>
      <c r="Y92" s="22">
        <v>1.3870199999999999</v>
      </c>
      <c r="Z92" s="22">
        <v>271.303</v>
      </c>
      <c r="AA92" s="22">
        <v>-1.55365E-2</v>
      </c>
      <c r="AB92" s="22">
        <v>82</v>
      </c>
      <c r="AC92" s="22">
        <v>1.38611</v>
      </c>
      <c r="AD92">
        <f t="shared" si="16"/>
        <v>15.5365</v>
      </c>
      <c r="AE92">
        <f t="shared" si="17"/>
        <v>21.549436229999998</v>
      </c>
      <c r="AF92" s="9"/>
      <c r="AG92" s="22">
        <v>0.31295800000000001</v>
      </c>
      <c r="AH92" s="22">
        <v>356.39800000000002</v>
      </c>
      <c r="AI92" s="22">
        <v>-1.6146899999999999E-2</v>
      </c>
      <c r="AJ92" s="22">
        <v>82</v>
      </c>
      <c r="AK92" s="22">
        <v>0.312164</v>
      </c>
      <c r="AL92">
        <f t="shared" si="18"/>
        <v>16.146899999999999</v>
      </c>
      <c r="AM92">
        <f t="shared" si="19"/>
        <v>5.0533015301999997</v>
      </c>
      <c r="AP92" s="9"/>
      <c r="AQ92" s="22">
        <v>1.3870199999999999</v>
      </c>
      <c r="AR92" s="22">
        <v>439.79700000000003</v>
      </c>
      <c r="AS92" s="22">
        <v>-1.5521200000000001E-2</v>
      </c>
      <c r="AT92" s="22">
        <v>82</v>
      </c>
      <c r="AU92" s="22">
        <v>1.38611</v>
      </c>
      <c r="AV92">
        <f t="shared" si="20"/>
        <v>15.5212</v>
      </c>
      <c r="AW92">
        <f t="shared" si="21"/>
        <v>21.528214823999999</v>
      </c>
      <c r="AX92" s="9"/>
      <c r="AY92" s="22">
        <v>0.31295800000000001</v>
      </c>
      <c r="AZ92" s="22">
        <v>561.73099999999999</v>
      </c>
      <c r="BA92" s="22">
        <v>-1.61713E-2</v>
      </c>
      <c r="BB92" s="22">
        <v>82</v>
      </c>
      <c r="BC92" s="22">
        <v>0.31231700000000001</v>
      </c>
      <c r="BD92">
        <f t="shared" si="22"/>
        <v>16.171299999999999</v>
      </c>
      <c r="BE92">
        <f t="shared" si="23"/>
        <v>5.0609377053999998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81.603999999999999</v>
      </c>
      <c r="I93" s="22">
        <v>-1.5429699999999999E-2</v>
      </c>
      <c r="J93" s="22">
        <v>83</v>
      </c>
      <c r="K93" s="22">
        <v>1.38184</v>
      </c>
      <c r="L93">
        <f t="shared" si="12"/>
        <v>15.429699999999999</v>
      </c>
      <c r="M93">
        <f t="shared" si="13"/>
        <v>21.323691102999998</v>
      </c>
      <c r="N93" s="9"/>
      <c r="O93" s="22">
        <v>0.31799300000000003</v>
      </c>
      <c r="P93" s="22">
        <v>188.89099999999999</v>
      </c>
      <c r="Q93" s="22">
        <v>-1.6137700000000001E-2</v>
      </c>
      <c r="R93" s="22">
        <v>83</v>
      </c>
      <c r="S93" s="22">
        <v>0.31732199999999999</v>
      </c>
      <c r="T93">
        <f t="shared" si="14"/>
        <v>16.137700000000002</v>
      </c>
      <c r="U93">
        <f t="shared" si="15"/>
        <v>5.1316756361000015</v>
      </c>
      <c r="X93" s="9"/>
      <c r="Y93" s="22">
        <v>1.3819900000000001</v>
      </c>
      <c r="Z93" s="22">
        <v>271.404</v>
      </c>
      <c r="AA93" s="22">
        <v>-1.55487E-2</v>
      </c>
      <c r="AB93" s="22">
        <v>83</v>
      </c>
      <c r="AC93" s="22">
        <v>1.38123</v>
      </c>
      <c r="AD93">
        <f t="shared" si="16"/>
        <v>15.5487</v>
      </c>
      <c r="AE93">
        <f t="shared" si="17"/>
        <v>21.488147913000002</v>
      </c>
      <c r="AF93" s="9"/>
      <c r="AG93" s="22">
        <v>0.31799300000000003</v>
      </c>
      <c r="AH93" s="22">
        <v>356.49900000000002</v>
      </c>
      <c r="AI93" s="22">
        <v>-1.6153000000000001E-2</v>
      </c>
      <c r="AJ93" s="22">
        <v>83</v>
      </c>
      <c r="AK93" s="22">
        <v>0.31729099999999999</v>
      </c>
      <c r="AL93">
        <f t="shared" si="18"/>
        <v>16.153000000000002</v>
      </c>
      <c r="AM93">
        <f t="shared" si="19"/>
        <v>5.1365409290000015</v>
      </c>
      <c r="AP93" s="9"/>
      <c r="AQ93" s="22">
        <v>1.3819900000000001</v>
      </c>
      <c r="AR93" s="22">
        <v>439.89800000000002</v>
      </c>
      <c r="AS93" s="22">
        <v>-1.55243E-2</v>
      </c>
      <c r="AT93" s="22">
        <v>83</v>
      </c>
      <c r="AU93" s="22">
        <v>1.3815299999999999</v>
      </c>
      <c r="AV93">
        <f t="shared" si="20"/>
        <v>15.5243</v>
      </c>
      <c r="AW93">
        <f t="shared" si="21"/>
        <v>21.454427357</v>
      </c>
      <c r="AX93" s="9"/>
      <c r="AY93" s="22">
        <v>0.31799300000000003</v>
      </c>
      <c r="AZ93" s="22">
        <v>561.83199999999999</v>
      </c>
      <c r="BA93" s="22">
        <v>-1.61713E-2</v>
      </c>
      <c r="BB93" s="22">
        <v>83</v>
      </c>
      <c r="BC93" s="22">
        <v>0.31738300000000003</v>
      </c>
      <c r="BD93">
        <f t="shared" si="22"/>
        <v>16.171299999999999</v>
      </c>
      <c r="BE93">
        <f t="shared" si="23"/>
        <v>5.1423602008999998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81.704700000000003</v>
      </c>
      <c r="I94" s="22">
        <v>-1.5448E-2</v>
      </c>
      <c r="J94" s="22">
        <v>84</v>
      </c>
      <c r="K94" s="22">
        <v>1.3766499999999999</v>
      </c>
      <c r="L94">
        <f t="shared" si="12"/>
        <v>15.448</v>
      </c>
      <c r="M94">
        <f t="shared" si="13"/>
        <v>21.271123599999999</v>
      </c>
      <c r="N94" s="9"/>
      <c r="O94" s="22">
        <v>0.32302900000000001</v>
      </c>
      <c r="P94" s="22">
        <v>188.99100000000001</v>
      </c>
      <c r="Q94" s="22">
        <v>-1.61285E-2</v>
      </c>
      <c r="R94" s="22">
        <v>84</v>
      </c>
      <c r="S94" s="22">
        <v>0.32238800000000001</v>
      </c>
      <c r="T94">
        <f t="shared" si="14"/>
        <v>16.128499999999999</v>
      </c>
      <c r="U94">
        <f t="shared" si="15"/>
        <v>5.2099732264999998</v>
      </c>
      <c r="X94" s="9"/>
      <c r="Y94" s="22">
        <v>1.3769499999999999</v>
      </c>
      <c r="Z94" s="22">
        <v>271.505</v>
      </c>
      <c r="AA94" s="22">
        <v>-1.5554800000000001E-2</v>
      </c>
      <c r="AB94" s="22">
        <v>84</v>
      </c>
      <c r="AC94" s="22">
        <v>1.3757299999999999</v>
      </c>
      <c r="AD94">
        <f t="shared" si="16"/>
        <v>15.5548</v>
      </c>
      <c r="AE94">
        <f t="shared" si="17"/>
        <v>21.418181859999997</v>
      </c>
      <c r="AF94" s="9"/>
      <c r="AG94" s="22">
        <v>0.32302900000000001</v>
      </c>
      <c r="AH94" s="22">
        <v>356.59899999999999</v>
      </c>
      <c r="AI94" s="22">
        <v>-1.6159099999999999E-2</v>
      </c>
      <c r="AJ94" s="22">
        <v>84</v>
      </c>
      <c r="AK94" s="22">
        <v>0.32238800000000001</v>
      </c>
      <c r="AL94">
        <f t="shared" si="18"/>
        <v>16.159099999999999</v>
      </c>
      <c r="AM94">
        <f t="shared" si="19"/>
        <v>5.2198579138999994</v>
      </c>
      <c r="AP94" s="9"/>
      <c r="AQ94" s="22">
        <v>1.3769499999999999</v>
      </c>
      <c r="AR94" s="22">
        <v>439.99900000000002</v>
      </c>
      <c r="AS94" s="22">
        <v>-1.5539600000000001E-2</v>
      </c>
      <c r="AT94" s="22">
        <v>84</v>
      </c>
      <c r="AU94" s="22">
        <v>1.3757299999999999</v>
      </c>
      <c r="AV94">
        <f t="shared" si="20"/>
        <v>15.5396</v>
      </c>
      <c r="AW94">
        <f t="shared" si="21"/>
        <v>21.397252219999999</v>
      </c>
      <c r="AX94" s="9"/>
      <c r="AY94" s="22">
        <v>0.32302900000000001</v>
      </c>
      <c r="AZ94" s="22">
        <v>561.93299999999999</v>
      </c>
      <c r="BA94" s="22">
        <v>-1.61713E-2</v>
      </c>
      <c r="BB94" s="22">
        <v>84</v>
      </c>
      <c r="BC94" s="22">
        <v>0.32232699999999997</v>
      </c>
      <c r="BD94">
        <f t="shared" si="22"/>
        <v>16.171299999999999</v>
      </c>
      <c r="BE94">
        <f t="shared" si="23"/>
        <v>5.2237988676999993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81.805400000000006</v>
      </c>
      <c r="I95" s="22">
        <v>-1.5444899999999999E-2</v>
      </c>
      <c r="J95" s="22">
        <v>85</v>
      </c>
      <c r="K95" s="22">
        <v>1.3711500000000001</v>
      </c>
      <c r="L95">
        <f t="shared" si="12"/>
        <v>15.444899999999999</v>
      </c>
      <c r="M95">
        <f t="shared" si="13"/>
        <v>21.189167207999997</v>
      </c>
      <c r="N95" s="9"/>
      <c r="O95" s="22">
        <v>0.32806400000000002</v>
      </c>
      <c r="P95" s="22">
        <v>189.09200000000001</v>
      </c>
      <c r="Q95" s="22">
        <v>-1.6131599999999999E-2</v>
      </c>
      <c r="R95" s="22">
        <v>85</v>
      </c>
      <c r="S95" s="22">
        <v>0.32754499999999998</v>
      </c>
      <c r="T95">
        <f t="shared" si="14"/>
        <v>16.131599999999999</v>
      </c>
      <c r="U95">
        <f t="shared" si="15"/>
        <v>5.2921972223999996</v>
      </c>
      <c r="X95" s="9"/>
      <c r="Y95" s="22">
        <v>1.37192</v>
      </c>
      <c r="Z95" s="22">
        <v>271.60599999999999</v>
      </c>
      <c r="AA95" s="22">
        <v>-1.5554800000000001E-2</v>
      </c>
      <c r="AB95" s="22">
        <v>85</v>
      </c>
      <c r="AC95" s="22">
        <v>1.3711500000000001</v>
      </c>
      <c r="AD95">
        <f t="shared" si="16"/>
        <v>15.5548</v>
      </c>
      <c r="AE95">
        <f t="shared" si="17"/>
        <v>21.339941216</v>
      </c>
      <c r="AF95" s="9"/>
      <c r="AG95" s="22">
        <v>0.32806400000000002</v>
      </c>
      <c r="AH95" s="22">
        <v>356.7</v>
      </c>
      <c r="AI95" s="22">
        <v>-1.6156E-2</v>
      </c>
      <c r="AJ95" s="22">
        <v>85</v>
      </c>
      <c r="AK95" s="22">
        <v>0.32736199999999999</v>
      </c>
      <c r="AL95">
        <f t="shared" si="18"/>
        <v>16.155999999999999</v>
      </c>
      <c r="AM95">
        <f t="shared" si="19"/>
        <v>5.3002019840000001</v>
      </c>
      <c r="AP95" s="9"/>
      <c r="AQ95" s="22">
        <v>1.37192</v>
      </c>
      <c r="AR95" s="22">
        <v>440.09899999999999</v>
      </c>
      <c r="AS95" s="22">
        <v>-1.55487E-2</v>
      </c>
      <c r="AT95" s="22">
        <v>85</v>
      </c>
      <c r="AU95" s="22">
        <v>1.3711500000000001</v>
      </c>
      <c r="AV95">
        <f t="shared" si="20"/>
        <v>15.5487</v>
      </c>
      <c r="AW95">
        <f t="shared" si="21"/>
        <v>21.331572504</v>
      </c>
      <c r="AX95" s="9"/>
      <c r="AY95" s="22">
        <v>0.32806400000000002</v>
      </c>
      <c r="AZ95" s="22">
        <v>562.03300000000002</v>
      </c>
      <c r="BA95" s="22">
        <v>-1.61713E-2</v>
      </c>
      <c r="BB95" s="22">
        <v>85</v>
      </c>
      <c r="BC95" s="22">
        <v>0.327484</v>
      </c>
      <c r="BD95">
        <f t="shared" si="22"/>
        <v>16.171299999999999</v>
      </c>
      <c r="BE95">
        <f t="shared" si="23"/>
        <v>5.3052213632000003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81.906099999999995</v>
      </c>
      <c r="I96" s="22">
        <v>-1.5457200000000001E-2</v>
      </c>
      <c r="J96" s="22">
        <v>86</v>
      </c>
      <c r="K96" s="22">
        <v>1.3659699999999999</v>
      </c>
      <c r="L96">
        <f t="shared" si="12"/>
        <v>15.4572</v>
      </c>
      <c r="M96">
        <f t="shared" si="13"/>
        <v>21.128137536000001</v>
      </c>
      <c r="N96" s="9"/>
      <c r="O96" s="22">
        <v>0.33309899999999998</v>
      </c>
      <c r="P96" s="22">
        <v>189.19300000000001</v>
      </c>
      <c r="Q96" s="22">
        <v>-1.6119399999999999E-2</v>
      </c>
      <c r="R96" s="22">
        <v>86</v>
      </c>
      <c r="S96" s="22">
        <v>0.33251999999999998</v>
      </c>
      <c r="T96">
        <f t="shared" si="14"/>
        <v>16.119399999999999</v>
      </c>
      <c r="U96">
        <f t="shared" si="15"/>
        <v>5.3693560205999988</v>
      </c>
      <c r="X96" s="9"/>
      <c r="Y96" s="22">
        <v>1.3668800000000001</v>
      </c>
      <c r="Z96" s="22">
        <v>271.70600000000002</v>
      </c>
      <c r="AA96" s="22">
        <v>-1.5564E-2</v>
      </c>
      <c r="AB96" s="22">
        <v>86</v>
      </c>
      <c r="AC96" s="22">
        <v>1.3665799999999999</v>
      </c>
      <c r="AD96">
        <f t="shared" si="16"/>
        <v>15.564</v>
      </c>
      <c r="AE96">
        <f t="shared" si="17"/>
        <v>21.274120320000002</v>
      </c>
      <c r="AF96" s="9"/>
      <c r="AG96" s="22">
        <v>0.33309899999999998</v>
      </c>
      <c r="AH96" s="22">
        <v>356.80099999999999</v>
      </c>
      <c r="AI96" s="22">
        <v>-1.6153000000000001E-2</v>
      </c>
      <c r="AJ96" s="22">
        <v>86</v>
      </c>
      <c r="AK96" s="22">
        <v>0.332428</v>
      </c>
      <c r="AL96">
        <f t="shared" si="18"/>
        <v>16.153000000000002</v>
      </c>
      <c r="AM96">
        <f t="shared" si="19"/>
        <v>5.3805481470000007</v>
      </c>
      <c r="AP96" s="9"/>
      <c r="AQ96" s="22">
        <v>1.3668800000000001</v>
      </c>
      <c r="AR96" s="22">
        <v>440.2</v>
      </c>
      <c r="AS96" s="22">
        <v>-1.5551799999999999E-2</v>
      </c>
      <c r="AT96" s="22">
        <v>86</v>
      </c>
      <c r="AU96" s="22">
        <v>1.3659699999999999</v>
      </c>
      <c r="AV96">
        <f t="shared" si="20"/>
        <v>15.5518</v>
      </c>
      <c r="AW96">
        <f t="shared" si="21"/>
        <v>21.257444384000003</v>
      </c>
      <c r="AX96" s="9"/>
      <c r="AY96" s="22">
        <v>0.33309899999999998</v>
      </c>
      <c r="AZ96" s="22">
        <v>562.13400000000001</v>
      </c>
      <c r="BA96" s="22">
        <v>-1.6177400000000002E-2</v>
      </c>
      <c r="BB96" s="22">
        <v>86</v>
      </c>
      <c r="BC96" s="22">
        <v>0.332428</v>
      </c>
      <c r="BD96">
        <f t="shared" si="22"/>
        <v>16.177400000000002</v>
      </c>
      <c r="BE96">
        <f t="shared" si="23"/>
        <v>5.3886757626000001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82.006799999999998</v>
      </c>
      <c r="I97" s="22">
        <v>-1.5457200000000001E-2</v>
      </c>
      <c r="J97" s="22">
        <v>87</v>
      </c>
      <c r="K97" s="22">
        <v>1.3607800000000001</v>
      </c>
      <c r="L97">
        <f t="shared" si="12"/>
        <v>15.4572</v>
      </c>
      <c r="M97">
        <f t="shared" si="13"/>
        <v>21.050387820000001</v>
      </c>
      <c r="N97" s="9"/>
      <c r="O97" s="22">
        <v>0.33813500000000002</v>
      </c>
      <c r="P97" s="22">
        <v>189.29400000000001</v>
      </c>
      <c r="Q97" s="22">
        <v>-1.6125500000000001E-2</v>
      </c>
      <c r="R97" s="22">
        <v>87</v>
      </c>
      <c r="S97" s="22">
        <v>0.33743299999999998</v>
      </c>
      <c r="T97">
        <f t="shared" si="14"/>
        <v>16.125500000000002</v>
      </c>
      <c r="U97">
        <f t="shared" si="15"/>
        <v>5.4525959425000012</v>
      </c>
      <c r="X97" s="9"/>
      <c r="Y97" s="22">
        <v>1.36185</v>
      </c>
      <c r="Z97" s="22">
        <v>271.80700000000002</v>
      </c>
      <c r="AA97" s="22">
        <v>-1.55762E-2</v>
      </c>
      <c r="AB97" s="22">
        <v>87</v>
      </c>
      <c r="AC97" s="22">
        <v>1.3610800000000001</v>
      </c>
      <c r="AD97">
        <f t="shared" si="16"/>
        <v>15.5762</v>
      </c>
      <c r="AE97">
        <f t="shared" si="17"/>
        <v>21.212447969999999</v>
      </c>
      <c r="AF97" s="9"/>
      <c r="AG97" s="22">
        <v>0.33813500000000002</v>
      </c>
      <c r="AH97" s="22">
        <v>356.90100000000001</v>
      </c>
      <c r="AI97" s="22">
        <v>-1.6146899999999999E-2</v>
      </c>
      <c r="AJ97" s="22">
        <v>87</v>
      </c>
      <c r="AK97" s="22">
        <v>0.337677</v>
      </c>
      <c r="AL97">
        <f t="shared" si="18"/>
        <v>16.146899999999999</v>
      </c>
      <c r="AM97">
        <f t="shared" si="19"/>
        <v>5.4598320314999995</v>
      </c>
      <c r="AP97" s="9"/>
      <c r="AQ97" s="22">
        <v>1.36185</v>
      </c>
      <c r="AR97" s="22">
        <v>440.30099999999999</v>
      </c>
      <c r="AS97" s="22">
        <v>-1.55579E-2</v>
      </c>
      <c r="AT97" s="22">
        <v>87</v>
      </c>
      <c r="AU97" s="22">
        <v>1.3604700000000001</v>
      </c>
      <c r="AV97">
        <f t="shared" si="20"/>
        <v>15.5579</v>
      </c>
      <c r="AW97">
        <f t="shared" si="21"/>
        <v>21.187526115000001</v>
      </c>
      <c r="AX97" s="9"/>
      <c r="AY97" s="22">
        <v>0.33813500000000002</v>
      </c>
      <c r="AZ97" s="22">
        <v>562.23500000000001</v>
      </c>
      <c r="BA97" s="22">
        <v>-1.6177400000000002E-2</v>
      </c>
      <c r="BB97" s="22">
        <v>87</v>
      </c>
      <c r="BC97" s="22">
        <v>0.33770800000000001</v>
      </c>
      <c r="BD97">
        <f t="shared" si="22"/>
        <v>16.177400000000002</v>
      </c>
      <c r="BE97">
        <f t="shared" si="23"/>
        <v>5.4701451490000013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82.107500000000002</v>
      </c>
      <c r="I98" s="22">
        <v>-1.54755E-2</v>
      </c>
      <c r="J98" s="22">
        <v>88</v>
      </c>
      <c r="K98" s="22">
        <v>1.3559000000000001</v>
      </c>
      <c r="L98">
        <f t="shared" si="12"/>
        <v>15.4755</v>
      </c>
      <c r="M98">
        <f t="shared" si="13"/>
        <v>20.997313155000001</v>
      </c>
      <c r="N98" s="9"/>
      <c r="O98" s="22">
        <v>0.34316999999999998</v>
      </c>
      <c r="P98" s="22">
        <v>189.39400000000001</v>
      </c>
      <c r="Q98" s="22">
        <v>-1.6125500000000001E-2</v>
      </c>
      <c r="R98" s="22">
        <v>88</v>
      </c>
      <c r="S98" s="22">
        <v>0.34259000000000001</v>
      </c>
      <c r="T98">
        <f t="shared" si="14"/>
        <v>16.125500000000002</v>
      </c>
      <c r="U98">
        <f t="shared" si="15"/>
        <v>5.533787835</v>
      </c>
      <c r="X98" s="9"/>
      <c r="Y98" s="22">
        <v>1.3568100000000001</v>
      </c>
      <c r="Z98" s="22">
        <v>271.90800000000002</v>
      </c>
      <c r="AA98" s="22">
        <v>-1.55762E-2</v>
      </c>
      <c r="AB98" s="22">
        <v>88</v>
      </c>
      <c r="AC98" s="22">
        <v>1.3559000000000001</v>
      </c>
      <c r="AD98">
        <f t="shared" si="16"/>
        <v>15.5762</v>
      </c>
      <c r="AE98">
        <f t="shared" si="17"/>
        <v>21.133943922</v>
      </c>
      <c r="AF98" s="9"/>
      <c r="AG98" s="22">
        <v>0.34316999999999998</v>
      </c>
      <c r="AH98" s="22">
        <v>357.00200000000001</v>
      </c>
      <c r="AI98" s="22">
        <v>-1.6156E-2</v>
      </c>
      <c r="AJ98" s="22">
        <v>88</v>
      </c>
      <c r="AK98" s="22">
        <v>0.34262100000000001</v>
      </c>
      <c r="AL98">
        <f t="shared" si="18"/>
        <v>16.155999999999999</v>
      </c>
      <c r="AM98">
        <f t="shared" si="19"/>
        <v>5.5442545199999991</v>
      </c>
      <c r="AP98" s="9"/>
      <c r="AQ98" s="22">
        <v>1.3568100000000001</v>
      </c>
      <c r="AR98" s="22">
        <v>440.40100000000001</v>
      </c>
      <c r="AS98" s="22">
        <v>-1.5560900000000001E-2</v>
      </c>
      <c r="AT98" s="22">
        <v>88</v>
      </c>
      <c r="AU98" s="22">
        <v>1.3555900000000001</v>
      </c>
      <c r="AV98">
        <f t="shared" si="20"/>
        <v>15.5609</v>
      </c>
      <c r="AW98">
        <f t="shared" si="21"/>
        <v>21.113184729</v>
      </c>
      <c r="AX98" s="9"/>
      <c r="AY98" s="22">
        <v>0.34316999999999998</v>
      </c>
      <c r="AZ98" s="22">
        <v>562.33600000000001</v>
      </c>
      <c r="BA98" s="22">
        <v>-1.6168200000000001E-2</v>
      </c>
      <c r="BB98" s="22">
        <v>88</v>
      </c>
      <c r="BC98" s="22">
        <v>0.34259000000000001</v>
      </c>
      <c r="BD98">
        <f t="shared" si="22"/>
        <v>16.168200000000002</v>
      </c>
      <c r="BE98">
        <f t="shared" si="23"/>
        <v>5.5484411940000005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82.208200000000005</v>
      </c>
      <c r="I99" s="22">
        <v>-1.54877E-2</v>
      </c>
      <c r="J99" s="22">
        <v>89</v>
      </c>
      <c r="K99" s="22">
        <v>1.35101</v>
      </c>
      <c r="L99">
        <f t="shared" si="12"/>
        <v>15.4877</v>
      </c>
      <c r="M99">
        <f t="shared" si="13"/>
        <v>20.935963105999999</v>
      </c>
      <c r="N99" s="9"/>
      <c r="O99" s="22">
        <v>0.34820600000000002</v>
      </c>
      <c r="P99" s="22">
        <v>189.495</v>
      </c>
      <c r="Q99" s="22">
        <v>-1.6131599999999999E-2</v>
      </c>
      <c r="R99" s="22">
        <v>89</v>
      </c>
      <c r="S99" s="22">
        <v>0.34753400000000001</v>
      </c>
      <c r="T99">
        <f t="shared" si="14"/>
        <v>16.131599999999999</v>
      </c>
      <c r="U99">
        <f t="shared" si="15"/>
        <v>5.6171199095999995</v>
      </c>
      <c r="X99" s="9"/>
      <c r="Y99" s="22">
        <v>1.35178</v>
      </c>
      <c r="Z99" s="22">
        <v>272.00799999999998</v>
      </c>
      <c r="AA99" s="22">
        <v>-1.55853E-2</v>
      </c>
      <c r="AB99" s="22">
        <v>89</v>
      </c>
      <c r="AC99" s="22">
        <v>1.35101</v>
      </c>
      <c r="AD99">
        <f t="shared" si="16"/>
        <v>15.5853</v>
      </c>
      <c r="AE99">
        <f t="shared" si="17"/>
        <v>21.067896833999999</v>
      </c>
      <c r="AF99" s="9"/>
      <c r="AG99" s="22">
        <v>0.34820600000000002</v>
      </c>
      <c r="AH99" s="22">
        <v>357.10300000000001</v>
      </c>
      <c r="AI99" s="22">
        <v>-1.6153000000000001E-2</v>
      </c>
      <c r="AJ99" s="22">
        <v>89</v>
      </c>
      <c r="AK99" s="22">
        <v>0.34753400000000001</v>
      </c>
      <c r="AL99">
        <f t="shared" si="18"/>
        <v>16.153000000000002</v>
      </c>
      <c r="AM99">
        <f t="shared" si="19"/>
        <v>5.6245715180000007</v>
      </c>
      <c r="AP99" s="9"/>
      <c r="AQ99" s="22">
        <v>1.35178</v>
      </c>
      <c r="AR99" s="22">
        <v>440.50200000000001</v>
      </c>
      <c r="AS99" s="22">
        <v>-1.5573099999999999E-2</v>
      </c>
      <c r="AT99" s="22">
        <v>89</v>
      </c>
      <c r="AU99" s="22">
        <v>1.3507100000000001</v>
      </c>
      <c r="AV99">
        <f t="shared" si="20"/>
        <v>15.5731</v>
      </c>
      <c r="AW99">
        <f t="shared" si="21"/>
        <v>21.051405118000002</v>
      </c>
      <c r="AX99" s="9"/>
      <c r="AY99" s="22">
        <v>0.34820600000000002</v>
      </c>
      <c r="AZ99" s="22">
        <v>562.43600000000004</v>
      </c>
      <c r="BA99" s="22">
        <v>-1.61713E-2</v>
      </c>
      <c r="BB99" s="22">
        <v>89</v>
      </c>
      <c r="BC99" s="22">
        <v>0.34738200000000002</v>
      </c>
      <c r="BD99">
        <f t="shared" si="22"/>
        <v>16.171299999999999</v>
      </c>
      <c r="BE99">
        <f t="shared" si="23"/>
        <v>5.6309436877999994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82.308999999999997</v>
      </c>
      <c r="I100" s="22">
        <v>-1.54816E-2</v>
      </c>
      <c r="J100" s="22">
        <v>90</v>
      </c>
      <c r="K100" s="22">
        <v>1.34521</v>
      </c>
      <c r="L100">
        <f t="shared" si="12"/>
        <v>15.4816</v>
      </c>
      <c r="M100">
        <f t="shared" si="13"/>
        <v>20.849689984000001</v>
      </c>
      <c r="N100" s="9"/>
      <c r="O100" s="22">
        <v>0.35324100000000003</v>
      </c>
      <c r="P100" s="22">
        <v>189.596</v>
      </c>
      <c r="Q100" s="22">
        <v>-1.6125500000000001E-2</v>
      </c>
      <c r="R100" s="22">
        <v>90</v>
      </c>
      <c r="S100" s="22">
        <v>0.35256999999999999</v>
      </c>
      <c r="T100">
        <f t="shared" si="14"/>
        <v>16.125500000000002</v>
      </c>
      <c r="U100">
        <f t="shared" si="15"/>
        <v>5.6961877455000014</v>
      </c>
      <c r="X100" s="9"/>
      <c r="Y100" s="22">
        <v>1.34674</v>
      </c>
      <c r="Z100" s="22">
        <v>272.10899999999998</v>
      </c>
      <c r="AA100" s="22">
        <v>-1.5588400000000001E-2</v>
      </c>
      <c r="AB100" s="22">
        <v>90</v>
      </c>
      <c r="AC100" s="22">
        <v>1.3458300000000001</v>
      </c>
      <c r="AD100">
        <f t="shared" si="16"/>
        <v>15.5884</v>
      </c>
      <c r="AE100">
        <f t="shared" si="17"/>
        <v>20.993521816000001</v>
      </c>
      <c r="AF100" s="9"/>
      <c r="AG100" s="22">
        <v>0.35324100000000003</v>
      </c>
      <c r="AH100" s="22">
        <v>357.20299999999997</v>
      </c>
      <c r="AI100" s="22">
        <v>-1.6153000000000001E-2</v>
      </c>
      <c r="AJ100" s="22">
        <v>90</v>
      </c>
      <c r="AK100" s="22">
        <v>0.35260000000000002</v>
      </c>
      <c r="AL100">
        <f t="shared" si="18"/>
        <v>16.153000000000002</v>
      </c>
      <c r="AM100">
        <f t="shared" si="19"/>
        <v>5.7059018730000011</v>
      </c>
      <c r="AP100" s="9"/>
      <c r="AQ100" s="22">
        <v>1.34674</v>
      </c>
      <c r="AR100" s="22">
        <v>440.60300000000001</v>
      </c>
      <c r="AS100" s="22">
        <v>-1.55701E-2</v>
      </c>
      <c r="AT100" s="22">
        <v>90</v>
      </c>
      <c r="AU100" s="22">
        <v>1.3458300000000001</v>
      </c>
      <c r="AV100">
        <f t="shared" si="20"/>
        <v>15.5701</v>
      </c>
      <c r="AW100">
        <f t="shared" si="21"/>
        <v>20.968876474000002</v>
      </c>
      <c r="AX100" s="9"/>
      <c r="AY100" s="22">
        <v>0.35324100000000003</v>
      </c>
      <c r="AZ100" s="22">
        <v>562.53700000000003</v>
      </c>
      <c r="BA100" s="22">
        <v>-1.6162099999999999E-2</v>
      </c>
      <c r="BB100" s="22">
        <v>90</v>
      </c>
      <c r="BC100" s="22">
        <v>0.35263100000000003</v>
      </c>
      <c r="BD100">
        <f t="shared" si="22"/>
        <v>16.162099999999999</v>
      </c>
      <c r="BE100">
        <f t="shared" si="23"/>
        <v>5.7091163661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82.409700000000001</v>
      </c>
      <c r="I101" s="22">
        <v>-1.54877E-2</v>
      </c>
      <c r="J101" s="22">
        <v>91</v>
      </c>
      <c r="K101" s="22">
        <v>1.34094</v>
      </c>
      <c r="L101">
        <f t="shared" si="12"/>
        <v>15.4877</v>
      </c>
      <c r="M101">
        <f t="shared" si="13"/>
        <v>20.780001967</v>
      </c>
      <c r="N101" s="9"/>
      <c r="O101" s="22">
        <v>0.35827599999999998</v>
      </c>
      <c r="P101" s="22">
        <v>189.696</v>
      </c>
      <c r="Q101" s="22">
        <v>-1.6125500000000001E-2</v>
      </c>
      <c r="R101" s="22">
        <v>91</v>
      </c>
      <c r="S101" s="22">
        <v>0.35754399999999997</v>
      </c>
      <c r="T101">
        <f t="shared" si="14"/>
        <v>16.125500000000002</v>
      </c>
      <c r="U101">
        <f t="shared" si="15"/>
        <v>5.7773796380000002</v>
      </c>
      <c r="X101" s="9"/>
      <c r="Y101" s="22">
        <v>1.34171</v>
      </c>
      <c r="Z101" s="22">
        <v>272.20999999999998</v>
      </c>
      <c r="AA101" s="22">
        <v>-1.55914E-2</v>
      </c>
      <c r="AB101" s="22">
        <v>91</v>
      </c>
      <c r="AC101" s="22">
        <v>1.3406400000000001</v>
      </c>
      <c r="AD101">
        <f t="shared" si="16"/>
        <v>15.5914</v>
      </c>
      <c r="AE101">
        <f t="shared" si="17"/>
        <v>20.919137293999999</v>
      </c>
      <c r="AF101" s="9"/>
      <c r="AG101" s="22">
        <v>0.35827599999999998</v>
      </c>
      <c r="AH101" s="22">
        <v>357.30399999999997</v>
      </c>
      <c r="AI101" s="22">
        <v>-1.6149899999999998E-2</v>
      </c>
      <c r="AJ101" s="22">
        <v>91</v>
      </c>
      <c r="AK101" s="22">
        <v>0.35751300000000003</v>
      </c>
      <c r="AL101">
        <f t="shared" si="18"/>
        <v>16.149899999999999</v>
      </c>
      <c r="AM101">
        <f t="shared" si="19"/>
        <v>5.786121572399999</v>
      </c>
      <c r="AP101" s="9"/>
      <c r="AQ101" s="22">
        <v>1.34171</v>
      </c>
      <c r="AR101" s="22">
        <v>440.70400000000001</v>
      </c>
      <c r="AS101" s="22">
        <v>-1.55762E-2</v>
      </c>
      <c r="AT101" s="22">
        <v>91</v>
      </c>
      <c r="AU101" s="22">
        <v>1.34155</v>
      </c>
      <c r="AV101">
        <f t="shared" si="20"/>
        <v>15.5762</v>
      </c>
      <c r="AW101">
        <f t="shared" si="21"/>
        <v>20.898743302</v>
      </c>
      <c r="AX101" s="9"/>
      <c r="AY101" s="22">
        <v>0.35827599999999998</v>
      </c>
      <c r="AZ101" s="22">
        <v>562.63800000000003</v>
      </c>
      <c r="BA101" s="22">
        <v>-1.6159099999999999E-2</v>
      </c>
      <c r="BB101" s="22">
        <v>91</v>
      </c>
      <c r="BC101" s="22">
        <v>0.35754399999999997</v>
      </c>
      <c r="BD101">
        <f t="shared" si="22"/>
        <v>16.159099999999999</v>
      </c>
      <c r="BE101">
        <f t="shared" si="23"/>
        <v>5.7894177115999996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82.510400000000004</v>
      </c>
      <c r="I102" s="22">
        <v>-1.54999E-2</v>
      </c>
      <c r="J102" s="22">
        <v>92</v>
      </c>
      <c r="K102" s="22">
        <v>1.33636</v>
      </c>
      <c r="L102">
        <f t="shared" si="12"/>
        <v>15.4999</v>
      </c>
      <c r="M102">
        <f t="shared" si="13"/>
        <v>20.718251333000001</v>
      </c>
      <c r="N102" s="9"/>
      <c r="O102" s="22">
        <v>0.36331200000000002</v>
      </c>
      <c r="P102" s="22">
        <v>189.797</v>
      </c>
      <c r="Q102" s="22">
        <v>-1.6119399999999999E-2</v>
      </c>
      <c r="R102" s="22">
        <v>92</v>
      </c>
      <c r="S102" s="22">
        <v>0.36257899999999998</v>
      </c>
      <c r="T102">
        <f t="shared" si="14"/>
        <v>16.119399999999999</v>
      </c>
      <c r="U102">
        <f t="shared" si="15"/>
        <v>5.8563714528000004</v>
      </c>
      <c r="X102" s="9"/>
      <c r="Y102" s="22">
        <v>1.33667</v>
      </c>
      <c r="Z102" s="22">
        <v>272.31</v>
      </c>
      <c r="AA102" s="22">
        <v>-1.55914E-2</v>
      </c>
      <c r="AB102" s="22">
        <v>92</v>
      </c>
      <c r="AC102" s="22">
        <v>1.33575</v>
      </c>
      <c r="AD102">
        <f t="shared" si="16"/>
        <v>15.5914</v>
      </c>
      <c r="AE102">
        <f t="shared" si="17"/>
        <v>20.840556637999999</v>
      </c>
      <c r="AF102" s="9"/>
      <c r="AG102" s="22">
        <v>0.36331200000000002</v>
      </c>
      <c r="AH102" s="22">
        <v>357.40499999999997</v>
      </c>
      <c r="AI102" s="22">
        <v>-1.6140700000000001E-2</v>
      </c>
      <c r="AJ102" s="22">
        <v>92</v>
      </c>
      <c r="AK102" s="22">
        <v>0.362732</v>
      </c>
      <c r="AL102">
        <f t="shared" si="18"/>
        <v>16.140700000000002</v>
      </c>
      <c r="AM102">
        <f t="shared" si="19"/>
        <v>5.8641099984000009</v>
      </c>
      <c r="AP102" s="9"/>
      <c r="AQ102" s="22">
        <v>1.33667</v>
      </c>
      <c r="AR102" s="22">
        <v>440.80399999999997</v>
      </c>
      <c r="AS102" s="22">
        <v>-1.55823E-2</v>
      </c>
      <c r="AT102" s="22">
        <v>92</v>
      </c>
      <c r="AU102" s="22">
        <v>1.33636</v>
      </c>
      <c r="AV102">
        <f t="shared" si="20"/>
        <v>15.5823</v>
      </c>
      <c r="AW102">
        <f t="shared" si="21"/>
        <v>20.828392941000001</v>
      </c>
      <c r="AX102" s="9"/>
      <c r="AY102" s="22">
        <v>0.36331200000000002</v>
      </c>
      <c r="AZ102" s="22">
        <v>562.73800000000006</v>
      </c>
      <c r="BA102" s="22">
        <v>-1.6162099999999999E-2</v>
      </c>
      <c r="BB102" s="22">
        <v>92</v>
      </c>
      <c r="BC102" s="22">
        <v>0.36264000000000002</v>
      </c>
      <c r="BD102">
        <f t="shared" si="22"/>
        <v>16.162099999999999</v>
      </c>
      <c r="BE102">
        <f t="shared" si="23"/>
        <v>5.8718848752000001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82.611099999999993</v>
      </c>
      <c r="I103" s="22">
        <v>-1.55029E-2</v>
      </c>
      <c r="J103" s="22">
        <v>93</v>
      </c>
      <c r="K103" s="22">
        <v>1.33057</v>
      </c>
      <c r="L103">
        <f t="shared" si="12"/>
        <v>15.5029</v>
      </c>
      <c r="M103">
        <f t="shared" si="13"/>
        <v>20.644126727000003</v>
      </c>
      <c r="N103" s="9"/>
      <c r="O103" s="22">
        <v>0.36834699999999998</v>
      </c>
      <c r="P103" s="22">
        <v>189.898</v>
      </c>
      <c r="Q103" s="22">
        <v>-1.6119399999999999E-2</v>
      </c>
      <c r="R103" s="22">
        <v>93</v>
      </c>
      <c r="S103" s="22">
        <v>0.367676</v>
      </c>
      <c r="T103">
        <f t="shared" si="14"/>
        <v>16.119399999999999</v>
      </c>
      <c r="U103">
        <f t="shared" si="15"/>
        <v>5.937532631799999</v>
      </c>
      <c r="X103" s="9"/>
      <c r="Y103" s="22">
        <v>1.3316300000000001</v>
      </c>
      <c r="Z103" s="22">
        <v>272.411</v>
      </c>
      <c r="AA103" s="22">
        <v>-1.5594500000000001E-2</v>
      </c>
      <c r="AB103" s="22">
        <v>93</v>
      </c>
      <c r="AC103" s="22">
        <v>1.33057</v>
      </c>
      <c r="AD103">
        <f t="shared" si="16"/>
        <v>15.5945</v>
      </c>
      <c r="AE103">
        <f t="shared" si="17"/>
        <v>20.766104035000001</v>
      </c>
      <c r="AF103" s="9"/>
      <c r="AG103" s="22">
        <v>0.36834699999999998</v>
      </c>
      <c r="AH103" s="22">
        <v>357.50599999999997</v>
      </c>
      <c r="AI103" s="22">
        <v>-1.6140700000000001E-2</v>
      </c>
      <c r="AJ103" s="22">
        <v>93</v>
      </c>
      <c r="AK103" s="22">
        <v>0.36755399999999999</v>
      </c>
      <c r="AL103">
        <f t="shared" si="18"/>
        <v>16.140700000000002</v>
      </c>
      <c r="AM103">
        <f t="shared" si="19"/>
        <v>5.9453784229000002</v>
      </c>
      <c r="AP103" s="9"/>
      <c r="AQ103" s="22">
        <v>1.3316300000000001</v>
      </c>
      <c r="AR103" s="22">
        <v>440.90499999999997</v>
      </c>
      <c r="AS103" s="22">
        <v>-1.5594500000000001E-2</v>
      </c>
      <c r="AT103" s="22">
        <v>93</v>
      </c>
      <c r="AU103" s="22">
        <v>1.33057</v>
      </c>
      <c r="AV103">
        <f t="shared" si="20"/>
        <v>15.5945</v>
      </c>
      <c r="AW103">
        <f t="shared" si="21"/>
        <v>20.766104035000001</v>
      </c>
      <c r="AX103" s="9"/>
      <c r="AY103" s="22">
        <v>0.36834699999999998</v>
      </c>
      <c r="AZ103" s="22">
        <v>562.83900000000006</v>
      </c>
      <c r="BA103" s="22">
        <v>-1.6156E-2</v>
      </c>
      <c r="BB103" s="22">
        <v>93</v>
      </c>
      <c r="BC103" s="22">
        <v>0.36776700000000001</v>
      </c>
      <c r="BD103">
        <f t="shared" si="22"/>
        <v>16.155999999999999</v>
      </c>
      <c r="BE103">
        <f t="shared" si="23"/>
        <v>5.9510141319999992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82.711799999999997</v>
      </c>
      <c r="I104" s="22">
        <v>-1.5506000000000001E-2</v>
      </c>
      <c r="J104" s="22">
        <v>94</v>
      </c>
      <c r="K104" s="22">
        <v>1.32538</v>
      </c>
      <c r="L104">
        <f t="shared" si="12"/>
        <v>15.506</v>
      </c>
      <c r="M104">
        <f t="shared" si="13"/>
        <v>20.5702596</v>
      </c>
      <c r="N104" s="9"/>
      <c r="O104" s="22">
        <v>0.37338300000000002</v>
      </c>
      <c r="P104" s="22">
        <v>189.999</v>
      </c>
      <c r="Q104" s="22">
        <v>-1.6122399999999999E-2</v>
      </c>
      <c r="R104" s="22">
        <v>94</v>
      </c>
      <c r="S104" s="22">
        <v>0.37268099999999998</v>
      </c>
      <c r="T104">
        <f t="shared" si="14"/>
        <v>16.122399999999999</v>
      </c>
      <c r="U104">
        <f t="shared" si="15"/>
        <v>6.0198300792000001</v>
      </c>
      <c r="X104" s="9"/>
      <c r="Y104" s="22">
        <v>1.3266</v>
      </c>
      <c r="Z104" s="22">
        <v>272.512</v>
      </c>
      <c r="AA104" s="22">
        <v>-1.5606699999999999E-2</v>
      </c>
      <c r="AB104" s="22">
        <v>94</v>
      </c>
      <c r="AC104" s="22">
        <v>1.32568</v>
      </c>
      <c r="AD104">
        <f t="shared" si="16"/>
        <v>15.6067</v>
      </c>
      <c r="AE104">
        <f t="shared" si="17"/>
        <v>20.703848220000001</v>
      </c>
      <c r="AF104" s="9"/>
      <c r="AG104" s="22">
        <v>0.37338300000000002</v>
      </c>
      <c r="AH104" s="22">
        <v>357.60599999999999</v>
      </c>
      <c r="AI104" s="22">
        <v>-1.6146899999999999E-2</v>
      </c>
      <c r="AJ104" s="22">
        <v>94</v>
      </c>
      <c r="AK104" s="22">
        <v>0.37264999999999998</v>
      </c>
      <c r="AL104">
        <f t="shared" si="18"/>
        <v>16.146899999999999</v>
      </c>
      <c r="AM104">
        <f t="shared" si="19"/>
        <v>6.0289779627</v>
      </c>
      <c r="AP104" s="9"/>
      <c r="AQ104" s="22">
        <v>1.3266</v>
      </c>
      <c r="AR104" s="22">
        <v>441.00599999999997</v>
      </c>
      <c r="AS104" s="22">
        <v>-1.5588400000000001E-2</v>
      </c>
      <c r="AT104" s="22">
        <v>94</v>
      </c>
      <c r="AU104" s="22">
        <v>1.32599</v>
      </c>
      <c r="AV104">
        <f t="shared" si="20"/>
        <v>15.5884</v>
      </c>
      <c r="AW104">
        <f t="shared" si="21"/>
        <v>20.67957144</v>
      </c>
      <c r="AX104" s="9"/>
      <c r="AY104" s="22">
        <v>0.37338300000000002</v>
      </c>
      <c r="AZ104" s="22">
        <v>562.94000000000005</v>
      </c>
      <c r="BA104" s="22">
        <v>-1.6162099999999999E-2</v>
      </c>
      <c r="BB104" s="22">
        <v>94</v>
      </c>
      <c r="BC104" s="22">
        <v>0.37271100000000001</v>
      </c>
      <c r="BD104">
        <f t="shared" si="22"/>
        <v>16.162099999999999</v>
      </c>
      <c r="BE104">
        <f t="shared" si="23"/>
        <v>6.0346533843000003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82.8125</v>
      </c>
      <c r="I105" s="22">
        <v>-1.5512099999999999E-2</v>
      </c>
      <c r="J105" s="22">
        <v>95</v>
      </c>
      <c r="K105" s="22">
        <v>1.3205</v>
      </c>
      <c r="L105">
        <f t="shared" si="12"/>
        <v>15.512099999999998</v>
      </c>
      <c r="M105">
        <f t="shared" si="13"/>
        <v>20.500170875999999</v>
      </c>
      <c r="N105" s="9"/>
      <c r="O105" s="22">
        <v>0.37841799999999998</v>
      </c>
      <c r="P105" s="22">
        <v>190.09899999999999</v>
      </c>
      <c r="Q105" s="22">
        <v>-1.61285E-2</v>
      </c>
      <c r="R105" s="22">
        <v>95</v>
      </c>
      <c r="S105" s="22">
        <v>0.37789899999999998</v>
      </c>
      <c r="T105">
        <f t="shared" si="14"/>
        <v>16.128499999999999</v>
      </c>
      <c r="U105">
        <f t="shared" si="15"/>
        <v>6.1033147129999996</v>
      </c>
      <c r="X105" s="9"/>
      <c r="Y105" s="22">
        <v>1.3215600000000001</v>
      </c>
      <c r="Z105" s="22">
        <v>272.613</v>
      </c>
      <c r="AA105" s="22">
        <v>-1.56036E-2</v>
      </c>
      <c r="AB105" s="22">
        <v>95</v>
      </c>
      <c r="AC105" s="22">
        <v>1.32141</v>
      </c>
      <c r="AD105">
        <f t="shared" si="16"/>
        <v>15.6036</v>
      </c>
      <c r="AE105">
        <f t="shared" si="17"/>
        <v>20.621093616</v>
      </c>
      <c r="AF105" s="9"/>
      <c r="AG105" s="22">
        <v>0.37841799999999998</v>
      </c>
      <c r="AH105" s="22">
        <v>357.70699999999999</v>
      </c>
      <c r="AI105" s="22">
        <v>-1.61438E-2</v>
      </c>
      <c r="AJ105" s="22">
        <v>95</v>
      </c>
      <c r="AK105" s="22">
        <v>0.37777699999999997</v>
      </c>
      <c r="AL105">
        <f t="shared" si="18"/>
        <v>16.143799999999999</v>
      </c>
      <c r="AM105">
        <f t="shared" si="19"/>
        <v>6.1091045083999989</v>
      </c>
      <c r="AP105" s="9"/>
      <c r="AQ105" s="22">
        <v>1.3215600000000001</v>
      </c>
      <c r="AR105" s="22">
        <v>441.10599999999999</v>
      </c>
      <c r="AS105" s="22">
        <v>-1.5600599999999999E-2</v>
      </c>
      <c r="AT105" s="22">
        <v>95</v>
      </c>
      <c r="AU105" s="22">
        <v>1.3208</v>
      </c>
      <c r="AV105">
        <f t="shared" si="20"/>
        <v>15.6006</v>
      </c>
      <c r="AW105">
        <f t="shared" si="21"/>
        <v>20.617128936</v>
      </c>
      <c r="AX105" s="9"/>
      <c r="AY105" s="22">
        <v>0.37841799999999998</v>
      </c>
      <c r="AZ105" s="22">
        <v>563.04</v>
      </c>
      <c r="BA105" s="22">
        <v>-1.6168200000000001E-2</v>
      </c>
      <c r="BB105" s="22">
        <v>95</v>
      </c>
      <c r="BC105" s="22">
        <v>0.37768600000000002</v>
      </c>
      <c r="BD105">
        <f t="shared" si="22"/>
        <v>16.168200000000002</v>
      </c>
      <c r="BE105">
        <f t="shared" si="23"/>
        <v>6.1183379076000008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82.913200000000003</v>
      </c>
      <c r="I106" s="22">
        <v>-1.55243E-2</v>
      </c>
      <c r="J106" s="22">
        <v>96</v>
      </c>
      <c r="K106" s="22">
        <v>1.31592</v>
      </c>
      <c r="L106">
        <f t="shared" si="12"/>
        <v>15.5243</v>
      </c>
      <c r="M106">
        <f t="shared" si="13"/>
        <v>20.438206679</v>
      </c>
      <c r="N106" s="9"/>
      <c r="O106" s="22">
        <v>0.38345299999999999</v>
      </c>
      <c r="P106" s="22">
        <v>190.2</v>
      </c>
      <c r="Q106" s="22">
        <v>-1.61285E-2</v>
      </c>
      <c r="R106" s="22">
        <v>96</v>
      </c>
      <c r="S106" s="22">
        <v>0.38278200000000001</v>
      </c>
      <c r="T106">
        <f t="shared" si="14"/>
        <v>16.128499999999999</v>
      </c>
      <c r="U106">
        <f t="shared" si="15"/>
        <v>6.1845217104999994</v>
      </c>
      <c r="X106" s="9"/>
      <c r="Y106" s="22">
        <v>1.31653</v>
      </c>
      <c r="Z106" s="22">
        <v>272.71300000000002</v>
      </c>
      <c r="AA106" s="22">
        <v>-1.5615800000000001E-2</v>
      </c>
      <c r="AB106" s="22">
        <v>96</v>
      </c>
      <c r="AC106" s="22">
        <v>1.31531</v>
      </c>
      <c r="AD106">
        <f t="shared" si="16"/>
        <v>15.6158</v>
      </c>
      <c r="AE106">
        <f t="shared" si="17"/>
        <v>20.558669173999998</v>
      </c>
      <c r="AF106" s="9"/>
      <c r="AG106" s="22">
        <v>0.38345299999999999</v>
      </c>
      <c r="AH106" s="22">
        <v>357.80799999999999</v>
      </c>
      <c r="AI106" s="22">
        <v>-1.6146899999999999E-2</v>
      </c>
      <c r="AJ106" s="22">
        <v>96</v>
      </c>
      <c r="AK106" s="22">
        <v>0.38275100000000001</v>
      </c>
      <c r="AL106">
        <f t="shared" si="18"/>
        <v>16.146899999999999</v>
      </c>
      <c r="AM106">
        <f t="shared" si="19"/>
        <v>6.1915772456999996</v>
      </c>
      <c r="AP106" s="9"/>
      <c r="AQ106" s="22">
        <v>1.31653</v>
      </c>
      <c r="AR106" s="22">
        <v>441.20699999999999</v>
      </c>
      <c r="AS106" s="22">
        <v>-1.5606699999999999E-2</v>
      </c>
      <c r="AT106" s="22">
        <v>96</v>
      </c>
      <c r="AU106" s="22">
        <v>1.31592</v>
      </c>
      <c r="AV106">
        <f t="shared" si="20"/>
        <v>15.6067</v>
      </c>
      <c r="AW106">
        <f t="shared" si="21"/>
        <v>20.546688751000001</v>
      </c>
      <c r="AX106" s="9"/>
      <c r="AY106" s="22">
        <v>0.38345299999999999</v>
      </c>
      <c r="AZ106" s="22">
        <v>563.14099999999996</v>
      </c>
      <c r="BA106" s="22">
        <v>-1.6162099999999999E-2</v>
      </c>
      <c r="BB106" s="22">
        <v>96</v>
      </c>
      <c r="BC106" s="22">
        <v>0.38284299999999999</v>
      </c>
      <c r="BD106">
        <f t="shared" si="22"/>
        <v>16.162099999999999</v>
      </c>
      <c r="BE106">
        <f t="shared" si="23"/>
        <v>6.1974057312999991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83.013900000000007</v>
      </c>
      <c r="I107" s="22">
        <v>-1.5521200000000001E-2</v>
      </c>
      <c r="J107" s="22">
        <v>97</v>
      </c>
      <c r="K107" s="22">
        <v>1.31073</v>
      </c>
      <c r="L107">
        <f t="shared" si="12"/>
        <v>15.5212</v>
      </c>
      <c r="M107">
        <f t="shared" si="13"/>
        <v>20.355898588000002</v>
      </c>
      <c r="N107" s="9"/>
      <c r="O107" s="22">
        <v>0.38848899999999997</v>
      </c>
      <c r="P107" s="22">
        <v>190.30099999999999</v>
      </c>
      <c r="Q107" s="22">
        <v>-1.6125500000000001E-2</v>
      </c>
      <c r="R107" s="22">
        <v>97</v>
      </c>
      <c r="S107" s="22">
        <v>0.38778699999999999</v>
      </c>
      <c r="T107">
        <f t="shared" si="14"/>
        <v>16.125500000000002</v>
      </c>
      <c r="U107">
        <f t="shared" si="15"/>
        <v>6.2645793695000007</v>
      </c>
      <c r="X107" s="9"/>
      <c r="Y107" s="22">
        <v>1.31149</v>
      </c>
      <c r="Z107" s="22">
        <v>272.81400000000002</v>
      </c>
      <c r="AA107" s="22">
        <v>-1.5606699999999999E-2</v>
      </c>
      <c r="AB107" s="22">
        <v>97</v>
      </c>
      <c r="AC107" s="22">
        <v>1.31134</v>
      </c>
      <c r="AD107">
        <f t="shared" si="16"/>
        <v>15.6067</v>
      </c>
      <c r="AE107">
        <f t="shared" si="17"/>
        <v>20.468030983000002</v>
      </c>
      <c r="AF107" s="9"/>
      <c r="AG107" s="22">
        <v>0.38848899999999997</v>
      </c>
      <c r="AH107" s="22">
        <v>357.90800000000002</v>
      </c>
      <c r="AI107" s="22">
        <v>-1.6146899999999999E-2</v>
      </c>
      <c r="AJ107" s="22">
        <v>97</v>
      </c>
      <c r="AK107" s="22">
        <v>0.38772600000000002</v>
      </c>
      <c r="AL107">
        <f t="shared" si="18"/>
        <v>16.146899999999999</v>
      </c>
      <c r="AM107">
        <f t="shared" si="19"/>
        <v>6.2728930340999991</v>
      </c>
      <c r="AP107" s="9"/>
      <c r="AQ107" s="22">
        <v>1.31149</v>
      </c>
      <c r="AR107" s="22">
        <v>441.30799999999999</v>
      </c>
      <c r="AS107" s="22">
        <v>-1.5609700000000001E-2</v>
      </c>
      <c r="AT107" s="22">
        <v>97</v>
      </c>
      <c r="AU107" s="22">
        <v>1.3104199999999999</v>
      </c>
      <c r="AV107">
        <f t="shared" si="20"/>
        <v>15.6097</v>
      </c>
      <c r="AW107">
        <f t="shared" si="21"/>
        <v>20.471965452999999</v>
      </c>
      <c r="AX107" s="9"/>
      <c r="AY107" s="22">
        <v>0.38848899999999997</v>
      </c>
      <c r="AZ107" s="22">
        <v>563.24199999999996</v>
      </c>
      <c r="BA107" s="22">
        <v>-1.6153000000000001E-2</v>
      </c>
      <c r="BB107" s="22">
        <v>97</v>
      </c>
      <c r="BC107" s="22">
        <v>0.38778699999999999</v>
      </c>
      <c r="BD107">
        <f t="shared" si="22"/>
        <v>16.153000000000002</v>
      </c>
      <c r="BE107">
        <f t="shared" si="23"/>
        <v>6.2752628170000007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83.114599999999996</v>
      </c>
      <c r="I108" s="22">
        <v>-1.5533399999999999E-2</v>
      </c>
      <c r="J108" s="22">
        <v>98</v>
      </c>
      <c r="K108" s="22">
        <v>1.3055399999999999</v>
      </c>
      <c r="L108">
        <f t="shared" si="12"/>
        <v>15.533399999999999</v>
      </c>
      <c r="M108">
        <f t="shared" si="13"/>
        <v>20.293765763999996</v>
      </c>
      <c r="N108" s="9"/>
      <c r="O108" s="22">
        <v>0.39352399999999998</v>
      </c>
      <c r="P108" s="22">
        <v>190.40100000000001</v>
      </c>
      <c r="Q108" s="22">
        <v>-1.61163E-2</v>
      </c>
      <c r="R108" s="22">
        <v>98</v>
      </c>
      <c r="S108" s="22">
        <v>0.39269999999999999</v>
      </c>
      <c r="T108">
        <f t="shared" si="14"/>
        <v>16.116299999999999</v>
      </c>
      <c r="U108">
        <f t="shared" si="15"/>
        <v>6.3421508411999996</v>
      </c>
      <c r="X108" s="9"/>
      <c r="Y108" s="22">
        <v>1.30646</v>
      </c>
      <c r="Z108" s="22">
        <v>272.91500000000002</v>
      </c>
      <c r="AA108" s="22">
        <v>-1.5615800000000001E-2</v>
      </c>
      <c r="AB108" s="22">
        <v>98</v>
      </c>
      <c r="AC108" s="22">
        <v>1.3055399999999999</v>
      </c>
      <c r="AD108">
        <f t="shared" si="16"/>
        <v>15.6158</v>
      </c>
      <c r="AE108">
        <f t="shared" si="17"/>
        <v>20.401418067999998</v>
      </c>
      <c r="AF108" s="9"/>
      <c r="AG108" s="22">
        <v>0.39352399999999998</v>
      </c>
      <c r="AH108" s="22">
        <v>358.00900000000001</v>
      </c>
      <c r="AI108" s="22">
        <v>-1.6137700000000001E-2</v>
      </c>
      <c r="AJ108" s="22">
        <v>98</v>
      </c>
      <c r="AK108" s="22">
        <v>0.39294400000000002</v>
      </c>
      <c r="AL108">
        <f t="shared" si="18"/>
        <v>16.137700000000002</v>
      </c>
      <c r="AM108">
        <f t="shared" si="19"/>
        <v>6.3505722548000003</v>
      </c>
      <c r="AP108" s="9"/>
      <c r="AQ108" s="22">
        <v>1.30646</v>
      </c>
      <c r="AR108" s="22">
        <v>441.40899999999999</v>
      </c>
      <c r="AS108" s="22">
        <v>-1.56128E-2</v>
      </c>
      <c r="AT108" s="22">
        <v>98</v>
      </c>
      <c r="AU108" s="22">
        <v>1.30524</v>
      </c>
      <c r="AV108">
        <f t="shared" si="20"/>
        <v>15.6128</v>
      </c>
      <c r="AW108">
        <f t="shared" si="21"/>
        <v>20.397498687999999</v>
      </c>
      <c r="AX108" s="9"/>
      <c r="AY108" s="22">
        <v>0.39352399999999998</v>
      </c>
      <c r="AZ108" s="22">
        <v>563.34299999999996</v>
      </c>
      <c r="BA108" s="22">
        <v>-1.6153000000000001E-2</v>
      </c>
      <c r="BB108" s="22">
        <v>98</v>
      </c>
      <c r="BC108" s="22">
        <v>0.39291399999999999</v>
      </c>
      <c r="BD108">
        <f t="shared" si="22"/>
        <v>16.153000000000002</v>
      </c>
      <c r="BE108">
        <f t="shared" si="23"/>
        <v>6.3565931720000011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83.215299999999999</v>
      </c>
      <c r="I109" s="22">
        <v>-1.55304E-2</v>
      </c>
      <c r="J109" s="22">
        <v>99</v>
      </c>
      <c r="K109" s="22">
        <v>1.3006599999999999</v>
      </c>
      <c r="L109">
        <f t="shared" si="12"/>
        <v>15.5304</v>
      </c>
      <c r="M109">
        <f t="shared" si="13"/>
        <v>20.211573168000001</v>
      </c>
      <c r="N109" s="9"/>
      <c r="O109" s="22">
        <v>0.39856000000000003</v>
      </c>
      <c r="P109" s="22">
        <v>190.50200000000001</v>
      </c>
      <c r="Q109" s="22">
        <v>-1.61163E-2</v>
      </c>
      <c r="R109" s="22">
        <v>99</v>
      </c>
      <c r="S109" s="22">
        <v>0.39782699999999999</v>
      </c>
      <c r="T109">
        <f t="shared" si="14"/>
        <v>16.116299999999999</v>
      </c>
      <c r="U109">
        <f t="shared" si="15"/>
        <v>6.4233125280000003</v>
      </c>
      <c r="X109" s="9"/>
      <c r="Y109" s="22">
        <v>1.30142</v>
      </c>
      <c r="Z109" s="22">
        <v>273.01499999999999</v>
      </c>
      <c r="AA109" s="22">
        <v>-1.56372E-2</v>
      </c>
      <c r="AB109" s="22">
        <v>99</v>
      </c>
      <c r="AC109" s="22">
        <v>1.3003499999999999</v>
      </c>
      <c r="AD109">
        <f t="shared" si="16"/>
        <v>15.6372</v>
      </c>
      <c r="AE109">
        <f t="shared" si="17"/>
        <v>20.350564823999999</v>
      </c>
      <c r="AF109" s="9"/>
      <c r="AG109" s="22">
        <v>0.39856000000000003</v>
      </c>
      <c r="AH109" s="22">
        <v>358.11</v>
      </c>
      <c r="AI109" s="22">
        <v>-1.6149899999999998E-2</v>
      </c>
      <c r="AJ109" s="22">
        <v>99</v>
      </c>
      <c r="AK109" s="22">
        <v>0.397949</v>
      </c>
      <c r="AL109">
        <f t="shared" si="18"/>
        <v>16.149899999999999</v>
      </c>
      <c r="AM109">
        <f t="shared" si="19"/>
        <v>6.4367041440000001</v>
      </c>
      <c r="AP109" s="9"/>
      <c r="AQ109" s="22">
        <v>1.30142</v>
      </c>
      <c r="AR109" s="22">
        <v>441.50900000000001</v>
      </c>
      <c r="AS109" s="22">
        <v>-1.56189E-2</v>
      </c>
      <c r="AT109" s="22">
        <v>99</v>
      </c>
      <c r="AU109" s="22">
        <v>1.3006599999999999</v>
      </c>
      <c r="AV109">
        <f t="shared" si="20"/>
        <v>15.6189</v>
      </c>
      <c r="AW109">
        <f t="shared" si="21"/>
        <v>20.326748838</v>
      </c>
      <c r="AX109" s="9"/>
      <c r="AY109" s="22">
        <v>0.39856000000000003</v>
      </c>
      <c r="AZ109" s="22">
        <v>563.44299999999998</v>
      </c>
      <c r="BA109" s="22">
        <v>-1.6159099999999999E-2</v>
      </c>
      <c r="BB109" s="22">
        <v>99</v>
      </c>
      <c r="BC109" s="22">
        <v>0.39779700000000001</v>
      </c>
      <c r="BD109">
        <f t="shared" si="22"/>
        <v>16.159099999999999</v>
      </c>
      <c r="BE109">
        <f t="shared" si="23"/>
        <v>6.4403708960000001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83.316000000000003</v>
      </c>
      <c r="I110" s="22">
        <v>-1.55365E-2</v>
      </c>
      <c r="J110" s="22">
        <v>100</v>
      </c>
      <c r="K110" s="22">
        <v>1.2954699999999999</v>
      </c>
      <c r="L110">
        <f t="shared" si="12"/>
        <v>15.5365</v>
      </c>
      <c r="M110">
        <f t="shared" si="13"/>
        <v>20.141363235</v>
      </c>
      <c r="N110" s="9"/>
      <c r="O110" s="22">
        <v>0.40359499999999998</v>
      </c>
      <c r="P110" s="22">
        <v>190.60300000000001</v>
      </c>
      <c r="Q110" s="22">
        <v>-1.6122399999999999E-2</v>
      </c>
      <c r="R110" s="22">
        <v>100</v>
      </c>
      <c r="S110" s="22">
        <v>0.40304600000000002</v>
      </c>
      <c r="T110">
        <f t="shared" si="14"/>
        <v>16.122399999999999</v>
      </c>
      <c r="U110">
        <f t="shared" si="15"/>
        <v>6.5069200279999997</v>
      </c>
      <c r="X110" s="9"/>
      <c r="Y110" s="22">
        <v>1.2963899999999999</v>
      </c>
      <c r="Z110" s="22">
        <v>273.11599999999999</v>
      </c>
      <c r="AA110" s="22">
        <v>-1.5634200000000001E-2</v>
      </c>
      <c r="AB110" s="22">
        <v>100</v>
      </c>
      <c r="AC110" s="22">
        <v>1.2951699999999999</v>
      </c>
      <c r="AD110">
        <f t="shared" si="16"/>
        <v>15.634200000000002</v>
      </c>
      <c r="AE110">
        <f t="shared" si="17"/>
        <v>20.268020538000002</v>
      </c>
      <c r="AF110" s="9"/>
      <c r="AG110" s="22">
        <v>0.40359499999999998</v>
      </c>
      <c r="AH110" s="22">
        <v>358.21100000000001</v>
      </c>
      <c r="AI110" s="22">
        <v>-1.6146899999999999E-2</v>
      </c>
      <c r="AJ110" s="22">
        <v>100</v>
      </c>
      <c r="AK110" s="22">
        <v>0.40295399999999998</v>
      </c>
      <c r="AL110">
        <f t="shared" si="18"/>
        <v>16.146899999999999</v>
      </c>
      <c r="AM110">
        <f t="shared" si="19"/>
        <v>6.5168081054999991</v>
      </c>
      <c r="AP110" s="9"/>
      <c r="AQ110" s="22">
        <v>1.2963899999999999</v>
      </c>
      <c r="AR110" s="22">
        <v>441.61</v>
      </c>
      <c r="AS110" s="22">
        <v>-1.5625E-2</v>
      </c>
      <c r="AT110" s="22">
        <v>100</v>
      </c>
      <c r="AU110" s="22">
        <v>1.2954699999999999</v>
      </c>
      <c r="AV110">
        <f t="shared" si="20"/>
        <v>15.625</v>
      </c>
      <c r="AW110">
        <f t="shared" si="21"/>
        <v>20.256093749999998</v>
      </c>
      <c r="AX110" s="9"/>
      <c r="AY110" s="22">
        <v>0.40359499999999998</v>
      </c>
      <c r="AZ110" s="22">
        <v>563.54399999999998</v>
      </c>
      <c r="BA110" s="22">
        <v>-1.6156E-2</v>
      </c>
      <c r="BB110" s="22">
        <v>100</v>
      </c>
      <c r="BC110" s="22">
        <v>0.40310699999999999</v>
      </c>
      <c r="BD110">
        <f t="shared" si="22"/>
        <v>16.155999999999999</v>
      </c>
      <c r="BE110">
        <f t="shared" si="23"/>
        <v>6.5204808199999995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83.416700000000006</v>
      </c>
      <c r="I111" s="22">
        <v>-1.5554800000000001E-2</v>
      </c>
      <c r="J111" s="22">
        <v>101</v>
      </c>
      <c r="K111" s="22">
        <v>1.2911999999999999</v>
      </c>
      <c r="L111">
        <f t="shared" si="12"/>
        <v>15.5548</v>
      </c>
      <c r="M111">
        <f t="shared" si="13"/>
        <v>20.08669098</v>
      </c>
      <c r="N111" s="9"/>
      <c r="O111" s="22">
        <v>0.40862999999999999</v>
      </c>
      <c r="P111" s="22">
        <v>190.70400000000001</v>
      </c>
      <c r="Q111" s="22">
        <v>-1.6122399999999999E-2</v>
      </c>
      <c r="R111" s="22">
        <v>101</v>
      </c>
      <c r="S111" s="22">
        <v>0.40786699999999998</v>
      </c>
      <c r="T111">
        <f t="shared" si="14"/>
        <v>16.122399999999999</v>
      </c>
      <c r="U111">
        <f t="shared" si="15"/>
        <v>6.5880963119999993</v>
      </c>
      <c r="X111" s="9"/>
      <c r="Y111" s="22">
        <v>1.29135</v>
      </c>
      <c r="Z111" s="22">
        <v>273.21699999999998</v>
      </c>
      <c r="AA111" s="22">
        <v>-1.5643299999999999E-2</v>
      </c>
      <c r="AB111" s="22">
        <v>101</v>
      </c>
      <c r="AC111" s="22">
        <v>1.2911999999999999</v>
      </c>
      <c r="AD111">
        <f t="shared" si="16"/>
        <v>15.643299999999998</v>
      </c>
      <c r="AE111">
        <f t="shared" si="17"/>
        <v>20.200975454999998</v>
      </c>
      <c r="AF111" s="9"/>
      <c r="AG111" s="22">
        <v>0.40862999999999999</v>
      </c>
      <c r="AH111" s="22">
        <v>358.31099999999998</v>
      </c>
      <c r="AI111" s="22">
        <v>-1.61438E-2</v>
      </c>
      <c r="AJ111" s="22">
        <v>101</v>
      </c>
      <c r="AK111" s="22">
        <v>0.40774500000000002</v>
      </c>
      <c r="AL111">
        <f t="shared" si="18"/>
        <v>16.143799999999999</v>
      </c>
      <c r="AM111">
        <f t="shared" si="19"/>
        <v>6.596840993999999</v>
      </c>
      <c r="AP111" s="9"/>
      <c r="AQ111" s="22">
        <v>1.29135</v>
      </c>
      <c r="AR111" s="22">
        <v>441.71100000000001</v>
      </c>
      <c r="AS111" s="22">
        <v>-1.56372E-2</v>
      </c>
      <c r="AT111" s="22">
        <v>101</v>
      </c>
      <c r="AU111" s="22">
        <v>1.2905899999999999</v>
      </c>
      <c r="AV111">
        <f t="shared" si="20"/>
        <v>15.6372</v>
      </c>
      <c r="AW111">
        <f t="shared" si="21"/>
        <v>20.19309822</v>
      </c>
      <c r="AX111" s="9"/>
      <c r="AY111" s="22">
        <v>0.40862999999999999</v>
      </c>
      <c r="AZ111" s="22">
        <v>563.64499999999998</v>
      </c>
      <c r="BA111" s="22">
        <v>-1.6156E-2</v>
      </c>
      <c r="BB111" s="22">
        <v>101</v>
      </c>
      <c r="BC111" s="22">
        <v>0.40801999999999999</v>
      </c>
      <c r="BD111">
        <f t="shared" si="22"/>
        <v>16.155999999999999</v>
      </c>
      <c r="BE111">
        <f t="shared" si="23"/>
        <v>6.6018262799999992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83.517499999999998</v>
      </c>
      <c r="I112" s="22">
        <v>-1.5551799999999999E-2</v>
      </c>
      <c r="J112" s="22">
        <v>102</v>
      </c>
      <c r="K112" s="22">
        <v>1.2857099999999999</v>
      </c>
      <c r="L112">
        <f t="shared" si="12"/>
        <v>15.5518</v>
      </c>
      <c r="M112">
        <f t="shared" si="13"/>
        <v>20.004591375999997</v>
      </c>
      <c r="N112" s="9"/>
      <c r="O112" s="22">
        <v>0.41366599999999998</v>
      </c>
      <c r="P112" s="22">
        <v>190.804</v>
      </c>
      <c r="Q112" s="22">
        <v>-1.6122399999999999E-2</v>
      </c>
      <c r="R112" s="22">
        <v>102</v>
      </c>
      <c r="S112" s="22">
        <v>0.41299400000000003</v>
      </c>
      <c r="T112">
        <f t="shared" si="14"/>
        <v>16.122399999999999</v>
      </c>
      <c r="U112">
        <f t="shared" si="15"/>
        <v>6.6692887183999989</v>
      </c>
      <c r="X112" s="9"/>
      <c r="Y112" s="22">
        <v>1.2863199999999999</v>
      </c>
      <c r="Z112" s="22">
        <v>273.31799999999998</v>
      </c>
      <c r="AA112" s="22">
        <v>-1.5643299999999999E-2</v>
      </c>
      <c r="AB112" s="22">
        <v>102</v>
      </c>
      <c r="AC112" s="22">
        <v>1.2857099999999999</v>
      </c>
      <c r="AD112">
        <f t="shared" si="16"/>
        <v>15.643299999999998</v>
      </c>
      <c r="AE112">
        <f t="shared" si="17"/>
        <v>20.122289655999996</v>
      </c>
      <c r="AF112" s="9"/>
      <c r="AG112" s="22">
        <v>0.41366599999999998</v>
      </c>
      <c r="AH112" s="22">
        <v>358.41199999999998</v>
      </c>
      <c r="AI112" s="22">
        <v>-1.6149899999999998E-2</v>
      </c>
      <c r="AJ112" s="22">
        <v>102</v>
      </c>
      <c r="AK112" s="22">
        <v>0.41281099999999998</v>
      </c>
      <c r="AL112">
        <f t="shared" si="18"/>
        <v>16.149899999999999</v>
      </c>
      <c r="AM112">
        <f t="shared" si="19"/>
        <v>6.680664533399999</v>
      </c>
      <c r="AP112" s="9"/>
      <c r="AQ112" s="22">
        <v>1.2863199999999999</v>
      </c>
      <c r="AR112" s="22">
        <v>441.81099999999998</v>
      </c>
      <c r="AS112" s="22">
        <v>-1.56372E-2</v>
      </c>
      <c r="AT112" s="22">
        <v>102</v>
      </c>
      <c r="AU112" s="22">
        <v>1.2857099999999999</v>
      </c>
      <c r="AV112">
        <f t="shared" si="20"/>
        <v>15.6372</v>
      </c>
      <c r="AW112">
        <f t="shared" si="21"/>
        <v>20.114443103999999</v>
      </c>
      <c r="AX112" s="9"/>
      <c r="AY112" s="22">
        <v>0.41366599999999998</v>
      </c>
      <c r="AZ112" s="22">
        <v>563.745</v>
      </c>
      <c r="BA112" s="22">
        <v>-1.6159099999999999E-2</v>
      </c>
      <c r="BB112" s="22">
        <v>102</v>
      </c>
      <c r="BC112" s="22">
        <v>0.41311599999999998</v>
      </c>
      <c r="BD112">
        <f t="shared" si="22"/>
        <v>16.159099999999999</v>
      </c>
      <c r="BE112">
        <f t="shared" si="23"/>
        <v>6.6844702605999995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83.618200000000002</v>
      </c>
      <c r="I113" s="22">
        <v>-1.5560900000000001E-2</v>
      </c>
      <c r="J113" s="22">
        <v>103</v>
      </c>
      <c r="K113" s="22">
        <v>1.2805200000000001</v>
      </c>
      <c r="L113">
        <f t="shared" si="12"/>
        <v>15.5609</v>
      </c>
      <c r="M113">
        <f t="shared" si="13"/>
        <v>19.937869952</v>
      </c>
      <c r="N113" s="9"/>
      <c r="O113" s="22">
        <v>0.41870099999999999</v>
      </c>
      <c r="P113" s="22">
        <v>190.905</v>
      </c>
      <c r="Q113" s="22">
        <v>-1.6113300000000001E-2</v>
      </c>
      <c r="R113" s="22">
        <v>103</v>
      </c>
      <c r="S113" s="22">
        <v>0.41805999999999999</v>
      </c>
      <c r="T113">
        <f t="shared" si="14"/>
        <v>16.113299999999999</v>
      </c>
      <c r="U113">
        <f t="shared" si="15"/>
        <v>6.7466548232999992</v>
      </c>
      <c r="X113" s="9"/>
      <c r="Y113" s="22">
        <v>1.28128</v>
      </c>
      <c r="Z113" s="22">
        <v>273.41800000000001</v>
      </c>
      <c r="AA113" s="22">
        <v>-1.56525E-2</v>
      </c>
      <c r="AB113" s="22">
        <v>103</v>
      </c>
      <c r="AC113" s="22">
        <v>1.2802100000000001</v>
      </c>
      <c r="AD113">
        <f t="shared" si="16"/>
        <v>15.6525</v>
      </c>
      <c r="AE113">
        <f t="shared" si="17"/>
        <v>20.055235199999998</v>
      </c>
      <c r="AF113" s="9"/>
      <c r="AG113" s="22">
        <v>0.41870099999999999</v>
      </c>
      <c r="AH113" s="22">
        <v>358.51299999999998</v>
      </c>
      <c r="AI113" s="22">
        <v>-1.6137700000000001E-2</v>
      </c>
      <c r="AJ113" s="22">
        <v>103</v>
      </c>
      <c r="AK113" s="22">
        <v>0.417908</v>
      </c>
      <c r="AL113">
        <f t="shared" si="18"/>
        <v>16.137700000000002</v>
      </c>
      <c r="AM113">
        <f t="shared" si="19"/>
        <v>6.7568711277000011</v>
      </c>
      <c r="AP113" s="9"/>
      <c r="AQ113" s="22">
        <v>1.28128</v>
      </c>
      <c r="AR113" s="22">
        <v>441.91199999999998</v>
      </c>
      <c r="AS113" s="22">
        <v>-1.5634200000000001E-2</v>
      </c>
      <c r="AT113" s="22">
        <v>103</v>
      </c>
      <c r="AU113" s="22">
        <v>1.2808200000000001</v>
      </c>
      <c r="AV113">
        <f t="shared" si="20"/>
        <v>15.634200000000002</v>
      </c>
      <c r="AW113">
        <f t="shared" si="21"/>
        <v>20.031787776000002</v>
      </c>
      <c r="AX113" s="9"/>
      <c r="AY113" s="22">
        <v>0.41870099999999999</v>
      </c>
      <c r="AZ113" s="22">
        <v>563.846</v>
      </c>
      <c r="BA113" s="22">
        <v>-1.6146899999999999E-2</v>
      </c>
      <c r="BB113" s="22">
        <v>103</v>
      </c>
      <c r="BC113" s="22">
        <v>0.41805999999999999</v>
      </c>
      <c r="BD113">
        <f t="shared" si="22"/>
        <v>16.146899999999999</v>
      </c>
      <c r="BE113">
        <f t="shared" si="23"/>
        <v>6.7607231768999991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83.718900000000005</v>
      </c>
      <c r="I114" s="22">
        <v>-1.5566999999999999E-2</v>
      </c>
      <c r="J114" s="22">
        <v>104</v>
      </c>
      <c r="K114" s="22">
        <v>1.27502</v>
      </c>
      <c r="L114">
        <f t="shared" si="12"/>
        <v>15.566999999999998</v>
      </c>
      <c r="M114">
        <f t="shared" si="13"/>
        <v>19.867383749999998</v>
      </c>
      <c r="N114" s="9"/>
      <c r="O114" s="22">
        <v>0.42373699999999997</v>
      </c>
      <c r="P114" s="22">
        <v>191.006</v>
      </c>
      <c r="Q114" s="22">
        <v>-1.61163E-2</v>
      </c>
      <c r="R114" s="22">
        <v>104</v>
      </c>
      <c r="S114" s="22">
        <v>0.42315700000000001</v>
      </c>
      <c r="T114">
        <f t="shared" si="14"/>
        <v>16.116299999999999</v>
      </c>
      <c r="U114">
        <f t="shared" si="15"/>
        <v>6.8290726130999992</v>
      </c>
      <c r="X114" s="9"/>
      <c r="Y114" s="22">
        <v>1.2762500000000001</v>
      </c>
      <c r="Z114" s="22">
        <v>273.51900000000001</v>
      </c>
      <c r="AA114" s="22">
        <v>-1.5649400000000001E-2</v>
      </c>
      <c r="AB114" s="22">
        <v>104</v>
      </c>
      <c r="AC114" s="22">
        <v>1.27563</v>
      </c>
      <c r="AD114">
        <f t="shared" si="16"/>
        <v>15.6494</v>
      </c>
      <c r="AE114">
        <f t="shared" si="17"/>
        <v>19.972546750000003</v>
      </c>
      <c r="AF114" s="9"/>
      <c r="AG114" s="22">
        <v>0.42373699999999997</v>
      </c>
      <c r="AH114" s="22">
        <v>358.613</v>
      </c>
      <c r="AI114" s="22">
        <v>-1.6137700000000001E-2</v>
      </c>
      <c r="AJ114" s="22">
        <v>104</v>
      </c>
      <c r="AK114" s="22">
        <v>0.42300399999999999</v>
      </c>
      <c r="AL114">
        <f t="shared" si="18"/>
        <v>16.137700000000002</v>
      </c>
      <c r="AM114">
        <f t="shared" si="19"/>
        <v>6.8381405849000005</v>
      </c>
      <c r="AP114" s="9"/>
      <c r="AQ114" s="22">
        <v>1.2762500000000001</v>
      </c>
      <c r="AR114" s="22">
        <v>442.01299999999998</v>
      </c>
      <c r="AS114" s="22">
        <v>-1.5646400000000001E-2</v>
      </c>
      <c r="AT114" s="22">
        <v>104</v>
      </c>
      <c r="AU114" s="22">
        <v>1.2753300000000001</v>
      </c>
      <c r="AV114">
        <f t="shared" si="20"/>
        <v>15.646400000000002</v>
      </c>
      <c r="AW114">
        <f t="shared" si="21"/>
        <v>19.968718000000003</v>
      </c>
      <c r="AX114" s="9"/>
      <c r="AY114" s="22">
        <v>0.42373699999999997</v>
      </c>
      <c r="AZ114" s="22">
        <v>563.947</v>
      </c>
      <c r="BA114" s="22">
        <v>-1.61438E-2</v>
      </c>
      <c r="BB114" s="22">
        <v>104</v>
      </c>
      <c r="BC114" s="22">
        <v>0.42306500000000002</v>
      </c>
      <c r="BD114">
        <f t="shared" si="22"/>
        <v>16.143799999999999</v>
      </c>
      <c r="BE114">
        <f t="shared" si="23"/>
        <v>6.8407253805999995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83.819599999999994</v>
      </c>
      <c r="I115" s="22">
        <v>-1.55762E-2</v>
      </c>
      <c r="J115" s="22">
        <v>105</v>
      </c>
      <c r="K115" s="22">
        <v>1.2704500000000001</v>
      </c>
      <c r="L115">
        <f t="shared" si="12"/>
        <v>15.5762</v>
      </c>
      <c r="M115">
        <f t="shared" si="13"/>
        <v>19.800621201999999</v>
      </c>
      <c r="N115" s="9"/>
      <c r="O115" s="22">
        <v>0.42877199999999999</v>
      </c>
      <c r="P115" s="22">
        <v>191.10599999999999</v>
      </c>
      <c r="Q115" s="22">
        <v>-1.6119399999999999E-2</v>
      </c>
      <c r="R115" s="22">
        <v>105</v>
      </c>
      <c r="S115" s="22">
        <v>0.42813099999999998</v>
      </c>
      <c r="T115">
        <f t="shared" si="14"/>
        <v>16.119399999999999</v>
      </c>
      <c r="U115">
        <f t="shared" si="15"/>
        <v>6.9115473767999989</v>
      </c>
      <c r="X115" s="9"/>
      <c r="Y115" s="22">
        <v>1.27121</v>
      </c>
      <c r="Z115" s="22">
        <v>273.62</v>
      </c>
      <c r="AA115" s="22">
        <v>-1.5658600000000002E-2</v>
      </c>
      <c r="AB115" s="22">
        <v>105</v>
      </c>
      <c r="AC115" s="22">
        <v>1.27014</v>
      </c>
      <c r="AD115">
        <f t="shared" si="16"/>
        <v>15.658600000000002</v>
      </c>
      <c r="AE115">
        <f t="shared" si="17"/>
        <v>19.905368906</v>
      </c>
      <c r="AF115" s="9"/>
      <c r="AG115" s="22">
        <v>0.42877199999999999</v>
      </c>
      <c r="AH115" s="22">
        <v>358.714</v>
      </c>
      <c r="AI115" s="22">
        <v>-1.6137700000000001E-2</v>
      </c>
      <c r="AJ115" s="22">
        <v>105</v>
      </c>
      <c r="AK115" s="22">
        <v>0.42813099999999998</v>
      </c>
      <c r="AL115">
        <f t="shared" si="18"/>
        <v>16.137700000000002</v>
      </c>
      <c r="AM115">
        <f t="shared" si="19"/>
        <v>6.9193939044000006</v>
      </c>
      <c r="AP115" s="9"/>
      <c r="AQ115" s="22">
        <v>1.27121</v>
      </c>
      <c r="AR115" s="22">
        <v>442.113</v>
      </c>
      <c r="AS115" s="22">
        <v>-1.5643299999999999E-2</v>
      </c>
      <c r="AT115" s="22">
        <v>105</v>
      </c>
      <c r="AU115" s="22">
        <v>1.2704500000000001</v>
      </c>
      <c r="AV115">
        <f t="shared" si="20"/>
        <v>15.643299999999998</v>
      </c>
      <c r="AW115">
        <f t="shared" si="21"/>
        <v>19.885919392999998</v>
      </c>
      <c r="AX115" s="9"/>
      <c r="AY115" s="22">
        <v>0.42877199999999999</v>
      </c>
      <c r="AZ115" s="22">
        <v>564.048</v>
      </c>
      <c r="BA115" s="22">
        <v>-1.61438E-2</v>
      </c>
      <c r="BB115" s="22">
        <v>105</v>
      </c>
      <c r="BC115" s="22">
        <v>0.42800899999999997</v>
      </c>
      <c r="BD115">
        <f t="shared" si="22"/>
        <v>16.143799999999999</v>
      </c>
      <c r="BE115">
        <f t="shared" si="23"/>
        <v>6.9220094135999997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83.920299999999997</v>
      </c>
      <c r="I116" s="22">
        <v>-1.55762E-2</v>
      </c>
      <c r="J116" s="22">
        <v>106</v>
      </c>
      <c r="K116" s="22">
        <v>1.2652600000000001</v>
      </c>
      <c r="L116">
        <f t="shared" si="12"/>
        <v>15.5762</v>
      </c>
      <c r="M116">
        <f t="shared" si="13"/>
        <v>19.722117153999999</v>
      </c>
      <c r="N116" s="9"/>
      <c r="O116" s="22">
        <v>0.433807</v>
      </c>
      <c r="P116" s="22">
        <v>191.20699999999999</v>
      </c>
      <c r="Q116" s="22">
        <v>-1.6110200000000002E-2</v>
      </c>
      <c r="R116" s="22">
        <v>106</v>
      </c>
      <c r="S116" s="22">
        <v>0.43313600000000002</v>
      </c>
      <c r="T116">
        <f t="shared" si="14"/>
        <v>16.110200000000003</v>
      </c>
      <c r="U116">
        <f t="shared" si="15"/>
        <v>6.9887175314000007</v>
      </c>
      <c r="X116" s="9"/>
      <c r="Y116" s="22">
        <v>1.26617</v>
      </c>
      <c r="Z116" s="22">
        <v>273.72000000000003</v>
      </c>
      <c r="AA116" s="22">
        <v>-1.5655499999999999E-2</v>
      </c>
      <c r="AB116" s="22">
        <v>106</v>
      </c>
      <c r="AC116" s="22">
        <v>1.26495</v>
      </c>
      <c r="AD116">
        <f t="shared" si="16"/>
        <v>15.6555</v>
      </c>
      <c r="AE116">
        <f t="shared" si="17"/>
        <v>19.822524435000002</v>
      </c>
      <c r="AF116" s="9"/>
      <c r="AG116" s="22">
        <v>0.433807</v>
      </c>
      <c r="AH116" s="22">
        <v>358.815</v>
      </c>
      <c r="AI116" s="22">
        <v>-1.61438E-2</v>
      </c>
      <c r="AJ116" s="22">
        <v>106</v>
      </c>
      <c r="AK116" s="22">
        <v>0.43310500000000002</v>
      </c>
      <c r="AL116">
        <f t="shared" si="18"/>
        <v>16.143799999999999</v>
      </c>
      <c r="AM116">
        <f t="shared" si="19"/>
        <v>7.0032934465999999</v>
      </c>
      <c r="AP116" s="9"/>
      <c r="AQ116" s="22">
        <v>1.26617</v>
      </c>
      <c r="AR116" s="22">
        <v>442.214</v>
      </c>
      <c r="AS116" s="22">
        <v>-1.5649400000000001E-2</v>
      </c>
      <c r="AT116" s="22">
        <v>106</v>
      </c>
      <c r="AU116" s="22">
        <v>1.2652600000000001</v>
      </c>
      <c r="AV116">
        <f t="shared" si="20"/>
        <v>15.6494</v>
      </c>
      <c r="AW116">
        <f t="shared" si="21"/>
        <v>19.814800798</v>
      </c>
      <c r="AX116" s="9"/>
      <c r="AY116" s="22">
        <v>0.433807</v>
      </c>
      <c r="AZ116" s="22">
        <v>564.14800000000002</v>
      </c>
      <c r="BA116" s="22">
        <v>-1.6153000000000001E-2</v>
      </c>
      <c r="BB116" s="22">
        <v>106</v>
      </c>
      <c r="BC116" s="22">
        <v>0.43337999999999999</v>
      </c>
      <c r="BD116">
        <f t="shared" si="22"/>
        <v>16.153000000000002</v>
      </c>
      <c r="BE116">
        <f t="shared" si="23"/>
        <v>7.0072844710000011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84.021000000000001</v>
      </c>
      <c r="I117" s="22">
        <v>-1.55823E-2</v>
      </c>
      <c r="J117" s="22">
        <v>107</v>
      </c>
      <c r="K117" s="22">
        <v>1.26007</v>
      </c>
      <c r="L117">
        <f t="shared" si="12"/>
        <v>15.5823</v>
      </c>
      <c r="M117">
        <f t="shared" si="13"/>
        <v>19.651461821999998</v>
      </c>
      <c r="N117" s="9"/>
      <c r="O117" s="22">
        <v>0.43884299999999998</v>
      </c>
      <c r="P117" s="22">
        <v>191.30799999999999</v>
      </c>
      <c r="Q117" s="22">
        <v>-1.6107199999999999E-2</v>
      </c>
      <c r="R117" s="22">
        <v>107</v>
      </c>
      <c r="S117" s="22">
        <v>0.43823200000000001</v>
      </c>
      <c r="T117">
        <f t="shared" si="14"/>
        <v>16.107199999999999</v>
      </c>
      <c r="U117">
        <f t="shared" si="15"/>
        <v>7.0685319695999995</v>
      </c>
      <c r="X117" s="9"/>
      <c r="Y117" s="22">
        <v>1.2611399999999999</v>
      </c>
      <c r="Z117" s="22">
        <v>273.82100000000003</v>
      </c>
      <c r="AA117" s="22">
        <v>-1.5661600000000001E-2</v>
      </c>
      <c r="AB117" s="22">
        <v>107</v>
      </c>
      <c r="AC117" s="22">
        <v>1.26007</v>
      </c>
      <c r="AD117">
        <f t="shared" si="16"/>
        <v>15.661600000000002</v>
      </c>
      <c r="AE117">
        <f t="shared" si="17"/>
        <v>19.751470224000002</v>
      </c>
      <c r="AF117" s="9"/>
      <c r="AG117" s="22">
        <v>0.43884299999999998</v>
      </c>
      <c r="AH117" s="22">
        <v>358.916</v>
      </c>
      <c r="AI117" s="22">
        <v>-1.6146899999999999E-2</v>
      </c>
      <c r="AJ117" s="22">
        <v>107</v>
      </c>
      <c r="AK117" s="22">
        <v>0.43811</v>
      </c>
      <c r="AL117">
        <f t="shared" si="18"/>
        <v>16.146899999999999</v>
      </c>
      <c r="AM117">
        <f t="shared" si="19"/>
        <v>7.0859540366999996</v>
      </c>
      <c r="AP117" s="9"/>
      <c r="AQ117" s="22">
        <v>1.2611399999999999</v>
      </c>
      <c r="AR117" s="22">
        <v>442.315</v>
      </c>
      <c r="AS117" s="22">
        <v>-1.5658600000000002E-2</v>
      </c>
      <c r="AT117" s="22">
        <v>107</v>
      </c>
      <c r="AU117" s="22">
        <v>1.26068</v>
      </c>
      <c r="AV117">
        <f t="shared" si="20"/>
        <v>15.658600000000002</v>
      </c>
      <c r="AW117">
        <f t="shared" si="21"/>
        <v>19.747686804000001</v>
      </c>
      <c r="AX117" s="9"/>
      <c r="AY117" s="22">
        <v>0.43884299999999998</v>
      </c>
      <c r="AZ117" s="22">
        <v>564.24900000000002</v>
      </c>
      <c r="BA117" s="22">
        <v>-1.61438E-2</v>
      </c>
      <c r="BB117" s="22">
        <v>107</v>
      </c>
      <c r="BC117" s="22">
        <v>0.43804900000000002</v>
      </c>
      <c r="BD117">
        <f t="shared" si="22"/>
        <v>16.143799999999999</v>
      </c>
      <c r="BE117">
        <f t="shared" si="23"/>
        <v>7.0845936233999991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84.121700000000004</v>
      </c>
      <c r="I118" s="22">
        <v>-1.55823E-2</v>
      </c>
      <c r="J118" s="22">
        <v>108</v>
      </c>
      <c r="K118" s="22">
        <v>1.25488</v>
      </c>
      <c r="L118">
        <f t="shared" si="12"/>
        <v>15.5823</v>
      </c>
      <c r="M118">
        <f t="shared" si="13"/>
        <v>19.572927029999999</v>
      </c>
      <c r="N118" s="9"/>
      <c r="O118" s="22">
        <v>0.44387799999999999</v>
      </c>
      <c r="P118" s="22">
        <v>191.40799999999999</v>
      </c>
      <c r="Q118" s="22">
        <v>-1.6110200000000002E-2</v>
      </c>
      <c r="R118" s="22">
        <v>108</v>
      </c>
      <c r="S118" s="22">
        <v>0.44323699999999999</v>
      </c>
      <c r="T118">
        <f t="shared" si="14"/>
        <v>16.110200000000003</v>
      </c>
      <c r="U118">
        <f t="shared" si="15"/>
        <v>7.150963355600001</v>
      </c>
      <c r="X118" s="9"/>
      <c r="Y118" s="22">
        <v>1.2561</v>
      </c>
      <c r="Z118" s="22">
        <v>273.92200000000003</v>
      </c>
      <c r="AA118" s="22">
        <v>-1.56677E-2</v>
      </c>
      <c r="AB118" s="22">
        <v>108</v>
      </c>
      <c r="AC118" s="22">
        <v>1.25519</v>
      </c>
      <c r="AD118">
        <f t="shared" si="16"/>
        <v>15.6677</v>
      </c>
      <c r="AE118">
        <f t="shared" si="17"/>
        <v>19.680197969999998</v>
      </c>
      <c r="AF118" s="9"/>
      <c r="AG118" s="22">
        <v>0.44387799999999999</v>
      </c>
      <c r="AH118" s="22">
        <v>359.01600000000002</v>
      </c>
      <c r="AI118" s="22">
        <v>-1.61438E-2</v>
      </c>
      <c r="AJ118" s="22">
        <v>108</v>
      </c>
      <c r="AK118" s="22">
        <v>0.44329800000000003</v>
      </c>
      <c r="AL118">
        <f t="shared" si="18"/>
        <v>16.143799999999999</v>
      </c>
      <c r="AM118">
        <f t="shared" si="19"/>
        <v>7.1658776563999993</v>
      </c>
      <c r="AP118" s="9"/>
      <c r="AQ118" s="22">
        <v>1.2561</v>
      </c>
      <c r="AR118" s="22">
        <v>442.416</v>
      </c>
      <c r="AS118" s="22">
        <v>-1.56525E-2</v>
      </c>
      <c r="AT118" s="22">
        <v>108</v>
      </c>
      <c r="AU118" s="22">
        <v>1.25519</v>
      </c>
      <c r="AV118">
        <f t="shared" si="20"/>
        <v>15.6525</v>
      </c>
      <c r="AW118">
        <f t="shared" si="21"/>
        <v>19.661105249999999</v>
      </c>
      <c r="AX118" s="9"/>
      <c r="AY118" s="22">
        <v>0.44387799999999999</v>
      </c>
      <c r="AZ118" s="22">
        <v>564.35</v>
      </c>
      <c r="BA118" s="22">
        <v>-1.6140700000000001E-2</v>
      </c>
      <c r="BB118" s="22">
        <v>108</v>
      </c>
      <c r="BC118" s="22">
        <v>0.44320700000000002</v>
      </c>
      <c r="BD118">
        <f t="shared" si="22"/>
        <v>16.140700000000002</v>
      </c>
      <c r="BE118">
        <f t="shared" si="23"/>
        <v>7.1645016346000014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84.222399999999993</v>
      </c>
      <c r="I119" s="22">
        <v>-1.55914E-2</v>
      </c>
      <c r="J119" s="22">
        <v>109</v>
      </c>
      <c r="K119" s="22">
        <v>1.25031</v>
      </c>
      <c r="L119">
        <f t="shared" si="12"/>
        <v>15.5914</v>
      </c>
      <c r="M119">
        <f t="shared" si="13"/>
        <v>19.505932798</v>
      </c>
      <c r="N119" s="9"/>
      <c r="O119" s="22">
        <v>0.44891399999999998</v>
      </c>
      <c r="P119" s="22">
        <v>191.50899999999999</v>
      </c>
      <c r="Q119" s="22">
        <v>-1.6110200000000002E-2</v>
      </c>
      <c r="R119" s="22">
        <v>109</v>
      </c>
      <c r="S119" s="22">
        <v>0.448181</v>
      </c>
      <c r="T119">
        <f t="shared" si="14"/>
        <v>16.110200000000003</v>
      </c>
      <c r="U119">
        <f t="shared" si="15"/>
        <v>7.232094322800001</v>
      </c>
      <c r="X119" s="9"/>
      <c r="Y119" s="22">
        <v>1.2510699999999999</v>
      </c>
      <c r="Z119" s="22">
        <v>274.02300000000002</v>
      </c>
      <c r="AA119" s="22">
        <v>-1.56677E-2</v>
      </c>
      <c r="AB119" s="22">
        <v>109</v>
      </c>
      <c r="AC119" s="22">
        <v>1.24969</v>
      </c>
      <c r="AD119">
        <f t="shared" si="16"/>
        <v>15.6677</v>
      </c>
      <c r="AE119">
        <f t="shared" si="17"/>
        <v>19.601389438999998</v>
      </c>
      <c r="AF119" s="9"/>
      <c r="AG119" s="22">
        <v>0.44891399999999998</v>
      </c>
      <c r="AH119" s="22">
        <v>359.11700000000002</v>
      </c>
      <c r="AI119" s="22">
        <v>-1.6137700000000001E-2</v>
      </c>
      <c r="AJ119" s="22">
        <v>109</v>
      </c>
      <c r="AK119" s="22">
        <v>0.44808999999999999</v>
      </c>
      <c r="AL119">
        <f t="shared" si="18"/>
        <v>16.137700000000002</v>
      </c>
      <c r="AM119">
        <f t="shared" si="19"/>
        <v>7.2444394578000004</v>
      </c>
      <c r="AP119" s="9"/>
      <c r="AQ119" s="22">
        <v>1.2510699999999999</v>
      </c>
      <c r="AR119" s="22">
        <v>442.51600000000002</v>
      </c>
      <c r="AS119" s="22">
        <v>-1.56647E-2</v>
      </c>
      <c r="AT119" s="22">
        <v>109</v>
      </c>
      <c r="AU119" s="22">
        <v>1.25031</v>
      </c>
      <c r="AV119">
        <f t="shared" si="20"/>
        <v>15.6647</v>
      </c>
      <c r="AW119">
        <f t="shared" si="21"/>
        <v>19.597636228999999</v>
      </c>
      <c r="AX119" s="9"/>
      <c r="AY119" s="22">
        <v>0.44891399999999998</v>
      </c>
      <c r="AZ119" s="22">
        <v>564.45000000000005</v>
      </c>
      <c r="BA119" s="22">
        <v>-1.61438E-2</v>
      </c>
      <c r="BB119" s="22">
        <v>109</v>
      </c>
      <c r="BC119" s="22">
        <v>0.44824199999999997</v>
      </c>
      <c r="BD119">
        <f t="shared" si="22"/>
        <v>16.143799999999999</v>
      </c>
      <c r="BE119">
        <f t="shared" si="23"/>
        <v>7.2471778331999994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84.323099999999997</v>
      </c>
      <c r="I120" s="22">
        <v>-1.5594500000000001E-2</v>
      </c>
      <c r="J120" s="22">
        <v>110</v>
      </c>
      <c r="K120" s="22">
        <v>1.24542</v>
      </c>
      <c r="L120">
        <f t="shared" si="12"/>
        <v>15.5945</v>
      </c>
      <c r="M120">
        <f t="shared" si="13"/>
        <v>19.431214834999999</v>
      </c>
      <c r="N120" s="9"/>
      <c r="O120" s="22">
        <v>0.45394899999999999</v>
      </c>
      <c r="P120" s="22">
        <v>191.61</v>
      </c>
      <c r="Q120" s="22">
        <v>-1.6110200000000002E-2</v>
      </c>
      <c r="R120" s="22">
        <v>110</v>
      </c>
      <c r="S120" s="22">
        <v>0.45330799999999999</v>
      </c>
      <c r="T120">
        <f t="shared" si="14"/>
        <v>16.110200000000003</v>
      </c>
      <c r="U120">
        <f t="shared" si="15"/>
        <v>7.3132091798000012</v>
      </c>
      <c r="X120" s="9"/>
      <c r="Y120" s="22">
        <v>1.24603</v>
      </c>
      <c r="Z120" s="22">
        <v>274.12299999999999</v>
      </c>
      <c r="AA120" s="22">
        <v>-1.5676900000000001E-2</v>
      </c>
      <c r="AB120" s="22">
        <v>110</v>
      </c>
      <c r="AC120" s="22">
        <v>1.24512</v>
      </c>
      <c r="AD120">
        <f t="shared" si="16"/>
        <v>15.6769</v>
      </c>
      <c r="AE120">
        <f t="shared" si="17"/>
        <v>19.533887706999998</v>
      </c>
      <c r="AF120" s="9"/>
      <c r="AG120" s="22">
        <v>0.45394899999999999</v>
      </c>
      <c r="AH120" s="22">
        <v>359.21800000000002</v>
      </c>
      <c r="AI120" s="22">
        <v>-1.6137700000000001E-2</v>
      </c>
      <c r="AJ120" s="22">
        <v>110</v>
      </c>
      <c r="AK120" s="22">
        <v>0.45321699999999998</v>
      </c>
      <c r="AL120">
        <f t="shared" si="18"/>
        <v>16.137700000000002</v>
      </c>
      <c r="AM120">
        <f t="shared" si="19"/>
        <v>7.3256927773000013</v>
      </c>
      <c r="AP120" s="9"/>
      <c r="AQ120" s="22">
        <v>1.24603</v>
      </c>
      <c r="AR120" s="22">
        <v>442.61700000000002</v>
      </c>
      <c r="AS120" s="22">
        <v>-1.5670799999999999E-2</v>
      </c>
      <c r="AT120" s="22">
        <v>110</v>
      </c>
      <c r="AU120" s="22">
        <v>1.24451</v>
      </c>
      <c r="AV120">
        <f t="shared" si="20"/>
        <v>15.670799999999998</v>
      </c>
      <c r="AW120">
        <f t="shared" si="21"/>
        <v>19.526286923999997</v>
      </c>
      <c r="AX120" s="9"/>
      <c r="AY120" s="22">
        <v>0.45394899999999999</v>
      </c>
      <c r="AZ120" s="22">
        <v>564.55100000000004</v>
      </c>
      <c r="BA120" s="22">
        <v>-1.6156E-2</v>
      </c>
      <c r="BB120" s="22">
        <v>110</v>
      </c>
      <c r="BC120" s="22">
        <v>0.45327800000000001</v>
      </c>
      <c r="BD120">
        <f t="shared" si="22"/>
        <v>16.155999999999999</v>
      </c>
      <c r="BE120">
        <f t="shared" si="23"/>
        <v>7.3340000439999997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84.4238</v>
      </c>
      <c r="I121" s="22">
        <v>-1.5600599999999999E-2</v>
      </c>
      <c r="J121" s="22">
        <v>111</v>
      </c>
      <c r="K121" s="22">
        <v>1.24054</v>
      </c>
      <c r="L121">
        <f t="shared" si="12"/>
        <v>15.6006</v>
      </c>
      <c r="M121">
        <f t="shared" si="13"/>
        <v>19.360344600000001</v>
      </c>
      <c r="N121" s="9"/>
      <c r="O121" s="22">
        <v>0.458984</v>
      </c>
      <c r="P121" s="22">
        <v>191.71100000000001</v>
      </c>
      <c r="Q121" s="22">
        <v>-1.61041E-2</v>
      </c>
      <c r="R121" s="22">
        <v>111</v>
      </c>
      <c r="S121" s="22">
        <v>0.458374</v>
      </c>
      <c r="T121">
        <f t="shared" si="14"/>
        <v>16.104099999999999</v>
      </c>
      <c r="U121">
        <f t="shared" si="15"/>
        <v>7.3915242343999994</v>
      </c>
      <c r="X121" s="9"/>
      <c r="Y121" s="22">
        <v>1.2410000000000001</v>
      </c>
      <c r="Z121" s="22">
        <v>274.22399999999999</v>
      </c>
      <c r="AA121" s="22">
        <v>-1.5682999999999999E-2</v>
      </c>
      <c r="AB121" s="22">
        <v>111</v>
      </c>
      <c r="AC121" s="22">
        <v>1.24054</v>
      </c>
      <c r="AD121">
        <f t="shared" si="16"/>
        <v>15.683</v>
      </c>
      <c r="AE121">
        <f t="shared" si="17"/>
        <v>19.462603000000001</v>
      </c>
      <c r="AF121" s="9"/>
      <c r="AG121" s="22">
        <v>0.458984</v>
      </c>
      <c r="AH121" s="22">
        <v>359.31799999999998</v>
      </c>
      <c r="AI121" s="22">
        <v>-1.61438E-2</v>
      </c>
      <c r="AJ121" s="22">
        <v>111</v>
      </c>
      <c r="AK121" s="22">
        <v>0.45846599999999998</v>
      </c>
      <c r="AL121">
        <f t="shared" si="18"/>
        <v>16.143799999999999</v>
      </c>
      <c r="AM121">
        <f t="shared" si="19"/>
        <v>7.4097458991999998</v>
      </c>
      <c r="AP121" s="9"/>
      <c r="AQ121" s="22">
        <v>1.2410000000000001</v>
      </c>
      <c r="AR121" s="22">
        <v>442.71800000000002</v>
      </c>
      <c r="AS121" s="22">
        <v>-1.56799E-2</v>
      </c>
      <c r="AT121" s="22">
        <v>111</v>
      </c>
      <c r="AU121" s="22">
        <v>1.24054</v>
      </c>
      <c r="AV121">
        <f t="shared" si="20"/>
        <v>15.6799</v>
      </c>
      <c r="AW121">
        <f t="shared" si="21"/>
        <v>19.4587559</v>
      </c>
      <c r="AX121" s="9"/>
      <c r="AY121" s="22">
        <v>0.458984</v>
      </c>
      <c r="AZ121" s="22">
        <v>564.65200000000004</v>
      </c>
      <c r="BA121" s="22">
        <v>-1.6149899999999998E-2</v>
      </c>
      <c r="BB121" s="22">
        <v>111</v>
      </c>
      <c r="BC121" s="22">
        <v>0.45831300000000003</v>
      </c>
      <c r="BD121">
        <f t="shared" si="22"/>
        <v>16.149899999999999</v>
      </c>
      <c r="BE121">
        <f t="shared" si="23"/>
        <v>7.4125457015999991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84.524500000000003</v>
      </c>
      <c r="I122" s="22">
        <v>-1.56036E-2</v>
      </c>
      <c r="J122" s="22">
        <v>112</v>
      </c>
      <c r="K122" s="22">
        <v>1.23505</v>
      </c>
      <c r="L122">
        <f t="shared" si="12"/>
        <v>15.6036</v>
      </c>
      <c r="M122">
        <f t="shared" si="13"/>
        <v>19.285425455999999</v>
      </c>
      <c r="N122" s="9"/>
      <c r="O122" s="22">
        <v>0.46401999999999999</v>
      </c>
      <c r="P122" s="22">
        <v>191.81100000000001</v>
      </c>
      <c r="Q122" s="22">
        <v>-1.6113300000000001E-2</v>
      </c>
      <c r="R122" s="22">
        <v>112</v>
      </c>
      <c r="S122" s="22">
        <v>0.46344000000000002</v>
      </c>
      <c r="T122">
        <f t="shared" si="14"/>
        <v>16.113299999999999</v>
      </c>
      <c r="U122">
        <f t="shared" si="15"/>
        <v>7.476893465999999</v>
      </c>
      <c r="X122" s="9"/>
      <c r="Y122" s="22">
        <v>1.2359599999999999</v>
      </c>
      <c r="Z122" s="22">
        <v>274.32499999999999</v>
      </c>
      <c r="AA122" s="22">
        <v>-1.5682999999999999E-2</v>
      </c>
      <c r="AB122" s="22">
        <v>112</v>
      </c>
      <c r="AC122" s="22">
        <v>1.2353499999999999</v>
      </c>
      <c r="AD122">
        <f t="shared" si="16"/>
        <v>15.683</v>
      </c>
      <c r="AE122">
        <f t="shared" si="17"/>
        <v>19.383560679999999</v>
      </c>
      <c r="AF122" s="9"/>
      <c r="AG122" s="22">
        <v>0.46401999999999999</v>
      </c>
      <c r="AH122" s="22">
        <v>359.41899999999998</v>
      </c>
      <c r="AI122" s="22">
        <v>-1.6140700000000001E-2</v>
      </c>
      <c r="AJ122" s="22">
        <v>112</v>
      </c>
      <c r="AK122" s="22">
        <v>0.46316499999999999</v>
      </c>
      <c r="AL122">
        <f t="shared" si="18"/>
        <v>16.140700000000002</v>
      </c>
      <c r="AM122">
        <f t="shared" si="19"/>
        <v>7.4896076140000005</v>
      </c>
      <c r="AP122" s="9"/>
      <c r="AQ122" s="22">
        <v>1.2359599999999999</v>
      </c>
      <c r="AR122" s="22">
        <v>442.81799999999998</v>
      </c>
      <c r="AS122" s="22">
        <v>-1.5685999999999999E-2</v>
      </c>
      <c r="AT122" s="22">
        <v>112</v>
      </c>
      <c r="AU122" s="22">
        <v>1.2347399999999999</v>
      </c>
      <c r="AV122">
        <f t="shared" si="20"/>
        <v>15.685999999999998</v>
      </c>
      <c r="AW122">
        <f t="shared" si="21"/>
        <v>19.387268559999995</v>
      </c>
      <c r="AX122" s="9"/>
      <c r="AY122" s="22">
        <v>0.46401999999999999</v>
      </c>
      <c r="AZ122" s="22">
        <v>564.75300000000004</v>
      </c>
      <c r="BA122" s="22">
        <v>-1.6146899999999999E-2</v>
      </c>
      <c r="BB122" s="22">
        <v>112</v>
      </c>
      <c r="BC122" s="22">
        <v>0.46331800000000001</v>
      </c>
      <c r="BD122">
        <f t="shared" si="22"/>
        <v>16.146899999999999</v>
      </c>
      <c r="BE122">
        <f t="shared" si="23"/>
        <v>7.4924845379999994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84.625200000000007</v>
      </c>
      <c r="I123" s="22">
        <v>-1.56036E-2</v>
      </c>
      <c r="J123" s="22">
        <v>113</v>
      </c>
      <c r="K123" s="22">
        <v>1.22986</v>
      </c>
      <c r="L123">
        <f t="shared" si="12"/>
        <v>15.6036</v>
      </c>
      <c r="M123">
        <f t="shared" si="13"/>
        <v>19.206939348000002</v>
      </c>
      <c r="N123" s="9"/>
      <c r="O123" s="22">
        <v>0.469055</v>
      </c>
      <c r="P123" s="22">
        <v>191.91200000000001</v>
      </c>
      <c r="Q123" s="22">
        <v>-1.6110200000000002E-2</v>
      </c>
      <c r="R123" s="22">
        <v>113</v>
      </c>
      <c r="S123" s="22">
        <v>0.468109</v>
      </c>
      <c r="T123">
        <f t="shared" si="14"/>
        <v>16.110200000000003</v>
      </c>
      <c r="U123">
        <f t="shared" si="15"/>
        <v>7.5565698610000016</v>
      </c>
      <c r="X123" s="9"/>
      <c r="Y123" s="22">
        <v>1.2309300000000001</v>
      </c>
      <c r="Z123" s="22">
        <v>274.42500000000001</v>
      </c>
      <c r="AA123" s="22">
        <v>-1.5685999999999999E-2</v>
      </c>
      <c r="AB123" s="22">
        <v>113</v>
      </c>
      <c r="AC123" s="22">
        <v>1.22986</v>
      </c>
      <c r="AD123">
        <f t="shared" si="16"/>
        <v>15.685999999999998</v>
      </c>
      <c r="AE123">
        <f t="shared" si="17"/>
        <v>19.30836798</v>
      </c>
      <c r="AF123" s="9"/>
      <c r="AG123" s="22">
        <v>0.469055</v>
      </c>
      <c r="AH123" s="22">
        <v>359.52</v>
      </c>
      <c r="AI123" s="22">
        <v>-1.61438E-2</v>
      </c>
      <c r="AJ123" s="22">
        <v>113</v>
      </c>
      <c r="AK123" s="22">
        <v>0.468414</v>
      </c>
      <c r="AL123">
        <f t="shared" si="18"/>
        <v>16.143799999999999</v>
      </c>
      <c r="AM123">
        <f t="shared" si="19"/>
        <v>7.5723301089999993</v>
      </c>
      <c r="AP123" s="9"/>
      <c r="AQ123" s="22">
        <v>1.2309300000000001</v>
      </c>
      <c r="AR123" s="22">
        <v>442.91899999999998</v>
      </c>
      <c r="AS123" s="22">
        <v>-1.56799E-2</v>
      </c>
      <c r="AT123" s="22">
        <v>113</v>
      </c>
      <c r="AU123" s="22">
        <v>1.22986</v>
      </c>
      <c r="AV123">
        <f t="shared" si="20"/>
        <v>15.6799</v>
      </c>
      <c r="AW123">
        <f t="shared" si="21"/>
        <v>19.300859307</v>
      </c>
      <c r="AX123" s="9"/>
      <c r="AY123" s="22">
        <v>0.469055</v>
      </c>
      <c r="AZ123" s="22">
        <v>564.85299999999995</v>
      </c>
      <c r="BA123" s="22">
        <v>-1.6156E-2</v>
      </c>
      <c r="BB123" s="22">
        <v>113</v>
      </c>
      <c r="BC123" s="22">
        <v>0.468414</v>
      </c>
      <c r="BD123">
        <f t="shared" si="22"/>
        <v>16.155999999999999</v>
      </c>
      <c r="BE123">
        <f t="shared" si="23"/>
        <v>7.5780525799999996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84.725899999999996</v>
      </c>
      <c r="I124" s="22">
        <v>-1.56128E-2</v>
      </c>
      <c r="J124" s="22">
        <v>114</v>
      </c>
      <c r="K124" s="22">
        <v>1.22498</v>
      </c>
      <c r="L124">
        <f t="shared" si="12"/>
        <v>15.6128</v>
      </c>
      <c r="M124">
        <f t="shared" si="13"/>
        <v>19.139575391999998</v>
      </c>
      <c r="N124" s="9"/>
      <c r="O124" s="22">
        <v>0.47409099999999998</v>
      </c>
      <c r="P124" s="22">
        <v>192.01300000000001</v>
      </c>
      <c r="Q124" s="22">
        <v>-1.6113300000000001E-2</v>
      </c>
      <c r="R124" s="22">
        <v>114</v>
      </c>
      <c r="S124" s="22">
        <v>0.473389</v>
      </c>
      <c r="T124">
        <f t="shared" si="14"/>
        <v>16.113299999999999</v>
      </c>
      <c r="U124">
        <f t="shared" si="15"/>
        <v>7.6391705102999996</v>
      </c>
      <c r="X124" s="9"/>
      <c r="Y124" s="22">
        <v>1.2258899999999999</v>
      </c>
      <c r="Z124" s="22">
        <v>274.52600000000001</v>
      </c>
      <c r="AA124" s="22">
        <v>-1.56921E-2</v>
      </c>
      <c r="AB124" s="22">
        <v>114</v>
      </c>
      <c r="AC124" s="22">
        <v>1.22437</v>
      </c>
      <c r="AD124">
        <f t="shared" si="16"/>
        <v>15.6921</v>
      </c>
      <c r="AE124">
        <f t="shared" si="17"/>
        <v>19.236788469</v>
      </c>
      <c r="AF124" s="9"/>
      <c r="AG124" s="22">
        <v>0.47409099999999998</v>
      </c>
      <c r="AH124" s="22">
        <v>359.62</v>
      </c>
      <c r="AI124" s="22">
        <v>-1.61438E-2</v>
      </c>
      <c r="AJ124" s="22">
        <v>114</v>
      </c>
      <c r="AK124" s="22">
        <v>0.47348000000000001</v>
      </c>
      <c r="AL124">
        <f t="shared" si="18"/>
        <v>16.143799999999999</v>
      </c>
      <c r="AM124">
        <f t="shared" si="19"/>
        <v>7.6536302857999994</v>
      </c>
      <c r="AP124" s="9"/>
      <c r="AQ124" s="22">
        <v>1.2258899999999999</v>
      </c>
      <c r="AR124" s="22">
        <v>443.02</v>
      </c>
      <c r="AS124" s="22">
        <v>-1.5685999999999999E-2</v>
      </c>
      <c r="AT124" s="22">
        <v>114</v>
      </c>
      <c r="AU124" s="22">
        <v>1.2252799999999999</v>
      </c>
      <c r="AV124">
        <f t="shared" si="20"/>
        <v>15.685999999999998</v>
      </c>
      <c r="AW124">
        <f t="shared" si="21"/>
        <v>19.229310539999997</v>
      </c>
      <c r="AX124" s="9"/>
      <c r="AY124" s="22">
        <v>0.47409099999999998</v>
      </c>
      <c r="AZ124" s="22">
        <v>564.95399999999995</v>
      </c>
      <c r="BA124" s="22">
        <v>-1.61438E-2</v>
      </c>
      <c r="BB124" s="22">
        <v>114</v>
      </c>
      <c r="BC124" s="22">
        <v>0.473389</v>
      </c>
      <c r="BD124">
        <f t="shared" si="22"/>
        <v>16.143799999999999</v>
      </c>
      <c r="BE124">
        <f t="shared" si="23"/>
        <v>7.6536302857999994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84.826700000000002</v>
      </c>
      <c r="I125" s="22">
        <v>-1.56189E-2</v>
      </c>
      <c r="J125" s="22">
        <v>115</v>
      </c>
      <c r="K125" s="22">
        <v>1.2197899999999999</v>
      </c>
      <c r="L125">
        <f t="shared" si="12"/>
        <v>15.6189</v>
      </c>
      <c r="M125">
        <f t="shared" si="13"/>
        <v>19.068490254</v>
      </c>
      <c r="N125" s="9"/>
      <c r="O125" s="22">
        <v>0.479126</v>
      </c>
      <c r="P125" s="22">
        <v>192.113</v>
      </c>
      <c r="Q125" s="22">
        <v>-1.61011E-2</v>
      </c>
      <c r="R125" s="22">
        <v>115</v>
      </c>
      <c r="S125" s="22">
        <v>0.47857699999999997</v>
      </c>
      <c r="T125">
        <f t="shared" si="14"/>
        <v>16.101099999999999</v>
      </c>
      <c r="U125">
        <f t="shared" si="15"/>
        <v>7.7144556385999996</v>
      </c>
      <c r="X125" s="9"/>
      <c r="Y125" s="22">
        <v>1.2208600000000001</v>
      </c>
      <c r="Z125" s="22">
        <v>274.62700000000001</v>
      </c>
      <c r="AA125" s="22">
        <v>-1.5695199999999999E-2</v>
      </c>
      <c r="AB125" s="22">
        <v>115</v>
      </c>
      <c r="AC125" s="22">
        <v>1.2200899999999999</v>
      </c>
      <c r="AD125">
        <f t="shared" si="16"/>
        <v>15.6952</v>
      </c>
      <c r="AE125">
        <f t="shared" si="17"/>
        <v>19.161641872000001</v>
      </c>
      <c r="AF125" s="9"/>
      <c r="AG125" s="22">
        <v>0.479126</v>
      </c>
      <c r="AH125" s="22">
        <v>359.721</v>
      </c>
      <c r="AI125" s="22">
        <v>-1.61438E-2</v>
      </c>
      <c r="AJ125" s="22">
        <v>115</v>
      </c>
      <c r="AK125" s="22">
        <v>0.478302</v>
      </c>
      <c r="AL125">
        <f t="shared" si="18"/>
        <v>16.143799999999999</v>
      </c>
      <c r="AM125">
        <f t="shared" si="19"/>
        <v>7.7349143187999996</v>
      </c>
      <c r="AP125" s="9"/>
      <c r="AQ125" s="22">
        <v>1.2208600000000001</v>
      </c>
      <c r="AR125" s="22">
        <v>443.12099999999998</v>
      </c>
      <c r="AS125" s="22">
        <v>-1.5689100000000001E-2</v>
      </c>
      <c r="AT125" s="22">
        <v>115</v>
      </c>
      <c r="AU125" s="22">
        <v>1.2203999999999999</v>
      </c>
      <c r="AV125">
        <f t="shared" si="20"/>
        <v>15.689100000000002</v>
      </c>
      <c r="AW125">
        <f t="shared" si="21"/>
        <v>19.154194626000002</v>
      </c>
      <c r="AX125" s="9"/>
      <c r="AY125" s="22">
        <v>0.479126</v>
      </c>
      <c r="AZ125" s="22">
        <v>565.05499999999995</v>
      </c>
      <c r="BA125" s="22">
        <v>-1.6146899999999999E-2</v>
      </c>
      <c r="BB125" s="22">
        <v>115</v>
      </c>
      <c r="BC125" s="22">
        <v>0.47821000000000002</v>
      </c>
      <c r="BD125">
        <f t="shared" si="22"/>
        <v>16.146899999999999</v>
      </c>
      <c r="BE125">
        <f t="shared" si="23"/>
        <v>7.7363996093999994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84.927400000000006</v>
      </c>
      <c r="I126" s="22">
        <v>-1.5625E-2</v>
      </c>
      <c r="J126" s="22">
        <v>116</v>
      </c>
      <c r="K126" s="22">
        <v>1.2152099999999999</v>
      </c>
      <c r="L126">
        <f t="shared" si="12"/>
        <v>15.625</v>
      </c>
      <c r="M126">
        <f t="shared" si="13"/>
        <v>18.997187499999999</v>
      </c>
      <c r="N126" s="9"/>
      <c r="O126" s="22">
        <v>0.48416100000000001</v>
      </c>
      <c r="P126" s="22">
        <v>192.214</v>
      </c>
      <c r="Q126" s="22">
        <v>-1.6098000000000001E-2</v>
      </c>
      <c r="R126" s="22">
        <v>116</v>
      </c>
      <c r="S126" s="22">
        <v>0.48315399999999997</v>
      </c>
      <c r="T126">
        <f t="shared" si="14"/>
        <v>16.098000000000003</v>
      </c>
      <c r="U126">
        <f t="shared" si="15"/>
        <v>7.7940237780000015</v>
      </c>
      <c r="X126" s="9"/>
      <c r="Y126" s="22">
        <v>1.2158199999999999</v>
      </c>
      <c r="Z126" s="22">
        <v>274.72699999999998</v>
      </c>
      <c r="AA126" s="22">
        <v>-1.57074E-2</v>
      </c>
      <c r="AB126" s="22">
        <v>116</v>
      </c>
      <c r="AC126" s="22">
        <v>1.2152099999999999</v>
      </c>
      <c r="AD126">
        <f t="shared" si="16"/>
        <v>15.7074</v>
      </c>
      <c r="AE126">
        <f t="shared" si="17"/>
        <v>19.097371067999998</v>
      </c>
      <c r="AF126" s="9"/>
      <c r="AG126" s="22">
        <v>0.48416100000000001</v>
      </c>
      <c r="AH126" s="22">
        <v>359.822</v>
      </c>
      <c r="AI126" s="22">
        <v>-1.61285E-2</v>
      </c>
      <c r="AJ126" s="22">
        <v>116</v>
      </c>
      <c r="AK126" s="22">
        <v>0.48352099999999998</v>
      </c>
      <c r="AL126">
        <f t="shared" si="18"/>
        <v>16.128499999999999</v>
      </c>
      <c r="AM126">
        <f t="shared" si="19"/>
        <v>7.8087906884999994</v>
      </c>
      <c r="AP126" s="9"/>
      <c r="AQ126" s="22">
        <v>1.2158199999999999</v>
      </c>
      <c r="AR126" s="22">
        <v>443.221</v>
      </c>
      <c r="AS126" s="22">
        <v>-1.5701300000000001E-2</v>
      </c>
      <c r="AT126" s="22">
        <v>116</v>
      </c>
      <c r="AU126" s="22">
        <v>1.2145999999999999</v>
      </c>
      <c r="AV126">
        <f t="shared" si="20"/>
        <v>15.701300000000002</v>
      </c>
      <c r="AW126">
        <f t="shared" si="21"/>
        <v>19.089954565999999</v>
      </c>
      <c r="AX126" s="9"/>
      <c r="AY126" s="22">
        <v>0.48416100000000001</v>
      </c>
      <c r="AZ126" s="22">
        <v>565.15499999999997</v>
      </c>
      <c r="BA126" s="22">
        <v>-1.6153000000000001E-2</v>
      </c>
      <c r="BB126" s="22">
        <v>116</v>
      </c>
      <c r="BC126" s="22">
        <v>0.48330699999999999</v>
      </c>
      <c r="BD126">
        <f t="shared" si="22"/>
        <v>16.153000000000002</v>
      </c>
      <c r="BE126">
        <f t="shared" si="23"/>
        <v>7.8206526330000008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85.028099999999995</v>
      </c>
      <c r="I127" s="22">
        <v>-1.5628099999999999E-2</v>
      </c>
      <c r="J127" s="22">
        <v>117</v>
      </c>
      <c r="K127" s="22">
        <v>1.2097199999999999</v>
      </c>
      <c r="L127">
        <f t="shared" si="12"/>
        <v>15.628099999999998</v>
      </c>
      <c r="M127">
        <f t="shared" si="13"/>
        <v>18.922190917999998</v>
      </c>
      <c r="N127" s="9"/>
      <c r="O127" s="22">
        <v>0.48919699999999999</v>
      </c>
      <c r="P127" s="22">
        <v>192.315</v>
      </c>
      <c r="Q127" s="22">
        <v>-1.6095000000000002E-2</v>
      </c>
      <c r="R127" s="22">
        <v>117</v>
      </c>
      <c r="S127" s="22">
        <v>0.48846400000000001</v>
      </c>
      <c r="T127">
        <f t="shared" si="14"/>
        <v>16.095000000000002</v>
      </c>
      <c r="U127">
        <f t="shared" si="15"/>
        <v>7.8736257150000011</v>
      </c>
      <c r="X127" s="9"/>
      <c r="Y127" s="22">
        <v>1.21078</v>
      </c>
      <c r="Z127" s="22">
        <v>274.82799999999997</v>
      </c>
      <c r="AA127" s="22">
        <v>-1.5713499999999998E-2</v>
      </c>
      <c r="AB127" s="22">
        <v>117</v>
      </c>
      <c r="AC127" s="22">
        <v>1.2094100000000001</v>
      </c>
      <c r="AD127">
        <f t="shared" si="16"/>
        <v>15.713499999999998</v>
      </c>
      <c r="AE127">
        <f t="shared" si="17"/>
        <v>19.025591529999996</v>
      </c>
      <c r="AF127" s="9"/>
      <c r="AG127" s="22">
        <v>0.48919699999999999</v>
      </c>
      <c r="AH127" s="22">
        <v>359.923</v>
      </c>
      <c r="AI127" s="22">
        <v>-1.6131599999999999E-2</v>
      </c>
      <c r="AJ127" s="22">
        <v>117</v>
      </c>
      <c r="AK127" s="22">
        <v>0.48846400000000001</v>
      </c>
      <c r="AL127">
        <f t="shared" si="18"/>
        <v>16.131599999999999</v>
      </c>
      <c r="AM127">
        <f t="shared" si="19"/>
        <v>7.8915303251999998</v>
      </c>
      <c r="AP127" s="9"/>
      <c r="AQ127" s="22">
        <v>1.21078</v>
      </c>
      <c r="AR127" s="22">
        <v>443.322</v>
      </c>
      <c r="AS127" s="22">
        <v>-1.5698199999999999E-2</v>
      </c>
      <c r="AT127" s="22">
        <v>117</v>
      </c>
      <c r="AU127" s="22">
        <v>1.2100200000000001</v>
      </c>
      <c r="AV127">
        <f t="shared" si="20"/>
        <v>15.698199999999998</v>
      </c>
      <c r="AW127">
        <f t="shared" si="21"/>
        <v>19.007066595999998</v>
      </c>
      <c r="AX127" s="9"/>
      <c r="AY127" s="22">
        <v>0.48919699999999999</v>
      </c>
      <c r="AZ127" s="22">
        <v>565.25599999999997</v>
      </c>
      <c r="BA127" s="22">
        <v>-1.61438E-2</v>
      </c>
      <c r="BB127" s="22">
        <v>117</v>
      </c>
      <c r="BC127" s="22">
        <v>0.48849500000000001</v>
      </c>
      <c r="BD127">
        <f t="shared" si="22"/>
        <v>16.143799999999999</v>
      </c>
      <c r="BE127">
        <f t="shared" si="23"/>
        <v>7.897498528599999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85.128799999999998</v>
      </c>
      <c r="I128" s="22">
        <v>-1.5634200000000001E-2</v>
      </c>
      <c r="J128" s="22">
        <v>118</v>
      </c>
      <c r="K128" s="22">
        <v>1.2045300000000001</v>
      </c>
      <c r="L128">
        <f t="shared" si="12"/>
        <v>15.634200000000002</v>
      </c>
      <c r="M128">
        <f t="shared" si="13"/>
        <v>18.850936650000005</v>
      </c>
      <c r="N128" s="9"/>
      <c r="O128" s="22">
        <v>0.494232</v>
      </c>
      <c r="P128" s="22">
        <v>192.416</v>
      </c>
      <c r="Q128" s="22">
        <v>-1.61011E-2</v>
      </c>
      <c r="R128" s="22">
        <v>118</v>
      </c>
      <c r="S128" s="22">
        <v>0.493591</v>
      </c>
      <c r="T128">
        <f t="shared" si="14"/>
        <v>16.101099999999999</v>
      </c>
      <c r="U128">
        <f t="shared" si="15"/>
        <v>7.9576788551999993</v>
      </c>
      <c r="X128" s="9"/>
      <c r="Y128" s="22">
        <v>1.2057500000000001</v>
      </c>
      <c r="Z128" s="22">
        <v>274.92899999999997</v>
      </c>
      <c r="AA128" s="22">
        <v>-1.5716600000000001E-2</v>
      </c>
      <c r="AB128" s="22">
        <v>118</v>
      </c>
      <c r="AC128" s="22">
        <v>1.2048300000000001</v>
      </c>
      <c r="AD128">
        <f t="shared" si="16"/>
        <v>15.716600000000001</v>
      </c>
      <c r="AE128">
        <f t="shared" si="17"/>
        <v>18.950290450000004</v>
      </c>
      <c r="AF128" s="9"/>
      <c r="AG128" s="22">
        <v>0.494232</v>
      </c>
      <c r="AH128" s="22">
        <v>360.02300000000002</v>
      </c>
      <c r="AI128" s="22">
        <v>-1.6122399999999999E-2</v>
      </c>
      <c r="AJ128" s="22">
        <v>118</v>
      </c>
      <c r="AK128" s="22">
        <v>0.49349999999999999</v>
      </c>
      <c r="AL128">
        <f t="shared" si="18"/>
        <v>16.122399999999999</v>
      </c>
      <c r="AM128">
        <f t="shared" si="19"/>
        <v>7.9682059967999992</v>
      </c>
      <c r="AP128" s="9"/>
      <c r="AQ128" s="22">
        <v>1.2057500000000001</v>
      </c>
      <c r="AR128" s="22">
        <v>443.423</v>
      </c>
      <c r="AS128" s="22">
        <v>-1.5698199999999999E-2</v>
      </c>
      <c r="AT128" s="22">
        <v>118</v>
      </c>
      <c r="AU128" s="22">
        <v>1.2051400000000001</v>
      </c>
      <c r="AV128">
        <f t="shared" si="20"/>
        <v>15.698199999999998</v>
      </c>
      <c r="AW128">
        <f t="shared" si="21"/>
        <v>18.928104649999998</v>
      </c>
      <c r="AX128" s="9"/>
      <c r="AY128" s="22">
        <v>0.494232</v>
      </c>
      <c r="AZ128" s="22">
        <v>565.35699999999997</v>
      </c>
      <c r="BA128" s="22">
        <v>-1.6137700000000001E-2</v>
      </c>
      <c r="BB128" s="22">
        <v>118</v>
      </c>
      <c r="BC128" s="22">
        <v>0.493591</v>
      </c>
      <c r="BD128">
        <f t="shared" si="22"/>
        <v>16.137700000000002</v>
      </c>
      <c r="BE128">
        <f t="shared" si="23"/>
        <v>7.9757677464000016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85.229500000000002</v>
      </c>
      <c r="I129" s="22">
        <v>-1.5631099999999998E-2</v>
      </c>
      <c r="J129" s="22">
        <v>119</v>
      </c>
      <c r="K129" s="22">
        <v>1.2002600000000001</v>
      </c>
      <c r="L129">
        <f t="shared" si="12"/>
        <v>15.631099999999998</v>
      </c>
      <c r="M129">
        <f t="shared" si="13"/>
        <v>18.768418080999997</v>
      </c>
      <c r="N129" s="9"/>
      <c r="O129" s="22">
        <v>0.49926799999999999</v>
      </c>
      <c r="P129" s="22">
        <v>192.51599999999999</v>
      </c>
      <c r="Q129" s="22">
        <v>-1.61041E-2</v>
      </c>
      <c r="R129" s="22">
        <v>119</v>
      </c>
      <c r="S129" s="22">
        <v>0.49865700000000002</v>
      </c>
      <c r="T129">
        <f t="shared" si="14"/>
        <v>16.104099999999999</v>
      </c>
      <c r="U129">
        <f t="shared" si="15"/>
        <v>8.0402617987999996</v>
      </c>
      <c r="X129" s="9"/>
      <c r="Y129" s="22">
        <v>1.2007099999999999</v>
      </c>
      <c r="Z129" s="22">
        <v>275.02999999999997</v>
      </c>
      <c r="AA129" s="22">
        <v>-1.57196E-2</v>
      </c>
      <c r="AB129" s="22">
        <v>119</v>
      </c>
      <c r="AC129" s="22">
        <v>1.1990400000000001</v>
      </c>
      <c r="AD129">
        <f t="shared" si="16"/>
        <v>15.7196</v>
      </c>
      <c r="AE129">
        <f t="shared" si="17"/>
        <v>18.874680915999999</v>
      </c>
      <c r="AF129" s="9"/>
      <c r="AG129" s="22">
        <v>0.49926799999999999</v>
      </c>
      <c r="AH129" s="22">
        <v>360.12400000000002</v>
      </c>
      <c r="AI129" s="22">
        <v>-1.61285E-2</v>
      </c>
      <c r="AJ129" s="22">
        <v>119</v>
      </c>
      <c r="AK129" s="22">
        <v>0.49856600000000001</v>
      </c>
      <c r="AL129">
        <f t="shared" si="18"/>
        <v>16.128499999999999</v>
      </c>
      <c r="AM129">
        <f t="shared" si="19"/>
        <v>8.0524439379999997</v>
      </c>
      <c r="AP129" s="9"/>
      <c r="AQ129" s="22">
        <v>1.2007099999999999</v>
      </c>
      <c r="AR129" s="22">
        <v>443.52300000000002</v>
      </c>
      <c r="AS129" s="22">
        <v>-1.5713499999999998E-2</v>
      </c>
      <c r="AT129" s="22">
        <v>119</v>
      </c>
      <c r="AU129" s="22">
        <v>1.1999500000000001</v>
      </c>
      <c r="AV129">
        <f t="shared" si="20"/>
        <v>15.713499999999998</v>
      </c>
      <c r="AW129">
        <f t="shared" si="21"/>
        <v>18.867356584999996</v>
      </c>
      <c r="AX129" s="9"/>
      <c r="AY129" s="22">
        <v>0.49926799999999999</v>
      </c>
      <c r="AZ129" s="22">
        <v>565.45699999999999</v>
      </c>
      <c r="BA129" s="22">
        <v>-1.61285E-2</v>
      </c>
      <c r="BB129" s="22">
        <v>119</v>
      </c>
      <c r="BC129" s="22">
        <v>0.49835200000000002</v>
      </c>
      <c r="BD129">
        <f t="shared" si="22"/>
        <v>16.128499999999999</v>
      </c>
      <c r="BE129">
        <f t="shared" si="23"/>
        <v>8.0524439379999997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85.330200000000005</v>
      </c>
      <c r="I130" s="22">
        <v>-1.5643299999999999E-2</v>
      </c>
      <c r="J130" s="22">
        <v>120</v>
      </c>
      <c r="K130" s="22">
        <v>1.1944600000000001</v>
      </c>
      <c r="L130">
        <f t="shared" si="12"/>
        <v>15.643299999999998</v>
      </c>
      <c r="M130">
        <f t="shared" si="13"/>
        <v>18.704380944</v>
      </c>
      <c r="N130" s="9"/>
      <c r="O130" s="22">
        <v>0.50430299999999995</v>
      </c>
      <c r="P130" s="22">
        <v>192.61699999999999</v>
      </c>
      <c r="Q130" s="22">
        <v>-1.61041E-2</v>
      </c>
      <c r="R130" s="22">
        <v>120</v>
      </c>
      <c r="S130" s="22">
        <v>0.50353999999999999</v>
      </c>
      <c r="T130">
        <f t="shared" si="14"/>
        <v>16.104099999999999</v>
      </c>
      <c r="U130">
        <f t="shared" si="15"/>
        <v>8.1213459422999978</v>
      </c>
      <c r="X130" s="9"/>
      <c r="Y130" s="22">
        <v>1.1956800000000001</v>
      </c>
      <c r="Z130" s="22">
        <v>275.13</v>
      </c>
      <c r="AA130" s="22">
        <v>-1.57196E-2</v>
      </c>
      <c r="AB130" s="22">
        <v>120</v>
      </c>
      <c r="AC130" s="22">
        <v>1.1944600000000001</v>
      </c>
      <c r="AD130">
        <f t="shared" si="16"/>
        <v>15.7196</v>
      </c>
      <c r="AE130">
        <f t="shared" si="17"/>
        <v>18.795611328</v>
      </c>
      <c r="AF130" s="9"/>
      <c r="AG130" s="22">
        <v>0.50430299999999995</v>
      </c>
      <c r="AH130" s="22">
        <v>360.22500000000002</v>
      </c>
      <c r="AI130" s="22">
        <v>-1.6122399999999999E-2</v>
      </c>
      <c r="AJ130" s="22">
        <v>120</v>
      </c>
      <c r="AK130" s="22">
        <v>0.50360099999999997</v>
      </c>
      <c r="AL130">
        <f t="shared" si="18"/>
        <v>16.122399999999999</v>
      </c>
      <c r="AM130">
        <f t="shared" si="19"/>
        <v>8.1305746871999993</v>
      </c>
      <c r="AP130" s="9"/>
      <c r="AQ130" s="22">
        <v>1.1956800000000001</v>
      </c>
      <c r="AR130" s="22">
        <v>443.62400000000002</v>
      </c>
      <c r="AS130" s="22">
        <v>-1.5725699999999999E-2</v>
      </c>
      <c r="AT130" s="22">
        <v>120</v>
      </c>
      <c r="AU130" s="22">
        <v>1.1944600000000001</v>
      </c>
      <c r="AV130">
        <f t="shared" si="20"/>
        <v>15.725699999999998</v>
      </c>
      <c r="AW130">
        <f t="shared" si="21"/>
        <v>18.802904975999997</v>
      </c>
      <c r="AX130" s="9"/>
      <c r="AY130" s="22">
        <v>0.50430299999999995</v>
      </c>
      <c r="AZ130" s="22">
        <v>565.55799999999999</v>
      </c>
      <c r="BA130" s="22">
        <v>-1.6125500000000001E-2</v>
      </c>
      <c r="BB130" s="22">
        <v>120</v>
      </c>
      <c r="BC130" s="22">
        <v>0.50357099999999999</v>
      </c>
      <c r="BD130">
        <f t="shared" si="22"/>
        <v>16.125500000000002</v>
      </c>
      <c r="BE130">
        <f t="shared" si="23"/>
        <v>8.1321380264999998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85.430899999999994</v>
      </c>
      <c r="I131" s="22">
        <v>-1.5655499999999999E-2</v>
      </c>
      <c r="J131" s="22">
        <v>121</v>
      </c>
      <c r="K131" s="22">
        <v>1.1895800000000001</v>
      </c>
      <c r="L131">
        <f t="shared" si="12"/>
        <v>15.6555</v>
      </c>
      <c r="M131">
        <f t="shared" si="13"/>
        <v>18.640064519999999</v>
      </c>
      <c r="N131" s="9"/>
      <c r="O131" s="22">
        <v>0.50933799999999996</v>
      </c>
      <c r="P131" s="22">
        <v>192.71799999999999</v>
      </c>
      <c r="Q131" s="22">
        <v>-1.6098000000000001E-2</v>
      </c>
      <c r="R131" s="22">
        <v>121</v>
      </c>
      <c r="S131" s="22">
        <v>0.50842299999999996</v>
      </c>
      <c r="T131">
        <f t="shared" si="14"/>
        <v>16.098000000000003</v>
      </c>
      <c r="U131">
        <f t="shared" si="15"/>
        <v>8.1993231240000011</v>
      </c>
      <c r="X131" s="9"/>
      <c r="Y131" s="22">
        <v>1.1906399999999999</v>
      </c>
      <c r="Z131" s="22">
        <v>275.23099999999999</v>
      </c>
      <c r="AA131" s="22">
        <v>-1.5722699999999999E-2</v>
      </c>
      <c r="AB131" s="22">
        <v>121</v>
      </c>
      <c r="AC131" s="22">
        <v>1.18988</v>
      </c>
      <c r="AD131">
        <f t="shared" si="16"/>
        <v>15.7227</v>
      </c>
      <c r="AE131">
        <f t="shared" si="17"/>
        <v>18.720075527999999</v>
      </c>
      <c r="AF131" s="9"/>
      <c r="AG131" s="22">
        <v>0.50933799999999996</v>
      </c>
      <c r="AH131" s="22">
        <v>360.32499999999999</v>
      </c>
      <c r="AI131" s="22">
        <v>-1.61163E-2</v>
      </c>
      <c r="AJ131" s="22">
        <v>121</v>
      </c>
      <c r="AK131" s="22">
        <v>0.508575</v>
      </c>
      <c r="AL131">
        <f t="shared" si="18"/>
        <v>16.116299999999999</v>
      </c>
      <c r="AM131">
        <f t="shared" si="19"/>
        <v>8.2086440093999986</v>
      </c>
      <c r="AP131" s="9"/>
      <c r="AQ131" s="22">
        <v>1.1906399999999999</v>
      </c>
      <c r="AR131" s="22">
        <v>443.72500000000002</v>
      </c>
      <c r="AS131" s="22">
        <v>-1.57196E-2</v>
      </c>
      <c r="AT131" s="22">
        <v>121</v>
      </c>
      <c r="AU131" s="22">
        <v>1.1895800000000001</v>
      </c>
      <c r="AV131">
        <f t="shared" si="20"/>
        <v>15.7196</v>
      </c>
      <c r="AW131">
        <f t="shared" si="21"/>
        <v>18.716384543999997</v>
      </c>
      <c r="AX131" s="9"/>
      <c r="AY131" s="22">
        <v>0.50933799999999996</v>
      </c>
      <c r="AZ131" s="22">
        <v>565.65899999999999</v>
      </c>
      <c r="BA131" s="22">
        <v>-1.6134599999999999E-2</v>
      </c>
      <c r="BB131" s="22">
        <v>121</v>
      </c>
      <c r="BC131" s="22">
        <v>0.50851400000000002</v>
      </c>
      <c r="BD131">
        <f t="shared" si="22"/>
        <v>16.134599999999999</v>
      </c>
      <c r="BE131">
        <f t="shared" si="23"/>
        <v>8.2179648947999979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85.531599999999997</v>
      </c>
      <c r="I132" s="22">
        <v>-1.56525E-2</v>
      </c>
      <c r="J132" s="22">
        <v>122</v>
      </c>
      <c r="K132" s="22">
        <v>1.1843900000000001</v>
      </c>
      <c r="L132">
        <f t="shared" si="12"/>
        <v>15.6525</v>
      </c>
      <c r="M132">
        <f t="shared" si="13"/>
        <v>18.557760524999999</v>
      </c>
      <c r="N132" s="9"/>
      <c r="O132" s="22">
        <v>0.514374</v>
      </c>
      <c r="P132" s="22">
        <v>192.81800000000001</v>
      </c>
      <c r="Q132" s="22">
        <v>-1.61011E-2</v>
      </c>
      <c r="R132" s="22">
        <v>122</v>
      </c>
      <c r="S132" s="22">
        <v>0.51358000000000004</v>
      </c>
      <c r="T132">
        <f t="shared" si="14"/>
        <v>16.101099999999999</v>
      </c>
      <c r="U132">
        <f t="shared" si="15"/>
        <v>8.2819872113999988</v>
      </c>
      <c r="X132" s="9"/>
      <c r="Y132" s="22">
        <v>1.1856100000000001</v>
      </c>
      <c r="Z132" s="22">
        <v>275.33199999999999</v>
      </c>
      <c r="AA132" s="22">
        <v>-1.5725699999999999E-2</v>
      </c>
      <c r="AB132" s="22">
        <v>122</v>
      </c>
      <c r="AC132" s="22">
        <v>1.18469</v>
      </c>
      <c r="AD132">
        <f t="shared" si="16"/>
        <v>15.725699999999998</v>
      </c>
      <c r="AE132">
        <f t="shared" si="17"/>
        <v>18.644547177</v>
      </c>
      <c r="AF132" s="9"/>
      <c r="AG132" s="22">
        <v>0.514374</v>
      </c>
      <c r="AH132" s="22">
        <v>360.42599999999999</v>
      </c>
      <c r="AI132" s="22">
        <v>-1.6122399999999999E-2</v>
      </c>
      <c r="AJ132" s="22">
        <v>122</v>
      </c>
      <c r="AK132" s="22">
        <v>0.51358000000000004</v>
      </c>
      <c r="AL132">
        <f t="shared" si="18"/>
        <v>16.122399999999999</v>
      </c>
      <c r="AM132">
        <f t="shared" si="19"/>
        <v>8.2929433775999986</v>
      </c>
      <c r="AP132" s="9"/>
      <c r="AQ132" s="22">
        <v>1.1856100000000001</v>
      </c>
      <c r="AR132" s="22">
        <v>443.82600000000002</v>
      </c>
      <c r="AS132" s="22">
        <v>-1.5722699999999999E-2</v>
      </c>
      <c r="AT132" s="22">
        <v>122</v>
      </c>
      <c r="AU132" s="22">
        <v>1.18408</v>
      </c>
      <c r="AV132">
        <f t="shared" si="20"/>
        <v>15.7227</v>
      </c>
      <c r="AW132">
        <f t="shared" si="21"/>
        <v>18.640990346999999</v>
      </c>
      <c r="AX132" s="9"/>
      <c r="AY132" s="22">
        <v>0.514374</v>
      </c>
      <c r="AZ132" s="22">
        <v>565.76</v>
      </c>
      <c r="BA132" s="22">
        <v>-1.6125500000000001E-2</v>
      </c>
      <c r="BB132" s="22">
        <v>122</v>
      </c>
      <c r="BC132" s="22">
        <v>0.51354999999999995</v>
      </c>
      <c r="BD132">
        <f t="shared" si="22"/>
        <v>16.125500000000002</v>
      </c>
      <c r="BE132">
        <f t="shared" si="23"/>
        <v>8.2945379370000012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85.632300000000001</v>
      </c>
      <c r="I133" s="22">
        <v>-1.5661600000000001E-2</v>
      </c>
      <c r="J133" s="22">
        <v>123</v>
      </c>
      <c r="K133" s="22">
        <v>1.1792</v>
      </c>
      <c r="L133">
        <f t="shared" si="12"/>
        <v>15.661600000000002</v>
      </c>
      <c r="M133">
        <f t="shared" si="13"/>
        <v>18.489615111999999</v>
      </c>
      <c r="N133" s="9"/>
      <c r="O133" s="22">
        <v>0.51940900000000001</v>
      </c>
      <c r="P133" s="22">
        <v>192.91900000000001</v>
      </c>
      <c r="Q133" s="22">
        <v>-1.6098000000000001E-2</v>
      </c>
      <c r="R133" s="22">
        <v>123</v>
      </c>
      <c r="S133" s="22">
        <v>0.51867700000000005</v>
      </c>
      <c r="T133">
        <f t="shared" si="14"/>
        <v>16.098000000000003</v>
      </c>
      <c r="U133">
        <f t="shared" si="15"/>
        <v>8.3614460820000023</v>
      </c>
      <c r="X133" s="9"/>
      <c r="Y133" s="22">
        <v>1.1805699999999999</v>
      </c>
      <c r="Z133" s="22">
        <v>275.43200000000002</v>
      </c>
      <c r="AA133" s="22">
        <v>-1.5731800000000001E-2</v>
      </c>
      <c r="AB133" s="22">
        <v>123</v>
      </c>
      <c r="AC133" s="22">
        <v>1.17981</v>
      </c>
      <c r="AD133">
        <f t="shared" si="16"/>
        <v>15.7318</v>
      </c>
      <c r="AE133">
        <f t="shared" si="17"/>
        <v>18.572491125999999</v>
      </c>
      <c r="AF133" s="9"/>
      <c r="AG133" s="22">
        <v>0.51940900000000001</v>
      </c>
      <c r="AH133" s="22">
        <v>360.52699999999999</v>
      </c>
      <c r="AI133" s="22">
        <v>-1.61163E-2</v>
      </c>
      <c r="AJ133" s="22">
        <v>123</v>
      </c>
      <c r="AK133" s="22">
        <v>0.51888999999999996</v>
      </c>
      <c r="AL133">
        <f t="shared" si="18"/>
        <v>16.116299999999999</v>
      </c>
      <c r="AM133">
        <f t="shared" si="19"/>
        <v>8.3709512666999988</v>
      </c>
      <c r="AP133" s="9"/>
      <c r="AQ133" s="22">
        <v>1.1805699999999999</v>
      </c>
      <c r="AR133" s="22">
        <v>443.92599999999999</v>
      </c>
      <c r="AS133" s="22">
        <v>-1.5737899999999999E-2</v>
      </c>
      <c r="AT133" s="22">
        <v>123</v>
      </c>
      <c r="AU133" s="22">
        <v>1.1792</v>
      </c>
      <c r="AV133">
        <f t="shared" si="20"/>
        <v>15.7379</v>
      </c>
      <c r="AW133">
        <f t="shared" si="21"/>
        <v>18.579692602999998</v>
      </c>
      <c r="AX133" s="9"/>
      <c r="AY133" s="22">
        <v>0.51940900000000001</v>
      </c>
      <c r="AZ133" s="22">
        <v>565.86</v>
      </c>
      <c r="BA133" s="22">
        <v>-1.6131599999999999E-2</v>
      </c>
      <c r="BB133" s="22">
        <v>123</v>
      </c>
      <c r="BC133" s="22">
        <v>0.51876800000000001</v>
      </c>
      <c r="BD133">
        <f t="shared" si="22"/>
        <v>16.131599999999999</v>
      </c>
      <c r="BE133">
        <f t="shared" si="23"/>
        <v>8.3788982244000003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85.733000000000004</v>
      </c>
      <c r="I134" s="22">
        <v>-1.5655499999999999E-2</v>
      </c>
      <c r="J134" s="22">
        <v>124</v>
      </c>
      <c r="K134" s="22">
        <v>1.17401</v>
      </c>
      <c r="L134">
        <f t="shared" si="12"/>
        <v>15.6555</v>
      </c>
      <c r="M134">
        <f t="shared" si="13"/>
        <v>18.403666470000001</v>
      </c>
      <c r="N134" s="9"/>
      <c r="O134" s="22">
        <v>0.52444500000000005</v>
      </c>
      <c r="P134" s="22">
        <v>193.02</v>
      </c>
      <c r="Q134" s="22">
        <v>-1.6098000000000001E-2</v>
      </c>
      <c r="R134" s="22">
        <v>124</v>
      </c>
      <c r="S134" s="22">
        <v>0.52368199999999998</v>
      </c>
      <c r="T134">
        <f t="shared" si="14"/>
        <v>16.098000000000003</v>
      </c>
      <c r="U134">
        <f t="shared" si="15"/>
        <v>8.4425156100000027</v>
      </c>
      <c r="X134" s="9"/>
      <c r="Y134" s="22">
        <v>1.17554</v>
      </c>
      <c r="Z134" s="22">
        <v>275.53300000000002</v>
      </c>
      <c r="AA134" s="22">
        <v>-1.57349E-2</v>
      </c>
      <c r="AB134" s="22">
        <v>124</v>
      </c>
      <c r="AC134" s="22">
        <v>1.17462</v>
      </c>
      <c r="AD134">
        <f t="shared" si="16"/>
        <v>15.7349</v>
      </c>
      <c r="AE134">
        <f t="shared" si="17"/>
        <v>18.497004346000001</v>
      </c>
      <c r="AF134" s="9"/>
      <c r="AG134" s="22">
        <v>0.52444500000000005</v>
      </c>
      <c r="AH134" s="22">
        <v>360.62799999999999</v>
      </c>
      <c r="AI134" s="22">
        <v>-1.6113300000000001E-2</v>
      </c>
      <c r="AJ134" s="22">
        <v>124</v>
      </c>
      <c r="AK134" s="22">
        <v>0.52365099999999998</v>
      </c>
      <c r="AL134">
        <f t="shared" si="18"/>
        <v>16.113299999999999</v>
      </c>
      <c r="AM134">
        <f t="shared" si="19"/>
        <v>8.4505396185000006</v>
      </c>
      <c r="AP134" s="9"/>
      <c r="AQ134" s="22">
        <v>1.17554</v>
      </c>
      <c r="AR134" s="22">
        <v>444.02699999999999</v>
      </c>
      <c r="AS134" s="22">
        <v>-1.5744000000000001E-2</v>
      </c>
      <c r="AT134" s="22">
        <v>124</v>
      </c>
      <c r="AU134" s="22">
        <v>1.17462</v>
      </c>
      <c r="AV134">
        <f t="shared" si="20"/>
        <v>15.744000000000002</v>
      </c>
      <c r="AW134">
        <f t="shared" si="21"/>
        <v>18.507701760000003</v>
      </c>
      <c r="AX134" s="9"/>
      <c r="AY134" s="22">
        <v>0.52444500000000005</v>
      </c>
      <c r="AZ134" s="22">
        <v>565.96100000000001</v>
      </c>
      <c r="BA134" s="22">
        <v>-1.61285E-2</v>
      </c>
      <c r="BB134" s="22">
        <v>124</v>
      </c>
      <c r="BC134" s="22">
        <v>0.52383400000000002</v>
      </c>
      <c r="BD134">
        <f t="shared" si="22"/>
        <v>16.128499999999999</v>
      </c>
      <c r="BE134">
        <f t="shared" si="23"/>
        <v>8.4585111825000006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85.833699999999993</v>
      </c>
      <c r="I135" s="22">
        <v>-1.5655499999999999E-2</v>
      </c>
      <c r="J135" s="22">
        <v>125</v>
      </c>
      <c r="K135" s="22">
        <v>1.16974</v>
      </c>
      <c r="L135">
        <f t="shared" si="12"/>
        <v>15.6555</v>
      </c>
      <c r="M135">
        <f t="shared" si="13"/>
        <v>18.324762750000001</v>
      </c>
      <c r="N135" s="9"/>
      <c r="O135" s="22">
        <v>0.52947999999999995</v>
      </c>
      <c r="P135" s="22">
        <v>193.12100000000001</v>
      </c>
      <c r="Q135" s="22">
        <v>-1.6082800000000001E-2</v>
      </c>
      <c r="R135" s="22">
        <v>125</v>
      </c>
      <c r="S135" s="22">
        <v>0.52868700000000002</v>
      </c>
      <c r="T135">
        <f t="shared" si="14"/>
        <v>16.082800000000002</v>
      </c>
      <c r="U135">
        <f t="shared" si="15"/>
        <v>8.5155209440000004</v>
      </c>
      <c r="X135" s="9"/>
      <c r="Y135" s="22">
        <v>1.1705000000000001</v>
      </c>
      <c r="Z135" s="22">
        <v>275.63400000000001</v>
      </c>
      <c r="AA135" s="22">
        <v>-1.5741000000000002E-2</v>
      </c>
      <c r="AB135" s="22">
        <v>125</v>
      </c>
      <c r="AC135" s="22">
        <v>1.16974</v>
      </c>
      <c r="AD135">
        <f t="shared" si="16"/>
        <v>15.741000000000001</v>
      </c>
      <c r="AE135">
        <f t="shared" si="17"/>
        <v>18.424840500000002</v>
      </c>
      <c r="AF135" s="9"/>
      <c r="AG135" s="22">
        <v>0.52947999999999995</v>
      </c>
      <c r="AH135" s="22">
        <v>360.72800000000001</v>
      </c>
      <c r="AI135" s="22">
        <v>-1.61163E-2</v>
      </c>
      <c r="AJ135" s="22">
        <v>125</v>
      </c>
      <c r="AK135" s="22">
        <v>0.52883899999999995</v>
      </c>
      <c r="AL135">
        <f t="shared" si="18"/>
        <v>16.116299999999999</v>
      </c>
      <c r="AM135">
        <f t="shared" si="19"/>
        <v>8.533258523999999</v>
      </c>
      <c r="AP135" s="9"/>
      <c r="AQ135" s="22">
        <v>1.1705000000000001</v>
      </c>
      <c r="AR135" s="22">
        <v>444.12799999999999</v>
      </c>
      <c r="AS135" s="22">
        <v>-1.5731800000000001E-2</v>
      </c>
      <c r="AT135" s="22">
        <v>125</v>
      </c>
      <c r="AU135" s="22">
        <v>1.16974</v>
      </c>
      <c r="AV135">
        <f t="shared" si="20"/>
        <v>15.7318</v>
      </c>
      <c r="AW135">
        <f t="shared" si="21"/>
        <v>18.4140719</v>
      </c>
      <c r="AX135" s="9"/>
      <c r="AY135" s="22">
        <v>0.52947999999999995</v>
      </c>
      <c r="AZ135" s="22">
        <v>566.06200000000001</v>
      </c>
      <c r="BA135" s="22">
        <v>-1.6125500000000001E-2</v>
      </c>
      <c r="BB135" s="22">
        <v>125</v>
      </c>
      <c r="BC135" s="22">
        <v>0.52865600000000001</v>
      </c>
      <c r="BD135">
        <f t="shared" si="22"/>
        <v>16.125500000000002</v>
      </c>
      <c r="BE135">
        <f t="shared" si="23"/>
        <v>8.5381297400000005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85.934399999999997</v>
      </c>
      <c r="I136" s="22">
        <v>-1.56647E-2</v>
      </c>
      <c r="J136" s="22">
        <v>126</v>
      </c>
      <c r="K136" s="22">
        <v>1.16455</v>
      </c>
      <c r="L136">
        <f t="shared" si="12"/>
        <v>15.6647</v>
      </c>
      <c r="M136">
        <f t="shared" si="13"/>
        <v>18.256737908999998</v>
      </c>
      <c r="N136" s="9"/>
      <c r="O136" s="22">
        <v>0.53451499999999996</v>
      </c>
      <c r="P136" s="22">
        <v>193.221</v>
      </c>
      <c r="Q136" s="22">
        <v>-1.60889E-2</v>
      </c>
      <c r="R136" s="22">
        <v>126</v>
      </c>
      <c r="S136" s="22">
        <v>0.53390499999999996</v>
      </c>
      <c r="T136">
        <f t="shared" si="14"/>
        <v>16.088899999999999</v>
      </c>
      <c r="U136">
        <f t="shared" si="15"/>
        <v>8.5997583834999993</v>
      </c>
      <c r="X136" s="9"/>
      <c r="Y136" s="22">
        <v>1.16547</v>
      </c>
      <c r="Z136" s="22">
        <v>275.73500000000001</v>
      </c>
      <c r="AA136" s="22">
        <v>-1.57471E-2</v>
      </c>
      <c r="AB136" s="22">
        <v>126</v>
      </c>
      <c r="AC136" s="22">
        <v>1.16486</v>
      </c>
      <c r="AD136">
        <f t="shared" si="16"/>
        <v>15.7471</v>
      </c>
      <c r="AE136">
        <f t="shared" si="17"/>
        <v>18.352772637000001</v>
      </c>
      <c r="AF136" s="9"/>
      <c r="AG136" s="22">
        <v>0.53451499999999996</v>
      </c>
      <c r="AH136" s="22">
        <v>360.82900000000001</v>
      </c>
      <c r="AI136" s="22">
        <v>-1.6122399999999999E-2</v>
      </c>
      <c r="AJ136" s="22">
        <v>126</v>
      </c>
      <c r="AK136" s="22">
        <v>0.53390499999999996</v>
      </c>
      <c r="AL136">
        <f t="shared" si="18"/>
        <v>16.122399999999999</v>
      </c>
      <c r="AM136">
        <f t="shared" si="19"/>
        <v>8.6176646359999989</v>
      </c>
      <c r="AP136" s="9"/>
      <c r="AQ136" s="22">
        <v>1.16547</v>
      </c>
      <c r="AR136" s="22">
        <v>444.22800000000001</v>
      </c>
      <c r="AS136" s="22">
        <v>-1.5744000000000001E-2</v>
      </c>
      <c r="AT136" s="22">
        <v>126</v>
      </c>
      <c r="AU136" s="22">
        <v>1.16486</v>
      </c>
      <c r="AV136">
        <f t="shared" si="20"/>
        <v>15.744000000000002</v>
      </c>
      <c r="AW136">
        <f t="shared" si="21"/>
        <v>18.349159680000003</v>
      </c>
      <c r="AX136" s="9"/>
      <c r="AY136" s="22">
        <v>0.53451499999999996</v>
      </c>
      <c r="AZ136" s="22">
        <v>566.16200000000003</v>
      </c>
      <c r="BA136" s="22">
        <v>-1.6122399999999999E-2</v>
      </c>
      <c r="BB136" s="22">
        <v>126</v>
      </c>
      <c r="BC136" s="22">
        <v>0.53393599999999997</v>
      </c>
      <c r="BD136">
        <f t="shared" si="22"/>
        <v>16.122399999999999</v>
      </c>
      <c r="BE136">
        <f t="shared" si="23"/>
        <v>8.6176646359999989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86.035200000000003</v>
      </c>
      <c r="I137" s="22">
        <v>-1.56677E-2</v>
      </c>
      <c r="J137" s="22">
        <v>127</v>
      </c>
      <c r="K137" s="22">
        <v>1.15967</v>
      </c>
      <c r="L137">
        <f t="shared" si="12"/>
        <v>15.6677</v>
      </c>
      <c r="M137">
        <f t="shared" si="13"/>
        <v>18.181269111000002</v>
      </c>
      <c r="N137" s="9"/>
      <c r="O137" s="22">
        <v>0.539551</v>
      </c>
      <c r="P137" s="22">
        <v>193.322</v>
      </c>
      <c r="Q137" s="22">
        <v>-1.60889E-2</v>
      </c>
      <c r="R137" s="22">
        <v>127</v>
      </c>
      <c r="S137" s="22">
        <v>0.53881800000000002</v>
      </c>
      <c r="T137">
        <f t="shared" si="14"/>
        <v>16.088899999999999</v>
      </c>
      <c r="U137">
        <f t="shared" si="15"/>
        <v>8.6807820838999987</v>
      </c>
      <c r="X137" s="9"/>
      <c r="Y137" s="22">
        <v>1.1604300000000001</v>
      </c>
      <c r="Z137" s="22">
        <v>275.83499999999998</v>
      </c>
      <c r="AA137" s="22">
        <v>-1.57501E-2</v>
      </c>
      <c r="AB137" s="22">
        <v>127</v>
      </c>
      <c r="AC137" s="22">
        <v>1.15967</v>
      </c>
      <c r="AD137">
        <f t="shared" si="16"/>
        <v>15.7501</v>
      </c>
      <c r="AE137">
        <f t="shared" si="17"/>
        <v>18.276888543000002</v>
      </c>
      <c r="AF137" s="9"/>
      <c r="AG137" s="22">
        <v>0.539551</v>
      </c>
      <c r="AH137" s="22">
        <v>360.93</v>
      </c>
      <c r="AI137" s="22">
        <v>-1.6122399999999999E-2</v>
      </c>
      <c r="AJ137" s="22">
        <v>127</v>
      </c>
      <c r="AK137" s="22">
        <v>0.53866599999999998</v>
      </c>
      <c r="AL137">
        <f t="shared" si="18"/>
        <v>16.122399999999999</v>
      </c>
      <c r="AM137">
        <f t="shared" si="19"/>
        <v>8.6988570424000002</v>
      </c>
      <c r="AP137" s="9"/>
      <c r="AQ137" s="22">
        <v>1.1604300000000001</v>
      </c>
      <c r="AR137" s="22">
        <v>444.32900000000001</v>
      </c>
      <c r="AS137" s="22">
        <v>-1.57471E-2</v>
      </c>
      <c r="AT137" s="22">
        <v>127</v>
      </c>
      <c r="AU137" s="22">
        <v>1.15967</v>
      </c>
      <c r="AV137">
        <f t="shared" si="20"/>
        <v>15.7471</v>
      </c>
      <c r="AW137">
        <f t="shared" si="21"/>
        <v>18.273407253000002</v>
      </c>
      <c r="AX137" s="9"/>
      <c r="AY137" s="22">
        <v>0.539551</v>
      </c>
      <c r="AZ137" s="22">
        <v>566.26300000000003</v>
      </c>
      <c r="BA137" s="22">
        <v>-1.6122399999999999E-2</v>
      </c>
      <c r="BB137" s="22">
        <v>127</v>
      </c>
      <c r="BC137" s="22">
        <v>0.53866599999999998</v>
      </c>
      <c r="BD137">
        <f t="shared" si="22"/>
        <v>16.122399999999999</v>
      </c>
      <c r="BE137">
        <f t="shared" si="23"/>
        <v>8.6988570424000002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86.135900000000007</v>
      </c>
      <c r="I138" s="22">
        <v>-1.5673800000000002E-2</v>
      </c>
      <c r="J138" s="22">
        <v>128</v>
      </c>
      <c r="K138" s="22">
        <v>1.15479</v>
      </c>
      <c r="L138">
        <f t="shared" si="12"/>
        <v>15.673800000000002</v>
      </c>
      <c r="M138">
        <f t="shared" si="13"/>
        <v>18.109508520000002</v>
      </c>
      <c r="N138" s="9"/>
      <c r="O138" s="22">
        <v>0.54458600000000001</v>
      </c>
      <c r="P138" s="22">
        <v>193.423</v>
      </c>
      <c r="Q138" s="22">
        <v>-1.6098000000000001E-2</v>
      </c>
      <c r="R138" s="22">
        <v>128</v>
      </c>
      <c r="S138" s="22">
        <v>0.54391500000000004</v>
      </c>
      <c r="T138">
        <f t="shared" si="14"/>
        <v>16.098000000000003</v>
      </c>
      <c r="U138">
        <f t="shared" si="15"/>
        <v>8.7667454280000019</v>
      </c>
      <c r="X138" s="9"/>
      <c r="Y138" s="22">
        <v>1.1554</v>
      </c>
      <c r="Z138" s="22">
        <v>275.93599999999998</v>
      </c>
      <c r="AA138" s="22">
        <v>-1.5753199999999998E-2</v>
      </c>
      <c r="AB138" s="22">
        <v>128</v>
      </c>
      <c r="AC138" s="22">
        <v>1.1541699999999999</v>
      </c>
      <c r="AD138">
        <f t="shared" si="16"/>
        <v>15.753199999999998</v>
      </c>
      <c r="AE138">
        <f t="shared" si="17"/>
        <v>18.201247279999997</v>
      </c>
      <c r="AF138" s="9"/>
      <c r="AG138" s="22">
        <v>0.54458600000000001</v>
      </c>
      <c r="AH138" s="22">
        <v>361.03</v>
      </c>
      <c r="AI138" s="22">
        <v>-1.61163E-2</v>
      </c>
      <c r="AJ138" s="22">
        <v>128</v>
      </c>
      <c r="AK138" s="22">
        <v>0.54361000000000004</v>
      </c>
      <c r="AL138">
        <f t="shared" si="18"/>
        <v>16.116299999999999</v>
      </c>
      <c r="AM138">
        <f t="shared" si="19"/>
        <v>8.7767113517999995</v>
      </c>
      <c r="AP138" s="9"/>
      <c r="AQ138" s="22">
        <v>1.1554</v>
      </c>
      <c r="AR138" s="22">
        <v>444.43</v>
      </c>
      <c r="AS138" s="22">
        <v>-1.57471E-2</v>
      </c>
      <c r="AT138" s="22">
        <v>128</v>
      </c>
      <c r="AU138" s="22">
        <v>1.15479</v>
      </c>
      <c r="AV138">
        <f t="shared" si="20"/>
        <v>15.7471</v>
      </c>
      <c r="AW138">
        <f t="shared" si="21"/>
        <v>18.194199340000001</v>
      </c>
      <c r="AX138" s="9"/>
      <c r="AY138" s="22">
        <v>0.54458600000000001</v>
      </c>
      <c r="AZ138" s="22">
        <v>566.36400000000003</v>
      </c>
      <c r="BA138" s="22">
        <v>-1.6122399999999999E-2</v>
      </c>
      <c r="BB138" s="22">
        <v>128</v>
      </c>
      <c r="BC138" s="22">
        <v>0.54373199999999999</v>
      </c>
      <c r="BD138">
        <f t="shared" si="22"/>
        <v>16.122399999999999</v>
      </c>
      <c r="BE138">
        <f t="shared" si="23"/>
        <v>8.7800333263999999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86.236599999999996</v>
      </c>
      <c r="I139" s="22">
        <v>-1.5673800000000002E-2</v>
      </c>
      <c r="J139" s="22">
        <v>129</v>
      </c>
      <c r="K139" s="22">
        <v>1.14899</v>
      </c>
      <c r="L139">
        <f t="shared" si="12"/>
        <v>15.673800000000002</v>
      </c>
      <c r="M139">
        <f t="shared" si="13"/>
        <v>18.030512568000002</v>
      </c>
      <c r="N139" s="9"/>
      <c r="O139" s="22">
        <v>0.54962200000000005</v>
      </c>
      <c r="P139" s="22">
        <v>193.523</v>
      </c>
      <c r="Q139" s="22">
        <v>-1.6082800000000001E-2</v>
      </c>
      <c r="R139" s="22">
        <v>129</v>
      </c>
      <c r="S139" s="22">
        <v>0.54898100000000005</v>
      </c>
      <c r="T139">
        <f t="shared" si="14"/>
        <v>16.082800000000002</v>
      </c>
      <c r="U139">
        <f t="shared" si="15"/>
        <v>8.839460701600002</v>
      </c>
      <c r="X139" s="9"/>
      <c r="Y139" s="22">
        <v>1.15036</v>
      </c>
      <c r="Z139" s="22">
        <v>276.03699999999998</v>
      </c>
      <c r="AA139" s="22">
        <v>-1.57623E-2</v>
      </c>
      <c r="AB139" s="22">
        <v>129</v>
      </c>
      <c r="AC139" s="22">
        <v>1.1496</v>
      </c>
      <c r="AD139">
        <f t="shared" si="16"/>
        <v>15.7623</v>
      </c>
      <c r="AE139">
        <f t="shared" si="17"/>
        <v>18.132319427999999</v>
      </c>
      <c r="AF139" s="9"/>
      <c r="AG139" s="22">
        <v>0.54962200000000005</v>
      </c>
      <c r="AH139" s="22">
        <v>361.13099999999997</v>
      </c>
      <c r="AI139" s="22">
        <v>-1.6107199999999999E-2</v>
      </c>
      <c r="AJ139" s="22">
        <v>129</v>
      </c>
      <c r="AK139" s="22">
        <v>0.54885899999999999</v>
      </c>
      <c r="AL139">
        <f t="shared" si="18"/>
        <v>16.107199999999999</v>
      </c>
      <c r="AM139">
        <f t="shared" si="19"/>
        <v>8.8528714784000009</v>
      </c>
      <c r="AP139" s="9"/>
      <c r="AQ139" s="22">
        <v>1.15036</v>
      </c>
      <c r="AR139" s="22">
        <v>444.53</v>
      </c>
      <c r="AS139" s="22">
        <v>-1.57471E-2</v>
      </c>
      <c r="AT139" s="22">
        <v>129</v>
      </c>
      <c r="AU139" s="22">
        <v>1.1496</v>
      </c>
      <c r="AV139">
        <f t="shared" si="20"/>
        <v>15.7471</v>
      </c>
      <c r="AW139">
        <f t="shared" si="21"/>
        <v>18.114833956000002</v>
      </c>
      <c r="AX139" s="9"/>
      <c r="AY139" s="22">
        <v>0.54962200000000005</v>
      </c>
      <c r="AZ139" s="22">
        <v>566.46500000000003</v>
      </c>
      <c r="BA139" s="22">
        <v>-1.61163E-2</v>
      </c>
      <c r="BB139" s="22">
        <v>129</v>
      </c>
      <c r="BC139" s="22">
        <v>0.54885899999999999</v>
      </c>
      <c r="BD139">
        <f t="shared" si="22"/>
        <v>16.116299999999999</v>
      </c>
      <c r="BE139">
        <f t="shared" si="23"/>
        <v>8.8578730386000011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86.337299999999999</v>
      </c>
      <c r="I140" s="22">
        <v>-1.5676900000000001E-2</v>
      </c>
      <c r="J140" s="22">
        <v>130</v>
      </c>
      <c r="K140" s="22">
        <v>1.1447099999999999</v>
      </c>
      <c r="L140">
        <f t="shared" ref="L140:L203" si="24">-I140/$F$2*1000</f>
        <v>15.6769</v>
      </c>
      <c r="M140">
        <f t="shared" ref="M140:M203" si="25">L140*G140</f>
        <v>17.955067107999998</v>
      </c>
      <c r="N140" s="9"/>
      <c r="O140" s="22">
        <v>0.55465699999999996</v>
      </c>
      <c r="P140" s="22">
        <v>193.624</v>
      </c>
      <c r="Q140" s="22">
        <v>-1.6076699999999999E-2</v>
      </c>
      <c r="R140" s="22">
        <v>130</v>
      </c>
      <c r="S140" s="22">
        <v>0.55398599999999998</v>
      </c>
      <c r="T140">
        <f t="shared" ref="T140:T203" si="26">-Q140/$F$2*1000</f>
        <v>16.076699999999999</v>
      </c>
      <c r="U140">
        <f t="shared" ref="U140:U203" si="27">T140*O140</f>
        <v>8.9170541918999984</v>
      </c>
      <c r="X140" s="9"/>
      <c r="Y140" s="22">
        <v>1.1453199999999999</v>
      </c>
      <c r="Z140" s="22">
        <v>276.137</v>
      </c>
      <c r="AA140" s="22">
        <v>-1.57593E-2</v>
      </c>
      <c r="AB140" s="22">
        <v>130</v>
      </c>
      <c r="AC140" s="22">
        <v>1.1444099999999999</v>
      </c>
      <c r="AD140">
        <f t="shared" ref="AD140:AD203" si="28">-AA140/$F$2*1000</f>
        <v>15.7593</v>
      </c>
      <c r="AE140">
        <f t="shared" ref="AE140:AE203" si="29">AD140*Y140</f>
        <v>18.049441475999998</v>
      </c>
      <c r="AF140" s="9"/>
      <c r="AG140" s="22">
        <v>0.55465699999999996</v>
      </c>
      <c r="AH140" s="22">
        <v>361.23200000000003</v>
      </c>
      <c r="AI140" s="22">
        <v>-1.6113300000000001E-2</v>
      </c>
      <c r="AJ140" s="22">
        <v>130</v>
      </c>
      <c r="AK140" s="22">
        <v>0.553894</v>
      </c>
      <c r="AL140">
        <f t="shared" ref="AL140:AL203" si="30">-AI140/$F$2*1000</f>
        <v>16.113299999999999</v>
      </c>
      <c r="AM140">
        <f t="shared" ref="AM140:AM203" si="31">AL140*AG140</f>
        <v>8.9373546380999986</v>
      </c>
      <c r="AP140" s="9"/>
      <c r="AQ140" s="22">
        <v>1.1453199999999999</v>
      </c>
      <c r="AR140" s="22">
        <v>444.63099999999997</v>
      </c>
      <c r="AS140" s="22">
        <v>-1.57593E-2</v>
      </c>
      <c r="AT140" s="22">
        <v>130</v>
      </c>
      <c r="AU140" s="22">
        <v>1.1440999999999999</v>
      </c>
      <c r="AV140">
        <f t="shared" ref="AV140:AV203" si="32">-AS140/$F$2*1000</f>
        <v>15.7593</v>
      </c>
      <c r="AW140">
        <f t="shared" ref="AW140:AW203" si="33">AV140*AQ140</f>
        <v>18.049441475999998</v>
      </c>
      <c r="AX140" s="9"/>
      <c r="AY140" s="22">
        <v>0.55465699999999996</v>
      </c>
      <c r="AZ140" s="22">
        <v>566.56500000000005</v>
      </c>
      <c r="BA140" s="22">
        <v>-1.6125500000000001E-2</v>
      </c>
      <c r="BB140" s="22">
        <v>130</v>
      </c>
      <c r="BC140" s="22">
        <v>0.55395499999999998</v>
      </c>
      <c r="BD140">
        <f t="shared" ref="BD140:BD203" si="34">-BA140/$F$2*1000</f>
        <v>16.125500000000002</v>
      </c>
      <c r="BE140">
        <f t="shared" ref="BE140:BE203" si="35">BD140*AY140</f>
        <v>8.9441214535000011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86.438000000000002</v>
      </c>
      <c r="I141" s="22">
        <v>-1.5682999999999999E-2</v>
      </c>
      <c r="J141" s="22">
        <v>131</v>
      </c>
      <c r="K141" s="22">
        <v>1.1395299999999999</v>
      </c>
      <c r="L141">
        <f t="shared" si="24"/>
        <v>15.683</v>
      </c>
      <c r="M141">
        <f t="shared" si="25"/>
        <v>17.88316807</v>
      </c>
      <c r="N141" s="9"/>
      <c r="O141" s="22">
        <v>0.55969199999999997</v>
      </c>
      <c r="P141" s="22">
        <v>193.72499999999999</v>
      </c>
      <c r="Q141" s="22">
        <v>-1.6079699999999999E-2</v>
      </c>
      <c r="R141" s="22">
        <v>131</v>
      </c>
      <c r="S141" s="22">
        <v>0.55902099999999999</v>
      </c>
      <c r="T141">
        <f t="shared" si="26"/>
        <v>16.079699999999999</v>
      </c>
      <c r="U141">
        <f t="shared" si="27"/>
        <v>8.9996794523999988</v>
      </c>
      <c r="X141" s="9"/>
      <c r="Y141" s="22">
        <v>1.14029</v>
      </c>
      <c r="Z141" s="22">
        <v>276.238</v>
      </c>
      <c r="AA141" s="22">
        <v>-1.5765399999999999E-2</v>
      </c>
      <c r="AB141" s="22">
        <v>131</v>
      </c>
      <c r="AC141" s="22">
        <v>1.1398299999999999</v>
      </c>
      <c r="AD141">
        <f t="shared" si="28"/>
        <v>15.7654</v>
      </c>
      <c r="AE141">
        <f t="shared" si="29"/>
        <v>17.977127966000001</v>
      </c>
      <c r="AF141" s="9"/>
      <c r="AG141" s="22">
        <v>0.55969199999999997</v>
      </c>
      <c r="AH141" s="22">
        <v>361.33300000000003</v>
      </c>
      <c r="AI141" s="22">
        <v>-1.6113300000000001E-2</v>
      </c>
      <c r="AJ141" s="22">
        <v>131</v>
      </c>
      <c r="AK141" s="22">
        <v>0.55898999999999999</v>
      </c>
      <c r="AL141">
        <f t="shared" si="30"/>
        <v>16.113299999999999</v>
      </c>
      <c r="AM141">
        <f t="shared" si="31"/>
        <v>9.018485103599998</v>
      </c>
      <c r="AP141" s="9"/>
      <c r="AQ141" s="22">
        <v>1.14029</v>
      </c>
      <c r="AR141" s="22">
        <v>444.73200000000003</v>
      </c>
      <c r="AS141" s="22">
        <v>-1.57593E-2</v>
      </c>
      <c r="AT141" s="22">
        <v>131</v>
      </c>
      <c r="AU141" s="22">
        <v>1.1392199999999999</v>
      </c>
      <c r="AV141">
        <f t="shared" si="32"/>
        <v>15.7593</v>
      </c>
      <c r="AW141">
        <f t="shared" si="33"/>
        <v>17.970172197</v>
      </c>
      <c r="AX141" s="9"/>
      <c r="AY141" s="22">
        <v>0.55969199999999997</v>
      </c>
      <c r="AZ141" s="22">
        <v>566.66600000000005</v>
      </c>
      <c r="BA141" s="22">
        <v>-1.6119399999999999E-2</v>
      </c>
      <c r="BB141" s="22">
        <v>131</v>
      </c>
      <c r="BC141" s="22">
        <v>0.55892900000000001</v>
      </c>
      <c r="BD141">
        <f t="shared" si="34"/>
        <v>16.119399999999999</v>
      </c>
      <c r="BE141">
        <f t="shared" si="35"/>
        <v>9.0218992247999985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86.538700000000006</v>
      </c>
      <c r="I142" s="22">
        <v>-1.5695199999999999E-2</v>
      </c>
      <c r="J142" s="22">
        <v>132</v>
      </c>
      <c r="K142" s="22">
        <v>1.1346400000000001</v>
      </c>
      <c r="L142">
        <f t="shared" si="24"/>
        <v>15.6952</v>
      </c>
      <c r="M142">
        <f t="shared" si="25"/>
        <v>17.817975800000003</v>
      </c>
      <c r="N142" s="9"/>
      <c r="O142" s="22">
        <v>0.56472800000000001</v>
      </c>
      <c r="P142" s="22">
        <v>193.82499999999999</v>
      </c>
      <c r="Q142" s="22">
        <v>-1.6082800000000001E-2</v>
      </c>
      <c r="R142" s="22">
        <v>132</v>
      </c>
      <c r="S142" s="22">
        <v>0.56396500000000005</v>
      </c>
      <c r="T142">
        <f t="shared" si="26"/>
        <v>16.082800000000002</v>
      </c>
      <c r="U142">
        <f t="shared" si="27"/>
        <v>9.0824074784000022</v>
      </c>
      <c r="X142" s="9"/>
      <c r="Y142" s="22">
        <v>1.1352500000000001</v>
      </c>
      <c r="Z142" s="22">
        <v>276.339</v>
      </c>
      <c r="AA142" s="22">
        <v>-1.5756200000000001E-2</v>
      </c>
      <c r="AB142" s="22">
        <v>132</v>
      </c>
      <c r="AC142" s="22">
        <v>1.1340300000000001</v>
      </c>
      <c r="AD142">
        <f t="shared" si="28"/>
        <v>15.756200000000002</v>
      </c>
      <c r="AE142">
        <f t="shared" si="29"/>
        <v>17.887226050000002</v>
      </c>
      <c r="AF142" s="9"/>
      <c r="AG142" s="22">
        <v>0.56472800000000001</v>
      </c>
      <c r="AH142" s="22">
        <v>361.43299999999999</v>
      </c>
      <c r="AI142" s="22">
        <v>-1.61041E-2</v>
      </c>
      <c r="AJ142" s="22">
        <v>132</v>
      </c>
      <c r="AK142" s="22">
        <v>0.56402600000000003</v>
      </c>
      <c r="AL142">
        <f t="shared" si="30"/>
        <v>16.104099999999999</v>
      </c>
      <c r="AM142">
        <f t="shared" si="31"/>
        <v>9.0944361847999993</v>
      </c>
      <c r="AP142" s="9"/>
      <c r="AQ142" s="22">
        <v>1.1352500000000001</v>
      </c>
      <c r="AR142" s="22">
        <v>444.83300000000003</v>
      </c>
      <c r="AS142" s="22">
        <v>-1.5765399999999999E-2</v>
      </c>
      <c r="AT142" s="22">
        <v>132</v>
      </c>
      <c r="AU142" s="22">
        <v>1.1343399999999999</v>
      </c>
      <c r="AV142">
        <f t="shared" si="32"/>
        <v>15.7654</v>
      </c>
      <c r="AW142">
        <f t="shared" si="33"/>
        <v>17.897670350000002</v>
      </c>
      <c r="AX142" s="9"/>
      <c r="AY142" s="22">
        <v>0.56472800000000001</v>
      </c>
      <c r="AZ142" s="22">
        <v>566.76700000000005</v>
      </c>
      <c r="BA142" s="22">
        <v>-1.61163E-2</v>
      </c>
      <c r="BB142" s="22">
        <v>132</v>
      </c>
      <c r="BC142" s="22">
        <v>0.56390399999999996</v>
      </c>
      <c r="BD142">
        <f t="shared" si="34"/>
        <v>16.116299999999999</v>
      </c>
      <c r="BE142">
        <f t="shared" si="35"/>
        <v>9.1013258663999999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86.639399999999995</v>
      </c>
      <c r="I143" s="22">
        <v>-1.5698199999999999E-2</v>
      </c>
      <c r="J143" s="22">
        <v>133</v>
      </c>
      <c r="K143" s="22">
        <v>1.1294599999999999</v>
      </c>
      <c r="L143">
        <f t="shared" si="24"/>
        <v>15.698199999999998</v>
      </c>
      <c r="M143">
        <f t="shared" si="25"/>
        <v>17.742419603999998</v>
      </c>
      <c r="N143" s="9"/>
      <c r="O143" s="22">
        <v>0.56976300000000002</v>
      </c>
      <c r="P143" s="22">
        <v>193.92599999999999</v>
      </c>
      <c r="Q143" s="22">
        <v>-1.6076699999999999E-2</v>
      </c>
      <c r="R143" s="22">
        <v>133</v>
      </c>
      <c r="S143" s="22">
        <v>0.56909200000000004</v>
      </c>
      <c r="T143">
        <f t="shared" si="26"/>
        <v>16.076699999999999</v>
      </c>
      <c r="U143">
        <f t="shared" si="27"/>
        <v>9.1599088221000002</v>
      </c>
      <c r="X143" s="9"/>
      <c r="Y143" s="22">
        <v>1.13022</v>
      </c>
      <c r="Z143" s="22">
        <v>276.44</v>
      </c>
      <c r="AA143" s="22">
        <v>-1.57623E-2</v>
      </c>
      <c r="AB143" s="22">
        <v>133</v>
      </c>
      <c r="AC143" s="22">
        <v>1.1294599999999999</v>
      </c>
      <c r="AD143">
        <f t="shared" si="28"/>
        <v>15.7623</v>
      </c>
      <c r="AE143">
        <f t="shared" si="29"/>
        <v>17.814866706</v>
      </c>
      <c r="AF143" s="9"/>
      <c r="AG143" s="22">
        <v>0.56976300000000002</v>
      </c>
      <c r="AH143" s="22">
        <v>361.53399999999999</v>
      </c>
      <c r="AI143" s="22">
        <v>-1.6107199999999999E-2</v>
      </c>
      <c r="AJ143" s="22">
        <v>133</v>
      </c>
      <c r="AK143" s="22">
        <v>0.56906100000000004</v>
      </c>
      <c r="AL143">
        <f t="shared" si="30"/>
        <v>16.107199999999999</v>
      </c>
      <c r="AM143">
        <f t="shared" si="31"/>
        <v>9.1772865935999999</v>
      </c>
      <c r="AP143" s="9"/>
      <c r="AQ143" s="22">
        <v>1.13022</v>
      </c>
      <c r="AR143" s="22">
        <v>444.93299999999999</v>
      </c>
      <c r="AS143" s="22">
        <v>-1.5771500000000001E-2</v>
      </c>
      <c r="AT143" s="22">
        <v>133</v>
      </c>
      <c r="AU143" s="22">
        <v>1.1291500000000001</v>
      </c>
      <c r="AV143">
        <f t="shared" si="32"/>
        <v>15.771500000000001</v>
      </c>
      <c r="AW143">
        <f t="shared" si="33"/>
        <v>17.825264730000001</v>
      </c>
      <c r="AX143" s="9"/>
      <c r="AY143" s="22">
        <v>0.56976300000000002</v>
      </c>
      <c r="AZ143" s="22">
        <v>566.86699999999996</v>
      </c>
      <c r="BA143" s="22">
        <v>-1.6110200000000002E-2</v>
      </c>
      <c r="BB143" s="22">
        <v>133</v>
      </c>
      <c r="BC143" s="22">
        <v>0.56899999999999995</v>
      </c>
      <c r="BD143">
        <f t="shared" si="34"/>
        <v>16.110200000000003</v>
      </c>
      <c r="BE143">
        <f t="shared" si="35"/>
        <v>9.1789958826000024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86.740099999999998</v>
      </c>
      <c r="I144" s="22">
        <v>-1.57074E-2</v>
      </c>
      <c r="J144" s="22">
        <v>134</v>
      </c>
      <c r="K144" s="22">
        <v>1.1239600000000001</v>
      </c>
      <c r="L144">
        <f t="shared" si="24"/>
        <v>15.7074</v>
      </c>
      <c r="M144">
        <f t="shared" si="25"/>
        <v>17.673652332</v>
      </c>
      <c r="N144" s="9"/>
      <c r="O144" s="22">
        <v>0.57479899999999995</v>
      </c>
      <c r="P144" s="22">
        <v>194.02699999999999</v>
      </c>
      <c r="Q144" s="22">
        <v>-1.6076699999999999E-2</v>
      </c>
      <c r="R144" s="22">
        <v>134</v>
      </c>
      <c r="S144" s="22">
        <v>0.57400499999999999</v>
      </c>
      <c r="T144">
        <f t="shared" si="26"/>
        <v>16.076699999999999</v>
      </c>
      <c r="U144">
        <f t="shared" si="27"/>
        <v>9.2408710832999983</v>
      </c>
      <c r="X144" s="9"/>
      <c r="Y144" s="22">
        <v>1.1251800000000001</v>
      </c>
      <c r="Z144" s="22">
        <v>276.54000000000002</v>
      </c>
      <c r="AA144" s="22">
        <v>-1.5768399999999998E-2</v>
      </c>
      <c r="AB144" s="22">
        <v>134</v>
      </c>
      <c r="AC144" s="22">
        <v>1.1236600000000001</v>
      </c>
      <c r="AD144">
        <f t="shared" si="28"/>
        <v>15.768399999999998</v>
      </c>
      <c r="AE144">
        <f t="shared" si="29"/>
        <v>17.742288311999999</v>
      </c>
      <c r="AF144" s="9"/>
      <c r="AG144" s="22">
        <v>0.57479899999999995</v>
      </c>
      <c r="AH144" s="22">
        <v>361.63499999999999</v>
      </c>
      <c r="AI144" s="22">
        <v>-1.6098000000000001E-2</v>
      </c>
      <c r="AJ144" s="22">
        <v>134</v>
      </c>
      <c r="AK144" s="22">
        <v>0.57406599999999997</v>
      </c>
      <c r="AL144">
        <f t="shared" si="30"/>
        <v>16.098000000000003</v>
      </c>
      <c r="AM144">
        <f t="shared" si="31"/>
        <v>9.2531143020000002</v>
      </c>
      <c r="AP144" s="9"/>
      <c r="AQ144" s="22">
        <v>1.1251800000000001</v>
      </c>
      <c r="AR144" s="22">
        <v>445.03399999999999</v>
      </c>
      <c r="AS144" s="22">
        <v>-1.5780599999999999E-2</v>
      </c>
      <c r="AT144" s="22">
        <v>134</v>
      </c>
      <c r="AU144" s="22">
        <v>1.1236600000000001</v>
      </c>
      <c r="AV144">
        <f t="shared" si="32"/>
        <v>15.780599999999998</v>
      </c>
      <c r="AW144">
        <f t="shared" si="33"/>
        <v>17.756015507999997</v>
      </c>
      <c r="AX144" s="9"/>
      <c r="AY144" s="22">
        <v>0.57479899999999995</v>
      </c>
      <c r="AZ144" s="22">
        <v>566.96799999999996</v>
      </c>
      <c r="BA144" s="22">
        <v>-1.6110200000000002E-2</v>
      </c>
      <c r="BB144" s="22">
        <v>134</v>
      </c>
      <c r="BC144" s="22">
        <v>0.57403599999999999</v>
      </c>
      <c r="BD144">
        <f t="shared" si="34"/>
        <v>16.110200000000003</v>
      </c>
      <c r="BE144">
        <f t="shared" si="35"/>
        <v>9.2601268498000007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86.840800000000002</v>
      </c>
      <c r="I145" s="22">
        <v>-1.5704300000000001E-2</v>
      </c>
      <c r="J145" s="22">
        <v>135</v>
      </c>
      <c r="K145" s="22">
        <v>1.11938</v>
      </c>
      <c r="L145">
        <f t="shared" si="24"/>
        <v>15.704300000000002</v>
      </c>
      <c r="M145">
        <f t="shared" si="25"/>
        <v>17.591171645000003</v>
      </c>
      <c r="N145" s="9"/>
      <c r="O145" s="22">
        <v>0.57983399999999996</v>
      </c>
      <c r="P145" s="22">
        <v>194.12799999999999</v>
      </c>
      <c r="Q145" s="22">
        <v>-1.6070600000000001E-2</v>
      </c>
      <c r="R145" s="22">
        <v>135</v>
      </c>
      <c r="S145" s="22">
        <v>0.57925400000000005</v>
      </c>
      <c r="T145">
        <f t="shared" si="26"/>
        <v>16.070600000000002</v>
      </c>
      <c r="U145">
        <f t="shared" si="27"/>
        <v>9.3182802804000016</v>
      </c>
      <c r="X145" s="9"/>
      <c r="Y145" s="22">
        <v>1.12015</v>
      </c>
      <c r="Z145" s="22">
        <v>276.64100000000002</v>
      </c>
      <c r="AA145" s="22">
        <v>-1.5777599999999999E-2</v>
      </c>
      <c r="AB145" s="22">
        <v>135</v>
      </c>
      <c r="AC145" s="22">
        <v>1.1190800000000001</v>
      </c>
      <c r="AD145">
        <f t="shared" si="28"/>
        <v>15.7776</v>
      </c>
      <c r="AE145">
        <f t="shared" si="29"/>
        <v>17.673278639999999</v>
      </c>
      <c r="AF145" s="9"/>
      <c r="AG145" s="22">
        <v>0.57983399999999996</v>
      </c>
      <c r="AH145" s="22">
        <v>361.73500000000001</v>
      </c>
      <c r="AI145" s="22">
        <v>-1.61041E-2</v>
      </c>
      <c r="AJ145" s="22">
        <v>135</v>
      </c>
      <c r="AK145" s="22">
        <v>0.57916299999999998</v>
      </c>
      <c r="AL145">
        <f t="shared" si="30"/>
        <v>16.104099999999999</v>
      </c>
      <c r="AM145">
        <f t="shared" si="31"/>
        <v>9.3377047193999996</v>
      </c>
      <c r="AP145" s="9"/>
      <c r="AQ145" s="22">
        <v>1.12015</v>
      </c>
      <c r="AR145" s="22">
        <v>445.13499999999999</v>
      </c>
      <c r="AS145" s="22">
        <v>-1.57898E-2</v>
      </c>
      <c r="AT145" s="22">
        <v>135</v>
      </c>
      <c r="AU145" s="22">
        <v>1.1190800000000001</v>
      </c>
      <c r="AV145">
        <f t="shared" si="32"/>
        <v>15.7898</v>
      </c>
      <c r="AW145">
        <f t="shared" si="33"/>
        <v>17.68694447</v>
      </c>
      <c r="AX145" s="9"/>
      <c r="AY145" s="22">
        <v>0.57983399999999996</v>
      </c>
      <c r="AZ145" s="22">
        <v>567.06899999999996</v>
      </c>
      <c r="BA145" s="22">
        <v>-1.6110200000000002E-2</v>
      </c>
      <c r="BB145" s="22">
        <v>135</v>
      </c>
      <c r="BC145" s="22">
        <v>0.57904100000000003</v>
      </c>
      <c r="BD145">
        <f t="shared" si="34"/>
        <v>16.110200000000003</v>
      </c>
      <c r="BE145">
        <f t="shared" si="35"/>
        <v>9.3412417068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86.941500000000005</v>
      </c>
      <c r="I146" s="22">
        <v>-1.5704300000000001E-2</v>
      </c>
      <c r="J146" s="22">
        <v>136</v>
      </c>
      <c r="K146" s="22">
        <v>1.1142000000000001</v>
      </c>
      <c r="L146">
        <f t="shared" si="24"/>
        <v>15.704300000000002</v>
      </c>
      <c r="M146">
        <f t="shared" si="25"/>
        <v>17.512021973000003</v>
      </c>
      <c r="N146" s="9"/>
      <c r="O146" s="22">
        <v>0.58486899999999997</v>
      </c>
      <c r="P146" s="22">
        <v>194.22800000000001</v>
      </c>
      <c r="Q146" s="22">
        <v>-1.6070600000000001E-2</v>
      </c>
      <c r="R146" s="22">
        <v>136</v>
      </c>
      <c r="S146" s="22">
        <v>0.58401499999999995</v>
      </c>
      <c r="T146">
        <f t="shared" si="26"/>
        <v>16.070600000000002</v>
      </c>
      <c r="U146">
        <f t="shared" si="27"/>
        <v>9.3991957514000006</v>
      </c>
      <c r="X146" s="9"/>
      <c r="Y146" s="22">
        <v>1.11511</v>
      </c>
      <c r="Z146" s="22">
        <v>276.74200000000002</v>
      </c>
      <c r="AA146" s="22">
        <v>-1.5786700000000001E-2</v>
      </c>
      <c r="AB146" s="22">
        <v>136</v>
      </c>
      <c r="AC146" s="22">
        <v>1.1135900000000001</v>
      </c>
      <c r="AD146">
        <f t="shared" si="28"/>
        <v>15.786700000000002</v>
      </c>
      <c r="AE146">
        <f t="shared" si="29"/>
        <v>17.603907037000003</v>
      </c>
      <c r="AF146" s="9"/>
      <c r="AG146" s="22">
        <v>0.58486899999999997</v>
      </c>
      <c r="AH146" s="22">
        <v>361.83600000000001</v>
      </c>
      <c r="AI146" s="22">
        <v>-1.6091899999999999E-2</v>
      </c>
      <c r="AJ146" s="22">
        <v>136</v>
      </c>
      <c r="AK146" s="22">
        <v>0.584229</v>
      </c>
      <c r="AL146">
        <f t="shared" si="30"/>
        <v>16.091899999999999</v>
      </c>
      <c r="AM146">
        <f t="shared" si="31"/>
        <v>9.4116534610999985</v>
      </c>
      <c r="AP146" s="9"/>
      <c r="AQ146" s="22">
        <v>1.11511</v>
      </c>
      <c r="AR146" s="22">
        <v>445.23500000000001</v>
      </c>
      <c r="AS146" s="22">
        <v>-1.57898E-2</v>
      </c>
      <c r="AT146" s="22">
        <v>136</v>
      </c>
      <c r="AU146" s="22">
        <v>1.1142000000000001</v>
      </c>
      <c r="AV146">
        <f t="shared" si="32"/>
        <v>15.7898</v>
      </c>
      <c r="AW146">
        <f t="shared" si="33"/>
        <v>17.607363878000001</v>
      </c>
      <c r="AX146" s="9"/>
      <c r="AY146" s="22">
        <v>0.58486899999999997</v>
      </c>
      <c r="AZ146" s="22">
        <v>567.16999999999996</v>
      </c>
      <c r="BA146" s="22">
        <v>-1.61041E-2</v>
      </c>
      <c r="BB146" s="22">
        <v>136</v>
      </c>
      <c r="BC146" s="22">
        <v>0.58413700000000002</v>
      </c>
      <c r="BD146">
        <f t="shared" si="34"/>
        <v>16.104099999999999</v>
      </c>
      <c r="BE146">
        <f t="shared" si="35"/>
        <v>9.4187888628999996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87.042199999999994</v>
      </c>
      <c r="I147" s="22">
        <v>-1.5713499999999998E-2</v>
      </c>
      <c r="J147" s="22">
        <v>137</v>
      </c>
      <c r="K147" s="22">
        <v>1.1096200000000001</v>
      </c>
      <c r="L147">
        <f t="shared" si="24"/>
        <v>15.713499999999998</v>
      </c>
      <c r="M147">
        <f t="shared" si="25"/>
        <v>17.443242079999997</v>
      </c>
      <c r="N147" s="9"/>
      <c r="O147" s="22">
        <v>0.58990500000000001</v>
      </c>
      <c r="P147" s="22">
        <v>194.32900000000001</v>
      </c>
      <c r="Q147" s="22">
        <v>-1.6067499999999998E-2</v>
      </c>
      <c r="R147" s="22">
        <v>137</v>
      </c>
      <c r="S147" s="22">
        <v>0.58944700000000005</v>
      </c>
      <c r="T147">
        <f t="shared" si="26"/>
        <v>16.067499999999999</v>
      </c>
      <c r="U147">
        <f t="shared" si="27"/>
        <v>9.4782985874999994</v>
      </c>
      <c r="X147" s="9"/>
      <c r="Y147" s="22">
        <v>1.11008</v>
      </c>
      <c r="Z147" s="22">
        <v>276.84199999999998</v>
      </c>
      <c r="AA147" s="22">
        <v>-1.5792799999999999E-2</v>
      </c>
      <c r="AB147" s="22">
        <v>137</v>
      </c>
      <c r="AC147" s="22">
        <v>1.10931</v>
      </c>
      <c r="AD147">
        <f t="shared" si="28"/>
        <v>15.7928</v>
      </c>
      <c r="AE147">
        <f t="shared" si="29"/>
        <v>17.531271424</v>
      </c>
      <c r="AF147" s="9"/>
      <c r="AG147" s="22">
        <v>0.58990500000000001</v>
      </c>
      <c r="AH147" s="22">
        <v>361.93700000000001</v>
      </c>
      <c r="AI147" s="22">
        <v>-1.6095000000000002E-2</v>
      </c>
      <c r="AJ147" s="22">
        <v>137</v>
      </c>
      <c r="AK147" s="22">
        <v>0.58926400000000001</v>
      </c>
      <c r="AL147">
        <f t="shared" si="30"/>
        <v>16.095000000000002</v>
      </c>
      <c r="AM147">
        <f t="shared" si="31"/>
        <v>9.4945209750000021</v>
      </c>
      <c r="AP147" s="9"/>
      <c r="AQ147" s="22">
        <v>1.11008</v>
      </c>
      <c r="AR147" s="22">
        <v>445.33600000000001</v>
      </c>
      <c r="AS147" s="22">
        <v>-1.5792799999999999E-2</v>
      </c>
      <c r="AT147" s="22">
        <v>137</v>
      </c>
      <c r="AU147" s="22">
        <v>1.1087</v>
      </c>
      <c r="AV147">
        <f t="shared" si="32"/>
        <v>15.7928</v>
      </c>
      <c r="AW147">
        <f t="shared" si="33"/>
        <v>17.531271424</v>
      </c>
      <c r="AX147" s="9"/>
      <c r="AY147" s="22">
        <v>0.58990500000000001</v>
      </c>
      <c r="AZ147" s="22">
        <v>567.27</v>
      </c>
      <c r="BA147" s="22">
        <v>-1.6110200000000002E-2</v>
      </c>
      <c r="BB147" s="22">
        <v>137</v>
      </c>
      <c r="BC147" s="22">
        <v>0.58920300000000003</v>
      </c>
      <c r="BD147">
        <f t="shared" si="34"/>
        <v>16.110200000000003</v>
      </c>
      <c r="BE147">
        <f t="shared" si="35"/>
        <v>9.5034875310000011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87.142899999999997</v>
      </c>
      <c r="I148" s="22">
        <v>-1.5710399999999999E-2</v>
      </c>
      <c r="J148" s="22">
        <v>138</v>
      </c>
      <c r="K148" s="22">
        <v>1.10382</v>
      </c>
      <c r="L148">
        <f t="shared" si="24"/>
        <v>15.7104</v>
      </c>
      <c r="M148">
        <f t="shared" si="25"/>
        <v>17.360620416</v>
      </c>
      <c r="N148" s="9"/>
      <c r="O148" s="22">
        <v>0.59494000000000002</v>
      </c>
      <c r="P148" s="22">
        <v>194.43</v>
      </c>
      <c r="Q148" s="22">
        <v>-1.6067499999999998E-2</v>
      </c>
      <c r="R148" s="22">
        <v>138</v>
      </c>
      <c r="S148" s="22">
        <v>0.59420799999999996</v>
      </c>
      <c r="T148">
        <f t="shared" si="26"/>
        <v>16.067499999999999</v>
      </c>
      <c r="U148">
        <f t="shared" si="27"/>
        <v>9.5591984500000002</v>
      </c>
      <c r="X148" s="9"/>
      <c r="Y148" s="22">
        <v>1.10504</v>
      </c>
      <c r="Z148" s="22">
        <v>276.94299999999998</v>
      </c>
      <c r="AA148" s="22">
        <v>-1.5795900000000002E-2</v>
      </c>
      <c r="AB148" s="22">
        <v>138</v>
      </c>
      <c r="AC148" s="22">
        <v>1.10382</v>
      </c>
      <c r="AD148">
        <f t="shared" si="28"/>
        <v>15.795900000000001</v>
      </c>
      <c r="AE148">
        <f t="shared" si="29"/>
        <v>17.455101336000002</v>
      </c>
      <c r="AF148" s="9"/>
      <c r="AG148" s="22">
        <v>0.59494000000000002</v>
      </c>
      <c r="AH148" s="22">
        <v>362.03699999999998</v>
      </c>
      <c r="AI148" s="22">
        <v>-1.6095000000000002E-2</v>
      </c>
      <c r="AJ148" s="22">
        <v>138</v>
      </c>
      <c r="AK148" s="22">
        <v>0.59420799999999996</v>
      </c>
      <c r="AL148">
        <f t="shared" si="30"/>
        <v>16.095000000000002</v>
      </c>
      <c r="AM148">
        <f t="shared" si="31"/>
        <v>9.5755593000000019</v>
      </c>
      <c r="AP148" s="9"/>
      <c r="AQ148" s="22">
        <v>1.10504</v>
      </c>
      <c r="AR148" s="22">
        <v>445.43700000000001</v>
      </c>
      <c r="AS148" s="22">
        <v>-1.5799000000000001E-2</v>
      </c>
      <c r="AT148" s="22">
        <v>138</v>
      </c>
      <c r="AU148" s="22">
        <v>1.10443</v>
      </c>
      <c r="AV148">
        <f t="shared" si="32"/>
        <v>15.799000000000001</v>
      </c>
      <c r="AW148">
        <f t="shared" si="33"/>
        <v>17.45852696</v>
      </c>
      <c r="AX148" s="9"/>
      <c r="AY148" s="22">
        <v>0.59494000000000002</v>
      </c>
      <c r="AZ148" s="22">
        <v>567.37099999999998</v>
      </c>
      <c r="BA148" s="22">
        <v>-1.61011E-2</v>
      </c>
      <c r="BB148" s="22">
        <v>138</v>
      </c>
      <c r="BC148" s="22">
        <v>0.59411599999999998</v>
      </c>
      <c r="BD148">
        <f t="shared" si="34"/>
        <v>16.101099999999999</v>
      </c>
      <c r="BE148">
        <f t="shared" si="35"/>
        <v>9.5791884339999989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87.243600000000001</v>
      </c>
      <c r="I149" s="22">
        <v>-1.5725699999999999E-2</v>
      </c>
      <c r="J149" s="22">
        <v>139</v>
      </c>
      <c r="K149" s="22">
        <v>1.09924</v>
      </c>
      <c r="L149">
        <f t="shared" si="24"/>
        <v>15.725699999999998</v>
      </c>
      <c r="M149">
        <f t="shared" si="25"/>
        <v>17.298427256999997</v>
      </c>
      <c r="N149" s="9"/>
      <c r="O149" s="22">
        <v>0.59997599999999995</v>
      </c>
      <c r="P149" s="22">
        <v>194.53</v>
      </c>
      <c r="Q149" s="22">
        <v>-1.6064499999999999E-2</v>
      </c>
      <c r="R149" s="22">
        <v>139</v>
      </c>
      <c r="S149" s="22">
        <v>0.59945700000000002</v>
      </c>
      <c r="T149">
        <f t="shared" si="26"/>
        <v>16.064499999999999</v>
      </c>
      <c r="U149">
        <f t="shared" si="27"/>
        <v>9.6383144519999995</v>
      </c>
      <c r="X149" s="9"/>
      <c r="Y149" s="22">
        <v>1.1000099999999999</v>
      </c>
      <c r="Z149" s="22">
        <v>277.04399999999998</v>
      </c>
      <c r="AA149" s="22">
        <v>-1.5795900000000002E-2</v>
      </c>
      <c r="AB149" s="22">
        <v>139</v>
      </c>
      <c r="AC149" s="22">
        <v>1.09863</v>
      </c>
      <c r="AD149">
        <f t="shared" si="28"/>
        <v>15.795900000000001</v>
      </c>
      <c r="AE149">
        <f t="shared" si="29"/>
        <v>17.375647959000002</v>
      </c>
      <c r="AF149" s="9"/>
      <c r="AG149" s="22">
        <v>0.59997599999999995</v>
      </c>
      <c r="AH149" s="22">
        <v>362.13799999999998</v>
      </c>
      <c r="AI149" s="22">
        <v>-1.6098000000000001E-2</v>
      </c>
      <c r="AJ149" s="22">
        <v>139</v>
      </c>
      <c r="AK149" s="22">
        <v>0.59924299999999997</v>
      </c>
      <c r="AL149">
        <f t="shared" si="30"/>
        <v>16.098000000000003</v>
      </c>
      <c r="AM149">
        <f t="shared" si="31"/>
        <v>9.6584136480000016</v>
      </c>
      <c r="AP149" s="9"/>
      <c r="AQ149" s="22">
        <v>1.1000099999999999</v>
      </c>
      <c r="AR149" s="22">
        <v>445.53800000000001</v>
      </c>
      <c r="AS149" s="22">
        <v>-1.5795900000000002E-2</v>
      </c>
      <c r="AT149" s="22">
        <v>139</v>
      </c>
      <c r="AU149" s="22">
        <v>1.09894</v>
      </c>
      <c r="AV149">
        <f t="shared" si="32"/>
        <v>15.795900000000001</v>
      </c>
      <c r="AW149">
        <f t="shared" si="33"/>
        <v>17.375647959000002</v>
      </c>
      <c r="AX149" s="9"/>
      <c r="AY149" s="22">
        <v>0.59997599999999995</v>
      </c>
      <c r="AZ149" s="22">
        <v>567.47199999999998</v>
      </c>
      <c r="BA149" s="22">
        <v>-1.6107199999999999E-2</v>
      </c>
      <c r="BB149" s="22">
        <v>139</v>
      </c>
      <c r="BC149" s="22">
        <v>0.59930399999999995</v>
      </c>
      <c r="BD149">
        <f t="shared" si="34"/>
        <v>16.107199999999999</v>
      </c>
      <c r="BE149">
        <f t="shared" si="35"/>
        <v>9.6639334271999981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87.344399999999993</v>
      </c>
      <c r="I150" s="22">
        <v>-1.5716600000000001E-2</v>
      </c>
      <c r="J150" s="22">
        <v>140</v>
      </c>
      <c r="K150" s="22">
        <v>1.09436</v>
      </c>
      <c r="L150">
        <f t="shared" si="24"/>
        <v>15.716600000000001</v>
      </c>
      <c r="M150">
        <f t="shared" si="25"/>
        <v>17.209205502000003</v>
      </c>
      <c r="N150" s="9"/>
      <c r="O150" s="22">
        <v>0.60501099999999997</v>
      </c>
      <c r="P150" s="22">
        <v>194.631</v>
      </c>
      <c r="Q150" s="22">
        <v>-1.6052199999999999E-2</v>
      </c>
      <c r="R150" s="22">
        <v>140</v>
      </c>
      <c r="S150" s="22">
        <v>0.60427900000000001</v>
      </c>
      <c r="T150">
        <f t="shared" si="26"/>
        <v>16.052199999999999</v>
      </c>
      <c r="U150">
        <f t="shared" si="27"/>
        <v>9.7117575741999982</v>
      </c>
      <c r="X150" s="9"/>
      <c r="Y150" s="22">
        <v>1.09497</v>
      </c>
      <c r="Z150" s="22">
        <v>277.14400000000001</v>
      </c>
      <c r="AA150" s="22">
        <v>-1.5795900000000002E-2</v>
      </c>
      <c r="AB150" s="22">
        <v>140</v>
      </c>
      <c r="AC150" s="22">
        <v>1.09375</v>
      </c>
      <c r="AD150">
        <f t="shared" si="28"/>
        <v>15.795900000000001</v>
      </c>
      <c r="AE150">
        <f t="shared" si="29"/>
        <v>17.296036623000003</v>
      </c>
      <c r="AF150" s="9"/>
      <c r="AG150" s="22">
        <v>0.60501099999999997</v>
      </c>
      <c r="AH150" s="22">
        <v>362.23899999999998</v>
      </c>
      <c r="AI150" s="22">
        <v>-1.6098000000000001E-2</v>
      </c>
      <c r="AJ150" s="22">
        <v>140</v>
      </c>
      <c r="AK150" s="22">
        <v>0.60427900000000001</v>
      </c>
      <c r="AL150">
        <f t="shared" si="30"/>
        <v>16.098000000000003</v>
      </c>
      <c r="AM150">
        <f t="shared" si="31"/>
        <v>9.7394670780000006</v>
      </c>
      <c r="AP150" s="9"/>
      <c r="AQ150" s="22">
        <v>1.09497</v>
      </c>
      <c r="AR150" s="22">
        <v>445.63799999999998</v>
      </c>
      <c r="AS150" s="22">
        <v>-1.5795900000000002E-2</v>
      </c>
      <c r="AT150" s="22">
        <v>140</v>
      </c>
      <c r="AU150" s="22">
        <v>1.09406</v>
      </c>
      <c r="AV150">
        <f t="shared" si="32"/>
        <v>15.795900000000001</v>
      </c>
      <c r="AW150">
        <f t="shared" si="33"/>
        <v>17.296036623000003</v>
      </c>
      <c r="AX150" s="9"/>
      <c r="AY150" s="22">
        <v>0.60501099999999997</v>
      </c>
      <c r="AZ150" s="22">
        <v>567.572</v>
      </c>
      <c r="BA150" s="22">
        <v>-1.61011E-2</v>
      </c>
      <c r="BB150" s="22">
        <v>140</v>
      </c>
      <c r="BC150" s="22">
        <v>0.60427900000000001</v>
      </c>
      <c r="BD150">
        <f t="shared" si="34"/>
        <v>16.101099999999999</v>
      </c>
      <c r="BE150">
        <f t="shared" si="35"/>
        <v>9.7413426120999986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87.445099999999996</v>
      </c>
      <c r="I151" s="22">
        <v>-1.5728800000000001E-2</v>
      </c>
      <c r="J151" s="22">
        <v>141</v>
      </c>
      <c r="K151" s="22">
        <v>1.08917</v>
      </c>
      <c r="L151">
        <f t="shared" si="24"/>
        <v>15.728800000000001</v>
      </c>
      <c r="M151">
        <f t="shared" si="25"/>
        <v>17.143448272000001</v>
      </c>
      <c r="N151" s="9"/>
      <c r="O151" s="22">
        <v>0.61004599999999998</v>
      </c>
      <c r="P151" s="22">
        <v>194.732</v>
      </c>
      <c r="Q151" s="22">
        <v>-1.6055300000000002E-2</v>
      </c>
      <c r="R151" s="22">
        <v>141</v>
      </c>
      <c r="S151" s="22">
        <v>0.609375</v>
      </c>
      <c r="T151">
        <f t="shared" si="26"/>
        <v>16.055300000000003</v>
      </c>
      <c r="U151">
        <f t="shared" si="27"/>
        <v>9.7944715438000021</v>
      </c>
      <c r="X151" s="9"/>
      <c r="Y151" s="22">
        <v>1.0899399999999999</v>
      </c>
      <c r="Z151" s="22">
        <v>277.245</v>
      </c>
      <c r="AA151" s="22">
        <v>-1.5802E-2</v>
      </c>
      <c r="AB151" s="22">
        <v>141</v>
      </c>
      <c r="AC151" s="22">
        <v>1.08917</v>
      </c>
      <c r="AD151">
        <f t="shared" si="28"/>
        <v>15.802</v>
      </c>
      <c r="AE151">
        <f t="shared" si="29"/>
        <v>17.223231879999997</v>
      </c>
      <c r="AF151" s="9"/>
      <c r="AG151" s="22">
        <v>0.61004599999999998</v>
      </c>
      <c r="AH151" s="22">
        <v>362.34</v>
      </c>
      <c r="AI151" s="22">
        <v>-1.6091899999999999E-2</v>
      </c>
      <c r="AJ151" s="22">
        <v>141</v>
      </c>
      <c r="AK151" s="22">
        <v>0.60931400000000002</v>
      </c>
      <c r="AL151">
        <f t="shared" si="30"/>
        <v>16.091899999999999</v>
      </c>
      <c r="AM151">
        <f t="shared" si="31"/>
        <v>9.8167992273999989</v>
      </c>
      <c r="AP151" s="9"/>
      <c r="AQ151" s="22">
        <v>1.0899399999999999</v>
      </c>
      <c r="AR151" s="22">
        <v>445.73899999999998</v>
      </c>
      <c r="AS151" s="22">
        <v>-1.5805099999999999E-2</v>
      </c>
      <c r="AT151" s="22">
        <v>141</v>
      </c>
      <c r="AU151" s="22">
        <v>1.08978</v>
      </c>
      <c r="AV151">
        <f t="shared" si="32"/>
        <v>15.805099999999999</v>
      </c>
      <c r="AW151">
        <f t="shared" si="33"/>
        <v>17.226610693999998</v>
      </c>
      <c r="AX151" s="9"/>
      <c r="AY151" s="22">
        <v>0.61004599999999998</v>
      </c>
      <c r="AZ151" s="22">
        <v>567.673</v>
      </c>
      <c r="BA151" s="22">
        <v>-1.6098000000000001E-2</v>
      </c>
      <c r="BB151" s="22">
        <v>141</v>
      </c>
      <c r="BC151" s="22">
        <v>0.60928300000000002</v>
      </c>
      <c r="BD151">
        <f t="shared" si="34"/>
        <v>16.098000000000003</v>
      </c>
      <c r="BE151">
        <f t="shared" si="35"/>
        <v>9.8205205080000013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87.5458</v>
      </c>
      <c r="I152" s="22">
        <v>-1.5728800000000001E-2</v>
      </c>
      <c r="J152" s="22">
        <v>142</v>
      </c>
      <c r="K152" s="22">
        <v>1.08368</v>
      </c>
      <c r="L152">
        <f t="shared" si="24"/>
        <v>15.728800000000001</v>
      </c>
      <c r="M152">
        <f t="shared" si="25"/>
        <v>17.064175120000002</v>
      </c>
      <c r="N152" s="9"/>
      <c r="O152" s="22">
        <v>0.61508200000000002</v>
      </c>
      <c r="P152" s="22">
        <v>194.833</v>
      </c>
      <c r="Q152" s="22">
        <v>-1.60614E-2</v>
      </c>
      <c r="R152" s="22">
        <v>142</v>
      </c>
      <c r="S152" s="22">
        <v>0.61462399999999995</v>
      </c>
      <c r="T152">
        <f t="shared" si="26"/>
        <v>16.061399999999999</v>
      </c>
      <c r="U152">
        <f t="shared" si="27"/>
        <v>9.8790780347999991</v>
      </c>
      <c r="X152" s="9"/>
      <c r="Y152" s="22">
        <v>1.0849</v>
      </c>
      <c r="Z152" s="22">
        <v>277.346</v>
      </c>
      <c r="AA152" s="22">
        <v>-1.58142E-2</v>
      </c>
      <c r="AB152" s="22">
        <v>142</v>
      </c>
      <c r="AC152" s="22">
        <v>1.0839799999999999</v>
      </c>
      <c r="AD152">
        <f t="shared" si="28"/>
        <v>15.8142</v>
      </c>
      <c r="AE152">
        <f t="shared" si="29"/>
        <v>17.15682558</v>
      </c>
      <c r="AF152" s="9"/>
      <c r="AG152" s="22">
        <v>0.61508200000000002</v>
      </c>
      <c r="AH152" s="22">
        <v>362.44</v>
      </c>
      <c r="AI152" s="22">
        <v>-1.6085800000000001E-2</v>
      </c>
      <c r="AJ152" s="22">
        <v>142</v>
      </c>
      <c r="AK152" s="22">
        <v>0.61438000000000004</v>
      </c>
      <c r="AL152">
        <f t="shared" si="30"/>
        <v>16.085800000000003</v>
      </c>
      <c r="AM152">
        <f t="shared" si="31"/>
        <v>9.8940860356000027</v>
      </c>
      <c r="AP152" s="9"/>
      <c r="AQ152" s="22">
        <v>1.0849</v>
      </c>
      <c r="AR152" s="22">
        <v>445.84</v>
      </c>
      <c r="AS152" s="22">
        <v>-1.5808099999999999E-2</v>
      </c>
      <c r="AT152" s="22">
        <v>142</v>
      </c>
      <c r="AU152" s="22">
        <v>1.0839799999999999</v>
      </c>
      <c r="AV152">
        <f t="shared" si="32"/>
        <v>15.808099999999998</v>
      </c>
      <c r="AW152">
        <f t="shared" si="33"/>
        <v>17.150207689999998</v>
      </c>
      <c r="AX152" s="9"/>
      <c r="AY152" s="22">
        <v>0.61508200000000002</v>
      </c>
      <c r="AZ152" s="22">
        <v>567.774</v>
      </c>
      <c r="BA152" s="22">
        <v>-1.6095000000000002E-2</v>
      </c>
      <c r="BB152" s="22">
        <v>142</v>
      </c>
      <c r="BC152" s="22">
        <v>0.61438000000000004</v>
      </c>
      <c r="BD152">
        <f t="shared" si="34"/>
        <v>16.095000000000002</v>
      </c>
      <c r="BE152">
        <f t="shared" si="35"/>
        <v>9.8997447900000015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87.646500000000003</v>
      </c>
      <c r="I153" s="22">
        <v>-1.5737899999999999E-2</v>
      </c>
      <c r="J153" s="22">
        <v>143</v>
      </c>
      <c r="K153" s="22">
        <v>1.0788</v>
      </c>
      <c r="L153">
        <f t="shared" si="24"/>
        <v>15.7379</v>
      </c>
      <c r="M153">
        <f t="shared" si="25"/>
        <v>16.994728693999999</v>
      </c>
      <c r="N153" s="9"/>
      <c r="O153" s="22">
        <v>0.62011700000000003</v>
      </c>
      <c r="P153" s="22">
        <v>194.93299999999999</v>
      </c>
      <c r="Q153" s="22">
        <v>-1.6064499999999999E-2</v>
      </c>
      <c r="R153" s="22">
        <v>143</v>
      </c>
      <c r="S153" s="22">
        <v>0.61941500000000005</v>
      </c>
      <c r="T153">
        <f t="shared" si="26"/>
        <v>16.064499999999999</v>
      </c>
      <c r="U153">
        <f t="shared" si="27"/>
        <v>9.9618695464999991</v>
      </c>
      <c r="X153" s="9"/>
      <c r="Y153" s="22">
        <v>1.07986</v>
      </c>
      <c r="Z153" s="22">
        <v>277.447</v>
      </c>
      <c r="AA153" s="22">
        <v>-1.5817299999999999E-2</v>
      </c>
      <c r="AB153" s="22">
        <v>143</v>
      </c>
      <c r="AC153" s="22">
        <v>1.07819</v>
      </c>
      <c r="AD153">
        <f t="shared" si="28"/>
        <v>15.817299999999999</v>
      </c>
      <c r="AE153">
        <f t="shared" si="29"/>
        <v>17.080469577999999</v>
      </c>
      <c r="AF153" s="9"/>
      <c r="AG153" s="22">
        <v>0.62011700000000003</v>
      </c>
      <c r="AH153" s="22">
        <v>362.541</v>
      </c>
      <c r="AI153" s="22">
        <v>-1.6098000000000001E-2</v>
      </c>
      <c r="AJ153" s="22">
        <v>143</v>
      </c>
      <c r="AK153" s="22">
        <v>0.61938499999999996</v>
      </c>
      <c r="AL153">
        <f t="shared" si="30"/>
        <v>16.098000000000003</v>
      </c>
      <c r="AM153">
        <f t="shared" si="31"/>
        <v>9.9826434660000025</v>
      </c>
      <c r="AP153" s="9"/>
      <c r="AQ153" s="22">
        <v>1.07986</v>
      </c>
      <c r="AR153" s="22">
        <v>445.94</v>
      </c>
      <c r="AS153" s="22">
        <v>-1.5817299999999999E-2</v>
      </c>
      <c r="AT153" s="22">
        <v>143</v>
      </c>
      <c r="AU153" s="22">
        <v>1.07941</v>
      </c>
      <c r="AV153">
        <f t="shared" si="32"/>
        <v>15.817299999999999</v>
      </c>
      <c r="AW153">
        <f t="shared" si="33"/>
        <v>17.080469577999999</v>
      </c>
      <c r="AX153" s="9"/>
      <c r="AY153" s="22">
        <v>0.62011700000000003</v>
      </c>
      <c r="AZ153" s="22">
        <v>567.87400000000002</v>
      </c>
      <c r="BA153" s="22">
        <v>-1.6095000000000002E-2</v>
      </c>
      <c r="BB153" s="22">
        <v>143</v>
      </c>
      <c r="BC153" s="22">
        <v>0.61938499999999996</v>
      </c>
      <c r="BD153">
        <f t="shared" si="34"/>
        <v>16.095000000000002</v>
      </c>
      <c r="BE153">
        <f t="shared" si="35"/>
        <v>9.9807831150000013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87.747200000000007</v>
      </c>
      <c r="I154" s="22">
        <v>-1.5744000000000001E-2</v>
      </c>
      <c r="J154" s="22">
        <v>144</v>
      </c>
      <c r="K154" s="22">
        <v>1.0739099999999999</v>
      </c>
      <c r="L154">
        <f t="shared" si="24"/>
        <v>15.744000000000002</v>
      </c>
      <c r="M154">
        <f t="shared" si="25"/>
        <v>16.92212352</v>
      </c>
      <c r="N154" s="9"/>
      <c r="O154" s="22">
        <v>0.62515299999999996</v>
      </c>
      <c r="P154" s="22">
        <v>195.03399999999999</v>
      </c>
      <c r="Q154" s="22">
        <v>-1.60492E-2</v>
      </c>
      <c r="R154" s="22">
        <v>144</v>
      </c>
      <c r="S154" s="22">
        <v>0.62448099999999995</v>
      </c>
      <c r="T154">
        <f t="shared" si="26"/>
        <v>16.049199999999999</v>
      </c>
      <c r="U154">
        <f t="shared" si="27"/>
        <v>10.033205527599998</v>
      </c>
      <c r="X154" s="9"/>
      <c r="Y154" s="22">
        <v>1.07483</v>
      </c>
      <c r="Z154" s="22">
        <v>277.54700000000003</v>
      </c>
      <c r="AA154" s="22">
        <v>-1.5811200000000001E-2</v>
      </c>
      <c r="AB154" s="22">
        <v>144</v>
      </c>
      <c r="AC154" s="22">
        <v>1.07361</v>
      </c>
      <c r="AD154">
        <f t="shared" si="28"/>
        <v>15.811200000000001</v>
      </c>
      <c r="AE154">
        <f t="shared" si="29"/>
        <v>16.994352096</v>
      </c>
      <c r="AF154" s="9"/>
      <c r="AG154" s="22">
        <v>0.62515299999999996</v>
      </c>
      <c r="AH154" s="22">
        <v>362.642</v>
      </c>
      <c r="AI154" s="22">
        <v>-1.6091899999999999E-2</v>
      </c>
      <c r="AJ154" s="22">
        <v>144</v>
      </c>
      <c r="AK154" s="22">
        <v>0.62441999999999998</v>
      </c>
      <c r="AL154">
        <f t="shared" si="30"/>
        <v>16.091899999999999</v>
      </c>
      <c r="AM154">
        <f t="shared" si="31"/>
        <v>10.059899560699998</v>
      </c>
      <c r="AP154" s="9"/>
      <c r="AQ154" s="22">
        <v>1.07483</v>
      </c>
      <c r="AR154" s="22">
        <v>446.041</v>
      </c>
      <c r="AS154" s="22">
        <v>-1.58142E-2</v>
      </c>
      <c r="AT154" s="22">
        <v>144</v>
      </c>
      <c r="AU154" s="22">
        <v>1.0739099999999999</v>
      </c>
      <c r="AV154">
        <f t="shared" si="32"/>
        <v>15.8142</v>
      </c>
      <c r="AW154">
        <f t="shared" si="33"/>
        <v>16.997576585999997</v>
      </c>
      <c r="AX154" s="9"/>
      <c r="AY154" s="22">
        <v>0.62515299999999996</v>
      </c>
      <c r="AZ154" s="22">
        <v>567.97500000000002</v>
      </c>
      <c r="BA154" s="22">
        <v>-1.6091899999999999E-2</v>
      </c>
      <c r="BB154" s="22">
        <v>144</v>
      </c>
      <c r="BC154" s="22">
        <v>0.624359</v>
      </c>
      <c r="BD154">
        <f t="shared" si="34"/>
        <v>16.091899999999999</v>
      </c>
      <c r="BE154">
        <f t="shared" si="35"/>
        <v>10.059899560699998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87.847899999999996</v>
      </c>
      <c r="I155" s="22">
        <v>-1.5744000000000001E-2</v>
      </c>
      <c r="J155" s="22">
        <v>145</v>
      </c>
      <c r="K155" s="22">
        <v>1.0690299999999999</v>
      </c>
      <c r="L155">
        <f t="shared" si="24"/>
        <v>15.744000000000002</v>
      </c>
      <c r="M155">
        <f t="shared" si="25"/>
        <v>16.842773760000004</v>
      </c>
      <c r="N155" s="9"/>
      <c r="O155" s="22">
        <v>0.63018799999999997</v>
      </c>
      <c r="P155" s="22">
        <v>195.13499999999999</v>
      </c>
      <c r="Q155" s="22">
        <v>-1.6052199999999999E-2</v>
      </c>
      <c r="R155" s="22">
        <v>145</v>
      </c>
      <c r="S155" s="22">
        <v>0.62960799999999995</v>
      </c>
      <c r="T155">
        <f t="shared" si="26"/>
        <v>16.052199999999999</v>
      </c>
      <c r="U155">
        <f t="shared" si="27"/>
        <v>10.115903813599999</v>
      </c>
      <c r="X155" s="9"/>
      <c r="Y155" s="22">
        <v>1.06979</v>
      </c>
      <c r="Z155" s="22">
        <v>277.64800000000002</v>
      </c>
      <c r="AA155" s="22">
        <v>-1.5817299999999999E-2</v>
      </c>
      <c r="AB155" s="22">
        <v>145</v>
      </c>
      <c r="AC155" s="22">
        <v>1.06873</v>
      </c>
      <c r="AD155">
        <f t="shared" si="28"/>
        <v>15.817299999999999</v>
      </c>
      <c r="AE155">
        <f t="shared" si="29"/>
        <v>16.921189367</v>
      </c>
      <c r="AF155" s="9"/>
      <c r="AG155" s="22">
        <v>0.63018799999999997</v>
      </c>
      <c r="AH155" s="22">
        <v>362.74200000000002</v>
      </c>
      <c r="AI155" s="22">
        <v>-1.6082800000000001E-2</v>
      </c>
      <c r="AJ155" s="22">
        <v>145</v>
      </c>
      <c r="AK155" s="22">
        <v>0.62945600000000002</v>
      </c>
      <c r="AL155">
        <f t="shared" si="30"/>
        <v>16.082800000000002</v>
      </c>
      <c r="AM155">
        <f t="shared" si="31"/>
        <v>10.135187566400001</v>
      </c>
      <c r="AP155" s="9"/>
      <c r="AQ155" s="22">
        <v>1.06979</v>
      </c>
      <c r="AR155" s="22">
        <v>446.142</v>
      </c>
      <c r="AS155" s="22">
        <v>-1.5823400000000001E-2</v>
      </c>
      <c r="AT155" s="22">
        <v>145</v>
      </c>
      <c r="AU155" s="22">
        <v>1.06873</v>
      </c>
      <c r="AV155">
        <f t="shared" si="32"/>
        <v>15.823400000000001</v>
      </c>
      <c r="AW155">
        <f t="shared" si="33"/>
        <v>16.927715086000003</v>
      </c>
      <c r="AX155" s="9"/>
      <c r="AY155" s="22">
        <v>0.63018799999999997</v>
      </c>
      <c r="AZ155" s="22">
        <v>568.07600000000002</v>
      </c>
      <c r="BA155" s="22">
        <v>-1.6085800000000001E-2</v>
      </c>
      <c r="BB155" s="22">
        <v>145</v>
      </c>
      <c r="BC155" s="22">
        <v>0.62954699999999997</v>
      </c>
      <c r="BD155">
        <f t="shared" si="34"/>
        <v>16.085800000000003</v>
      </c>
      <c r="BE155">
        <f t="shared" si="35"/>
        <v>10.137078130400001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87.948599999999999</v>
      </c>
      <c r="I156" s="22">
        <v>-1.57471E-2</v>
      </c>
      <c r="J156" s="22">
        <v>146</v>
      </c>
      <c r="K156" s="22">
        <v>1.0635399999999999</v>
      </c>
      <c r="L156">
        <f t="shared" si="24"/>
        <v>15.7471</v>
      </c>
      <c r="M156">
        <f t="shared" si="25"/>
        <v>16.766882195999997</v>
      </c>
      <c r="N156" s="9"/>
      <c r="O156" s="22">
        <v>0.63522299999999998</v>
      </c>
      <c r="P156" s="22">
        <v>195.23500000000001</v>
      </c>
      <c r="Q156" s="22">
        <v>-1.6052199999999999E-2</v>
      </c>
      <c r="R156" s="22">
        <v>146</v>
      </c>
      <c r="S156" s="22">
        <v>0.634521</v>
      </c>
      <c r="T156">
        <f t="shared" si="26"/>
        <v>16.052199999999999</v>
      </c>
      <c r="U156">
        <f t="shared" si="27"/>
        <v>10.1967266406</v>
      </c>
      <c r="X156" s="9"/>
      <c r="Y156" s="22">
        <v>1.0647599999999999</v>
      </c>
      <c r="Z156" s="22">
        <v>277.74900000000002</v>
      </c>
      <c r="AA156" s="22">
        <v>-1.5823400000000001E-2</v>
      </c>
      <c r="AB156" s="22">
        <v>146</v>
      </c>
      <c r="AC156" s="22">
        <v>1.0638399999999999</v>
      </c>
      <c r="AD156">
        <f t="shared" si="28"/>
        <v>15.823400000000001</v>
      </c>
      <c r="AE156">
        <f t="shared" si="29"/>
        <v>16.848123384000001</v>
      </c>
      <c r="AF156" s="9"/>
      <c r="AG156" s="22">
        <v>0.63522299999999998</v>
      </c>
      <c r="AH156" s="22">
        <v>362.84300000000002</v>
      </c>
      <c r="AI156" s="22">
        <v>-1.6076699999999999E-2</v>
      </c>
      <c r="AJ156" s="22">
        <v>146</v>
      </c>
      <c r="AK156" s="22">
        <v>0.634552</v>
      </c>
      <c r="AL156">
        <f t="shared" si="30"/>
        <v>16.076699999999999</v>
      </c>
      <c r="AM156">
        <f t="shared" si="31"/>
        <v>10.212289604099999</v>
      </c>
      <c r="AP156" s="9"/>
      <c r="AQ156" s="22">
        <v>1.0647599999999999</v>
      </c>
      <c r="AR156" s="22">
        <v>446.24299999999999</v>
      </c>
      <c r="AS156" s="22">
        <v>-1.58295E-2</v>
      </c>
      <c r="AT156" s="22">
        <v>146</v>
      </c>
      <c r="AU156" s="22">
        <v>1.0635399999999999</v>
      </c>
      <c r="AV156">
        <f t="shared" si="32"/>
        <v>15.829499999999999</v>
      </c>
      <c r="AW156">
        <f t="shared" si="33"/>
        <v>16.854618419999998</v>
      </c>
      <c r="AX156" s="9"/>
      <c r="AY156" s="22">
        <v>0.63522299999999998</v>
      </c>
      <c r="AZ156" s="22">
        <v>568.17700000000002</v>
      </c>
      <c r="BA156" s="22">
        <v>-1.6091899999999999E-2</v>
      </c>
      <c r="BB156" s="22">
        <v>146</v>
      </c>
      <c r="BC156" s="22">
        <v>0.634552</v>
      </c>
      <c r="BD156">
        <f t="shared" si="34"/>
        <v>16.091899999999999</v>
      </c>
      <c r="BE156">
        <f t="shared" si="35"/>
        <v>10.221944993699999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88.049300000000002</v>
      </c>
      <c r="I157" s="22">
        <v>-1.5756200000000001E-2</v>
      </c>
      <c r="J157" s="22">
        <v>147</v>
      </c>
      <c r="K157" s="22">
        <v>1.0589599999999999</v>
      </c>
      <c r="L157">
        <f t="shared" si="24"/>
        <v>15.756200000000002</v>
      </c>
      <c r="M157">
        <f t="shared" si="25"/>
        <v>16.697160264000001</v>
      </c>
      <c r="N157" s="9"/>
      <c r="O157" s="22">
        <v>0.64025900000000002</v>
      </c>
      <c r="P157" s="22">
        <v>195.33600000000001</v>
      </c>
      <c r="Q157" s="22">
        <v>-1.6052199999999999E-2</v>
      </c>
      <c r="R157" s="22">
        <v>147</v>
      </c>
      <c r="S157" s="22">
        <v>0.63955700000000004</v>
      </c>
      <c r="T157">
        <f t="shared" si="26"/>
        <v>16.052199999999999</v>
      </c>
      <c r="U157">
        <f t="shared" si="27"/>
        <v>10.2775655198</v>
      </c>
      <c r="X157" s="9"/>
      <c r="Y157" s="22">
        <v>1.05972</v>
      </c>
      <c r="Z157" s="22">
        <v>277.84899999999999</v>
      </c>
      <c r="AA157" s="22">
        <v>-1.5826400000000001E-2</v>
      </c>
      <c r="AB157" s="22">
        <v>147</v>
      </c>
      <c r="AC157" s="22">
        <v>1.0589599999999999</v>
      </c>
      <c r="AD157">
        <f t="shared" si="28"/>
        <v>15.826400000000001</v>
      </c>
      <c r="AE157">
        <f t="shared" si="29"/>
        <v>16.771552608</v>
      </c>
      <c r="AF157" s="9"/>
      <c r="AG157" s="22">
        <v>0.64025900000000002</v>
      </c>
      <c r="AH157" s="22">
        <v>362.94400000000002</v>
      </c>
      <c r="AI157" s="22">
        <v>-1.6082800000000001E-2</v>
      </c>
      <c r="AJ157" s="22">
        <v>147</v>
      </c>
      <c r="AK157" s="22">
        <v>0.63955700000000004</v>
      </c>
      <c r="AL157">
        <f t="shared" si="30"/>
        <v>16.082800000000002</v>
      </c>
      <c r="AM157">
        <f t="shared" si="31"/>
        <v>10.297157445200002</v>
      </c>
      <c r="AP157" s="9"/>
      <c r="AQ157" s="22">
        <v>1.05972</v>
      </c>
      <c r="AR157" s="22">
        <v>446.34300000000002</v>
      </c>
      <c r="AS157" s="22">
        <v>-1.58295E-2</v>
      </c>
      <c r="AT157" s="22">
        <v>147</v>
      </c>
      <c r="AU157" s="22">
        <v>1.0580400000000001</v>
      </c>
      <c r="AV157">
        <f t="shared" si="32"/>
        <v>15.829499999999999</v>
      </c>
      <c r="AW157">
        <f t="shared" si="33"/>
        <v>16.774837739999999</v>
      </c>
      <c r="AX157" s="9"/>
      <c r="AY157" s="22">
        <v>0.64025900000000002</v>
      </c>
      <c r="AZ157" s="22">
        <v>568.27700000000004</v>
      </c>
      <c r="BA157" s="22">
        <v>-1.61011E-2</v>
      </c>
      <c r="BB157" s="22">
        <v>147</v>
      </c>
      <c r="BC157" s="22">
        <v>0.63955700000000004</v>
      </c>
      <c r="BD157">
        <f t="shared" si="34"/>
        <v>16.101099999999999</v>
      </c>
      <c r="BE157">
        <f t="shared" si="35"/>
        <v>10.308874184900001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88.15</v>
      </c>
      <c r="I158" s="22">
        <v>-1.5768399999999998E-2</v>
      </c>
      <c r="J158" s="22">
        <v>148</v>
      </c>
      <c r="K158" s="22">
        <v>1.0531600000000001</v>
      </c>
      <c r="L158">
        <f t="shared" si="24"/>
        <v>15.768399999999998</v>
      </c>
      <c r="M158">
        <f t="shared" si="25"/>
        <v>16.630773795999996</v>
      </c>
      <c r="N158" s="9"/>
      <c r="O158" s="22">
        <v>0.64529400000000003</v>
      </c>
      <c r="P158" s="22">
        <v>195.43700000000001</v>
      </c>
      <c r="Q158" s="22">
        <v>-1.6058300000000001E-2</v>
      </c>
      <c r="R158" s="22">
        <v>148</v>
      </c>
      <c r="S158" s="22">
        <v>0.64471400000000001</v>
      </c>
      <c r="T158">
        <f t="shared" si="26"/>
        <v>16.058300000000003</v>
      </c>
      <c r="U158">
        <f t="shared" si="27"/>
        <v>10.362324640200002</v>
      </c>
      <c r="X158" s="9"/>
      <c r="Y158" s="22">
        <v>1.0546899999999999</v>
      </c>
      <c r="Z158" s="22">
        <v>277.95</v>
      </c>
      <c r="AA158" s="22">
        <v>-1.5832499999999999E-2</v>
      </c>
      <c r="AB158" s="22">
        <v>148</v>
      </c>
      <c r="AC158" s="22">
        <v>1.0534699999999999</v>
      </c>
      <c r="AD158">
        <f t="shared" si="28"/>
        <v>15.8325</v>
      </c>
      <c r="AE158">
        <f t="shared" si="29"/>
        <v>16.698379424999999</v>
      </c>
      <c r="AF158" s="9"/>
      <c r="AG158" s="22">
        <v>0.64529400000000003</v>
      </c>
      <c r="AH158" s="22">
        <v>363.04500000000002</v>
      </c>
      <c r="AI158" s="22">
        <v>-1.60736E-2</v>
      </c>
      <c r="AJ158" s="22">
        <v>148</v>
      </c>
      <c r="AK158" s="22">
        <v>0.64459200000000005</v>
      </c>
      <c r="AL158">
        <f t="shared" si="30"/>
        <v>16.073599999999999</v>
      </c>
      <c r="AM158">
        <f t="shared" si="31"/>
        <v>10.372197638399999</v>
      </c>
      <c r="AP158" s="9"/>
      <c r="AQ158" s="22">
        <v>1.0546899999999999</v>
      </c>
      <c r="AR158" s="22">
        <v>446.44400000000002</v>
      </c>
      <c r="AS158" s="22">
        <v>-1.58295E-2</v>
      </c>
      <c r="AT158" s="22">
        <v>148</v>
      </c>
      <c r="AU158" s="22">
        <v>1.0534699999999999</v>
      </c>
      <c r="AV158">
        <f t="shared" si="32"/>
        <v>15.829499999999999</v>
      </c>
      <c r="AW158">
        <f t="shared" si="33"/>
        <v>16.695215354999998</v>
      </c>
      <c r="AX158" s="9"/>
      <c r="AY158" s="22">
        <v>0.64529400000000003</v>
      </c>
      <c r="AZ158" s="22">
        <v>568.37800000000004</v>
      </c>
      <c r="BA158" s="22">
        <v>-1.6079699999999999E-2</v>
      </c>
      <c r="BB158" s="22">
        <v>148</v>
      </c>
      <c r="BC158" s="22">
        <v>0.64456199999999997</v>
      </c>
      <c r="BD158">
        <f t="shared" si="34"/>
        <v>16.079699999999999</v>
      </c>
      <c r="BE158">
        <f t="shared" si="35"/>
        <v>10.3761339318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88.250699999999995</v>
      </c>
      <c r="I159" s="22">
        <v>-1.57623E-2</v>
      </c>
      <c r="J159" s="22">
        <v>149</v>
      </c>
      <c r="K159" s="22">
        <v>1.0485800000000001</v>
      </c>
      <c r="L159">
        <f t="shared" si="24"/>
        <v>15.7623</v>
      </c>
      <c r="M159">
        <f t="shared" si="25"/>
        <v>16.544898194999998</v>
      </c>
      <c r="N159" s="9"/>
      <c r="O159" s="22">
        <v>0.65032999999999996</v>
      </c>
      <c r="P159" s="22">
        <v>195.53800000000001</v>
      </c>
      <c r="Q159" s="22">
        <v>-1.6058300000000001E-2</v>
      </c>
      <c r="R159" s="22">
        <v>149</v>
      </c>
      <c r="S159" s="22">
        <v>0.64959699999999998</v>
      </c>
      <c r="T159">
        <f t="shared" si="26"/>
        <v>16.058300000000003</v>
      </c>
      <c r="U159">
        <f t="shared" si="27"/>
        <v>10.443194239</v>
      </c>
      <c r="X159" s="9"/>
      <c r="Y159" s="22">
        <v>1.04965</v>
      </c>
      <c r="Z159" s="22">
        <v>278.05099999999999</v>
      </c>
      <c r="AA159" s="22">
        <v>-1.5838600000000001E-2</v>
      </c>
      <c r="AB159" s="22">
        <v>149</v>
      </c>
      <c r="AC159" s="22">
        <v>1.0485800000000001</v>
      </c>
      <c r="AD159">
        <f t="shared" si="28"/>
        <v>15.838600000000001</v>
      </c>
      <c r="AE159">
        <f t="shared" si="29"/>
        <v>16.624986490000001</v>
      </c>
      <c r="AF159" s="9"/>
      <c r="AG159" s="22">
        <v>0.65032999999999996</v>
      </c>
      <c r="AH159" s="22">
        <v>363.14499999999998</v>
      </c>
      <c r="AI159" s="22">
        <v>-1.6076699999999999E-2</v>
      </c>
      <c r="AJ159" s="22">
        <v>149</v>
      </c>
      <c r="AK159" s="22">
        <v>0.64965799999999996</v>
      </c>
      <c r="AL159">
        <f t="shared" si="30"/>
        <v>16.076699999999999</v>
      </c>
      <c r="AM159">
        <f t="shared" si="31"/>
        <v>10.455160310999998</v>
      </c>
      <c r="AP159" s="9"/>
      <c r="AQ159" s="22">
        <v>1.04965</v>
      </c>
      <c r="AR159" s="22">
        <v>446.54500000000002</v>
      </c>
      <c r="AS159" s="22">
        <v>-1.5835599999999998E-2</v>
      </c>
      <c r="AT159" s="22">
        <v>149</v>
      </c>
      <c r="AU159" s="22">
        <v>1.0488900000000001</v>
      </c>
      <c r="AV159">
        <f t="shared" si="32"/>
        <v>15.835599999999998</v>
      </c>
      <c r="AW159">
        <f t="shared" si="33"/>
        <v>16.621837539999998</v>
      </c>
      <c r="AX159" s="9"/>
      <c r="AY159" s="22">
        <v>0.65032999999999996</v>
      </c>
      <c r="AZ159" s="22">
        <v>568.47900000000004</v>
      </c>
      <c r="BA159" s="22">
        <v>-1.6079699999999999E-2</v>
      </c>
      <c r="BB159" s="22">
        <v>149</v>
      </c>
      <c r="BC159" s="22">
        <v>0.64959699999999998</v>
      </c>
      <c r="BD159">
        <f t="shared" si="34"/>
        <v>16.079699999999999</v>
      </c>
      <c r="BE159">
        <f t="shared" si="35"/>
        <v>10.457111300999999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88.351399999999998</v>
      </c>
      <c r="I160" s="22">
        <v>-1.5765399999999999E-2</v>
      </c>
      <c r="J160" s="22">
        <v>150</v>
      </c>
      <c r="K160" s="22">
        <v>1.0430900000000001</v>
      </c>
      <c r="L160">
        <f t="shared" si="24"/>
        <v>15.7654</v>
      </c>
      <c r="M160">
        <f t="shared" si="25"/>
        <v>16.468852148</v>
      </c>
      <c r="N160" s="9"/>
      <c r="O160" s="22">
        <v>0.65536499999999998</v>
      </c>
      <c r="P160" s="22">
        <v>195.63800000000001</v>
      </c>
      <c r="Q160" s="22">
        <v>-1.6055300000000002E-2</v>
      </c>
      <c r="R160" s="22">
        <v>150</v>
      </c>
      <c r="S160" s="22">
        <v>0.65466299999999999</v>
      </c>
      <c r="T160">
        <f t="shared" si="26"/>
        <v>16.055300000000003</v>
      </c>
      <c r="U160">
        <f t="shared" si="27"/>
        <v>10.522081684500002</v>
      </c>
      <c r="X160" s="9"/>
      <c r="Y160" s="22">
        <v>1.0446200000000001</v>
      </c>
      <c r="Z160" s="22">
        <v>278.15199999999999</v>
      </c>
      <c r="AA160" s="22">
        <v>-1.5835599999999998E-2</v>
      </c>
      <c r="AB160" s="22">
        <v>150</v>
      </c>
      <c r="AC160" s="22">
        <v>1.0434000000000001</v>
      </c>
      <c r="AD160">
        <f t="shared" si="28"/>
        <v>15.835599999999998</v>
      </c>
      <c r="AE160">
        <f t="shared" si="29"/>
        <v>16.542184471999999</v>
      </c>
      <c r="AF160" s="9"/>
      <c r="AG160" s="22">
        <v>0.65536499999999998</v>
      </c>
      <c r="AH160" s="22">
        <v>363.24599999999998</v>
      </c>
      <c r="AI160" s="22">
        <v>-1.6082800000000001E-2</v>
      </c>
      <c r="AJ160" s="22">
        <v>150</v>
      </c>
      <c r="AK160" s="22">
        <v>0.65460200000000002</v>
      </c>
      <c r="AL160">
        <f t="shared" si="30"/>
        <v>16.082800000000002</v>
      </c>
      <c r="AM160">
        <f t="shared" si="31"/>
        <v>10.540104222000002</v>
      </c>
      <c r="AP160" s="9"/>
      <c r="AQ160" s="22">
        <v>1.0446200000000001</v>
      </c>
      <c r="AR160" s="22">
        <v>446.64499999999998</v>
      </c>
      <c r="AS160" s="22">
        <v>-1.5835599999999998E-2</v>
      </c>
      <c r="AT160" s="22">
        <v>150</v>
      </c>
      <c r="AU160" s="22">
        <v>1.0434000000000001</v>
      </c>
      <c r="AV160">
        <f t="shared" si="32"/>
        <v>15.835599999999998</v>
      </c>
      <c r="AW160">
        <f t="shared" si="33"/>
        <v>16.542184471999999</v>
      </c>
      <c r="AX160" s="9"/>
      <c r="AY160" s="22">
        <v>0.65536499999999998</v>
      </c>
      <c r="AZ160" s="22">
        <v>568.57899999999995</v>
      </c>
      <c r="BA160" s="22">
        <v>-1.6082800000000001E-2</v>
      </c>
      <c r="BB160" s="22">
        <v>150</v>
      </c>
      <c r="BC160" s="22">
        <v>0.65466299999999999</v>
      </c>
      <c r="BD160">
        <f t="shared" si="34"/>
        <v>16.082800000000002</v>
      </c>
      <c r="BE160">
        <f t="shared" si="35"/>
        <v>10.540104222000002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88.452100000000002</v>
      </c>
      <c r="I161" s="22">
        <v>-1.5765399999999999E-2</v>
      </c>
      <c r="J161" s="22">
        <v>151</v>
      </c>
      <c r="K161" s="22">
        <v>1.03851</v>
      </c>
      <c r="L161">
        <f t="shared" si="24"/>
        <v>15.7654</v>
      </c>
      <c r="M161">
        <f t="shared" si="25"/>
        <v>16.389394531999997</v>
      </c>
      <c r="N161" s="9"/>
      <c r="O161" s="22">
        <v>0.66039999999999999</v>
      </c>
      <c r="P161" s="22">
        <v>195.739</v>
      </c>
      <c r="Q161" s="22">
        <v>-1.60492E-2</v>
      </c>
      <c r="R161" s="22">
        <v>151</v>
      </c>
      <c r="S161" s="22">
        <v>0.65966800000000003</v>
      </c>
      <c r="T161">
        <f t="shared" si="26"/>
        <v>16.049199999999999</v>
      </c>
      <c r="U161">
        <f t="shared" si="27"/>
        <v>10.598891679999999</v>
      </c>
      <c r="X161" s="9"/>
      <c r="Y161" s="22">
        <v>1.0395799999999999</v>
      </c>
      <c r="Z161" s="22">
        <v>278.25200000000001</v>
      </c>
      <c r="AA161" s="22">
        <v>-1.58417E-2</v>
      </c>
      <c r="AB161" s="22">
        <v>151</v>
      </c>
      <c r="AC161" s="22">
        <v>1.0382100000000001</v>
      </c>
      <c r="AD161">
        <f t="shared" si="28"/>
        <v>15.841699999999999</v>
      </c>
      <c r="AE161">
        <f t="shared" si="29"/>
        <v>16.468714486</v>
      </c>
      <c r="AF161" s="9"/>
      <c r="AG161" s="22">
        <v>0.66039999999999999</v>
      </c>
      <c r="AH161" s="22">
        <v>363.34699999999998</v>
      </c>
      <c r="AI161" s="22">
        <v>-1.6067499999999998E-2</v>
      </c>
      <c r="AJ161" s="22">
        <v>151</v>
      </c>
      <c r="AK161" s="22">
        <v>0.65966800000000003</v>
      </c>
      <c r="AL161">
        <f t="shared" si="30"/>
        <v>16.067499999999999</v>
      </c>
      <c r="AM161">
        <f t="shared" si="31"/>
        <v>10.610976999999998</v>
      </c>
      <c r="AP161" s="9"/>
      <c r="AQ161" s="22">
        <v>1.0395799999999999</v>
      </c>
      <c r="AR161" s="22">
        <v>446.74599999999998</v>
      </c>
      <c r="AS161" s="22">
        <v>-1.58417E-2</v>
      </c>
      <c r="AT161" s="22">
        <v>151</v>
      </c>
      <c r="AU161" s="22">
        <v>1.0388200000000001</v>
      </c>
      <c r="AV161">
        <f t="shared" si="32"/>
        <v>15.841699999999999</v>
      </c>
      <c r="AW161">
        <f t="shared" si="33"/>
        <v>16.468714486</v>
      </c>
      <c r="AX161" s="9"/>
      <c r="AY161" s="22">
        <v>0.66039999999999999</v>
      </c>
      <c r="AZ161" s="22">
        <v>568.67999999999995</v>
      </c>
      <c r="BA161" s="22">
        <v>-1.60736E-2</v>
      </c>
      <c r="BB161" s="22">
        <v>151</v>
      </c>
      <c r="BC161" s="22">
        <v>0.65963700000000003</v>
      </c>
      <c r="BD161">
        <f t="shared" si="34"/>
        <v>16.073599999999999</v>
      </c>
      <c r="BE161">
        <f t="shared" si="35"/>
        <v>10.615005439999999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88.552899999999994</v>
      </c>
      <c r="I162" s="22">
        <v>-1.5765399999999999E-2</v>
      </c>
      <c r="J162" s="22">
        <v>152</v>
      </c>
      <c r="K162" s="22">
        <v>1.03363</v>
      </c>
      <c r="L162">
        <f t="shared" si="24"/>
        <v>15.7654</v>
      </c>
      <c r="M162">
        <f t="shared" si="25"/>
        <v>16.31009457</v>
      </c>
      <c r="N162" s="9"/>
      <c r="O162" s="22">
        <v>0.66543600000000003</v>
      </c>
      <c r="P162" s="22">
        <v>195.84</v>
      </c>
      <c r="Q162" s="22">
        <v>-1.6052199999999999E-2</v>
      </c>
      <c r="R162" s="22">
        <v>152</v>
      </c>
      <c r="S162" s="22">
        <v>0.66464199999999996</v>
      </c>
      <c r="T162">
        <f t="shared" si="26"/>
        <v>16.052199999999999</v>
      </c>
      <c r="U162">
        <f t="shared" si="27"/>
        <v>10.681711759200001</v>
      </c>
      <c r="X162" s="9"/>
      <c r="Y162" s="22">
        <v>1.0345500000000001</v>
      </c>
      <c r="Z162" s="22">
        <v>278.35300000000001</v>
      </c>
      <c r="AA162" s="22">
        <v>-1.58447E-2</v>
      </c>
      <c r="AB162" s="22">
        <v>152</v>
      </c>
      <c r="AC162" s="22">
        <v>1.03363</v>
      </c>
      <c r="AD162">
        <f t="shared" si="28"/>
        <v>15.8447</v>
      </c>
      <c r="AE162">
        <f t="shared" si="29"/>
        <v>16.392134385000002</v>
      </c>
      <c r="AF162" s="9"/>
      <c r="AG162" s="22">
        <v>0.66543600000000003</v>
      </c>
      <c r="AH162" s="22">
        <v>363.447</v>
      </c>
      <c r="AI162" s="22">
        <v>-1.6067499999999998E-2</v>
      </c>
      <c r="AJ162" s="22">
        <v>152</v>
      </c>
      <c r="AK162" s="22">
        <v>0.66470300000000004</v>
      </c>
      <c r="AL162">
        <f t="shared" si="30"/>
        <v>16.067499999999999</v>
      </c>
      <c r="AM162">
        <f t="shared" si="31"/>
        <v>10.69189293</v>
      </c>
      <c r="AP162" s="9"/>
      <c r="AQ162" s="22">
        <v>1.0345500000000001</v>
      </c>
      <c r="AR162" s="22">
        <v>446.84699999999998</v>
      </c>
      <c r="AS162" s="22">
        <v>-1.5847799999999999E-2</v>
      </c>
      <c r="AT162" s="22">
        <v>152</v>
      </c>
      <c r="AU162" s="22">
        <v>1.0339400000000001</v>
      </c>
      <c r="AV162">
        <f t="shared" si="32"/>
        <v>15.847799999999999</v>
      </c>
      <c r="AW162">
        <f t="shared" si="33"/>
        <v>16.39534149</v>
      </c>
      <c r="AX162" s="9"/>
      <c r="AY162" s="22">
        <v>0.66543600000000003</v>
      </c>
      <c r="AZ162" s="22">
        <v>568.78099999999995</v>
      </c>
      <c r="BA162" s="22">
        <v>-1.6079699999999999E-2</v>
      </c>
      <c r="BB162" s="22">
        <v>152</v>
      </c>
      <c r="BC162" s="22">
        <v>0.66464199999999996</v>
      </c>
      <c r="BD162">
        <f t="shared" si="34"/>
        <v>16.079699999999999</v>
      </c>
      <c r="BE162">
        <f t="shared" si="35"/>
        <v>10.700011249199999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88.653599999999997</v>
      </c>
      <c r="I163" s="22">
        <v>-1.57745E-2</v>
      </c>
      <c r="J163" s="22">
        <v>153</v>
      </c>
      <c r="K163" s="22">
        <v>1.0287500000000001</v>
      </c>
      <c r="L163">
        <f t="shared" si="24"/>
        <v>15.7745</v>
      </c>
      <c r="M163">
        <f t="shared" si="25"/>
        <v>16.240005494999998</v>
      </c>
      <c r="N163" s="9"/>
      <c r="O163" s="22">
        <v>0.67047100000000004</v>
      </c>
      <c r="P163" s="22">
        <v>195.94</v>
      </c>
      <c r="Q163" s="22">
        <v>-1.6043100000000001E-2</v>
      </c>
      <c r="R163" s="22">
        <v>153</v>
      </c>
      <c r="S163" s="22">
        <v>0.66973899999999997</v>
      </c>
      <c r="T163">
        <f t="shared" si="26"/>
        <v>16.043100000000003</v>
      </c>
      <c r="U163">
        <f t="shared" si="27"/>
        <v>10.756433300100003</v>
      </c>
      <c r="X163" s="9"/>
      <c r="Y163" s="22">
        <v>1.0295099999999999</v>
      </c>
      <c r="Z163" s="22">
        <v>278.45400000000001</v>
      </c>
      <c r="AA163" s="22">
        <v>-1.58447E-2</v>
      </c>
      <c r="AB163" s="22">
        <v>153</v>
      </c>
      <c r="AC163" s="22">
        <v>1.02844</v>
      </c>
      <c r="AD163">
        <f t="shared" si="28"/>
        <v>15.8447</v>
      </c>
      <c r="AE163">
        <f t="shared" si="29"/>
        <v>16.312277096999999</v>
      </c>
      <c r="AF163" s="9"/>
      <c r="AG163" s="22">
        <v>0.67047100000000004</v>
      </c>
      <c r="AH163" s="22">
        <v>363.548</v>
      </c>
      <c r="AI163" s="22">
        <v>-1.6067499999999998E-2</v>
      </c>
      <c r="AJ163" s="22">
        <v>153</v>
      </c>
      <c r="AK163" s="22">
        <v>0.66973899999999997</v>
      </c>
      <c r="AL163">
        <f t="shared" si="30"/>
        <v>16.067499999999999</v>
      </c>
      <c r="AM163">
        <f t="shared" si="31"/>
        <v>10.772792792500001</v>
      </c>
      <c r="AP163" s="9"/>
      <c r="AQ163" s="22">
        <v>1.0295099999999999</v>
      </c>
      <c r="AR163" s="22">
        <v>446.947</v>
      </c>
      <c r="AS163" s="22">
        <v>-1.58447E-2</v>
      </c>
      <c r="AT163" s="22">
        <v>153</v>
      </c>
      <c r="AU163" s="22">
        <v>1.02844</v>
      </c>
      <c r="AV163">
        <f t="shared" si="32"/>
        <v>15.8447</v>
      </c>
      <c r="AW163">
        <f t="shared" si="33"/>
        <v>16.312277096999999</v>
      </c>
      <c r="AX163" s="9"/>
      <c r="AY163" s="22">
        <v>0.67047100000000004</v>
      </c>
      <c r="AZ163" s="22">
        <v>568.88199999999995</v>
      </c>
      <c r="BA163" s="22">
        <v>-1.6064499999999999E-2</v>
      </c>
      <c r="BB163" s="22">
        <v>153</v>
      </c>
      <c r="BC163" s="22">
        <v>0.66983000000000004</v>
      </c>
      <c r="BD163">
        <f t="shared" si="34"/>
        <v>16.064499999999999</v>
      </c>
      <c r="BE163">
        <f t="shared" si="35"/>
        <v>10.770781379500001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88.754300000000001</v>
      </c>
      <c r="I164" s="22">
        <v>-1.5777599999999999E-2</v>
      </c>
      <c r="J164" s="22">
        <v>154</v>
      </c>
      <c r="K164" s="22">
        <v>1.02295</v>
      </c>
      <c r="L164">
        <f t="shared" si="24"/>
        <v>15.7776</v>
      </c>
      <c r="M164">
        <f t="shared" si="25"/>
        <v>16.163835647999999</v>
      </c>
      <c r="N164" s="9"/>
      <c r="O164" s="22">
        <v>0.67550699999999997</v>
      </c>
      <c r="P164" s="22">
        <v>196.041</v>
      </c>
      <c r="Q164" s="22">
        <v>-1.6039999999999999E-2</v>
      </c>
      <c r="R164" s="22">
        <v>154</v>
      </c>
      <c r="S164" s="22">
        <v>0.67465200000000003</v>
      </c>
      <c r="T164">
        <f t="shared" si="26"/>
        <v>16.04</v>
      </c>
      <c r="U164">
        <f t="shared" si="27"/>
        <v>10.835132279999998</v>
      </c>
      <c r="X164" s="9"/>
      <c r="Y164" s="22">
        <v>1.0244800000000001</v>
      </c>
      <c r="Z164" s="22">
        <v>278.55399999999997</v>
      </c>
      <c r="AA164" s="22">
        <v>-1.58417E-2</v>
      </c>
      <c r="AB164" s="22">
        <v>154</v>
      </c>
      <c r="AC164" s="22">
        <v>1.02295</v>
      </c>
      <c r="AD164">
        <f t="shared" si="28"/>
        <v>15.841699999999999</v>
      </c>
      <c r="AE164">
        <f t="shared" si="29"/>
        <v>16.229504815999999</v>
      </c>
      <c r="AF164" s="9"/>
      <c r="AG164" s="22">
        <v>0.67550699999999997</v>
      </c>
      <c r="AH164" s="22">
        <v>363.649</v>
      </c>
      <c r="AI164" s="22">
        <v>-1.60614E-2</v>
      </c>
      <c r="AJ164" s="22">
        <v>154</v>
      </c>
      <c r="AK164" s="22">
        <v>0.67492700000000005</v>
      </c>
      <c r="AL164">
        <f t="shared" si="30"/>
        <v>16.061399999999999</v>
      </c>
      <c r="AM164">
        <f t="shared" si="31"/>
        <v>10.849588129799999</v>
      </c>
      <c r="AP164" s="9"/>
      <c r="AQ164" s="22">
        <v>1.0244800000000001</v>
      </c>
      <c r="AR164" s="22">
        <v>447.048</v>
      </c>
      <c r="AS164" s="22">
        <v>-1.5847799999999999E-2</v>
      </c>
      <c r="AT164" s="22">
        <v>154</v>
      </c>
      <c r="AU164" s="22">
        <v>1.02356</v>
      </c>
      <c r="AV164">
        <f t="shared" si="32"/>
        <v>15.847799999999999</v>
      </c>
      <c r="AW164">
        <f t="shared" si="33"/>
        <v>16.235754144000001</v>
      </c>
      <c r="AX164" s="9"/>
      <c r="AY164" s="22">
        <v>0.67550699999999997</v>
      </c>
      <c r="AZ164" s="22">
        <v>568.98199999999997</v>
      </c>
      <c r="BA164" s="22">
        <v>-1.6070600000000001E-2</v>
      </c>
      <c r="BB164" s="22">
        <v>154</v>
      </c>
      <c r="BC164" s="22">
        <v>0.67480499999999999</v>
      </c>
      <c r="BD164">
        <f t="shared" si="34"/>
        <v>16.070600000000002</v>
      </c>
      <c r="BE164">
        <f t="shared" si="35"/>
        <v>10.855802794200001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88.855000000000004</v>
      </c>
      <c r="I165" s="22">
        <v>-1.5783700000000001E-2</v>
      </c>
      <c r="J165" s="22">
        <v>155</v>
      </c>
      <c r="K165" s="22">
        <v>1.01868</v>
      </c>
      <c r="L165">
        <f t="shared" si="24"/>
        <v>15.783700000000001</v>
      </c>
      <c r="M165">
        <f t="shared" si="25"/>
        <v>16.090535127999999</v>
      </c>
      <c r="N165" s="9"/>
      <c r="O165" s="22">
        <v>0.68054199999999998</v>
      </c>
      <c r="P165" s="22">
        <v>196.142</v>
      </c>
      <c r="Q165" s="22">
        <v>-1.6043100000000001E-2</v>
      </c>
      <c r="R165" s="22">
        <v>155</v>
      </c>
      <c r="S165" s="22">
        <v>0.67977900000000002</v>
      </c>
      <c r="T165">
        <f t="shared" si="26"/>
        <v>16.043100000000003</v>
      </c>
      <c r="U165">
        <f t="shared" si="27"/>
        <v>10.918003360200002</v>
      </c>
      <c r="X165" s="9"/>
      <c r="Y165" s="22">
        <v>1.0194399999999999</v>
      </c>
      <c r="Z165" s="22">
        <v>278.65499999999997</v>
      </c>
      <c r="AA165" s="22">
        <v>-1.5859999999999999E-2</v>
      </c>
      <c r="AB165" s="22">
        <v>155</v>
      </c>
      <c r="AC165" s="22">
        <v>1.01837</v>
      </c>
      <c r="AD165">
        <f t="shared" si="28"/>
        <v>15.86</v>
      </c>
      <c r="AE165">
        <f t="shared" si="29"/>
        <v>16.168318399999997</v>
      </c>
      <c r="AF165" s="9"/>
      <c r="AG165" s="22">
        <v>0.68054199999999998</v>
      </c>
      <c r="AH165" s="22">
        <v>363.75</v>
      </c>
      <c r="AI165" s="22">
        <v>-1.6064499999999999E-2</v>
      </c>
      <c r="AJ165" s="22">
        <v>155</v>
      </c>
      <c r="AK165" s="22">
        <v>0.679871</v>
      </c>
      <c r="AL165">
        <f t="shared" si="30"/>
        <v>16.064499999999999</v>
      </c>
      <c r="AM165">
        <f t="shared" si="31"/>
        <v>10.932566958999999</v>
      </c>
      <c r="AP165" s="9"/>
      <c r="AQ165" s="22">
        <v>1.0194399999999999</v>
      </c>
      <c r="AR165" s="22">
        <v>447.149</v>
      </c>
      <c r="AS165" s="22">
        <v>-1.5853900000000001E-2</v>
      </c>
      <c r="AT165" s="22">
        <v>155</v>
      </c>
      <c r="AU165" s="22">
        <v>1.01837</v>
      </c>
      <c r="AV165">
        <f t="shared" si="32"/>
        <v>15.853900000000001</v>
      </c>
      <c r="AW165">
        <f t="shared" si="33"/>
        <v>16.162099816000001</v>
      </c>
      <c r="AX165" s="9"/>
      <c r="AY165" s="22">
        <v>0.68054199999999998</v>
      </c>
      <c r="AZ165" s="22">
        <v>569.08299999999997</v>
      </c>
      <c r="BA165" s="22">
        <v>-1.60736E-2</v>
      </c>
      <c r="BB165" s="22">
        <v>155</v>
      </c>
      <c r="BC165" s="22">
        <v>0.67968799999999996</v>
      </c>
      <c r="BD165">
        <f t="shared" si="34"/>
        <v>16.073599999999999</v>
      </c>
      <c r="BE165">
        <f t="shared" si="35"/>
        <v>10.938759891199998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88.955699999999993</v>
      </c>
      <c r="I166" s="22">
        <v>-1.5783700000000001E-2</v>
      </c>
      <c r="J166" s="22">
        <v>156</v>
      </c>
      <c r="K166" s="22">
        <v>1.01349</v>
      </c>
      <c r="L166">
        <f t="shared" si="24"/>
        <v>15.783700000000001</v>
      </c>
      <c r="M166">
        <f t="shared" si="25"/>
        <v>16.01098528</v>
      </c>
      <c r="N166" s="9"/>
      <c r="O166" s="22">
        <v>0.68557699999999999</v>
      </c>
      <c r="P166" s="22">
        <v>196.24199999999999</v>
      </c>
      <c r="Q166" s="22">
        <v>-1.60339E-2</v>
      </c>
      <c r="R166" s="22">
        <v>156</v>
      </c>
      <c r="S166" s="22">
        <v>0.68484500000000004</v>
      </c>
      <c r="T166">
        <f t="shared" si="26"/>
        <v>16.033899999999999</v>
      </c>
      <c r="U166">
        <f t="shared" si="27"/>
        <v>10.9924730603</v>
      </c>
      <c r="X166" s="9"/>
      <c r="Y166" s="22">
        <v>1.0144</v>
      </c>
      <c r="Z166" s="22">
        <v>278.75599999999997</v>
      </c>
      <c r="AA166" s="22">
        <v>-1.5866100000000001E-2</v>
      </c>
      <c r="AB166" s="22">
        <v>156</v>
      </c>
      <c r="AC166" s="22">
        <v>1.01349</v>
      </c>
      <c r="AD166">
        <f t="shared" si="28"/>
        <v>15.866100000000001</v>
      </c>
      <c r="AE166">
        <f t="shared" si="29"/>
        <v>16.09457184</v>
      </c>
      <c r="AF166" s="9"/>
      <c r="AG166" s="22">
        <v>0.68557699999999999</v>
      </c>
      <c r="AH166" s="22">
        <v>363.85</v>
      </c>
      <c r="AI166" s="22">
        <v>-1.6064499999999999E-2</v>
      </c>
      <c r="AJ166" s="22">
        <v>156</v>
      </c>
      <c r="AK166" s="22">
        <v>0.68475299999999995</v>
      </c>
      <c r="AL166">
        <f t="shared" si="30"/>
        <v>16.064499999999999</v>
      </c>
      <c r="AM166">
        <f t="shared" si="31"/>
        <v>11.013451716499999</v>
      </c>
      <c r="AP166" s="9"/>
      <c r="AQ166" s="22">
        <v>1.0144</v>
      </c>
      <c r="AR166" s="22">
        <v>447.25</v>
      </c>
      <c r="AS166" s="22">
        <v>-1.5853900000000001E-2</v>
      </c>
      <c r="AT166" s="22">
        <v>156</v>
      </c>
      <c r="AU166" s="22">
        <v>1.01288</v>
      </c>
      <c r="AV166">
        <f t="shared" si="32"/>
        <v>15.853900000000001</v>
      </c>
      <c r="AW166">
        <f t="shared" si="33"/>
        <v>16.082196160000002</v>
      </c>
      <c r="AX166" s="9"/>
      <c r="AY166" s="22">
        <v>0.68557699999999999</v>
      </c>
      <c r="AZ166" s="22">
        <v>569.18399999999997</v>
      </c>
      <c r="BA166" s="22">
        <v>-1.6067499999999998E-2</v>
      </c>
      <c r="BB166" s="22">
        <v>156</v>
      </c>
      <c r="BC166" s="22">
        <v>0.68475299999999995</v>
      </c>
      <c r="BD166">
        <f t="shared" si="34"/>
        <v>16.067499999999999</v>
      </c>
      <c r="BE166">
        <f t="shared" si="35"/>
        <v>11.015508447499998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89.056399999999996</v>
      </c>
      <c r="I167" s="22">
        <v>-1.5786700000000001E-2</v>
      </c>
      <c r="J167" s="22">
        <v>157</v>
      </c>
      <c r="K167" s="22">
        <v>1.0083</v>
      </c>
      <c r="L167">
        <f t="shared" si="24"/>
        <v>15.786700000000002</v>
      </c>
      <c r="M167">
        <f t="shared" si="25"/>
        <v>15.934621379000003</v>
      </c>
      <c r="N167" s="9"/>
      <c r="O167" s="22">
        <v>0.69061300000000003</v>
      </c>
      <c r="P167" s="22">
        <v>196.34299999999999</v>
      </c>
      <c r="Q167" s="22">
        <v>-1.60339E-2</v>
      </c>
      <c r="R167" s="22">
        <v>157</v>
      </c>
      <c r="S167" s="22">
        <v>0.68988000000000005</v>
      </c>
      <c r="T167">
        <f t="shared" si="26"/>
        <v>16.033899999999999</v>
      </c>
      <c r="U167">
        <f t="shared" si="27"/>
        <v>11.073219780700001</v>
      </c>
      <c r="X167" s="9"/>
      <c r="Y167" s="22">
        <v>1.0093700000000001</v>
      </c>
      <c r="Z167" s="22">
        <v>278.85700000000003</v>
      </c>
      <c r="AA167" s="22">
        <v>-1.5866100000000001E-2</v>
      </c>
      <c r="AB167" s="22">
        <v>157</v>
      </c>
      <c r="AC167" s="22">
        <v>1.00922</v>
      </c>
      <c r="AD167">
        <f t="shared" si="28"/>
        <v>15.866100000000001</v>
      </c>
      <c r="AE167">
        <f t="shared" si="29"/>
        <v>16.014765357000002</v>
      </c>
      <c r="AF167" s="9"/>
      <c r="AG167" s="22">
        <v>0.69061300000000003</v>
      </c>
      <c r="AH167" s="22">
        <v>363.95100000000002</v>
      </c>
      <c r="AI167" s="22">
        <v>-1.6055300000000002E-2</v>
      </c>
      <c r="AJ167" s="22">
        <v>157</v>
      </c>
      <c r="AK167" s="22">
        <v>0.68988000000000005</v>
      </c>
      <c r="AL167">
        <f t="shared" si="30"/>
        <v>16.055300000000003</v>
      </c>
      <c r="AM167">
        <f t="shared" si="31"/>
        <v>11.087998898900002</v>
      </c>
      <c r="AP167" s="9"/>
      <c r="AQ167" s="22">
        <v>1.0093700000000001</v>
      </c>
      <c r="AR167" s="22">
        <v>447.35</v>
      </c>
      <c r="AS167" s="22">
        <v>-1.5859999999999999E-2</v>
      </c>
      <c r="AT167" s="22">
        <v>157</v>
      </c>
      <c r="AU167" s="22">
        <v>1.0083</v>
      </c>
      <c r="AV167">
        <f t="shared" si="32"/>
        <v>15.86</v>
      </c>
      <c r="AW167">
        <f t="shared" si="33"/>
        <v>16.008608200000001</v>
      </c>
      <c r="AX167" s="9"/>
      <c r="AY167" s="22">
        <v>0.69061300000000003</v>
      </c>
      <c r="AZ167" s="22">
        <v>569.28399999999999</v>
      </c>
      <c r="BA167" s="22">
        <v>-1.6070600000000001E-2</v>
      </c>
      <c r="BB167" s="22">
        <v>157</v>
      </c>
      <c r="BC167" s="22">
        <v>0.68991100000000005</v>
      </c>
      <c r="BD167">
        <f t="shared" si="34"/>
        <v>16.070600000000002</v>
      </c>
      <c r="BE167">
        <f t="shared" si="35"/>
        <v>11.098565277800002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89.1571</v>
      </c>
      <c r="I168" s="22">
        <v>-1.57898E-2</v>
      </c>
      <c r="J168" s="22">
        <v>158</v>
      </c>
      <c r="K168" s="22">
        <v>1.00403</v>
      </c>
      <c r="L168">
        <f t="shared" si="24"/>
        <v>15.7898</v>
      </c>
      <c r="M168">
        <f t="shared" si="25"/>
        <v>15.858169833999998</v>
      </c>
      <c r="N168" s="9"/>
      <c r="O168" s="22">
        <v>0.69564800000000004</v>
      </c>
      <c r="P168" s="22">
        <v>196.44399999999999</v>
      </c>
      <c r="Q168" s="22">
        <v>-1.6030900000000001E-2</v>
      </c>
      <c r="R168" s="22">
        <v>158</v>
      </c>
      <c r="S168" s="22">
        <v>0.69506800000000002</v>
      </c>
      <c r="T168">
        <f t="shared" si="26"/>
        <v>16.030899999999999</v>
      </c>
      <c r="U168">
        <f t="shared" si="27"/>
        <v>11.151863523199999</v>
      </c>
      <c r="X168" s="9"/>
      <c r="Y168" s="22">
        <v>1.0043299999999999</v>
      </c>
      <c r="Z168" s="22">
        <v>278.95699999999999</v>
      </c>
      <c r="AA168" s="22">
        <v>-1.5878300000000001E-2</v>
      </c>
      <c r="AB168" s="22">
        <v>158</v>
      </c>
      <c r="AC168" s="22">
        <v>1.00342</v>
      </c>
      <c r="AD168">
        <f t="shared" si="28"/>
        <v>15.878300000000001</v>
      </c>
      <c r="AE168">
        <f t="shared" si="29"/>
        <v>15.947053039</v>
      </c>
      <c r="AF168" s="9"/>
      <c r="AG168" s="22">
        <v>0.69564800000000004</v>
      </c>
      <c r="AH168" s="22">
        <v>364.05200000000002</v>
      </c>
      <c r="AI168" s="22">
        <v>-1.60614E-2</v>
      </c>
      <c r="AJ168" s="22">
        <v>158</v>
      </c>
      <c r="AK168" s="22">
        <v>0.69506800000000002</v>
      </c>
      <c r="AL168">
        <f t="shared" si="30"/>
        <v>16.061399999999999</v>
      </c>
      <c r="AM168">
        <f t="shared" si="31"/>
        <v>11.1730807872</v>
      </c>
      <c r="AP168" s="9"/>
      <c r="AQ168" s="22">
        <v>1.0043299999999999</v>
      </c>
      <c r="AR168" s="22">
        <v>447.45100000000002</v>
      </c>
      <c r="AS168" s="22">
        <v>-1.5869100000000001E-2</v>
      </c>
      <c r="AT168" s="22">
        <v>158</v>
      </c>
      <c r="AU168" s="22">
        <v>1.0031099999999999</v>
      </c>
      <c r="AV168">
        <f t="shared" si="32"/>
        <v>15.869100000000001</v>
      </c>
      <c r="AW168">
        <f t="shared" si="33"/>
        <v>15.937813203000001</v>
      </c>
      <c r="AX168" s="9"/>
      <c r="AY168" s="22">
        <v>0.69564800000000004</v>
      </c>
      <c r="AZ168" s="22">
        <v>569.38499999999999</v>
      </c>
      <c r="BA168" s="22">
        <v>-1.6064499999999999E-2</v>
      </c>
      <c r="BB168" s="22">
        <v>158</v>
      </c>
      <c r="BC168" s="22">
        <v>0.69516</v>
      </c>
      <c r="BD168">
        <f t="shared" si="34"/>
        <v>16.064499999999999</v>
      </c>
      <c r="BE168">
        <f t="shared" si="35"/>
        <v>11.175237296000001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89.257800000000003</v>
      </c>
      <c r="I169" s="22">
        <v>-1.5795900000000002E-2</v>
      </c>
      <c r="J169" s="22">
        <v>159</v>
      </c>
      <c r="K169" s="22">
        <v>0.99853499999999995</v>
      </c>
      <c r="L169">
        <f t="shared" si="24"/>
        <v>15.795900000000001</v>
      </c>
      <c r="M169">
        <f t="shared" si="25"/>
        <v>15.784811278200001</v>
      </c>
      <c r="N169" s="9"/>
      <c r="O169" s="22">
        <v>0.70068399999999997</v>
      </c>
      <c r="P169" s="22">
        <v>196.54499999999999</v>
      </c>
      <c r="Q169" s="22">
        <v>-1.60217E-2</v>
      </c>
      <c r="R169" s="22">
        <v>159</v>
      </c>
      <c r="S169" s="22">
        <v>0.69998199999999999</v>
      </c>
      <c r="T169">
        <f t="shared" si="26"/>
        <v>16.021699999999999</v>
      </c>
      <c r="U169">
        <f t="shared" si="27"/>
        <v>11.226148842799999</v>
      </c>
      <c r="X169" s="9"/>
      <c r="Y169" s="22">
        <v>0.99929800000000002</v>
      </c>
      <c r="Z169" s="22">
        <v>279.05799999999999</v>
      </c>
      <c r="AA169" s="22">
        <v>-1.5875199999999999E-2</v>
      </c>
      <c r="AB169" s="22">
        <v>159</v>
      </c>
      <c r="AC169" s="22">
        <v>0.99853499999999995</v>
      </c>
      <c r="AD169">
        <f t="shared" si="28"/>
        <v>15.8752</v>
      </c>
      <c r="AE169">
        <f t="shared" si="29"/>
        <v>15.864055609599999</v>
      </c>
      <c r="AF169" s="9"/>
      <c r="AG169" s="22">
        <v>0.70068399999999997</v>
      </c>
      <c r="AH169" s="22">
        <v>364.15199999999999</v>
      </c>
      <c r="AI169" s="22">
        <v>-1.6055300000000002E-2</v>
      </c>
      <c r="AJ169" s="22">
        <v>159</v>
      </c>
      <c r="AK169" s="22">
        <v>0.69973799999999997</v>
      </c>
      <c r="AL169">
        <f t="shared" si="30"/>
        <v>16.055300000000003</v>
      </c>
      <c r="AM169">
        <f t="shared" si="31"/>
        <v>11.249691825200001</v>
      </c>
      <c r="AP169" s="9"/>
      <c r="AQ169" s="22">
        <v>0.99929800000000002</v>
      </c>
      <c r="AR169" s="22">
        <v>447.55200000000002</v>
      </c>
      <c r="AS169" s="22">
        <v>-1.58722E-2</v>
      </c>
      <c r="AT169" s="22">
        <v>159</v>
      </c>
      <c r="AU169" s="22">
        <v>0.99792499999999995</v>
      </c>
      <c r="AV169">
        <f t="shared" si="32"/>
        <v>15.872199999999999</v>
      </c>
      <c r="AW169">
        <f t="shared" si="33"/>
        <v>15.861057715599999</v>
      </c>
      <c r="AX169" s="9"/>
      <c r="AY169" s="22">
        <v>0.70068399999999997</v>
      </c>
      <c r="AZ169" s="22">
        <v>569.48599999999999</v>
      </c>
      <c r="BA169" s="22">
        <v>-1.6064499999999999E-2</v>
      </c>
      <c r="BB169" s="22">
        <v>159</v>
      </c>
      <c r="BC169" s="22">
        <v>0.70004299999999997</v>
      </c>
      <c r="BD169">
        <f t="shared" si="34"/>
        <v>16.064499999999999</v>
      </c>
      <c r="BE169">
        <f t="shared" si="35"/>
        <v>11.256138117999999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89.358500000000006</v>
      </c>
      <c r="I170" s="22">
        <v>-1.5802E-2</v>
      </c>
      <c r="J170" s="22">
        <v>160</v>
      </c>
      <c r="K170" s="22">
        <v>0.99273699999999998</v>
      </c>
      <c r="L170">
        <f t="shared" si="24"/>
        <v>15.802</v>
      </c>
      <c r="M170">
        <f t="shared" si="25"/>
        <v>15.711343926</v>
      </c>
      <c r="N170" s="9"/>
      <c r="O170" s="22">
        <v>0.70571899999999999</v>
      </c>
      <c r="P170" s="22">
        <v>196.64500000000001</v>
      </c>
      <c r="Q170" s="22">
        <v>-1.6027799999999998E-2</v>
      </c>
      <c r="R170" s="22">
        <v>160</v>
      </c>
      <c r="S170" s="22">
        <v>0.70504800000000001</v>
      </c>
      <c r="T170">
        <f t="shared" si="26"/>
        <v>16.027799999999999</v>
      </c>
      <c r="U170">
        <f t="shared" si="27"/>
        <v>11.311122988199999</v>
      </c>
      <c r="X170" s="9"/>
      <c r="Y170" s="22">
        <v>0.99426300000000001</v>
      </c>
      <c r="Z170" s="22">
        <v>279.15899999999999</v>
      </c>
      <c r="AA170" s="22">
        <v>-1.5878300000000001E-2</v>
      </c>
      <c r="AB170" s="22">
        <v>160</v>
      </c>
      <c r="AC170" s="22">
        <v>0.99273699999999998</v>
      </c>
      <c r="AD170">
        <f t="shared" si="28"/>
        <v>15.878300000000001</v>
      </c>
      <c r="AE170">
        <f t="shared" si="29"/>
        <v>15.787206192900001</v>
      </c>
      <c r="AF170" s="9"/>
      <c r="AG170" s="22">
        <v>0.70571899999999999</v>
      </c>
      <c r="AH170" s="22">
        <v>364.25299999999999</v>
      </c>
      <c r="AI170" s="22">
        <v>-1.6058300000000001E-2</v>
      </c>
      <c r="AJ170" s="22">
        <v>160</v>
      </c>
      <c r="AK170" s="22">
        <v>0.70504800000000001</v>
      </c>
      <c r="AL170">
        <f t="shared" si="30"/>
        <v>16.058300000000003</v>
      </c>
      <c r="AM170">
        <f t="shared" si="31"/>
        <v>11.332647417700002</v>
      </c>
      <c r="AP170" s="9"/>
      <c r="AQ170" s="22">
        <v>0.99426300000000001</v>
      </c>
      <c r="AR170" s="22">
        <v>447.65199999999999</v>
      </c>
      <c r="AS170" s="22">
        <v>-1.5866100000000001E-2</v>
      </c>
      <c r="AT170" s="22">
        <v>160</v>
      </c>
      <c r="AU170" s="22">
        <v>0.99334699999999998</v>
      </c>
      <c r="AV170">
        <f t="shared" si="32"/>
        <v>15.866100000000001</v>
      </c>
      <c r="AW170">
        <f t="shared" si="33"/>
        <v>15.775076184300001</v>
      </c>
      <c r="AX170" s="9"/>
      <c r="AY170" s="22">
        <v>0.70571899999999999</v>
      </c>
      <c r="AZ170" s="22">
        <v>569.58699999999999</v>
      </c>
      <c r="BA170" s="22">
        <v>-1.6064499999999999E-2</v>
      </c>
      <c r="BB170" s="22">
        <v>160</v>
      </c>
      <c r="BC170" s="22">
        <v>0.70520000000000005</v>
      </c>
      <c r="BD170">
        <f t="shared" si="34"/>
        <v>16.064499999999999</v>
      </c>
      <c r="BE170">
        <f t="shared" si="35"/>
        <v>11.337022875499999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89.459199999999996</v>
      </c>
      <c r="I171" s="22">
        <v>-1.5802E-2</v>
      </c>
      <c r="J171" s="22">
        <v>161</v>
      </c>
      <c r="K171" s="22">
        <v>0.98846400000000001</v>
      </c>
      <c r="L171">
        <f t="shared" si="24"/>
        <v>15.802</v>
      </c>
      <c r="M171">
        <f t="shared" si="25"/>
        <v>15.631765053999999</v>
      </c>
      <c r="N171" s="9"/>
      <c r="O171" s="22">
        <v>0.710754</v>
      </c>
      <c r="P171" s="22">
        <v>196.74600000000001</v>
      </c>
      <c r="Q171" s="22">
        <v>-1.6024799999999999E-2</v>
      </c>
      <c r="R171" s="22">
        <v>161</v>
      </c>
      <c r="S171" s="22">
        <v>0.71002200000000004</v>
      </c>
      <c r="T171">
        <f t="shared" si="26"/>
        <v>16.024799999999999</v>
      </c>
      <c r="U171">
        <f t="shared" si="27"/>
        <v>11.389690699199999</v>
      </c>
      <c r="X171" s="9"/>
      <c r="Y171" s="22">
        <v>0.98922699999999997</v>
      </c>
      <c r="Z171" s="22">
        <v>279.25900000000001</v>
      </c>
      <c r="AA171" s="22">
        <v>-1.5881300000000001E-2</v>
      </c>
      <c r="AB171" s="22">
        <v>161</v>
      </c>
      <c r="AC171" s="22">
        <v>0.98785400000000001</v>
      </c>
      <c r="AD171">
        <f t="shared" si="28"/>
        <v>15.881300000000001</v>
      </c>
      <c r="AE171">
        <f t="shared" si="29"/>
        <v>15.7102107551</v>
      </c>
      <c r="AF171" s="9"/>
      <c r="AG171" s="22">
        <v>0.710754</v>
      </c>
      <c r="AH171" s="22">
        <v>364.35399999999998</v>
      </c>
      <c r="AI171" s="22">
        <v>-1.60492E-2</v>
      </c>
      <c r="AJ171" s="22">
        <v>161</v>
      </c>
      <c r="AK171" s="22">
        <v>0.71002200000000004</v>
      </c>
      <c r="AL171">
        <f t="shared" si="30"/>
        <v>16.049199999999999</v>
      </c>
      <c r="AM171">
        <f t="shared" si="31"/>
        <v>11.407033096799999</v>
      </c>
      <c r="AP171" s="9"/>
      <c r="AQ171" s="22">
        <v>0.98922699999999997</v>
      </c>
      <c r="AR171" s="22">
        <v>447.75299999999999</v>
      </c>
      <c r="AS171" s="22">
        <v>-1.5881300000000001E-2</v>
      </c>
      <c r="AT171" s="22">
        <v>161</v>
      </c>
      <c r="AU171" s="22">
        <v>0.98815900000000001</v>
      </c>
      <c r="AV171">
        <f t="shared" si="32"/>
        <v>15.881300000000001</v>
      </c>
      <c r="AW171">
        <f t="shared" si="33"/>
        <v>15.7102107551</v>
      </c>
      <c r="AX171" s="9"/>
      <c r="AY171" s="22">
        <v>0.710754</v>
      </c>
      <c r="AZ171" s="22">
        <v>569.68700000000001</v>
      </c>
      <c r="BA171" s="22">
        <v>-1.6052199999999999E-2</v>
      </c>
      <c r="BB171" s="22">
        <v>161</v>
      </c>
      <c r="BC171" s="22">
        <v>0.71002200000000004</v>
      </c>
      <c r="BD171">
        <f t="shared" si="34"/>
        <v>16.052199999999999</v>
      </c>
      <c r="BE171">
        <f t="shared" si="35"/>
        <v>11.409165358799999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89.559899999999999</v>
      </c>
      <c r="I172" s="22">
        <v>-1.5805099999999999E-2</v>
      </c>
      <c r="J172" s="22">
        <v>162</v>
      </c>
      <c r="K172" s="22">
        <v>0.98297100000000004</v>
      </c>
      <c r="L172">
        <f t="shared" si="24"/>
        <v>15.805099999999999</v>
      </c>
      <c r="M172">
        <f t="shared" si="25"/>
        <v>15.555252979199999</v>
      </c>
      <c r="N172" s="9"/>
      <c r="O172" s="22">
        <v>0.71579000000000004</v>
      </c>
      <c r="P172" s="22">
        <v>196.84700000000001</v>
      </c>
      <c r="Q172" s="22">
        <v>-1.6027799999999998E-2</v>
      </c>
      <c r="R172" s="22">
        <v>162</v>
      </c>
      <c r="S172" s="22">
        <v>0.71484400000000003</v>
      </c>
      <c r="T172">
        <f t="shared" si="26"/>
        <v>16.027799999999999</v>
      </c>
      <c r="U172">
        <f t="shared" si="27"/>
        <v>11.472538962</v>
      </c>
      <c r="X172" s="9"/>
      <c r="Y172" s="22">
        <v>0.98419199999999996</v>
      </c>
      <c r="Z172" s="22">
        <v>279.36</v>
      </c>
      <c r="AA172" s="22">
        <v>-1.5887499999999999E-2</v>
      </c>
      <c r="AB172" s="22">
        <v>162</v>
      </c>
      <c r="AC172" s="22">
        <v>0.98358199999999996</v>
      </c>
      <c r="AD172">
        <f t="shared" si="28"/>
        <v>15.887499999999999</v>
      </c>
      <c r="AE172">
        <f t="shared" si="29"/>
        <v>15.636350399999998</v>
      </c>
      <c r="AF172" s="9"/>
      <c r="AG172" s="22">
        <v>0.71579000000000004</v>
      </c>
      <c r="AH172" s="22">
        <v>364.45400000000001</v>
      </c>
      <c r="AI172" s="22">
        <v>-1.6043100000000001E-2</v>
      </c>
      <c r="AJ172" s="22">
        <v>162</v>
      </c>
      <c r="AK172" s="22">
        <v>0.71502699999999997</v>
      </c>
      <c r="AL172">
        <f t="shared" si="30"/>
        <v>16.043100000000003</v>
      </c>
      <c r="AM172">
        <f t="shared" si="31"/>
        <v>11.483490549000003</v>
      </c>
      <c r="AP172" s="9"/>
      <c r="AQ172" s="22">
        <v>0.98419199999999996</v>
      </c>
      <c r="AR172" s="22">
        <v>447.85399999999998</v>
      </c>
      <c r="AS172" s="22">
        <v>-1.5887499999999999E-2</v>
      </c>
      <c r="AT172" s="22">
        <v>162</v>
      </c>
      <c r="AU172" s="22">
        <v>0.98297100000000004</v>
      </c>
      <c r="AV172">
        <f t="shared" si="32"/>
        <v>15.887499999999999</v>
      </c>
      <c r="AW172">
        <f t="shared" si="33"/>
        <v>15.636350399999998</v>
      </c>
      <c r="AX172" s="9"/>
      <c r="AY172" s="22">
        <v>0.71579000000000004</v>
      </c>
      <c r="AZ172" s="22">
        <v>569.78800000000001</v>
      </c>
      <c r="BA172" s="22">
        <v>-1.6052199999999999E-2</v>
      </c>
      <c r="BB172" s="22">
        <v>162</v>
      </c>
      <c r="BC172" s="22">
        <v>0.71514900000000003</v>
      </c>
      <c r="BD172">
        <f t="shared" si="34"/>
        <v>16.052199999999999</v>
      </c>
      <c r="BE172">
        <f t="shared" si="35"/>
        <v>11.490004237999999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89.660600000000002</v>
      </c>
      <c r="I173" s="22">
        <v>-1.58142E-2</v>
      </c>
      <c r="J173" s="22">
        <v>163</v>
      </c>
      <c r="K173" s="22">
        <v>0.97808799999999996</v>
      </c>
      <c r="L173">
        <f t="shared" si="24"/>
        <v>15.8142</v>
      </c>
      <c r="M173">
        <f t="shared" si="25"/>
        <v>15.484568815199999</v>
      </c>
      <c r="N173" s="9"/>
      <c r="O173" s="22">
        <v>0.72082500000000005</v>
      </c>
      <c r="P173" s="22">
        <v>196.947</v>
      </c>
      <c r="Q173" s="22">
        <v>-1.60217E-2</v>
      </c>
      <c r="R173" s="22">
        <v>163</v>
      </c>
      <c r="S173" s="22">
        <v>0.72015399999999996</v>
      </c>
      <c r="T173">
        <f t="shared" si="26"/>
        <v>16.021699999999999</v>
      </c>
      <c r="U173">
        <f t="shared" si="27"/>
        <v>11.5488419025</v>
      </c>
      <c r="X173" s="9"/>
      <c r="Y173" s="22">
        <v>0.97915600000000003</v>
      </c>
      <c r="Z173" s="22">
        <v>279.46100000000001</v>
      </c>
      <c r="AA173" s="22">
        <v>-1.5890499999999998E-2</v>
      </c>
      <c r="AB173" s="22">
        <v>163</v>
      </c>
      <c r="AC173" s="22">
        <v>0.97869899999999999</v>
      </c>
      <c r="AD173">
        <f t="shared" si="28"/>
        <v>15.890499999999998</v>
      </c>
      <c r="AE173">
        <f t="shared" si="29"/>
        <v>15.559278417999998</v>
      </c>
      <c r="AF173" s="9"/>
      <c r="AG173" s="22">
        <v>0.72082500000000005</v>
      </c>
      <c r="AH173" s="22">
        <v>364.55500000000001</v>
      </c>
      <c r="AI173" s="22">
        <v>-1.6039999999999999E-2</v>
      </c>
      <c r="AJ173" s="22">
        <v>163</v>
      </c>
      <c r="AK173" s="22">
        <v>0.72018400000000005</v>
      </c>
      <c r="AL173">
        <f t="shared" si="30"/>
        <v>16.04</v>
      </c>
      <c r="AM173">
        <f t="shared" si="31"/>
        <v>11.562033</v>
      </c>
      <c r="AP173" s="9"/>
      <c r="AQ173" s="22">
        <v>0.97915600000000003</v>
      </c>
      <c r="AR173" s="22">
        <v>447.95499999999998</v>
      </c>
      <c r="AS173" s="22">
        <v>-1.5881300000000001E-2</v>
      </c>
      <c r="AT173" s="22">
        <v>163</v>
      </c>
      <c r="AU173" s="22">
        <v>0.97808799999999996</v>
      </c>
      <c r="AV173">
        <f t="shared" si="32"/>
        <v>15.881300000000001</v>
      </c>
      <c r="AW173">
        <f t="shared" si="33"/>
        <v>15.550270182800002</v>
      </c>
      <c r="AX173" s="9"/>
      <c r="AY173" s="22">
        <v>0.72082500000000005</v>
      </c>
      <c r="AZ173" s="22">
        <v>569.88900000000001</v>
      </c>
      <c r="BA173" s="22">
        <v>-1.6055300000000002E-2</v>
      </c>
      <c r="BB173" s="22">
        <v>163</v>
      </c>
      <c r="BC173" s="22">
        <v>0.72006199999999998</v>
      </c>
      <c r="BD173">
        <f t="shared" si="34"/>
        <v>16.055300000000003</v>
      </c>
      <c r="BE173">
        <f t="shared" si="35"/>
        <v>11.573061622500003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89.761300000000006</v>
      </c>
      <c r="I174" s="22">
        <v>-1.5811200000000001E-2</v>
      </c>
      <c r="J174" s="22">
        <v>164</v>
      </c>
      <c r="K174" s="22">
        <v>0.97289999999999999</v>
      </c>
      <c r="L174">
        <f t="shared" si="24"/>
        <v>15.811200000000001</v>
      </c>
      <c r="M174">
        <f t="shared" si="25"/>
        <v>15.402021955200002</v>
      </c>
      <c r="N174" s="9"/>
      <c r="O174" s="22">
        <v>0.72586099999999998</v>
      </c>
      <c r="P174" s="22">
        <v>197.048</v>
      </c>
      <c r="Q174" s="22">
        <v>-1.60187E-2</v>
      </c>
      <c r="R174" s="22">
        <v>164</v>
      </c>
      <c r="S174" s="22">
        <v>0.725159</v>
      </c>
      <c r="T174">
        <f t="shared" si="26"/>
        <v>16.018699999999999</v>
      </c>
      <c r="U174">
        <f t="shared" si="27"/>
        <v>11.627349600699999</v>
      </c>
      <c r="X174" s="9"/>
      <c r="Y174" s="22">
        <v>0.97412100000000001</v>
      </c>
      <c r="Z174" s="22">
        <v>279.56099999999998</v>
      </c>
      <c r="AA174" s="22">
        <v>-1.5899699999999999E-2</v>
      </c>
      <c r="AB174" s="22">
        <v>164</v>
      </c>
      <c r="AC174" s="22">
        <v>0.97320600000000002</v>
      </c>
      <c r="AD174">
        <f t="shared" si="28"/>
        <v>15.899699999999999</v>
      </c>
      <c r="AE174">
        <f t="shared" si="29"/>
        <v>15.488231663699999</v>
      </c>
      <c r="AF174" s="9"/>
      <c r="AG174" s="22">
        <v>0.72586099999999998</v>
      </c>
      <c r="AH174" s="22">
        <v>364.65600000000001</v>
      </c>
      <c r="AI174" s="22">
        <v>-1.6030900000000001E-2</v>
      </c>
      <c r="AJ174" s="22">
        <v>164</v>
      </c>
      <c r="AK174" s="22">
        <v>0.72540300000000002</v>
      </c>
      <c r="AL174">
        <f t="shared" si="30"/>
        <v>16.030899999999999</v>
      </c>
      <c r="AM174">
        <f t="shared" si="31"/>
        <v>11.636205104899998</v>
      </c>
      <c r="AP174" s="9"/>
      <c r="AQ174" s="22">
        <v>0.97412100000000001</v>
      </c>
      <c r="AR174" s="22">
        <v>448.05500000000001</v>
      </c>
      <c r="AS174" s="22">
        <v>-1.58966E-2</v>
      </c>
      <c r="AT174" s="22">
        <v>164</v>
      </c>
      <c r="AU174" s="22">
        <v>0.97351100000000002</v>
      </c>
      <c r="AV174">
        <f t="shared" si="32"/>
        <v>15.896600000000001</v>
      </c>
      <c r="AW174">
        <f t="shared" si="33"/>
        <v>15.485211888600002</v>
      </c>
      <c r="AX174" s="9"/>
      <c r="AY174" s="22">
        <v>0.72586099999999998</v>
      </c>
      <c r="AZ174" s="22">
        <v>569.98900000000003</v>
      </c>
      <c r="BA174" s="22">
        <v>-1.6055300000000002E-2</v>
      </c>
      <c r="BB174" s="22">
        <v>164</v>
      </c>
      <c r="BC174" s="22">
        <v>0.725159</v>
      </c>
      <c r="BD174">
        <f t="shared" si="34"/>
        <v>16.055300000000003</v>
      </c>
      <c r="BE174">
        <f t="shared" si="35"/>
        <v>11.653916113300001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89.862099999999998</v>
      </c>
      <c r="I175" s="22">
        <v>-1.5811200000000001E-2</v>
      </c>
      <c r="J175" s="22">
        <v>165</v>
      </c>
      <c r="K175" s="22">
        <v>0.96801800000000005</v>
      </c>
      <c r="L175">
        <f t="shared" si="24"/>
        <v>15.811200000000001</v>
      </c>
      <c r="M175">
        <f t="shared" si="25"/>
        <v>15.322412563200002</v>
      </c>
      <c r="N175" s="9"/>
      <c r="O175" s="22">
        <v>0.73089599999999999</v>
      </c>
      <c r="P175" s="22">
        <v>197.149</v>
      </c>
      <c r="Q175" s="22">
        <v>-1.60187E-2</v>
      </c>
      <c r="R175" s="22">
        <v>165</v>
      </c>
      <c r="S175" s="22">
        <v>0.73022500000000001</v>
      </c>
      <c r="T175">
        <f t="shared" si="26"/>
        <v>16.018699999999999</v>
      </c>
      <c r="U175">
        <f t="shared" si="27"/>
        <v>11.7080037552</v>
      </c>
      <c r="X175" s="9"/>
      <c r="Y175" s="22">
        <v>0.969086</v>
      </c>
      <c r="Z175" s="22">
        <v>279.66199999999998</v>
      </c>
      <c r="AA175" s="22">
        <v>-1.5893600000000001E-2</v>
      </c>
      <c r="AB175" s="22">
        <v>165</v>
      </c>
      <c r="AC175" s="22">
        <v>0.96801800000000005</v>
      </c>
      <c r="AD175">
        <f t="shared" si="28"/>
        <v>15.893600000000001</v>
      </c>
      <c r="AE175">
        <f t="shared" si="29"/>
        <v>15.402265249600001</v>
      </c>
      <c r="AF175" s="9"/>
      <c r="AG175" s="22">
        <v>0.73089599999999999</v>
      </c>
      <c r="AH175" s="22">
        <v>364.75700000000001</v>
      </c>
      <c r="AI175" s="22">
        <v>-1.6036999999999999E-2</v>
      </c>
      <c r="AJ175" s="22">
        <v>165</v>
      </c>
      <c r="AK175" s="22">
        <v>0.73004199999999997</v>
      </c>
      <c r="AL175">
        <f t="shared" si="30"/>
        <v>16.036999999999999</v>
      </c>
      <c r="AM175">
        <f t="shared" si="31"/>
        <v>11.721379151999999</v>
      </c>
      <c r="AP175" s="9"/>
      <c r="AQ175" s="22">
        <v>0.969086</v>
      </c>
      <c r="AR175" s="22">
        <v>448.15600000000001</v>
      </c>
      <c r="AS175" s="22">
        <v>-1.58966E-2</v>
      </c>
      <c r="AT175" s="22">
        <v>165</v>
      </c>
      <c r="AU175" s="22">
        <v>0.96771200000000002</v>
      </c>
      <c r="AV175">
        <f t="shared" si="32"/>
        <v>15.896600000000001</v>
      </c>
      <c r="AW175">
        <f t="shared" si="33"/>
        <v>15.405172507600001</v>
      </c>
      <c r="AX175" s="9"/>
      <c r="AY175" s="22">
        <v>0.73089599999999999</v>
      </c>
      <c r="AZ175" s="22">
        <v>570.09</v>
      </c>
      <c r="BA175" s="22">
        <v>-1.6052199999999999E-2</v>
      </c>
      <c r="BB175" s="22">
        <v>165</v>
      </c>
      <c r="BC175" s="22">
        <v>0.73019400000000001</v>
      </c>
      <c r="BD175">
        <f t="shared" si="34"/>
        <v>16.052199999999999</v>
      </c>
      <c r="BE175">
        <f t="shared" si="35"/>
        <v>11.7324887712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89.962800000000001</v>
      </c>
      <c r="I176" s="22">
        <v>-1.5823400000000001E-2</v>
      </c>
      <c r="J176" s="22">
        <v>166</v>
      </c>
      <c r="K176" s="22">
        <v>0.96313499999999996</v>
      </c>
      <c r="L176">
        <f t="shared" si="24"/>
        <v>15.823400000000001</v>
      </c>
      <c r="M176">
        <f t="shared" si="25"/>
        <v>15.254548770000001</v>
      </c>
      <c r="N176" s="9"/>
      <c r="O176" s="22">
        <v>0.735931</v>
      </c>
      <c r="P176" s="22">
        <v>197.25</v>
      </c>
      <c r="Q176" s="22">
        <v>-1.6015600000000001E-2</v>
      </c>
      <c r="R176" s="22">
        <v>166</v>
      </c>
      <c r="S176" s="22">
        <v>0.73526000000000002</v>
      </c>
      <c r="T176">
        <f t="shared" si="26"/>
        <v>16.015600000000003</v>
      </c>
      <c r="U176">
        <f t="shared" si="27"/>
        <v>11.786376523600001</v>
      </c>
      <c r="X176" s="9"/>
      <c r="Y176" s="22">
        <v>0.96404999999999996</v>
      </c>
      <c r="Z176" s="22">
        <v>279.76299999999998</v>
      </c>
      <c r="AA176" s="22">
        <v>-1.5893600000000001E-2</v>
      </c>
      <c r="AB176" s="22">
        <v>166</v>
      </c>
      <c r="AC176" s="22">
        <v>0.96313499999999996</v>
      </c>
      <c r="AD176">
        <f t="shared" si="28"/>
        <v>15.893600000000001</v>
      </c>
      <c r="AE176">
        <f t="shared" si="29"/>
        <v>15.322225080000001</v>
      </c>
      <c r="AF176" s="9"/>
      <c r="AG176" s="22">
        <v>0.735931</v>
      </c>
      <c r="AH176" s="22">
        <v>364.85700000000003</v>
      </c>
      <c r="AI176" s="22">
        <v>-1.6039999999999999E-2</v>
      </c>
      <c r="AJ176" s="22">
        <v>166</v>
      </c>
      <c r="AK176" s="22">
        <v>0.73510699999999995</v>
      </c>
      <c r="AL176">
        <f t="shared" si="30"/>
        <v>16.04</v>
      </c>
      <c r="AM176">
        <f t="shared" si="31"/>
        <v>11.80433324</v>
      </c>
      <c r="AP176" s="9"/>
      <c r="AQ176" s="22">
        <v>0.96404999999999996</v>
      </c>
      <c r="AR176" s="22">
        <v>448.25700000000001</v>
      </c>
      <c r="AS176" s="22">
        <v>-1.5893600000000001E-2</v>
      </c>
      <c r="AT176" s="22">
        <v>166</v>
      </c>
      <c r="AU176" s="22">
        <v>0.96313499999999996</v>
      </c>
      <c r="AV176">
        <f t="shared" si="32"/>
        <v>15.893600000000001</v>
      </c>
      <c r="AW176">
        <f t="shared" si="33"/>
        <v>15.322225080000001</v>
      </c>
      <c r="AX176" s="9"/>
      <c r="AY176" s="22">
        <v>0.735931</v>
      </c>
      <c r="AZ176" s="22">
        <v>570.19100000000003</v>
      </c>
      <c r="BA176" s="22">
        <v>-1.6046100000000001E-2</v>
      </c>
      <c r="BB176" s="22">
        <v>166</v>
      </c>
      <c r="BC176" s="22">
        <v>0.73526000000000002</v>
      </c>
      <c r="BD176">
        <f t="shared" si="34"/>
        <v>16.046099999999999</v>
      </c>
      <c r="BE176">
        <f t="shared" si="35"/>
        <v>11.8088224191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90.063500000000005</v>
      </c>
      <c r="I177" s="22">
        <v>-1.5826400000000001E-2</v>
      </c>
      <c r="J177" s="22">
        <v>167</v>
      </c>
      <c r="K177" s="22">
        <v>0.95794699999999999</v>
      </c>
      <c r="L177">
        <f t="shared" si="24"/>
        <v>15.826400000000001</v>
      </c>
      <c r="M177">
        <f t="shared" si="25"/>
        <v>15.177754996000001</v>
      </c>
      <c r="N177" s="9"/>
      <c r="O177" s="22">
        <v>0.74096700000000004</v>
      </c>
      <c r="P177" s="22">
        <v>197.35</v>
      </c>
      <c r="Q177" s="22">
        <v>-1.60065E-2</v>
      </c>
      <c r="R177" s="22">
        <v>167</v>
      </c>
      <c r="S177" s="22">
        <v>0.74017299999999997</v>
      </c>
      <c r="T177">
        <f t="shared" si="26"/>
        <v>16.006499999999999</v>
      </c>
      <c r="U177">
        <f t="shared" si="27"/>
        <v>11.860288285499999</v>
      </c>
      <c r="X177" s="9"/>
      <c r="Y177" s="22">
        <v>0.95901499999999995</v>
      </c>
      <c r="Z177" s="22">
        <v>279.86399999999998</v>
      </c>
      <c r="AA177" s="22">
        <v>-1.58966E-2</v>
      </c>
      <c r="AB177" s="22">
        <v>167</v>
      </c>
      <c r="AC177" s="22">
        <v>0.95794699999999999</v>
      </c>
      <c r="AD177">
        <f t="shared" si="28"/>
        <v>15.896600000000001</v>
      </c>
      <c r="AE177">
        <f t="shared" si="29"/>
        <v>15.245077849000001</v>
      </c>
      <c r="AF177" s="9"/>
      <c r="AG177" s="22">
        <v>0.74096700000000004</v>
      </c>
      <c r="AH177" s="22">
        <v>364.95800000000003</v>
      </c>
      <c r="AI177" s="22">
        <v>-1.6036999999999999E-2</v>
      </c>
      <c r="AJ177" s="22">
        <v>167</v>
      </c>
      <c r="AK177" s="22">
        <v>0.74029500000000004</v>
      </c>
      <c r="AL177">
        <f t="shared" si="30"/>
        <v>16.036999999999999</v>
      </c>
      <c r="AM177">
        <f t="shared" si="31"/>
        <v>11.882887779000001</v>
      </c>
      <c r="AP177" s="9"/>
      <c r="AQ177" s="22">
        <v>0.95901499999999995</v>
      </c>
      <c r="AR177" s="22">
        <v>448.35700000000003</v>
      </c>
      <c r="AS177" s="22">
        <v>-1.5899699999999999E-2</v>
      </c>
      <c r="AT177" s="22">
        <v>167</v>
      </c>
      <c r="AU177" s="22">
        <v>0.95855699999999999</v>
      </c>
      <c r="AV177">
        <f t="shared" si="32"/>
        <v>15.899699999999999</v>
      </c>
      <c r="AW177">
        <f t="shared" si="33"/>
        <v>15.248050795499999</v>
      </c>
      <c r="AX177" s="9"/>
      <c r="AY177" s="22">
        <v>0.74096700000000004</v>
      </c>
      <c r="AZ177" s="22">
        <v>570.29100000000005</v>
      </c>
      <c r="BA177" s="22">
        <v>-1.6039999999999999E-2</v>
      </c>
      <c r="BB177" s="22">
        <v>167</v>
      </c>
      <c r="BC177" s="22">
        <v>0.74008200000000002</v>
      </c>
      <c r="BD177">
        <f t="shared" si="34"/>
        <v>16.04</v>
      </c>
      <c r="BE177">
        <f t="shared" si="35"/>
        <v>11.88511068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90.164199999999994</v>
      </c>
      <c r="I178" s="22">
        <v>-1.5832499999999999E-2</v>
      </c>
      <c r="J178" s="22">
        <v>168</v>
      </c>
      <c r="K178" s="22">
        <v>0.95306400000000002</v>
      </c>
      <c r="L178">
        <f t="shared" si="24"/>
        <v>15.8325</v>
      </c>
      <c r="M178">
        <f t="shared" si="25"/>
        <v>15.103872517499999</v>
      </c>
      <c r="N178" s="9"/>
      <c r="O178" s="22">
        <v>0.74600200000000005</v>
      </c>
      <c r="P178" s="22">
        <v>197.45099999999999</v>
      </c>
      <c r="Q178" s="22">
        <v>-1.6012599999999998E-2</v>
      </c>
      <c r="R178" s="22">
        <v>168</v>
      </c>
      <c r="S178" s="22">
        <v>0.74529999999999996</v>
      </c>
      <c r="T178">
        <f t="shared" si="26"/>
        <v>16.012599999999999</v>
      </c>
      <c r="U178">
        <f t="shared" si="27"/>
        <v>11.945431625199999</v>
      </c>
      <c r="X178" s="9"/>
      <c r="Y178" s="22">
        <v>0.95397900000000002</v>
      </c>
      <c r="Z178" s="22">
        <v>279.964</v>
      </c>
      <c r="AA178" s="22">
        <v>-1.5893600000000001E-2</v>
      </c>
      <c r="AB178" s="22">
        <v>168</v>
      </c>
      <c r="AC178" s="22">
        <v>0.95275900000000002</v>
      </c>
      <c r="AD178">
        <f t="shared" si="28"/>
        <v>15.893600000000001</v>
      </c>
      <c r="AE178">
        <f t="shared" si="29"/>
        <v>15.162160634400001</v>
      </c>
      <c r="AF178" s="9"/>
      <c r="AG178" s="22">
        <v>0.74600200000000005</v>
      </c>
      <c r="AH178" s="22">
        <v>365.05900000000003</v>
      </c>
      <c r="AI178" s="22">
        <v>-1.6030900000000001E-2</v>
      </c>
      <c r="AJ178" s="22">
        <v>168</v>
      </c>
      <c r="AK178" s="22">
        <v>0.74536100000000005</v>
      </c>
      <c r="AL178">
        <f t="shared" si="30"/>
        <v>16.030899999999999</v>
      </c>
      <c r="AM178">
        <f t="shared" si="31"/>
        <v>11.959083461800001</v>
      </c>
      <c r="AP178" s="9"/>
      <c r="AQ178" s="22">
        <v>0.95397900000000002</v>
      </c>
      <c r="AR178" s="22">
        <v>448.45800000000003</v>
      </c>
      <c r="AS178" s="22">
        <v>-1.5908800000000001E-2</v>
      </c>
      <c r="AT178" s="22">
        <v>168</v>
      </c>
      <c r="AU178" s="22">
        <v>0.95275900000000002</v>
      </c>
      <c r="AV178">
        <f t="shared" si="32"/>
        <v>15.908800000000001</v>
      </c>
      <c r="AW178">
        <f t="shared" si="33"/>
        <v>15.176661115200002</v>
      </c>
      <c r="AX178" s="9"/>
      <c r="AY178" s="22">
        <v>0.74600200000000005</v>
      </c>
      <c r="AZ178" s="22">
        <v>570.39200000000005</v>
      </c>
      <c r="BA178" s="22">
        <v>-1.6039999999999999E-2</v>
      </c>
      <c r="BB178" s="22">
        <v>168</v>
      </c>
      <c r="BC178" s="22">
        <v>0.74517800000000001</v>
      </c>
      <c r="BD178">
        <f t="shared" si="34"/>
        <v>16.04</v>
      </c>
      <c r="BE178">
        <f t="shared" si="35"/>
        <v>11.96587208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90.264899999999997</v>
      </c>
      <c r="I179" s="22">
        <v>-1.5835599999999998E-2</v>
      </c>
      <c r="J179" s="22">
        <v>169</v>
      </c>
      <c r="K179" s="22">
        <v>0.94787600000000005</v>
      </c>
      <c r="L179">
        <f t="shared" si="24"/>
        <v>15.835599999999998</v>
      </c>
      <c r="M179">
        <f t="shared" si="25"/>
        <v>15.027097606399998</v>
      </c>
      <c r="N179" s="9"/>
      <c r="O179" s="22">
        <v>0.75103799999999998</v>
      </c>
      <c r="P179" s="22">
        <v>197.55199999999999</v>
      </c>
      <c r="Q179" s="22">
        <v>-1.60065E-2</v>
      </c>
      <c r="R179" s="22">
        <v>169</v>
      </c>
      <c r="S179" s="22">
        <v>0.75018300000000004</v>
      </c>
      <c r="T179">
        <f t="shared" si="26"/>
        <v>16.006499999999999</v>
      </c>
      <c r="U179">
        <f t="shared" si="27"/>
        <v>12.021489746999999</v>
      </c>
      <c r="X179" s="9"/>
      <c r="Y179" s="22">
        <v>0.94894400000000001</v>
      </c>
      <c r="Z179" s="22">
        <v>280.065</v>
      </c>
      <c r="AA179" s="22">
        <v>-1.5899699999999999E-2</v>
      </c>
      <c r="AB179" s="22">
        <v>169</v>
      </c>
      <c r="AC179" s="22">
        <v>0.94787600000000005</v>
      </c>
      <c r="AD179">
        <f t="shared" si="28"/>
        <v>15.899699999999999</v>
      </c>
      <c r="AE179">
        <f t="shared" si="29"/>
        <v>15.087924916799999</v>
      </c>
      <c r="AF179" s="9"/>
      <c r="AG179" s="22">
        <v>0.75103799999999998</v>
      </c>
      <c r="AH179" s="22">
        <v>365.15899999999999</v>
      </c>
      <c r="AI179" s="22">
        <v>-1.60339E-2</v>
      </c>
      <c r="AJ179" s="22">
        <v>169</v>
      </c>
      <c r="AK179" s="22">
        <v>0.750305</v>
      </c>
      <c r="AL179">
        <f t="shared" si="30"/>
        <v>16.033899999999999</v>
      </c>
      <c r="AM179">
        <f t="shared" si="31"/>
        <v>12.042068188199998</v>
      </c>
      <c r="AP179" s="9"/>
      <c r="AQ179" s="22">
        <v>0.94894400000000001</v>
      </c>
      <c r="AR179" s="22">
        <v>448.55900000000003</v>
      </c>
      <c r="AS179" s="22">
        <v>-1.5914899999999999E-2</v>
      </c>
      <c r="AT179" s="22">
        <v>169</v>
      </c>
      <c r="AU179" s="22">
        <v>0.94787600000000005</v>
      </c>
      <c r="AV179">
        <f t="shared" si="32"/>
        <v>15.914899999999999</v>
      </c>
      <c r="AW179">
        <f t="shared" si="33"/>
        <v>15.1023488656</v>
      </c>
      <c r="AX179" s="9"/>
      <c r="AY179" s="22">
        <v>0.75103799999999998</v>
      </c>
      <c r="AZ179" s="22">
        <v>570.49300000000005</v>
      </c>
      <c r="BA179" s="22">
        <v>-1.60339E-2</v>
      </c>
      <c r="BB179" s="22">
        <v>169</v>
      </c>
      <c r="BC179" s="22">
        <v>0.75027500000000003</v>
      </c>
      <c r="BD179">
        <f t="shared" si="34"/>
        <v>16.033899999999999</v>
      </c>
      <c r="BE179">
        <f t="shared" si="35"/>
        <v>12.042068188199998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90.365600000000001</v>
      </c>
      <c r="I180" s="22">
        <v>-1.5826400000000001E-2</v>
      </c>
      <c r="J180" s="22">
        <v>170</v>
      </c>
      <c r="K180" s="22">
        <v>0.94268799999999997</v>
      </c>
      <c r="L180">
        <f t="shared" si="24"/>
        <v>15.826400000000001</v>
      </c>
      <c r="M180">
        <f t="shared" si="25"/>
        <v>14.938681397600002</v>
      </c>
      <c r="N180" s="9"/>
      <c r="O180" s="22">
        <v>0.756073</v>
      </c>
      <c r="P180" s="22">
        <v>197.65199999999999</v>
      </c>
      <c r="Q180" s="22">
        <v>-1.6003400000000001E-2</v>
      </c>
      <c r="R180" s="22">
        <v>170</v>
      </c>
      <c r="S180" s="22">
        <v>0.75531000000000004</v>
      </c>
      <c r="T180">
        <f t="shared" si="26"/>
        <v>16.003399999999999</v>
      </c>
      <c r="U180">
        <f t="shared" si="27"/>
        <v>12.099738648199999</v>
      </c>
      <c r="X180" s="9"/>
      <c r="Y180" s="22">
        <v>0.943909</v>
      </c>
      <c r="Z180" s="22">
        <v>280.166</v>
      </c>
      <c r="AA180" s="22">
        <v>-1.5905800000000001E-2</v>
      </c>
      <c r="AB180" s="22">
        <v>170</v>
      </c>
      <c r="AC180" s="22">
        <v>0.94268799999999997</v>
      </c>
      <c r="AD180">
        <f t="shared" si="28"/>
        <v>15.905800000000001</v>
      </c>
      <c r="AE180">
        <f t="shared" si="29"/>
        <v>15.013627772200001</v>
      </c>
      <c r="AF180" s="9"/>
      <c r="AG180" s="22">
        <v>0.756073</v>
      </c>
      <c r="AH180" s="22">
        <v>365.26</v>
      </c>
      <c r="AI180" s="22">
        <v>-1.60339E-2</v>
      </c>
      <c r="AJ180" s="22">
        <v>170</v>
      </c>
      <c r="AK180" s="22">
        <v>0.75500500000000004</v>
      </c>
      <c r="AL180">
        <f t="shared" si="30"/>
        <v>16.033899999999999</v>
      </c>
      <c r="AM180">
        <f t="shared" si="31"/>
        <v>12.122798874699999</v>
      </c>
      <c r="AP180" s="9"/>
      <c r="AQ180" s="22">
        <v>0.943909</v>
      </c>
      <c r="AR180" s="22">
        <v>448.65899999999999</v>
      </c>
      <c r="AS180" s="22">
        <v>-1.59119E-2</v>
      </c>
      <c r="AT180" s="22">
        <v>170</v>
      </c>
      <c r="AU180" s="22">
        <v>0.94299299999999997</v>
      </c>
      <c r="AV180">
        <f t="shared" si="32"/>
        <v>15.911899999999999</v>
      </c>
      <c r="AW180">
        <f t="shared" si="33"/>
        <v>15.019385617099999</v>
      </c>
      <c r="AX180" s="9"/>
      <c r="AY180" s="22">
        <v>0.756073</v>
      </c>
      <c r="AZ180" s="22">
        <v>570.59400000000005</v>
      </c>
      <c r="BA180" s="22">
        <v>-1.6030900000000001E-2</v>
      </c>
      <c r="BB180" s="22">
        <v>170</v>
      </c>
      <c r="BC180" s="22">
        <v>0.75531000000000004</v>
      </c>
      <c r="BD180">
        <f t="shared" si="34"/>
        <v>16.030899999999999</v>
      </c>
      <c r="BE180">
        <f t="shared" si="35"/>
        <v>12.1205306557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90.466300000000004</v>
      </c>
      <c r="I181" s="22">
        <v>-1.5838600000000001E-2</v>
      </c>
      <c r="J181" s="22">
        <v>171</v>
      </c>
      <c r="K181" s="22">
        <v>0.937805</v>
      </c>
      <c r="L181">
        <f t="shared" si="24"/>
        <v>15.838600000000001</v>
      </c>
      <c r="M181">
        <f t="shared" si="25"/>
        <v>14.8704338978</v>
      </c>
      <c r="N181" s="9"/>
      <c r="O181" s="22">
        <v>0.76110800000000001</v>
      </c>
      <c r="P181" s="22">
        <v>197.75299999999999</v>
      </c>
      <c r="Q181" s="22">
        <v>-1.6003400000000001E-2</v>
      </c>
      <c r="R181" s="22">
        <v>171</v>
      </c>
      <c r="S181" s="22">
        <v>0.76019300000000001</v>
      </c>
      <c r="T181">
        <f t="shared" si="26"/>
        <v>16.003399999999999</v>
      </c>
      <c r="U181">
        <f t="shared" si="27"/>
        <v>12.1803157672</v>
      </c>
      <c r="X181" s="9"/>
      <c r="Y181" s="22">
        <v>0.93887299999999996</v>
      </c>
      <c r="Z181" s="22">
        <v>280.26600000000002</v>
      </c>
      <c r="AA181" s="22">
        <v>-1.5902699999999999E-2</v>
      </c>
      <c r="AB181" s="22">
        <v>171</v>
      </c>
      <c r="AC181" s="22">
        <v>0.93811</v>
      </c>
      <c r="AD181">
        <f t="shared" si="28"/>
        <v>15.902699999999999</v>
      </c>
      <c r="AE181">
        <f t="shared" si="29"/>
        <v>14.930615657099999</v>
      </c>
      <c r="AF181" s="9"/>
      <c r="AG181" s="22">
        <v>0.76110800000000001</v>
      </c>
      <c r="AH181" s="22">
        <v>365.36099999999999</v>
      </c>
      <c r="AI181" s="22">
        <v>-1.60339E-2</v>
      </c>
      <c r="AJ181" s="22">
        <v>171</v>
      </c>
      <c r="AK181" s="22">
        <v>0.76019300000000001</v>
      </c>
      <c r="AL181">
        <f t="shared" si="30"/>
        <v>16.033899999999999</v>
      </c>
      <c r="AM181">
        <f t="shared" si="31"/>
        <v>12.2035295612</v>
      </c>
      <c r="AP181" s="9"/>
      <c r="AQ181" s="22">
        <v>0.93887299999999996</v>
      </c>
      <c r="AR181" s="22">
        <v>448.76</v>
      </c>
      <c r="AS181" s="22">
        <v>-1.59119E-2</v>
      </c>
      <c r="AT181" s="22">
        <v>171</v>
      </c>
      <c r="AU181" s="22">
        <v>0.9375</v>
      </c>
      <c r="AV181">
        <f t="shared" si="32"/>
        <v>15.911899999999999</v>
      </c>
      <c r="AW181">
        <f t="shared" si="33"/>
        <v>14.939253288699998</v>
      </c>
      <c r="AX181" s="9"/>
      <c r="AY181" s="22">
        <v>0.76110800000000001</v>
      </c>
      <c r="AZ181" s="22">
        <v>570.69399999999996</v>
      </c>
      <c r="BA181" s="22">
        <v>-1.6024799999999999E-2</v>
      </c>
      <c r="BB181" s="22">
        <v>171</v>
      </c>
      <c r="BC181" s="22">
        <v>0.76080300000000001</v>
      </c>
      <c r="BD181">
        <f t="shared" si="34"/>
        <v>16.024799999999999</v>
      </c>
      <c r="BE181">
        <f t="shared" si="35"/>
        <v>12.1966034784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90.566999999999993</v>
      </c>
      <c r="I182" s="22">
        <v>-1.58417E-2</v>
      </c>
      <c r="J182" s="22">
        <v>172</v>
      </c>
      <c r="K182" s="22">
        <v>0.93261700000000003</v>
      </c>
      <c r="L182">
        <f t="shared" si="24"/>
        <v>15.841699999999999</v>
      </c>
      <c r="M182">
        <f t="shared" si="25"/>
        <v>14.793581444599999</v>
      </c>
      <c r="N182" s="9"/>
      <c r="O182" s="22">
        <v>0.76614400000000005</v>
      </c>
      <c r="P182" s="22">
        <v>197.85400000000001</v>
      </c>
      <c r="Q182" s="22">
        <v>-1.6000400000000001E-2</v>
      </c>
      <c r="R182" s="22">
        <v>172</v>
      </c>
      <c r="S182" s="22">
        <v>0.76507599999999998</v>
      </c>
      <c r="T182">
        <f t="shared" si="26"/>
        <v>16.000400000000003</v>
      </c>
      <c r="U182">
        <f t="shared" si="27"/>
        <v>12.258610457600003</v>
      </c>
      <c r="X182" s="9"/>
      <c r="Y182" s="22">
        <v>0.93383799999999995</v>
      </c>
      <c r="Z182" s="22">
        <v>280.36700000000002</v>
      </c>
      <c r="AA182" s="22">
        <v>-1.59119E-2</v>
      </c>
      <c r="AB182" s="22">
        <v>172</v>
      </c>
      <c r="AC182" s="22">
        <v>0.93322799999999995</v>
      </c>
      <c r="AD182">
        <f t="shared" si="28"/>
        <v>15.911899999999999</v>
      </c>
      <c r="AE182">
        <f t="shared" si="29"/>
        <v>14.859136872199999</v>
      </c>
      <c r="AF182" s="9"/>
      <c r="AG182" s="22">
        <v>0.76614400000000005</v>
      </c>
      <c r="AH182" s="22">
        <v>365.46199999999999</v>
      </c>
      <c r="AI182" s="22">
        <v>-1.60217E-2</v>
      </c>
      <c r="AJ182" s="22">
        <v>172</v>
      </c>
      <c r="AK182" s="22">
        <v>0.76507599999999998</v>
      </c>
      <c r="AL182">
        <f t="shared" si="30"/>
        <v>16.021699999999999</v>
      </c>
      <c r="AM182">
        <f t="shared" si="31"/>
        <v>12.2749293248</v>
      </c>
      <c r="AP182" s="9"/>
      <c r="AQ182" s="22">
        <v>0.93383799999999995</v>
      </c>
      <c r="AR182" s="22">
        <v>448.86099999999999</v>
      </c>
      <c r="AS182" s="22">
        <v>-1.5914899999999999E-2</v>
      </c>
      <c r="AT182" s="22">
        <v>172</v>
      </c>
      <c r="AU182" s="22">
        <v>0.93322799999999995</v>
      </c>
      <c r="AV182">
        <f t="shared" si="32"/>
        <v>15.914899999999999</v>
      </c>
      <c r="AW182">
        <f t="shared" si="33"/>
        <v>14.861938386199999</v>
      </c>
      <c r="AX182" s="9"/>
      <c r="AY182" s="22">
        <v>0.76614400000000005</v>
      </c>
      <c r="AZ182" s="22">
        <v>570.79499999999996</v>
      </c>
      <c r="BA182" s="22">
        <v>-1.60217E-2</v>
      </c>
      <c r="BB182" s="22">
        <v>172</v>
      </c>
      <c r="BC182" s="22">
        <v>0.76538099999999998</v>
      </c>
      <c r="BD182">
        <f t="shared" si="34"/>
        <v>16.021699999999999</v>
      </c>
      <c r="BE182">
        <f t="shared" si="35"/>
        <v>12.2749293248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90.667699999999996</v>
      </c>
      <c r="I183" s="22">
        <v>-1.5853900000000001E-2</v>
      </c>
      <c r="J183" s="22">
        <v>173</v>
      </c>
      <c r="K183" s="22">
        <v>0.92834499999999998</v>
      </c>
      <c r="L183">
        <f t="shared" si="24"/>
        <v>15.853900000000001</v>
      </c>
      <c r="M183">
        <f t="shared" si="25"/>
        <v>14.725134027800001</v>
      </c>
      <c r="N183" s="9"/>
      <c r="O183" s="22">
        <v>0.77117899999999995</v>
      </c>
      <c r="P183" s="22">
        <v>197.95500000000001</v>
      </c>
      <c r="Q183" s="22">
        <v>-1.6003400000000001E-2</v>
      </c>
      <c r="R183" s="22">
        <v>173</v>
      </c>
      <c r="S183" s="22">
        <v>0.76995800000000003</v>
      </c>
      <c r="T183">
        <f t="shared" si="26"/>
        <v>16.003399999999999</v>
      </c>
      <c r="U183">
        <f t="shared" si="27"/>
        <v>12.341486008599999</v>
      </c>
      <c r="X183" s="9"/>
      <c r="Y183" s="22">
        <v>0.92880200000000002</v>
      </c>
      <c r="Z183" s="22">
        <v>280.46800000000002</v>
      </c>
      <c r="AA183" s="22">
        <v>-1.5918000000000002E-2</v>
      </c>
      <c r="AB183" s="22">
        <v>173</v>
      </c>
      <c r="AC183" s="22">
        <v>0.92834499999999998</v>
      </c>
      <c r="AD183">
        <f t="shared" si="28"/>
        <v>15.918000000000001</v>
      </c>
      <c r="AE183">
        <f t="shared" si="29"/>
        <v>14.784670236000002</v>
      </c>
      <c r="AF183" s="9"/>
      <c r="AG183" s="22">
        <v>0.77117899999999995</v>
      </c>
      <c r="AH183" s="22">
        <v>365.56200000000001</v>
      </c>
      <c r="AI183" s="22">
        <v>-1.60187E-2</v>
      </c>
      <c r="AJ183" s="22">
        <v>173</v>
      </c>
      <c r="AK183" s="22">
        <v>0.76995800000000003</v>
      </c>
      <c r="AL183">
        <f t="shared" si="30"/>
        <v>16.018699999999999</v>
      </c>
      <c r="AM183">
        <f t="shared" si="31"/>
        <v>12.353285047299998</v>
      </c>
      <c r="AP183" s="9"/>
      <c r="AQ183" s="22">
        <v>0.92880200000000002</v>
      </c>
      <c r="AR183" s="22">
        <v>448.96199999999999</v>
      </c>
      <c r="AS183" s="22">
        <v>-1.59241E-2</v>
      </c>
      <c r="AT183" s="22">
        <v>173</v>
      </c>
      <c r="AU183" s="22">
        <v>0.92834499999999998</v>
      </c>
      <c r="AV183">
        <f t="shared" si="32"/>
        <v>15.924099999999999</v>
      </c>
      <c r="AW183">
        <f t="shared" si="33"/>
        <v>14.790335928199999</v>
      </c>
      <c r="AX183" s="9"/>
      <c r="AY183" s="22">
        <v>0.77117899999999995</v>
      </c>
      <c r="AZ183" s="22">
        <v>570.89599999999996</v>
      </c>
      <c r="BA183" s="22">
        <v>-1.6024799999999999E-2</v>
      </c>
      <c r="BB183" s="22">
        <v>173</v>
      </c>
      <c r="BC183" s="22">
        <v>0.77056899999999995</v>
      </c>
      <c r="BD183">
        <f t="shared" si="34"/>
        <v>16.024799999999999</v>
      </c>
      <c r="BE183">
        <f t="shared" si="35"/>
        <v>12.357989239199998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90.7684</v>
      </c>
      <c r="I184" s="22">
        <v>-1.5853900000000001E-2</v>
      </c>
      <c r="J184" s="22">
        <v>174</v>
      </c>
      <c r="K184" s="22">
        <v>0.92285200000000001</v>
      </c>
      <c r="L184">
        <f t="shared" si="24"/>
        <v>15.853900000000001</v>
      </c>
      <c r="M184">
        <f t="shared" si="25"/>
        <v>14.645309641300001</v>
      </c>
      <c r="N184" s="9"/>
      <c r="O184" s="22">
        <v>0.77621499999999999</v>
      </c>
      <c r="P184" s="22">
        <v>198.05500000000001</v>
      </c>
      <c r="Q184" s="22">
        <v>-1.5991200000000001E-2</v>
      </c>
      <c r="R184" s="22">
        <v>174</v>
      </c>
      <c r="S184" s="22">
        <v>0.77545200000000003</v>
      </c>
      <c r="T184">
        <f t="shared" si="26"/>
        <v>15.991200000000001</v>
      </c>
      <c r="U184">
        <f t="shared" si="27"/>
        <v>12.412609308</v>
      </c>
      <c r="X184" s="9"/>
      <c r="Y184" s="22">
        <v>0.923767</v>
      </c>
      <c r="Z184" s="22">
        <v>280.56900000000002</v>
      </c>
      <c r="AA184" s="22">
        <v>-1.5921000000000001E-2</v>
      </c>
      <c r="AB184" s="22">
        <v>174</v>
      </c>
      <c r="AC184" s="22">
        <v>0.92285200000000001</v>
      </c>
      <c r="AD184">
        <f t="shared" si="28"/>
        <v>15.921000000000001</v>
      </c>
      <c r="AE184">
        <f t="shared" si="29"/>
        <v>14.707294407000001</v>
      </c>
      <c r="AF184" s="9"/>
      <c r="AG184" s="22">
        <v>0.77621499999999999</v>
      </c>
      <c r="AH184" s="22">
        <v>365.66300000000001</v>
      </c>
      <c r="AI184" s="22">
        <v>-1.6015600000000001E-2</v>
      </c>
      <c r="AJ184" s="22">
        <v>174</v>
      </c>
      <c r="AK184" s="22">
        <v>0.774841</v>
      </c>
      <c r="AL184">
        <f t="shared" si="30"/>
        <v>16.015600000000003</v>
      </c>
      <c r="AM184">
        <f t="shared" si="31"/>
        <v>12.431548954000002</v>
      </c>
      <c r="AP184" s="9"/>
      <c r="AQ184" s="22">
        <v>0.923767</v>
      </c>
      <c r="AR184" s="22">
        <v>449.06200000000001</v>
      </c>
      <c r="AS184" s="22">
        <v>-1.59241E-2</v>
      </c>
      <c r="AT184" s="22">
        <v>174</v>
      </c>
      <c r="AU184" s="22">
        <v>0.92315700000000001</v>
      </c>
      <c r="AV184">
        <f t="shared" si="32"/>
        <v>15.924099999999999</v>
      </c>
      <c r="AW184">
        <f t="shared" si="33"/>
        <v>14.7101580847</v>
      </c>
      <c r="AX184" s="9"/>
      <c r="AY184" s="22">
        <v>0.77621499999999999</v>
      </c>
      <c r="AZ184" s="22">
        <v>570.99599999999998</v>
      </c>
      <c r="BA184" s="22">
        <v>-1.60217E-2</v>
      </c>
      <c r="BB184" s="22">
        <v>174</v>
      </c>
      <c r="BC184" s="22">
        <v>0.77545200000000003</v>
      </c>
      <c r="BD184">
        <f t="shared" si="34"/>
        <v>16.021699999999999</v>
      </c>
      <c r="BE184">
        <f t="shared" si="35"/>
        <v>12.436283865499998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90.869100000000003</v>
      </c>
      <c r="I185" s="22">
        <v>-1.5850800000000002E-2</v>
      </c>
      <c r="J185" s="22">
        <v>175</v>
      </c>
      <c r="K185" s="22">
        <v>0.91766400000000004</v>
      </c>
      <c r="L185">
        <f t="shared" si="24"/>
        <v>15.850800000000001</v>
      </c>
      <c r="M185">
        <f t="shared" si="25"/>
        <v>14.562637185600002</v>
      </c>
      <c r="N185" s="9"/>
      <c r="O185" s="22">
        <v>0.78125</v>
      </c>
      <c r="P185" s="22">
        <v>198.15600000000001</v>
      </c>
      <c r="Q185" s="22">
        <v>-1.5991200000000001E-2</v>
      </c>
      <c r="R185" s="22">
        <v>175</v>
      </c>
      <c r="S185" s="22">
        <v>0.780945</v>
      </c>
      <c r="T185">
        <f t="shared" si="26"/>
        <v>15.991200000000001</v>
      </c>
      <c r="U185">
        <f t="shared" si="27"/>
        <v>12.493125000000001</v>
      </c>
      <c r="X185" s="9"/>
      <c r="Y185" s="22">
        <v>0.91873199999999999</v>
      </c>
      <c r="Z185" s="22">
        <v>280.66899999999998</v>
      </c>
      <c r="AA185" s="22">
        <v>-1.5918000000000002E-2</v>
      </c>
      <c r="AB185" s="22">
        <v>175</v>
      </c>
      <c r="AC185" s="22">
        <v>0.91796900000000003</v>
      </c>
      <c r="AD185">
        <f t="shared" si="28"/>
        <v>15.918000000000001</v>
      </c>
      <c r="AE185">
        <f t="shared" si="29"/>
        <v>14.624375976000001</v>
      </c>
      <c r="AF185" s="9"/>
      <c r="AG185" s="22">
        <v>0.78125</v>
      </c>
      <c r="AH185" s="22">
        <v>365.76400000000001</v>
      </c>
      <c r="AI185" s="22">
        <v>-1.6012599999999998E-2</v>
      </c>
      <c r="AJ185" s="22">
        <v>175</v>
      </c>
      <c r="AK185" s="22">
        <v>0.78002899999999997</v>
      </c>
      <c r="AL185">
        <f t="shared" si="30"/>
        <v>16.012599999999999</v>
      </c>
      <c r="AM185">
        <f t="shared" si="31"/>
        <v>12.50984375</v>
      </c>
      <c r="AP185" s="9"/>
      <c r="AQ185" s="22">
        <v>0.91873199999999999</v>
      </c>
      <c r="AR185" s="22">
        <v>449.16300000000001</v>
      </c>
      <c r="AS185" s="22">
        <v>-1.59241E-2</v>
      </c>
      <c r="AT185" s="22">
        <v>175</v>
      </c>
      <c r="AU185" s="22">
        <v>0.91827400000000003</v>
      </c>
      <c r="AV185">
        <f t="shared" si="32"/>
        <v>15.924099999999999</v>
      </c>
      <c r="AW185">
        <f t="shared" si="33"/>
        <v>14.629980241199998</v>
      </c>
      <c r="AX185" s="9"/>
      <c r="AY185" s="22">
        <v>0.78125</v>
      </c>
      <c r="AZ185" s="22">
        <v>571.09699999999998</v>
      </c>
      <c r="BA185" s="22">
        <v>-1.60187E-2</v>
      </c>
      <c r="BB185" s="22">
        <v>175</v>
      </c>
      <c r="BC185" s="22">
        <v>0.78033399999999997</v>
      </c>
      <c r="BD185">
        <f t="shared" si="34"/>
        <v>16.018699999999999</v>
      </c>
      <c r="BE185">
        <f t="shared" si="35"/>
        <v>12.514609374999999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90.969800000000006</v>
      </c>
      <c r="I186" s="22">
        <v>-1.5862999999999999E-2</v>
      </c>
      <c r="J186" s="22">
        <v>176</v>
      </c>
      <c r="K186" s="22">
        <v>0.91247599999999995</v>
      </c>
      <c r="L186">
        <f t="shared" si="24"/>
        <v>15.862999999999998</v>
      </c>
      <c r="M186">
        <f t="shared" si="25"/>
        <v>14.493959647999997</v>
      </c>
      <c r="N186" s="9"/>
      <c r="O186" s="22">
        <v>0.78628500000000001</v>
      </c>
      <c r="P186" s="22">
        <v>198.25700000000001</v>
      </c>
      <c r="Q186" s="22">
        <v>-1.5985099999999999E-2</v>
      </c>
      <c r="R186" s="22">
        <v>176</v>
      </c>
      <c r="S186" s="22">
        <v>0.78521700000000005</v>
      </c>
      <c r="T186">
        <f t="shared" si="26"/>
        <v>15.985099999999999</v>
      </c>
      <c r="U186">
        <f t="shared" si="27"/>
        <v>12.568844353499999</v>
      </c>
      <c r="X186" s="9"/>
      <c r="Y186" s="22">
        <v>0.91369599999999995</v>
      </c>
      <c r="Z186" s="22">
        <v>280.77</v>
      </c>
      <c r="AA186" s="22">
        <v>-1.5921000000000001E-2</v>
      </c>
      <c r="AB186" s="22">
        <v>176</v>
      </c>
      <c r="AC186" s="22">
        <v>0.91339099999999995</v>
      </c>
      <c r="AD186">
        <f t="shared" si="28"/>
        <v>15.921000000000001</v>
      </c>
      <c r="AE186">
        <f t="shared" si="29"/>
        <v>14.546954016000001</v>
      </c>
      <c r="AF186" s="9"/>
      <c r="AG186" s="22">
        <v>0.78628500000000001</v>
      </c>
      <c r="AH186" s="22">
        <v>365.86399999999998</v>
      </c>
      <c r="AI186" s="22">
        <v>-1.6009499999999999E-2</v>
      </c>
      <c r="AJ186" s="22">
        <v>176</v>
      </c>
      <c r="AK186" s="22">
        <v>0.78491200000000005</v>
      </c>
      <c r="AL186">
        <f t="shared" si="30"/>
        <v>16.009499999999999</v>
      </c>
      <c r="AM186">
        <f t="shared" si="31"/>
        <v>12.588029707499999</v>
      </c>
      <c r="AP186" s="9"/>
      <c r="AQ186" s="22">
        <v>0.91369599999999995</v>
      </c>
      <c r="AR186" s="22">
        <v>449.26400000000001</v>
      </c>
      <c r="AS186" s="22">
        <v>-1.5933200000000002E-2</v>
      </c>
      <c r="AT186" s="22">
        <v>176</v>
      </c>
      <c r="AU186" s="22">
        <v>0.91308599999999995</v>
      </c>
      <c r="AV186">
        <f t="shared" si="32"/>
        <v>15.933200000000001</v>
      </c>
      <c r="AW186">
        <f t="shared" si="33"/>
        <v>14.558101107200001</v>
      </c>
      <c r="AX186" s="9"/>
      <c r="AY186" s="22">
        <v>0.78628500000000001</v>
      </c>
      <c r="AZ186" s="22">
        <v>571.19799999999998</v>
      </c>
      <c r="BA186" s="22">
        <v>-1.6009499999999999E-2</v>
      </c>
      <c r="BB186" s="22">
        <v>176</v>
      </c>
      <c r="BC186" s="22">
        <v>0.78582799999999997</v>
      </c>
      <c r="BD186">
        <f t="shared" si="34"/>
        <v>16.009499999999999</v>
      </c>
      <c r="BE186">
        <f t="shared" si="35"/>
        <v>12.588029707499999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91.070599999999999</v>
      </c>
      <c r="I187" s="22">
        <v>-1.5853900000000001E-2</v>
      </c>
      <c r="J187" s="22">
        <v>177</v>
      </c>
      <c r="K187" s="22">
        <v>0.90820299999999998</v>
      </c>
      <c r="L187">
        <f t="shared" si="24"/>
        <v>15.853900000000001</v>
      </c>
      <c r="M187">
        <f t="shared" si="25"/>
        <v>14.405820627900003</v>
      </c>
      <c r="N187" s="9"/>
      <c r="O187" s="22">
        <v>0.79132100000000005</v>
      </c>
      <c r="P187" s="22">
        <v>198.357</v>
      </c>
      <c r="Q187" s="22">
        <v>-1.5988200000000001E-2</v>
      </c>
      <c r="R187" s="22">
        <v>177</v>
      </c>
      <c r="S187" s="22">
        <v>0.79010000000000002</v>
      </c>
      <c r="T187">
        <f t="shared" si="26"/>
        <v>15.988200000000001</v>
      </c>
      <c r="U187">
        <f t="shared" si="27"/>
        <v>12.651798412200002</v>
      </c>
      <c r="X187" s="9"/>
      <c r="Y187" s="22">
        <v>0.90866100000000005</v>
      </c>
      <c r="Z187" s="22">
        <v>280.87099999999998</v>
      </c>
      <c r="AA187" s="22">
        <v>-1.5930199999999999E-2</v>
      </c>
      <c r="AB187" s="22">
        <v>177</v>
      </c>
      <c r="AC187" s="22">
        <v>0.90728799999999998</v>
      </c>
      <c r="AD187">
        <f t="shared" si="28"/>
        <v>15.930199999999999</v>
      </c>
      <c r="AE187">
        <f t="shared" si="29"/>
        <v>14.475151462199999</v>
      </c>
      <c r="AF187" s="9"/>
      <c r="AG187" s="22">
        <v>0.79132100000000005</v>
      </c>
      <c r="AH187" s="22">
        <v>365.96499999999997</v>
      </c>
      <c r="AI187" s="22">
        <v>-1.6003400000000001E-2</v>
      </c>
      <c r="AJ187" s="22">
        <v>177</v>
      </c>
      <c r="AK187" s="22">
        <v>0.79071000000000002</v>
      </c>
      <c r="AL187">
        <f t="shared" si="30"/>
        <v>16.003399999999999</v>
      </c>
      <c r="AM187">
        <f t="shared" si="31"/>
        <v>12.6638264914</v>
      </c>
      <c r="AP187" s="9"/>
      <c r="AQ187" s="22">
        <v>0.90866100000000005</v>
      </c>
      <c r="AR187" s="22">
        <v>449.36399999999998</v>
      </c>
      <c r="AS187" s="22">
        <v>-1.5933200000000002E-2</v>
      </c>
      <c r="AT187" s="22">
        <v>177</v>
      </c>
      <c r="AU187" s="22">
        <v>0.90789799999999998</v>
      </c>
      <c r="AV187">
        <f t="shared" si="32"/>
        <v>15.933200000000001</v>
      </c>
      <c r="AW187">
        <f t="shared" si="33"/>
        <v>14.477877445200003</v>
      </c>
      <c r="AX187" s="9"/>
      <c r="AY187" s="22">
        <v>0.79132100000000005</v>
      </c>
      <c r="AZ187" s="22">
        <v>571.29899999999998</v>
      </c>
      <c r="BA187" s="22">
        <v>-1.6003400000000001E-2</v>
      </c>
      <c r="BB187" s="22">
        <v>177</v>
      </c>
      <c r="BC187" s="22">
        <v>0.79071000000000002</v>
      </c>
      <c r="BD187">
        <f t="shared" si="34"/>
        <v>16.003399999999999</v>
      </c>
      <c r="BE187">
        <f t="shared" si="35"/>
        <v>12.6638264914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91.171300000000002</v>
      </c>
      <c r="I188" s="22">
        <v>-1.5866100000000001E-2</v>
      </c>
      <c r="J188" s="22">
        <v>178</v>
      </c>
      <c r="K188" s="22">
        <v>0.90240500000000001</v>
      </c>
      <c r="L188">
        <f t="shared" si="24"/>
        <v>15.866100000000001</v>
      </c>
      <c r="M188">
        <f t="shared" si="25"/>
        <v>14.337004612500001</v>
      </c>
      <c r="N188" s="9"/>
      <c r="O188" s="22">
        <v>0.79635599999999995</v>
      </c>
      <c r="P188" s="22">
        <v>198.458</v>
      </c>
      <c r="Q188" s="22">
        <v>-1.5985099999999999E-2</v>
      </c>
      <c r="R188" s="22">
        <v>178</v>
      </c>
      <c r="S188" s="22">
        <v>0.79559299999999999</v>
      </c>
      <c r="T188">
        <f t="shared" si="26"/>
        <v>15.985099999999999</v>
      </c>
      <c r="U188">
        <f t="shared" si="27"/>
        <v>12.729830295599999</v>
      </c>
      <c r="X188" s="9"/>
      <c r="Y188" s="22">
        <v>0.90362500000000001</v>
      </c>
      <c r="Z188" s="22">
        <v>280.971</v>
      </c>
      <c r="AA188" s="22">
        <v>-1.5930199999999999E-2</v>
      </c>
      <c r="AB188" s="22">
        <v>178</v>
      </c>
      <c r="AC188" s="22">
        <v>0.90210000000000001</v>
      </c>
      <c r="AD188">
        <f t="shared" si="28"/>
        <v>15.930199999999999</v>
      </c>
      <c r="AE188">
        <f t="shared" si="29"/>
        <v>14.394926974999999</v>
      </c>
      <c r="AF188" s="9"/>
      <c r="AG188" s="22">
        <v>0.79635599999999995</v>
      </c>
      <c r="AH188" s="22">
        <v>366.06599999999997</v>
      </c>
      <c r="AI188" s="22">
        <v>-1.6000400000000001E-2</v>
      </c>
      <c r="AJ188" s="22">
        <v>178</v>
      </c>
      <c r="AK188" s="22">
        <v>0.79528799999999999</v>
      </c>
      <c r="AL188">
        <f t="shared" si="30"/>
        <v>16.000400000000003</v>
      </c>
      <c r="AM188">
        <f t="shared" si="31"/>
        <v>12.742014542400002</v>
      </c>
      <c r="AP188" s="9"/>
      <c r="AQ188" s="22">
        <v>0.90362500000000001</v>
      </c>
      <c r="AR188" s="22">
        <v>449.46499999999997</v>
      </c>
      <c r="AS188" s="22">
        <v>-1.5933200000000002E-2</v>
      </c>
      <c r="AT188" s="22">
        <v>178</v>
      </c>
      <c r="AU188" s="22">
        <v>0.90271000000000001</v>
      </c>
      <c r="AV188">
        <f t="shared" si="32"/>
        <v>15.933200000000001</v>
      </c>
      <c r="AW188">
        <f t="shared" si="33"/>
        <v>14.397637850000001</v>
      </c>
      <c r="AX188" s="9"/>
      <c r="AY188" s="22">
        <v>0.79635599999999995</v>
      </c>
      <c r="AZ188" s="22">
        <v>571.399</v>
      </c>
      <c r="BA188" s="22">
        <v>-1.6003400000000001E-2</v>
      </c>
      <c r="BB188" s="22">
        <v>178</v>
      </c>
      <c r="BC188" s="22">
        <v>0.79528799999999999</v>
      </c>
      <c r="BD188">
        <f t="shared" si="34"/>
        <v>16.003399999999999</v>
      </c>
      <c r="BE188">
        <f t="shared" si="35"/>
        <v>12.744403610399999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91.272000000000006</v>
      </c>
      <c r="I189" s="22">
        <v>-1.5869100000000001E-2</v>
      </c>
      <c r="J189" s="22">
        <v>179</v>
      </c>
      <c r="K189" s="22">
        <v>0.89721700000000004</v>
      </c>
      <c r="L189">
        <f t="shared" si="24"/>
        <v>15.869100000000001</v>
      </c>
      <c r="M189">
        <f t="shared" si="25"/>
        <v>14.259814569000001</v>
      </c>
      <c r="N189" s="9"/>
      <c r="O189" s="22">
        <v>0.80139199999999999</v>
      </c>
      <c r="P189" s="22">
        <v>198.559</v>
      </c>
      <c r="Q189" s="22">
        <v>-1.5979E-2</v>
      </c>
      <c r="R189" s="22">
        <v>179</v>
      </c>
      <c r="S189" s="22">
        <v>0.80017099999999997</v>
      </c>
      <c r="T189">
        <f t="shared" si="26"/>
        <v>15.979000000000001</v>
      </c>
      <c r="U189">
        <f t="shared" si="27"/>
        <v>12.805442768000001</v>
      </c>
      <c r="X189" s="9"/>
      <c r="Y189" s="22">
        <v>0.89859</v>
      </c>
      <c r="Z189" s="22">
        <v>281.072</v>
      </c>
      <c r="AA189" s="22">
        <v>-1.59271E-2</v>
      </c>
      <c r="AB189" s="22">
        <v>179</v>
      </c>
      <c r="AC189" s="22">
        <v>0.89752200000000004</v>
      </c>
      <c r="AD189">
        <f t="shared" si="28"/>
        <v>15.927099999999999</v>
      </c>
      <c r="AE189">
        <f t="shared" si="29"/>
        <v>14.311932789</v>
      </c>
      <c r="AF189" s="9"/>
      <c r="AG189" s="22">
        <v>0.80139199999999999</v>
      </c>
      <c r="AH189" s="22">
        <v>366.16699999999997</v>
      </c>
      <c r="AI189" s="22">
        <v>-1.60065E-2</v>
      </c>
      <c r="AJ189" s="22">
        <v>179</v>
      </c>
      <c r="AK189" s="22">
        <v>0.80047599999999997</v>
      </c>
      <c r="AL189">
        <f t="shared" si="30"/>
        <v>16.006499999999999</v>
      </c>
      <c r="AM189">
        <f t="shared" si="31"/>
        <v>12.827481047999999</v>
      </c>
      <c r="AP189" s="9"/>
      <c r="AQ189" s="22">
        <v>0.89859</v>
      </c>
      <c r="AR189" s="22">
        <v>449.56599999999997</v>
      </c>
      <c r="AS189" s="22">
        <v>-1.5930199999999999E-2</v>
      </c>
      <c r="AT189" s="22">
        <v>179</v>
      </c>
      <c r="AU189" s="22">
        <v>0.89782700000000004</v>
      </c>
      <c r="AV189">
        <f t="shared" si="32"/>
        <v>15.930199999999999</v>
      </c>
      <c r="AW189">
        <f t="shared" si="33"/>
        <v>14.314718418</v>
      </c>
      <c r="AX189" s="9"/>
      <c r="AY189" s="22">
        <v>0.80139199999999999</v>
      </c>
      <c r="AZ189" s="22">
        <v>571.5</v>
      </c>
      <c r="BA189" s="22">
        <v>-1.60065E-2</v>
      </c>
      <c r="BB189" s="22">
        <v>179</v>
      </c>
      <c r="BC189" s="22">
        <v>0.80078099999999997</v>
      </c>
      <c r="BD189">
        <f t="shared" si="34"/>
        <v>16.006499999999999</v>
      </c>
      <c r="BE189">
        <f t="shared" si="35"/>
        <v>12.827481047999999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91.372699999999995</v>
      </c>
      <c r="I190" s="22">
        <v>-1.58722E-2</v>
      </c>
      <c r="J190" s="22">
        <v>180</v>
      </c>
      <c r="K190" s="22">
        <v>0.89263899999999996</v>
      </c>
      <c r="L190">
        <f t="shared" si="24"/>
        <v>15.872199999999999</v>
      </c>
      <c r="M190">
        <f t="shared" si="25"/>
        <v>14.182683670999999</v>
      </c>
      <c r="N190" s="9"/>
      <c r="O190" s="22">
        <v>0.806427</v>
      </c>
      <c r="P190" s="22">
        <v>198.65899999999999</v>
      </c>
      <c r="Q190" s="22">
        <v>-1.5976000000000001E-2</v>
      </c>
      <c r="R190" s="22">
        <v>180</v>
      </c>
      <c r="S190" s="22">
        <v>0.80566400000000005</v>
      </c>
      <c r="T190">
        <f t="shared" si="26"/>
        <v>15.976000000000001</v>
      </c>
      <c r="U190">
        <f t="shared" si="27"/>
        <v>12.883477752000001</v>
      </c>
      <c r="X190" s="9"/>
      <c r="Y190" s="22">
        <v>0.89355499999999999</v>
      </c>
      <c r="Z190" s="22">
        <v>281.173</v>
      </c>
      <c r="AA190" s="22">
        <v>-1.5921000000000001E-2</v>
      </c>
      <c r="AB190" s="22">
        <v>180</v>
      </c>
      <c r="AC190" s="22">
        <v>0.89233399999999996</v>
      </c>
      <c r="AD190">
        <f t="shared" si="28"/>
        <v>15.921000000000001</v>
      </c>
      <c r="AE190">
        <f t="shared" si="29"/>
        <v>14.226289155000002</v>
      </c>
      <c r="AF190" s="9"/>
      <c r="AG190" s="22">
        <v>0.806427</v>
      </c>
      <c r="AH190" s="22">
        <v>366.267</v>
      </c>
      <c r="AI190" s="22">
        <v>-1.6000400000000001E-2</v>
      </c>
      <c r="AJ190" s="22">
        <v>180</v>
      </c>
      <c r="AK190" s="22">
        <v>0.80566400000000005</v>
      </c>
      <c r="AL190">
        <f t="shared" si="30"/>
        <v>16.000400000000003</v>
      </c>
      <c r="AM190">
        <f t="shared" si="31"/>
        <v>12.903154570800002</v>
      </c>
      <c r="AP190" s="9"/>
      <c r="AQ190" s="22">
        <v>0.89355499999999999</v>
      </c>
      <c r="AR190" s="22">
        <v>449.66699999999997</v>
      </c>
      <c r="AS190" s="22">
        <v>-1.5930199999999999E-2</v>
      </c>
      <c r="AT190" s="22">
        <v>180</v>
      </c>
      <c r="AU190" s="22">
        <v>0.89294399999999996</v>
      </c>
      <c r="AV190">
        <f t="shared" si="32"/>
        <v>15.930199999999999</v>
      </c>
      <c r="AW190">
        <f t="shared" si="33"/>
        <v>14.234509860999999</v>
      </c>
      <c r="AX190" s="9"/>
      <c r="AY190" s="22">
        <v>0.806427</v>
      </c>
      <c r="AZ190" s="22">
        <v>571.601</v>
      </c>
      <c r="BA190" s="22">
        <v>-1.5997299999999999E-2</v>
      </c>
      <c r="BB190" s="22">
        <v>180</v>
      </c>
      <c r="BC190" s="22">
        <v>0.80566400000000005</v>
      </c>
      <c r="BD190">
        <f t="shared" si="34"/>
        <v>15.997299999999999</v>
      </c>
      <c r="BE190">
        <f t="shared" si="35"/>
        <v>12.9006546471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91.473399999999998</v>
      </c>
      <c r="I191" s="22">
        <v>-1.5875199999999999E-2</v>
      </c>
      <c r="J191" s="22">
        <v>181</v>
      </c>
      <c r="K191" s="22">
        <v>0.88745099999999999</v>
      </c>
      <c r="L191">
        <f t="shared" si="24"/>
        <v>15.8752</v>
      </c>
      <c r="M191">
        <f t="shared" si="25"/>
        <v>14.105416828799999</v>
      </c>
      <c r="N191" s="9"/>
      <c r="O191" s="22">
        <v>0.81146200000000002</v>
      </c>
      <c r="P191" s="22">
        <v>198.76</v>
      </c>
      <c r="Q191" s="22">
        <v>-1.5982099999999999E-2</v>
      </c>
      <c r="R191" s="22">
        <v>181</v>
      </c>
      <c r="S191" s="22">
        <v>0.81054700000000002</v>
      </c>
      <c r="T191">
        <f t="shared" si="26"/>
        <v>15.982099999999999</v>
      </c>
      <c r="U191">
        <f t="shared" si="27"/>
        <v>12.9688668302</v>
      </c>
      <c r="X191" s="9"/>
      <c r="Y191" s="22">
        <v>0.88851899999999995</v>
      </c>
      <c r="Z191" s="22">
        <v>281.274</v>
      </c>
      <c r="AA191" s="22">
        <v>-1.59393E-2</v>
      </c>
      <c r="AB191" s="22">
        <v>181</v>
      </c>
      <c r="AC191" s="22">
        <v>0.88775599999999999</v>
      </c>
      <c r="AD191">
        <f t="shared" si="28"/>
        <v>15.939299999999999</v>
      </c>
      <c r="AE191">
        <f t="shared" si="29"/>
        <v>14.162370896699999</v>
      </c>
      <c r="AF191" s="9"/>
      <c r="AG191" s="22">
        <v>0.81146200000000002</v>
      </c>
      <c r="AH191" s="22">
        <v>366.36799999999999</v>
      </c>
      <c r="AI191" s="22">
        <v>-1.6009499999999999E-2</v>
      </c>
      <c r="AJ191" s="22">
        <v>181</v>
      </c>
      <c r="AK191" s="22">
        <v>0.81024200000000002</v>
      </c>
      <c r="AL191">
        <f t="shared" si="30"/>
        <v>16.009499999999999</v>
      </c>
      <c r="AM191">
        <f t="shared" si="31"/>
        <v>12.991100889</v>
      </c>
      <c r="AP191" s="9"/>
      <c r="AQ191" s="22">
        <v>0.88851899999999995</v>
      </c>
      <c r="AR191" s="22">
        <v>449.767</v>
      </c>
      <c r="AS191" s="22">
        <v>-1.59393E-2</v>
      </c>
      <c r="AT191" s="22">
        <v>181</v>
      </c>
      <c r="AU191" s="22">
        <v>0.88745099999999999</v>
      </c>
      <c r="AV191">
        <f t="shared" si="32"/>
        <v>15.939299999999999</v>
      </c>
      <c r="AW191">
        <f t="shared" si="33"/>
        <v>14.162370896699999</v>
      </c>
      <c r="AX191" s="9"/>
      <c r="AY191" s="22">
        <v>0.81146200000000002</v>
      </c>
      <c r="AZ191" s="22">
        <v>571.70100000000002</v>
      </c>
      <c r="BA191" s="22">
        <v>-1.60065E-2</v>
      </c>
      <c r="BB191" s="22">
        <v>181</v>
      </c>
      <c r="BC191" s="22">
        <v>0.80993700000000002</v>
      </c>
      <c r="BD191">
        <f t="shared" si="34"/>
        <v>16.006499999999999</v>
      </c>
      <c r="BE191">
        <f t="shared" si="35"/>
        <v>12.988666502999999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91.574100000000001</v>
      </c>
      <c r="I192" s="22">
        <v>-1.5875199999999999E-2</v>
      </c>
      <c r="J192" s="22">
        <v>182</v>
      </c>
      <c r="K192" s="22">
        <v>0.88226300000000002</v>
      </c>
      <c r="L192">
        <f t="shared" si="24"/>
        <v>15.8752</v>
      </c>
      <c r="M192">
        <f t="shared" si="25"/>
        <v>14.0254851968</v>
      </c>
      <c r="N192" s="9"/>
      <c r="O192" s="22">
        <v>0.81649799999999995</v>
      </c>
      <c r="P192" s="22">
        <v>198.86099999999999</v>
      </c>
      <c r="Q192" s="22">
        <v>-1.5985099999999999E-2</v>
      </c>
      <c r="R192" s="22">
        <v>182</v>
      </c>
      <c r="S192" s="22">
        <v>0.81542999999999999</v>
      </c>
      <c r="T192">
        <f t="shared" si="26"/>
        <v>15.985099999999999</v>
      </c>
      <c r="U192">
        <f t="shared" si="27"/>
        <v>13.051802179799999</v>
      </c>
      <c r="X192" s="9"/>
      <c r="Y192" s="22">
        <v>0.88348400000000005</v>
      </c>
      <c r="Z192" s="22">
        <v>281.37400000000002</v>
      </c>
      <c r="AA192" s="22">
        <v>-1.59363E-2</v>
      </c>
      <c r="AB192" s="22">
        <v>182</v>
      </c>
      <c r="AC192" s="22">
        <v>0.88226300000000002</v>
      </c>
      <c r="AD192">
        <f t="shared" si="28"/>
        <v>15.936300000000001</v>
      </c>
      <c r="AE192">
        <f t="shared" si="29"/>
        <v>14.079466069200002</v>
      </c>
      <c r="AF192" s="9"/>
      <c r="AG192" s="22">
        <v>0.81649799999999995</v>
      </c>
      <c r="AH192" s="22">
        <v>366.46899999999999</v>
      </c>
      <c r="AI192" s="22">
        <v>-1.6003400000000001E-2</v>
      </c>
      <c r="AJ192" s="22">
        <v>182</v>
      </c>
      <c r="AK192" s="22">
        <v>0.81481899999999996</v>
      </c>
      <c r="AL192">
        <f t="shared" si="30"/>
        <v>16.003399999999999</v>
      </c>
      <c r="AM192">
        <f t="shared" si="31"/>
        <v>13.066744093199999</v>
      </c>
      <c r="AP192" s="9"/>
      <c r="AQ192" s="22">
        <v>0.88348400000000005</v>
      </c>
      <c r="AR192" s="22">
        <v>449.86799999999999</v>
      </c>
      <c r="AS192" s="22">
        <v>-1.5945399999999998E-2</v>
      </c>
      <c r="AT192" s="22">
        <v>182</v>
      </c>
      <c r="AU192" s="22">
        <v>0.88256800000000002</v>
      </c>
      <c r="AV192">
        <f t="shared" si="32"/>
        <v>15.945399999999999</v>
      </c>
      <c r="AW192">
        <f t="shared" si="33"/>
        <v>14.0875057736</v>
      </c>
      <c r="AX192" s="9"/>
      <c r="AY192" s="22">
        <v>0.81649799999999995</v>
      </c>
      <c r="AZ192" s="22">
        <v>571.80200000000002</v>
      </c>
      <c r="BA192" s="22">
        <v>-1.5994299999999999E-2</v>
      </c>
      <c r="BB192" s="22">
        <v>182</v>
      </c>
      <c r="BC192" s="22">
        <v>0.81573499999999999</v>
      </c>
      <c r="BD192">
        <f t="shared" si="34"/>
        <v>15.994299999999999</v>
      </c>
      <c r="BE192">
        <f t="shared" si="35"/>
        <v>13.059313961399999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91.674800000000005</v>
      </c>
      <c r="I193" s="22">
        <v>-1.5878300000000001E-2</v>
      </c>
      <c r="J193" s="22">
        <v>183</v>
      </c>
      <c r="K193" s="22">
        <v>0.87768599999999997</v>
      </c>
      <c r="L193">
        <f t="shared" si="24"/>
        <v>15.878300000000001</v>
      </c>
      <c r="M193">
        <f t="shared" si="25"/>
        <v>13.948260878400001</v>
      </c>
      <c r="N193" s="9"/>
      <c r="O193" s="22">
        <v>0.82153299999999996</v>
      </c>
      <c r="P193" s="22">
        <v>198.96199999999999</v>
      </c>
      <c r="Q193" s="22">
        <v>-1.5976000000000001E-2</v>
      </c>
      <c r="R193" s="22">
        <v>183</v>
      </c>
      <c r="S193" s="22">
        <v>0.82122799999999996</v>
      </c>
      <c r="T193">
        <f t="shared" si="26"/>
        <v>15.976000000000001</v>
      </c>
      <c r="U193">
        <f t="shared" si="27"/>
        <v>13.124811208000001</v>
      </c>
      <c r="X193" s="9"/>
      <c r="Y193" s="22">
        <v>0.87844800000000001</v>
      </c>
      <c r="Z193" s="22">
        <v>281.47500000000002</v>
      </c>
      <c r="AA193" s="22">
        <v>-1.5933200000000002E-2</v>
      </c>
      <c r="AB193" s="22">
        <v>183</v>
      </c>
      <c r="AC193" s="22">
        <v>0.87768599999999997</v>
      </c>
      <c r="AD193">
        <f t="shared" si="28"/>
        <v>15.933200000000001</v>
      </c>
      <c r="AE193">
        <f t="shared" si="29"/>
        <v>13.996487673600001</v>
      </c>
      <c r="AF193" s="9"/>
      <c r="AG193" s="22">
        <v>0.82153299999999996</v>
      </c>
      <c r="AH193" s="22">
        <v>366.56900000000002</v>
      </c>
      <c r="AI193" s="22">
        <v>-1.6000400000000001E-2</v>
      </c>
      <c r="AJ193" s="22">
        <v>183</v>
      </c>
      <c r="AK193" s="22">
        <v>0.82061799999999996</v>
      </c>
      <c r="AL193">
        <f t="shared" si="30"/>
        <v>16.000400000000003</v>
      </c>
      <c r="AM193">
        <f t="shared" si="31"/>
        <v>13.144856613200002</v>
      </c>
      <c r="AP193" s="9"/>
      <c r="AQ193" s="22">
        <v>0.87844800000000001</v>
      </c>
      <c r="AR193" s="22">
        <v>449.96899999999999</v>
      </c>
      <c r="AS193" s="22">
        <v>-1.59393E-2</v>
      </c>
      <c r="AT193" s="22">
        <v>183</v>
      </c>
      <c r="AU193" s="22">
        <v>0.87707500000000005</v>
      </c>
      <c r="AV193">
        <f t="shared" si="32"/>
        <v>15.939299999999999</v>
      </c>
      <c r="AW193">
        <f t="shared" si="33"/>
        <v>14.0018462064</v>
      </c>
      <c r="AX193" s="9"/>
      <c r="AY193" s="22">
        <v>0.82153299999999996</v>
      </c>
      <c r="AZ193" s="22">
        <v>571.90300000000002</v>
      </c>
      <c r="BA193" s="22">
        <v>-1.5991200000000001E-2</v>
      </c>
      <c r="BB193" s="22">
        <v>183</v>
      </c>
      <c r="BC193" s="22">
        <v>0.82092299999999996</v>
      </c>
      <c r="BD193">
        <f t="shared" si="34"/>
        <v>15.991200000000001</v>
      </c>
      <c r="BE193">
        <f t="shared" si="35"/>
        <v>13.137298509600001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91.775499999999994</v>
      </c>
      <c r="I194" s="22">
        <v>-1.5875199999999999E-2</v>
      </c>
      <c r="J194" s="22">
        <v>184</v>
      </c>
      <c r="K194" s="22">
        <v>0.872803</v>
      </c>
      <c r="L194">
        <f t="shared" si="24"/>
        <v>15.8752</v>
      </c>
      <c r="M194">
        <f t="shared" si="25"/>
        <v>13.865606057599999</v>
      </c>
      <c r="N194" s="9"/>
      <c r="O194" s="22">
        <v>0.826569</v>
      </c>
      <c r="P194" s="22">
        <v>199.06200000000001</v>
      </c>
      <c r="Q194" s="22">
        <v>-1.59668E-2</v>
      </c>
      <c r="R194" s="22">
        <v>184</v>
      </c>
      <c r="S194" s="22">
        <v>0.82580600000000004</v>
      </c>
      <c r="T194">
        <f t="shared" si="26"/>
        <v>15.966799999999999</v>
      </c>
      <c r="U194">
        <f t="shared" si="27"/>
        <v>13.197661909199999</v>
      </c>
      <c r="X194" s="9"/>
      <c r="Y194" s="22">
        <v>0.87341299999999999</v>
      </c>
      <c r="Z194" s="22">
        <v>281.57600000000002</v>
      </c>
      <c r="AA194" s="22">
        <v>-1.59393E-2</v>
      </c>
      <c r="AB194" s="22">
        <v>184</v>
      </c>
      <c r="AC194" s="22">
        <v>0.872498</v>
      </c>
      <c r="AD194">
        <f t="shared" si="28"/>
        <v>15.939299999999999</v>
      </c>
      <c r="AE194">
        <f t="shared" si="29"/>
        <v>13.921591830899999</v>
      </c>
      <c r="AF194" s="9"/>
      <c r="AG194" s="22">
        <v>0.826569</v>
      </c>
      <c r="AH194" s="22">
        <v>366.67</v>
      </c>
      <c r="AI194" s="22">
        <v>-1.5985099999999999E-2</v>
      </c>
      <c r="AJ194" s="22">
        <v>184</v>
      </c>
      <c r="AK194" s="22">
        <v>0.82580600000000004</v>
      </c>
      <c r="AL194">
        <f t="shared" si="30"/>
        <v>15.985099999999999</v>
      </c>
      <c r="AM194">
        <f t="shared" si="31"/>
        <v>13.212788121899999</v>
      </c>
      <c r="AP194" s="9"/>
      <c r="AQ194" s="22">
        <v>0.87341299999999999</v>
      </c>
      <c r="AR194" s="22">
        <v>450.06900000000002</v>
      </c>
      <c r="AS194" s="22">
        <v>-1.5948500000000001E-2</v>
      </c>
      <c r="AT194" s="22">
        <v>184</v>
      </c>
      <c r="AU194" s="22">
        <v>0.872498</v>
      </c>
      <c r="AV194">
        <f t="shared" si="32"/>
        <v>15.948500000000001</v>
      </c>
      <c r="AW194">
        <f t="shared" si="33"/>
        <v>13.929627230500001</v>
      </c>
      <c r="AX194" s="9"/>
      <c r="AY194" s="22">
        <v>0.826569</v>
      </c>
      <c r="AZ194" s="22">
        <v>572.00400000000002</v>
      </c>
      <c r="BA194" s="22">
        <v>-1.5997299999999999E-2</v>
      </c>
      <c r="BB194" s="22">
        <v>184</v>
      </c>
      <c r="BC194" s="22">
        <v>0.82550000000000001</v>
      </c>
      <c r="BD194">
        <f t="shared" si="34"/>
        <v>15.997299999999999</v>
      </c>
      <c r="BE194">
        <f t="shared" si="35"/>
        <v>13.222872263699999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91.876199999999997</v>
      </c>
      <c r="I195" s="22">
        <v>-1.58722E-2</v>
      </c>
      <c r="J195" s="22">
        <v>185</v>
      </c>
      <c r="K195" s="22">
        <v>0.86761500000000003</v>
      </c>
      <c r="L195">
        <f t="shared" si="24"/>
        <v>15.872199999999999</v>
      </c>
      <c r="M195">
        <f t="shared" si="25"/>
        <v>13.783069291599999</v>
      </c>
      <c r="N195" s="9"/>
      <c r="O195" s="22">
        <v>0.83160400000000001</v>
      </c>
      <c r="P195" s="22">
        <v>199.16300000000001</v>
      </c>
      <c r="Q195" s="22">
        <v>-1.5960700000000001E-2</v>
      </c>
      <c r="R195" s="22">
        <v>185</v>
      </c>
      <c r="S195" s="22">
        <v>0.83038299999999998</v>
      </c>
      <c r="T195">
        <f t="shared" si="26"/>
        <v>15.960700000000001</v>
      </c>
      <c r="U195">
        <f t="shared" si="27"/>
        <v>13.272981962800001</v>
      </c>
      <c r="X195" s="9"/>
      <c r="Y195" s="22">
        <v>0.86837799999999998</v>
      </c>
      <c r="Z195" s="22">
        <v>281.67599999999999</v>
      </c>
      <c r="AA195" s="22">
        <v>-1.5942399999999999E-2</v>
      </c>
      <c r="AB195" s="22">
        <v>185</v>
      </c>
      <c r="AC195" s="22">
        <v>0.867004</v>
      </c>
      <c r="AD195">
        <f t="shared" si="28"/>
        <v>15.942399999999999</v>
      </c>
      <c r="AE195">
        <f t="shared" si="29"/>
        <v>13.844029427199999</v>
      </c>
      <c r="AF195" s="9"/>
      <c r="AG195" s="22">
        <v>0.83160400000000001</v>
      </c>
      <c r="AH195" s="22">
        <v>366.77100000000002</v>
      </c>
      <c r="AI195" s="22">
        <v>-1.5988200000000001E-2</v>
      </c>
      <c r="AJ195" s="22">
        <v>185</v>
      </c>
      <c r="AK195" s="22">
        <v>0.83038299999999998</v>
      </c>
      <c r="AL195">
        <f t="shared" si="30"/>
        <v>15.988200000000001</v>
      </c>
      <c r="AM195">
        <f t="shared" si="31"/>
        <v>13.295851072800001</v>
      </c>
      <c r="AP195" s="9"/>
      <c r="AQ195" s="22">
        <v>0.86837799999999998</v>
      </c>
      <c r="AR195" s="22">
        <v>450.17</v>
      </c>
      <c r="AS195" s="22">
        <v>-1.59515E-2</v>
      </c>
      <c r="AT195" s="22">
        <v>185</v>
      </c>
      <c r="AU195" s="22">
        <v>0.867004</v>
      </c>
      <c r="AV195">
        <f t="shared" si="32"/>
        <v>15.951500000000001</v>
      </c>
      <c r="AW195">
        <f t="shared" si="33"/>
        <v>13.851931667000001</v>
      </c>
      <c r="AX195" s="9"/>
      <c r="AY195" s="22">
        <v>0.83160400000000001</v>
      </c>
      <c r="AZ195" s="22">
        <v>572.10400000000004</v>
      </c>
      <c r="BA195" s="22">
        <v>-1.5991200000000001E-2</v>
      </c>
      <c r="BB195" s="22">
        <v>185</v>
      </c>
      <c r="BC195" s="22">
        <v>0.83099400000000001</v>
      </c>
      <c r="BD195">
        <f t="shared" si="34"/>
        <v>15.991200000000001</v>
      </c>
      <c r="BE195">
        <f t="shared" si="35"/>
        <v>13.298345884800002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91.976900000000001</v>
      </c>
      <c r="I196" s="22">
        <v>-1.58844E-2</v>
      </c>
      <c r="J196" s="22">
        <v>186</v>
      </c>
      <c r="K196" s="22">
        <v>0.86242700000000005</v>
      </c>
      <c r="L196">
        <f t="shared" si="24"/>
        <v>15.884399999999999</v>
      </c>
      <c r="M196">
        <f t="shared" si="25"/>
        <v>13.713669664800001</v>
      </c>
      <c r="N196" s="9"/>
      <c r="O196" s="22">
        <v>0.83663900000000002</v>
      </c>
      <c r="P196" s="22">
        <v>199.26400000000001</v>
      </c>
      <c r="Q196" s="22">
        <v>-1.5960700000000001E-2</v>
      </c>
      <c r="R196" s="22">
        <v>186</v>
      </c>
      <c r="S196" s="22">
        <v>0.83587599999999995</v>
      </c>
      <c r="T196">
        <f t="shared" si="26"/>
        <v>15.960700000000001</v>
      </c>
      <c r="U196">
        <f t="shared" si="27"/>
        <v>13.353344087300002</v>
      </c>
      <c r="X196" s="9"/>
      <c r="Y196" s="22">
        <v>0.86334200000000005</v>
      </c>
      <c r="Z196" s="22">
        <v>281.77699999999999</v>
      </c>
      <c r="AA196" s="22">
        <v>-1.5942399999999999E-2</v>
      </c>
      <c r="AB196" s="22">
        <v>186</v>
      </c>
      <c r="AC196" s="22">
        <v>0.86242700000000005</v>
      </c>
      <c r="AD196">
        <f t="shared" si="28"/>
        <v>15.942399999999999</v>
      </c>
      <c r="AE196">
        <f t="shared" si="29"/>
        <v>13.7637435008</v>
      </c>
      <c r="AF196" s="9"/>
      <c r="AG196" s="22">
        <v>0.83663900000000002</v>
      </c>
      <c r="AH196" s="22">
        <v>366.87099999999998</v>
      </c>
      <c r="AI196" s="22">
        <v>-1.5985099999999999E-2</v>
      </c>
      <c r="AJ196" s="22">
        <v>186</v>
      </c>
      <c r="AK196" s="22">
        <v>0.83587599999999995</v>
      </c>
      <c r="AL196">
        <f t="shared" si="30"/>
        <v>15.985099999999999</v>
      </c>
      <c r="AM196">
        <f t="shared" si="31"/>
        <v>13.3737580789</v>
      </c>
      <c r="AP196" s="9"/>
      <c r="AQ196" s="22">
        <v>0.86334200000000005</v>
      </c>
      <c r="AR196" s="22">
        <v>450.27100000000002</v>
      </c>
      <c r="AS196" s="22">
        <v>-1.5960700000000001E-2</v>
      </c>
      <c r="AT196" s="22">
        <v>186</v>
      </c>
      <c r="AU196" s="22">
        <v>0.86242700000000005</v>
      </c>
      <c r="AV196">
        <f t="shared" si="32"/>
        <v>15.960700000000001</v>
      </c>
      <c r="AW196">
        <f t="shared" si="33"/>
        <v>13.779542659400002</v>
      </c>
      <c r="AX196" s="9"/>
      <c r="AY196" s="22">
        <v>0.83663900000000002</v>
      </c>
      <c r="AZ196" s="22">
        <v>572.20500000000004</v>
      </c>
      <c r="BA196" s="22">
        <v>-1.5985099999999999E-2</v>
      </c>
      <c r="BB196" s="22">
        <v>186</v>
      </c>
      <c r="BC196" s="22">
        <v>0.83557099999999995</v>
      </c>
      <c r="BD196">
        <f t="shared" si="34"/>
        <v>15.985099999999999</v>
      </c>
      <c r="BE196">
        <f t="shared" si="35"/>
        <v>13.3737580789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92.077600000000004</v>
      </c>
      <c r="I197" s="22">
        <v>-1.5890499999999998E-2</v>
      </c>
      <c r="J197" s="22">
        <v>187</v>
      </c>
      <c r="K197" s="22">
        <v>0.85754399999999997</v>
      </c>
      <c r="L197">
        <f t="shared" si="24"/>
        <v>15.890499999999998</v>
      </c>
      <c r="M197">
        <f t="shared" si="25"/>
        <v>13.638927383499999</v>
      </c>
      <c r="N197" s="9"/>
      <c r="O197" s="22">
        <v>0.84167499999999995</v>
      </c>
      <c r="P197" s="22">
        <v>199.364</v>
      </c>
      <c r="Q197" s="22">
        <v>-1.5960700000000001E-2</v>
      </c>
      <c r="R197" s="22">
        <v>187</v>
      </c>
      <c r="S197" s="22">
        <v>0.84045400000000003</v>
      </c>
      <c r="T197">
        <f t="shared" si="26"/>
        <v>15.960700000000001</v>
      </c>
      <c r="U197">
        <f t="shared" si="27"/>
        <v>13.4337221725</v>
      </c>
      <c r="X197" s="9"/>
      <c r="Y197" s="22">
        <v>0.85830700000000004</v>
      </c>
      <c r="Z197" s="22">
        <v>281.87799999999999</v>
      </c>
      <c r="AA197" s="22">
        <v>-1.59515E-2</v>
      </c>
      <c r="AB197" s="22">
        <v>187</v>
      </c>
      <c r="AC197" s="22">
        <v>0.85693399999999997</v>
      </c>
      <c r="AD197">
        <f t="shared" si="28"/>
        <v>15.951500000000001</v>
      </c>
      <c r="AE197">
        <f t="shared" si="29"/>
        <v>13.691284110500002</v>
      </c>
      <c r="AF197" s="9"/>
      <c r="AG197" s="22">
        <v>0.84167499999999995</v>
      </c>
      <c r="AH197" s="22">
        <v>366.97199999999998</v>
      </c>
      <c r="AI197" s="22">
        <v>-1.5982099999999999E-2</v>
      </c>
      <c r="AJ197" s="22">
        <v>187</v>
      </c>
      <c r="AK197" s="22">
        <v>0.84136999999999995</v>
      </c>
      <c r="AL197">
        <f t="shared" si="30"/>
        <v>15.982099999999999</v>
      </c>
      <c r="AM197">
        <f t="shared" si="31"/>
        <v>13.451734017499998</v>
      </c>
      <c r="AP197" s="9"/>
      <c r="AQ197" s="22">
        <v>0.85830700000000004</v>
      </c>
      <c r="AR197" s="22">
        <v>450.37200000000001</v>
      </c>
      <c r="AS197" s="22">
        <v>-1.59668E-2</v>
      </c>
      <c r="AT197" s="22">
        <v>187</v>
      </c>
      <c r="AU197" s="22">
        <v>0.85693399999999997</v>
      </c>
      <c r="AV197">
        <f t="shared" si="32"/>
        <v>15.966799999999999</v>
      </c>
      <c r="AW197">
        <f t="shared" si="33"/>
        <v>13.7044162076</v>
      </c>
      <c r="AX197" s="9"/>
      <c r="AY197" s="22">
        <v>0.84167499999999995</v>
      </c>
      <c r="AZ197" s="22">
        <v>572.30600000000004</v>
      </c>
      <c r="BA197" s="22">
        <v>-1.5985099999999999E-2</v>
      </c>
      <c r="BB197" s="22">
        <v>187</v>
      </c>
      <c r="BC197" s="22">
        <v>0.84014900000000003</v>
      </c>
      <c r="BD197">
        <f t="shared" si="34"/>
        <v>15.985099999999999</v>
      </c>
      <c r="BE197">
        <f t="shared" si="35"/>
        <v>13.454259042499999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92.178299999999993</v>
      </c>
      <c r="I198" s="22">
        <v>-1.5893600000000001E-2</v>
      </c>
      <c r="J198" s="22">
        <v>188</v>
      </c>
      <c r="K198" s="22">
        <v>0.852051</v>
      </c>
      <c r="L198">
        <f t="shared" si="24"/>
        <v>15.893600000000001</v>
      </c>
      <c r="M198">
        <f t="shared" si="25"/>
        <v>13.561547965600001</v>
      </c>
      <c r="N198" s="9"/>
      <c r="O198" s="22">
        <v>0.84670999999999996</v>
      </c>
      <c r="P198" s="22">
        <v>199.465</v>
      </c>
      <c r="Q198" s="22">
        <v>-1.5954599999999999E-2</v>
      </c>
      <c r="R198" s="22">
        <v>188</v>
      </c>
      <c r="S198" s="22">
        <v>0.846252</v>
      </c>
      <c r="T198">
        <f t="shared" si="26"/>
        <v>15.954599999999999</v>
      </c>
      <c r="U198">
        <f t="shared" si="27"/>
        <v>13.508919365999999</v>
      </c>
      <c r="X198" s="9"/>
      <c r="Y198" s="22">
        <v>0.853271</v>
      </c>
      <c r="Z198" s="22">
        <v>281.97800000000001</v>
      </c>
      <c r="AA198" s="22">
        <v>-1.5948500000000001E-2</v>
      </c>
      <c r="AB198" s="22">
        <v>188</v>
      </c>
      <c r="AC198" s="22">
        <v>0.851746</v>
      </c>
      <c r="AD198">
        <f t="shared" si="28"/>
        <v>15.948500000000001</v>
      </c>
      <c r="AE198">
        <f t="shared" si="29"/>
        <v>13.608392543500001</v>
      </c>
      <c r="AF198" s="9"/>
      <c r="AG198" s="22">
        <v>0.84670999999999996</v>
      </c>
      <c r="AH198" s="22">
        <v>367.07299999999998</v>
      </c>
      <c r="AI198" s="22">
        <v>-1.5979E-2</v>
      </c>
      <c r="AJ198" s="22">
        <v>188</v>
      </c>
      <c r="AK198" s="22">
        <v>0.846252</v>
      </c>
      <c r="AL198">
        <f t="shared" si="30"/>
        <v>15.979000000000001</v>
      </c>
      <c r="AM198">
        <f t="shared" si="31"/>
        <v>13.52957909</v>
      </c>
      <c r="AP198" s="9"/>
      <c r="AQ198" s="22">
        <v>0.853271</v>
      </c>
      <c r="AR198" s="22">
        <v>450.47199999999998</v>
      </c>
      <c r="AS198" s="22">
        <v>-1.59668E-2</v>
      </c>
      <c r="AT198" s="22">
        <v>188</v>
      </c>
      <c r="AU198" s="22">
        <v>0.852051</v>
      </c>
      <c r="AV198">
        <f t="shared" si="32"/>
        <v>15.966799999999999</v>
      </c>
      <c r="AW198">
        <f t="shared" si="33"/>
        <v>13.6240074028</v>
      </c>
      <c r="AX198" s="9"/>
      <c r="AY198" s="22">
        <v>0.84670999999999996</v>
      </c>
      <c r="AZ198" s="22">
        <v>572.40599999999995</v>
      </c>
      <c r="BA198" s="22">
        <v>-1.5976000000000001E-2</v>
      </c>
      <c r="BB198" s="22">
        <v>188</v>
      </c>
      <c r="BC198" s="22">
        <v>0.845642</v>
      </c>
      <c r="BD198">
        <f t="shared" si="34"/>
        <v>15.976000000000001</v>
      </c>
      <c r="BE198">
        <f t="shared" si="35"/>
        <v>13.527038960000001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92.278999999999996</v>
      </c>
      <c r="I199" s="22">
        <v>-1.5899699999999999E-2</v>
      </c>
      <c r="J199" s="22">
        <v>189</v>
      </c>
      <c r="K199" s="22">
        <v>0.84716800000000003</v>
      </c>
      <c r="L199">
        <f t="shared" si="24"/>
        <v>15.899699999999999</v>
      </c>
      <c r="M199">
        <f t="shared" si="25"/>
        <v>13.4866979292</v>
      </c>
      <c r="N199" s="9"/>
      <c r="O199" s="22">
        <v>0.851746</v>
      </c>
      <c r="P199" s="22">
        <v>199.566</v>
      </c>
      <c r="Q199" s="22">
        <v>-1.5954599999999999E-2</v>
      </c>
      <c r="R199" s="22">
        <v>189</v>
      </c>
      <c r="S199" s="22">
        <v>0.85052499999999998</v>
      </c>
      <c r="T199">
        <f t="shared" si="26"/>
        <v>15.954599999999999</v>
      </c>
      <c r="U199">
        <f t="shared" si="27"/>
        <v>13.589266731599999</v>
      </c>
      <c r="X199" s="9"/>
      <c r="Y199" s="22">
        <v>0.84823599999999999</v>
      </c>
      <c r="Z199" s="22">
        <v>282.07900000000001</v>
      </c>
      <c r="AA199" s="22">
        <v>-1.5960700000000001E-2</v>
      </c>
      <c r="AB199" s="22">
        <v>189</v>
      </c>
      <c r="AC199" s="22">
        <v>0.84777800000000003</v>
      </c>
      <c r="AD199">
        <f t="shared" si="28"/>
        <v>15.960700000000001</v>
      </c>
      <c r="AE199">
        <f t="shared" si="29"/>
        <v>13.5384403252</v>
      </c>
      <c r="AF199" s="9"/>
      <c r="AG199" s="22">
        <v>0.851746</v>
      </c>
      <c r="AH199" s="22">
        <v>367.17399999999998</v>
      </c>
      <c r="AI199" s="22">
        <v>-1.5976000000000001E-2</v>
      </c>
      <c r="AJ199" s="22">
        <v>189</v>
      </c>
      <c r="AK199" s="22">
        <v>0.85082999999999998</v>
      </c>
      <c r="AL199">
        <f t="shared" si="30"/>
        <v>15.976000000000001</v>
      </c>
      <c r="AM199">
        <f t="shared" si="31"/>
        <v>13.607494096</v>
      </c>
      <c r="AP199" s="9"/>
      <c r="AQ199" s="22">
        <v>0.84823599999999999</v>
      </c>
      <c r="AR199" s="22">
        <v>450.57299999999998</v>
      </c>
      <c r="AS199" s="22">
        <v>-1.59668E-2</v>
      </c>
      <c r="AT199" s="22">
        <v>189</v>
      </c>
      <c r="AU199" s="22">
        <v>0.84716800000000003</v>
      </c>
      <c r="AV199">
        <f t="shared" si="32"/>
        <v>15.966799999999999</v>
      </c>
      <c r="AW199">
        <f t="shared" si="33"/>
        <v>13.543614564799999</v>
      </c>
      <c r="AX199" s="9"/>
      <c r="AY199" s="22">
        <v>0.851746</v>
      </c>
      <c r="AZ199" s="22">
        <v>572.50699999999995</v>
      </c>
      <c r="BA199" s="22">
        <v>-1.5969799999999999E-2</v>
      </c>
      <c r="BB199" s="22">
        <v>189</v>
      </c>
      <c r="BC199" s="22">
        <v>0.85082999999999998</v>
      </c>
      <c r="BD199">
        <f t="shared" si="34"/>
        <v>15.969799999999999</v>
      </c>
      <c r="BE199">
        <f t="shared" si="35"/>
        <v>13.6022132708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92.379800000000003</v>
      </c>
      <c r="I200" s="22">
        <v>-1.5899699999999999E-2</v>
      </c>
      <c r="J200" s="22">
        <v>190</v>
      </c>
      <c r="K200" s="22">
        <v>0.84258999999999995</v>
      </c>
      <c r="L200">
        <f t="shared" si="24"/>
        <v>15.899699999999999</v>
      </c>
      <c r="M200">
        <f t="shared" si="25"/>
        <v>13.406642939699999</v>
      </c>
      <c r="N200" s="9"/>
      <c r="O200" s="22">
        <v>0.85678100000000001</v>
      </c>
      <c r="P200" s="22">
        <v>199.667</v>
      </c>
      <c r="Q200" s="22">
        <v>-1.59515E-2</v>
      </c>
      <c r="R200" s="22">
        <v>190</v>
      </c>
      <c r="S200" s="22">
        <v>0.85632299999999995</v>
      </c>
      <c r="T200">
        <f t="shared" si="26"/>
        <v>15.951500000000001</v>
      </c>
      <c r="U200">
        <f t="shared" si="27"/>
        <v>13.666942121500002</v>
      </c>
      <c r="X200" s="9"/>
      <c r="Y200" s="22">
        <v>0.84320099999999998</v>
      </c>
      <c r="Z200" s="22">
        <v>282.18</v>
      </c>
      <c r="AA200" s="22">
        <v>-1.5963700000000001E-2</v>
      </c>
      <c r="AB200" s="22">
        <v>190</v>
      </c>
      <c r="AC200" s="22">
        <v>0.84258999999999995</v>
      </c>
      <c r="AD200">
        <f t="shared" si="28"/>
        <v>15.963700000000001</v>
      </c>
      <c r="AE200">
        <f t="shared" si="29"/>
        <v>13.4606078037</v>
      </c>
      <c r="AF200" s="9"/>
      <c r="AG200" s="22">
        <v>0.85678100000000001</v>
      </c>
      <c r="AH200" s="22">
        <v>367.274</v>
      </c>
      <c r="AI200" s="22">
        <v>-1.59668E-2</v>
      </c>
      <c r="AJ200" s="22">
        <v>190</v>
      </c>
      <c r="AK200" s="22">
        <v>0.85601799999999995</v>
      </c>
      <c r="AL200">
        <f t="shared" si="30"/>
        <v>15.966799999999999</v>
      </c>
      <c r="AM200">
        <f t="shared" si="31"/>
        <v>13.680050870799999</v>
      </c>
      <c r="AP200" s="9"/>
      <c r="AQ200" s="22">
        <v>0.84320099999999998</v>
      </c>
      <c r="AR200" s="22">
        <v>450.67399999999998</v>
      </c>
      <c r="AS200" s="22">
        <v>-1.5969799999999999E-2</v>
      </c>
      <c r="AT200" s="22">
        <v>190</v>
      </c>
      <c r="AU200" s="22">
        <v>0.84258999999999995</v>
      </c>
      <c r="AV200">
        <f t="shared" si="32"/>
        <v>15.969799999999999</v>
      </c>
      <c r="AW200">
        <f t="shared" si="33"/>
        <v>13.4657513298</v>
      </c>
      <c r="AX200" s="9"/>
      <c r="AY200" s="22">
        <v>0.85678100000000001</v>
      </c>
      <c r="AZ200" s="22">
        <v>572.60799999999995</v>
      </c>
      <c r="BA200" s="22">
        <v>-1.5972900000000002E-2</v>
      </c>
      <c r="BB200" s="22">
        <v>190</v>
      </c>
      <c r="BC200" s="22">
        <v>0.85662799999999995</v>
      </c>
      <c r="BD200">
        <f t="shared" si="34"/>
        <v>15.972900000000001</v>
      </c>
      <c r="BE200">
        <f t="shared" si="35"/>
        <v>13.685277234900001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92.480500000000006</v>
      </c>
      <c r="I201" s="22">
        <v>-1.5902699999999999E-2</v>
      </c>
      <c r="J201" s="22">
        <v>191</v>
      </c>
      <c r="K201" s="22">
        <v>0.83709699999999998</v>
      </c>
      <c r="L201">
        <f t="shared" si="24"/>
        <v>15.902699999999999</v>
      </c>
      <c r="M201">
        <f t="shared" si="25"/>
        <v>13.329086545500001</v>
      </c>
      <c r="N201" s="9"/>
      <c r="O201" s="22">
        <v>0.86181600000000003</v>
      </c>
      <c r="P201" s="22">
        <v>199.767</v>
      </c>
      <c r="Q201" s="22">
        <v>-1.5948500000000001E-2</v>
      </c>
      <c r="R201" s="22">
        <v>191</v>
      </c>
      <c r="S201" s="22">
        <v>0.86090100000000003</v>
      </c>
      <c r="T201">
        <f t="shared" si="26"/>
        <v>15.948500000000001</v>
      </c>
      <c r="U201">
        <f t="shared" si="27"/>
        <v>13.744672476000002</v>
      </c>
      <c r="X201" s="9"/>
      <c r="Y201" s="22">
        <v>0.83816500000000005</v>
      </c>
      <c r="Z201" s="22">
        <v>282.28100000000001</v>
      </c>
      <c r="AA201" s="22">
        <v>-1.5957599999999999E-2</v>
      </c>
      <c r="AB201" s="22">
        <v>191</v>
      </c>
      <c r="AC201" s="22">
        <v>0.83740199999999998</v>
      </c>
      <c r="AD201">
        <f t="shared" si="28"/>
        <v>15.957599999999999</v>
      </c>
      <c r="AE201">
        <f t="shared" si="29"/>
        <v>13.375101804</v>
      </c>
      <c r="AF201" s="9"/>
      <c r="AG201" s="22">
        <v>0.86181600000000003</v>
      </c>
      <c r="AH201" s="22">
        <v>367.375</v>
      </c>
      <c r="AI201" s="22">
        <v>-1.5957599999999999E-2</v>
      </c>
      <c r="AJ201" s="22">
        <v>191</v>
      </c>
      <c r="AK201" s="22">
        <v>0.86090100000000003</v>
      </c>
      <c r="AL201">
        <f t="shared" si="30"/>
        <v>15.957599999999999</v>
      </c>
      <c r="AM201">
        <f t="shared" si="31"/>
        <v>13.752515001599999</v>
      </c>
      <c r="AP201" s="9"/>
      <c r="AQ201" s="22">
        <v>0.83816500000000005</v>
      </c>
      <c r="AR201" s="22">
        <v>450.774</v>
      </c>
      <c r="AS201" s="22">
        <v>-1.5969799999999999E-2</v>
      </c>
      <c r="AT201" s="22">
        <v>191</v>
      </c>
      <c r="AU201" s="22">
        <v>0.83679199999999998</v>
      </c>
      <c r="AV201">
        <f t="shared" si="32"/>
        <v>15.969799999999999</v>
      </c>
      <c r="AW201">
        <f t="shared" si="33"/>
        <v>13.385327417000001</v>
      </c>
      <c r="AX201" s="9"/>
      <c r="AY201" s="22">
        <v>0.86181600000000003</v>
      </c>
      <c r="AZ201" s="22">
        <v>572.70799999999997</v>
      </c>
      <c r="BA201" s="22">
        <v>-1.5972900000000002E-2</v>
      </c>
      <c r="BB201" s="22">
        <v>191</v>
      </c>
      <c r="BC201" s="22">
        <v>0.86090100000000003</v>
      </c>
      <c r="BD201">
        <f t="shared" si="34"/>
        <v>15.972900000000001</v>
      </c>
      <c r="BE201">
        <f t="shared" si="35"/>
        <v>13.765700786400002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92.581199999999995</v>
      </c>
      <c r="I202" s="22">
        <v>-1.5905800000000001E-2</v>
      </c>
      <c r="J202" s="22">
        <v>192</v>
      </c>
      <c r="K202" s="22">
        <v>0.83221400000000001</v>
      </c>
      <c r="L202">
        <f t="shared" si="24"/>
        <v>15.905800000000001</v>
      </c>
      <c r="M202">
        <f t="shared" si="25"/>
        <v>13.251599154000001</v>
      </c>
      <c r="N202" s="9"/>
      <c r="O202" s="22">
        <v>0.86685199999999996</v>
      </c>
      <c r="P202" s="22">
        <v>199.86799999999999</v>
      </c>
      <c r="Q202" s="22">
        <v>-1.59393E-2</v>
      </c>
      <c r="R202" s="22">
        <v>192</v>
      </c>
      <c r="S202" s="22">
        <v>0.865784</v>
      </c>
      <c r="T202">
        <f t="shared" si="26"/>
        <v>15.939299999999999</v>
      </c>
      <c r="U202">
        <f t="shared" si="27"/>
        <v>13.817014083599998</v>
      </c>
      <c r="X202" s="9"/>
      <c r="Y202" s="22">
        <v>0.83313000000000004</v>
      </c>
      <c r="Z202" s="22">
        <v>282.38099999999997</v>
      </c>
      <c r="AA202" s="22">
        <v>-1.5957599999999999E-2</v>
      </c>
      <c r="AB202" s="22">
        <v>192</v>
      </c>
      <c r="AC202" s="22">
        <v>0.83221400000000001</v>
      </c>
      <c r="AD202">
        <f t="shared" si="28"/>
        <v>15.957599999999999</v>
      </c>
      <c r="AE202">
        <f t="shared" si="29"/>
        <v>13.294755287999999</v>
      </c>
      <c r="AF202" s="9"/>
      <c r="AG202" s="22">
        <v>0.86685199999999996</v>
      </c>
      <c r="AH202" s="22">
        <v>367.476</v>
      </c>
      <c r="AI202" s="22">
        <v>-1.5963700000000001E-2</v>
      </c>
      <c r="AJ202" s="22">
        <v>192</v>
      </c>
      <c r="AK202" s="22">
        <v>0.865479</v>
      </c>
      <c r="AL202">
        <f t="shared" si="30"/>
        <v>15.963700000000001</v>
      </c>
      <c r="AM202">
        <f t="shared" si="31"/>
        <v>13.838165272399999</v>
      </c>
      <c r="AP202" s="9"/>
      <c r="AQ202" s="22">
        <v>0.83313000000000004</v>
      </c>
      <c r="AR202" s="22">
        <v>450.875</v>
      </c>
      <c r="AS202" s="22">
        <v>-1.5969799999999999E-2</v>
      </c>
      <c r="AT202" s="22">
        <v>192</v>
      </c>
      <c r="AU202" s="22">
        <v>0.83190900000000001</v>
      </c>
      <c r="AV202">
        <f t="shared" si="32"/>
        <v>15.969799999999999</v>
      </c>
      <c r="AW202">
        <f t="shared" si="33"/>
        <v>13.304919474</v>
      </c>
      <c r="AX202" s="9"/>
      <c r="AY202" s="22">
        <v>0.86685199999999996</v>
      </c>
      <c r="AZ202" s="22">
        <v>572.80899999999997</v>
      </c>
      <c r="BA202" s="22">
        <v>-1.5972900000000002E-2</v>
      </c>
      <c r="BB202" s="22">
        <v>192</v>
      </c>
      <c r="BC202" s="22">
        <v>0.865479</v>
      </c>
      <c r="BD202">
        <f t="shared" si="34"/>
        <v>15.972900000000001</v>
      </c>
      <c r="BE202">
        <f t="shared" si="35"/>
        <v>13.846140310800001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92.681899999999999</v>
      </c>
      <c r="I203" s="22">
        <v>-1.5908800000000001E-2</v>
      </c>
      <c r="J203" s="22">
        <v>193</v>
      </c>
      <c r="K203" s="22">
        <v>0.82733199999999996</v>
      </c>
      <c r="L203">
        <f t="shared" si="24"/>
        <v>15.908800000000001</v>
      </c>
      <c r="M203">
        <f t="shared" si="25"/>
        <v>13.1739818272</v>
      </c>
      <c r="N203" s="9"/>
      <c r="O203" s="22">
        <v>0.87188699999999997</v>
      </c>
      <c r="P203" s="22">
        <v>199.96899999999999</v>
      </c>
      <c r="Q203" s="22">
        <v>-1.59363E-2</v>
      </c>
      <c r="R203" s="22">
        <v>193</v>
      </c>
      <c r="S203" s="22">
        <v>0.87066699999999997</v>
      </c>
      <c r="T203">
        <f t="shared" si="26"/>
        <v>15.936300000000001</v>
      </c>
      <c r="U203">
        <f t="shared" si="27"/>
        <v>13.894652798100001</v>
      </c>
      <c r="X203" s="9"/>
      <c r="Y203" s="22">
        <v>0.828094</v>
      </c>
      <c r="Z203" s="22">
        <v>282.48200000000003</v>
      </c>
      <c r="AA203" s="22">
        <v>-1.5963700000000001E-2</v>
      </c>
      <c r="AB203" s="22">
        <v>193</v>
      </c>
      <c r="AC203" s="22">
        <v>0.82763699999999996</v>
      </c>
      <c r="AD203">
        <f t="shared" si="28"/>
        <v>15.963700000000001</v>
      </c>
      <c r="AE203">
        <f t="shared" si="29"/>
        <v>13.219444187800001</v>
      </c>
      <c r="AF203" s="9"/>
      <c r="AG203" s="22">
        <v>0.87188699999999997</v>
      </c>
      <c r="AH203" s="22">
        <v>367.57600000000002</v>
      </c>
      <c r="AI203" s="22">
        <v>-1.5957599999999999E-2</v>
      </c>
      <c r="AJ203" s="22">
        <v>193</v>
      </c>
      <c r="AK203" s="22">
        <v>0.87127699999999997</v>
      </c>
      <c r="AL203">
        <f t="shared" si="30"/>
        <v>15.957599999999999</v>
      </c>
      <c r="AM203">
        <f t="shared" si="31"/>
        <v>13.913223991199999</v>
      </c>
      <c r="AP203" s="9"/>
      <c r="AQ203" s="22">
        <v>0.828094</v>
      </c>
      <c r="AR203" s="22">
        <v>450.976</v>
      </c>
      <c r="AS203" s="22">
        <v>-1.5976000000000001E-2</v>
      </c>
      <c r="AT203" s="22">
        <v>193</v>
      </c>
      <c r="AU203" s="22">
        <v>0.82763699999999996</v>
      </c>
      <c r="AV203">
        <f t="shared" si="32"/>
        <v>15.976000000000001</v>
      </c>
      <c r="AW203">
        <f t="shared" si="33"/>
        <v>13.229629744</v>
      </c>
      <c r="AX203" s="9"/>
      <c r="AY203" s="22">
        <v>0.87188699999999997</v>
      </c>
      <c r="AZ203" s="22">
        <v>572.91</v>
      </c>
      <c r="BA203" s="22">
        <v>-1.5960700000000001E-2</v>
      </c>
      <c r="BB203" s="22">
        <v>193</v>
      </c>
      <c r="BC203" s="22">
        <v>0.87127699999999997</v>
      </c>
      <c r="BD203">
        <f t="shared" si="34"/>
        <v>15.960700000000001</v>
      </c>
      <c r="BE203">
        <f t="shared" si="35"/>
        <v>13.915926840900001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92.782600000000002</v>
      </c>
      <c r="I204" s="22">
        <v>-1.5908800000000001E-2</v>
      </c>
      <c r="J204" s="22">
        <v>194</v>
      </c>
      <c r="K204" s="22">
        <v>0.82183799999999996</v>
      </c>
      <c r="L204">
        <f t="shared" ref="L204:L267" si="36">-I204/$F$2*1000</f>
        <v>15.908800000000001</v>
      </c>
      <c r="M204">
        <f t="shared" ref="M204:M267" si="37">L204*G204</f>
        <v>13.093881019200001</v>
      </c>
      <c r="N204" s="9"/>
      <c r="O204" s="22">
        <v>0.87692300000000001</v>
      </c>
      <c r="P204" s="22">
        <v>200.06899999999999</v>
      </c>
      <c r="Q204" s="22">
        <v>-1.59363E-2</v>
      </c>
      <c r="R204" s="22">
        <v>194</v>
      </c>
      <c r="S204" s="22">
        <v>0.87616000000000005</v>
      </c>
      <c r="T204">
        <f t="shared" ref="T204:T267" si="38">-Q204/$F$2*1000</f>
        <v>15.936300000000001</v>
      </c>
      <c r="U204">
        <f t="shared" ref="U204:U267" si="39">T204*O204</f>
        <v>13.974908004900001</v>
      </c>
      <c r="X204" s="9"/>
      <c r="Y204" s="22">
        <v>0.82305899999999999</v>
      </c>
      <c r="Z204" s="22">
        <v>282.58300000000003</v>
      </c>
      <c r="AA204" s="22">
        <v>-1.59668E-2</v>
      </c>
      <c r="AB204" s="22">
        <v>194</v>
      </c>
      <c r="AC204" s="22">
        <v>0.82275399999999999</v>
      </c>
      <c r="AD204">
        <f t="shared" ref="AD204:AD267" si="40">-AA204/$F$2*1000</f>
        <v>15.966799999999999</v>
      </c>
      <c r="AE204">
        <f t="shared" ref="AE204:AE267" si="41">AD204*Y204</f>
        <v>13.141618441199999</v>
      </c>
      <c r="AF204" s="9"/>
      <c r="AG204" s="22">
        <v>0.87692300000000001</v>
      </c>
      <c r="AH204" s="22">
        <v>367.67700000000002</v>
      </c>
      <c r="AI204" s="22">
        <v>-1.59515E-2</v>
      </c>
      <c r="AJ204" s="22">
        <v>194</v>
      </c>
      <c r="AK204" s="22">
        <v>0.87554900000000002</v>
      </c>
      <c r="AL204">
        <f t="shared" ref="AL204:AL267" si="42">-AI204/$F$2*1000</f>
        <v>15.951500000000001</v>
      </c>
      <c r="AM204">
        <f t="shared" ref="AM204:AM267" si="43">AL204*AG204</f>
        <v>13.988237234500001</v>
      </c>
      <c r="AP204" s="9"/>
      <c r="AQ204" s="22">
        <v>0.82305899999999999</v>
      </c>
      <c r="AR204" s="22">
        <v>451.07600000000002</v>
      </c>
      <c r="AS204" s="22">
        <v>-1.5976000000000001E-2</v>
      </c>
      <c r="AT204" s="22">
        <v>194</v>
      </c>
      <c r="AU204" s="22">
        <v>0.82183799999999996</v>
      </c>
      <c r="AV204">
        <f t="shared" ref="AV204:AV267" si="44">-AS204/$F$2*1000</f>
        <v>15.976000000000001</v>
      </c>
      <c r="AW204">
        <f t="shared" ref="AW204:AW267" si="45">AV204*AQ204</f>
        <v>13.149190584000001</v>
      </c>
      <c r="AX204" s="9"/>
      <c r="AY204" s="22">
        <v>0.87692300000000001</v>
      </c>
      <c r="AZ204" s="22">
        <v>573.01099999999997</v>
      </c>
      <c r="BA204" s="22">
        <v>-1.5963700000000001E-2</v>
      </c>
      <c r="BB204" s="22">
        <v>194</v>
      </c>
      <c r="BC204" s="22">
        <v>0.87554900000000002</v>
      </c>
      <c r="BD204">
        <f t="shared" ref="BD204:BD267" si="46">-BA204/$F$2*1000</f>
        <v>15.963700000000001</v>
      </c>
      <c r="BE204">
        <f t="shared" ref="BE204:BE267" si="47">BD204*AY204</f>
        <v>13.998935695100002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92.883300000000006</v>
      </c>
      <c r="I205" s="22">
        <v>-1.5914899999999999E-2</v>
      </c>
      <c r="J205" s="22">
        <v>195</v>
      </c>
      <c r="K205" s="22">
        <v>0.81726100000000002</v>
      </c>
      <c r="L205">
        <f t="shared" si="36"/>
        <v>15.914899999999999</v>
      </c>
      <c r="M205">
        <f t="shared" si="37"/>
        <v>13.018770157599999</v>
      </c>
      <c r="N205" s="9"/>
      <c r="O205" s="22">
        <v>0.88195800000000002</v>
      </c>
      <c r="P205" s="22">
        <v>200.17</v>
      </c>
      <c r="Q205" s="22">
        <v>-1.5948500000000001E-2</v>
      </c>
      <c r="R205" s="22">
        <v>195</v>
      </c>
      <c r="S205" s="22">
        <v>0.88073699999999999</v>
      </c>
      <c r="T205">
        <f t="shared" si="38"/>
        <v>15.948500000000001</v>
      </c>
      <c r="U205">
        <f t="shared" si="39"/>
        <v>14.065907163</v>
      </c>
      <c r="X205" s="9"/>
      <c r="Y205" s="22">
        <v>0.81802399999999997</v>
      </c>
      <c r="Z205" s="22">
        <v>282.68299999999999</v>
      </c>
      <c r="AA205" s="22">
        <v>-1.5976000000000001E-2</v>
      </c>
      <c r="AB205" s="22">
        <v>195</v>
      </c>
      <c r="AC205" s="22">
        <v>0.81726100000000002</v>
      </c>
      <c r="AD205">
        <f t="shared" si="40"/>
        <v>15.976000000000001</v>
      </c>
      <c r="AE205">
        <f t="shared" si="41"/>
        <v>13.068751424</v>
      </c>
      <c r="AF205" s="9"/>
      <c r="AG205" s="22">
        <v>0.88195800000000002</v>
      </c>
      <c r="AH205" s="22">
        <v>367.77800000000002</v>
      </c>
      <c r="AI205" s="22">
        <v>-1.5954599999999999E-2</v>
      </c>
      <c r="AJ205" s="22">
        <v>195</v>
      </c>
      <c r="AK205" s="22">
        <v>0.88073699999999999</v>
      </c>
      <c r="AL205">
        <f t="shared" si="42"/>
        <v>15.954599999999999</v>
      </c>
      <c r="AM205">
        <f t="shared" si="43"/>
        <v>14.0712871068</v>
      </c>
      <c r="AP205" s="9"/>
      <c r="AQ205" s="22">
        <v>0.81802399999999997</v>
      </c>
      <c r="AR205" s="22">
        <v>451.17700000000002</v>
      </c>
      <c r="AS205" s="22">
        <v>-1.5985099999999999E-2</v>
      </c>
      <c r="AT205" s="22">
        <v>195</v>
      </c>
      <c r="AU205" s="22">
        <v>0.81664999999999999</v>
      </c>
      <c r="AV205">
        <f t="shared" si="44"/>
        <v>15.985099999999999</v>
      </c>
      <c r="AW205">
        <f t="shared" si="45"/>
        <v>13.0761954424</v>
      </c>
      <c r="AX205" s="9"/>
      <c r="AY205" s="22">
        <v>0.88195800000000002</v>
      </c>
      <c r="AZ205" s="22">
        <v>573.11099999999999</v>
      </c>
      <c r="BA205" s="22">
        <v>-1.5960700000000001E-2</v>
      </c>
      <c r="BB205" s="22">
        <v>195</v>
      </c>
      <c r="BC205" s="22">
        <v>0.88134800000000002</v>
      </c>
      <c r="BD205">
        <f t="shared" si="46"/>
        <v>15.960700000000001</v>
      </c>
      <c r="BE205">
        <f t="shared" si="47"/>
        <v>14.076667050600001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92.983999999999995</v>
      </c>
      <c r="I206" s="22">
        <v>-1.59241E-2</v>
      </c>
      <c r="J206" s="22">
        <v>196</v>
      </c>
      <c r="K206" s="22">
        <v>0.81207300000000004</v>
      </c>
      <c r="L206">
        <f t="shared" si="36"/>
        <v>15.924099999999999</v>
      </c>
      <c r="M206">
        <f t="shared" si="37"/>
        <v>12.946102210799999</v>
      </c>
      <c r="N206" s="9"/>
      <c r="O206" s="22">
        <v>0.88699300000000003</v>
      </c>
      <c r="P206" s="22">
        <v>200.27099999999999</v>
      </c>
      <c r="Q206" s="22">
        <v>-1.5930199999999999E-2</v>
      </c>
      <c r="R206" s="22">
        <v>196</v>
      </c>
      <c r="S206" s="22">
        <v>0.88653599999999999</v>
      </c>
      <c r="T206">
        <f t="shared" si="38"/>
        <v>15.930199999999999</v>
      </c>
      <c r="U206">
        <f t="shared" si="39"/>
        <v>14.129975888600001</v>
      </c>
      <c r="X206" s="9"/>
      <c r="Y206" s="22">
        <v>0.81298800000000004</v>
      </c>
      <c r="Z206" s="22">
        <v>282.78399999999999</v>
      </c>
      <c r="AA206" s="22">
        <v>-1.5982099999999999E-2</v>
      </c>
      <c r="AB206" s="22">
        <v>196</v>
      </c>
      <c r="AC206" s="22">
        <v>0.81207300000000004</v>
      </c>
      <c r="AD206">
        <f t="shared" si="40"/>
        <v>15.982099999999999</v>
      </c>
      <c r="AE206">
        <f t="shared" si="41"/>
        <v>12.9932555148</v>
      </c>
      <c r="AF206" s="9"/>
      <c r="AG206" s="22">
        <v>0.88699300000000003</v>
      </c>
      <c r="AH206" s="22">
        <v>367.87900000000002</v>
      </c>
      <c r="AI206" s="22">
        <v>-1.59515E-2</v>
      </c>
      <c r="AJ206" s="22">
        <v>196</v>
      </c>
      <c r="AK206" s="22">
        <v>0.88561999999999996</v>
      </c>
      <c r="AL206">
        <f t="shared" si="42"/>
        <v>15.951500000000001</v>
      </c>
      <c r="AM206">
        <f t="shared" si="43"/>
        <v>14.148868839500002</v>
      </c>
      <c r="AP206" s="9"/>
      <c r="AQ206" s="22">
        <v>0.81298800000000004</v>
      </c>
      <c r="AR206" s="22">
        <v>451.27800000000002</v>
      </c>
      <c r="AS206" s="22">
        <v>-1.5994299999999999E-2</v>
      </c>
      <c r="AT206" s="22">
        <v>196</v>
      </c>
      <c r="AU206" s="22">
        <v>0.81176800000000005</v>
      </c>
      <c r="AV206">
        <f t="shared" si="44"/>
        <v>15.994299999999999</v>
      </c>
      <c r="AW206">
        <f t="shared" si="45"/>
        <v>13.003173968400001</v>
      </c>
      <c r="AX206" s="9"/>
      <c r="AY206" s="22">
        <v>0.88699300000000003</v>
      </c>
      <c r="AZ206" s="22">
        <v>573.21199999999999</v>
      </c>
      <c r="BA206" s="22">
        <v>-1.59515E-2</v>
      </c>
      <c r="BB206" s="22">
        <v>196</v>
      </c>
      <c r="BC206" s="22">
        <v>0.88592499999999996</v>
      </c>
      <c r="BD206">
        <f t="shared" si="46"/>
        <v>15.951500000000001</v>
      </c>
      <c r="BE206">
        <f t="shared" si="47"/>
        <v>14.148868839500002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93.084699999999998</v>
      </c>
      <c r="I207" s="22">
        <v>-1.59241E-2</v>
      </c>
      <c r="J207" s="22">
        <v>197</v>
      </c>
      <c r="K207" s="22">
        <v>0.80718999999999996</v>
      </c>
      <c r="L207">
        <f t="shared" si="36"/>
        <v>15.924099999999999</v>
      </c>
      <c r="M207">
        <f t="shared" si="37"/>
        <v>12.8659243673</v>
      </c>
      <c r="N207" s="9"/>
      <c r="O207" s="22">
        <v>0.89202899999999996</v>
      </c>
      <c r="P207" s="22">
        <v>200.37100000000001</v>
      </c>
      <c r="Q207" s="22">
        <v>-1.59241E-2</v>
      </c>
      <c r="R207" s="22">
        <v>197</v>
      </c>
      <c r="S207" s="22">
        <v>0.89080800000000004</v>
      </c>
      <c r="T207">
        <f t="shared" si="38"/>
        <v>15.924099999999999</v>
      </c>
      <c r="U207">
        <f t="shared" si="39"/>
        <v>14.204758998899999</v>
      </c>
      <c r="X207" s="9"/>
      <c r="Y207" s="22">
        <v>0.80795300000000003</v>
      </c>
      <c r="Z207" s="22">
        <v>282.88499999999999</v>
      </c>
      <c r="AA207" s="22">
        <v>-1.5972900000000002E-2</v>
      </c>
      <c r="AB207" s="22">
        <v>197</v>
      </c>
      <c r="AC207" s="22">
        <v>0.80718999999999996</v>
      </c>
      <c r="AD207">
        <f t="shared" si="40"/>
        <v>15.972900000000001</v>
      </c>
      <c r="AE207">
        <f t="shared" si="41"/>
        <v>12.905352473700001</v>
      </c>
      <c r="AF207" s="9"/>
      <c r="AG207" s="22">
        <v>0.89202899999999996</v>
      </c>
      <c r="AH207" s="22">
        <v>367.97899999999998</v>
      </c>
      <c r="AI207" s="22">
        <v>-1.5945399999999998E-2</v>
      </c>
      <c r="AJ207" s="22">
        <v>197</v>
      </c>
      <c r="AK207" s="22">
        <v>0.89141800000000004</v>
      </c>
      <c r="AL207">
        <f t="shared" si="42"/>
        <v>15.945399999999999</v>
      </c>
      <c r="AM207">
        <f t="shared" si="43"/>
        <v>14.2237592166</v>
      </c>
      <c r="AP207" s="9"/>
      <c r="AQ207" s="22">
        <v>0.80795300000000003</v>
      </c>
      <c r="AR207" s="22">
        <v>451.37900000000002</v>
      </c>
      <c r="AS207" s="22">
        <v>-1.5994299999999999E-2</v>
      </c>
      <c r="AT207" s="22">
        <v>197</v>
      </c>
      <c r="AU207" s="22">
        <v>0.80657999999999996</v>
      </c>
      <c r="AV207">
        <f t="shared" si="44"/>
        <v>15.994299999999999</v>
      </c>
      <c r="AW207">
        <f t="shared" si="45"/>
        <v>12.9226426679</v>
      </c>
      <c r="AX207" s="9"/>
      <c r="AY207" s="22">
        <v>0.89202899999999996</v>
      </c>
      <c r="AZ207" s="22">
        <v>573.31299999999999</v>
      </c>
      <c r="BA207" s="22">
        <v>-1.59515E-2</v>
      </c>
      <c r="BB207" s="22">
        <v>197</v>
      </c>
      <c r="BC207" s="22">
        <v>0.89111300000000004</v>
      </c>
      <c r="BD207">
        <f t="shared" si="46"/>
        <v>15.951500000000001</v>
      </c>
      <c r="BE207">
        <f t="shared" si="47"/>
        <v>14.2292005935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93.185400000000001</v>
      </c>
      <c r="I208" s="22">
        <v>-1.5930199999999999E-2</v>
      </c>
      <c r="J208" s="22">
        <v>198</v>
      </c>
      <c r="K208" s="22">
        <v>0.80261199999999999</v>
      </c>
      <c r="L208">
        <f t="shared" si="36"/>
        <v>15.930199999999999</v>
      </c>
      <c r="M208">
        <f t="shared" si="37"/>
        <v>12.790628393399999</v>
      </c>
      <c r="N208" s="9"/>
      <c r="O208" s="22">
        <v>0.89706399999999997</v>
      </c>
      <c r="P208" s="22">
        <v>200.47200000000001</v>
      </c>
      <c r="Q208" s="22">
        <v>-1.59241E-2</v>
      </c>
      <c r="R208" s="22">
        <v>198</v>
      </c>
      <c r="S208" s="22">
        <v>0.89599600000000001</v>
      </c>
      <c r="T208">
        <f t="shared" si="38"/>
        <v>15.924099999999999</v>
      </c>
      <c r="U208">
        <f t="shared" si="39"/>
        <v>14.284936842399999</v>
      </c>
      <c r="X208" s="9"/>
      <c r="Y208" s="22">
        <v>0.80291699999999999</v>
      </c>
      <c r="Z208" s="22">
        <v>282.98599999999999</v>
      </c>
      <c r="AA208" s="22">
        <v>-1.5991200000000001E-2</v>
      </c>
      <c r="AB208" s="22">
        <v>198</v>
      </c>
      <c r="AC208" s="22">
        <v>0.80200199999999999</v>
      </c>
      <c r="AD208">
        <f t="shared" si="40"/>
        <v>15.991200000000001</v>
      </c>
      <c r="AE208">
        <f t="shared" si="41"/>
        <v>12.839606330400001</v>
      </c>
      <c r="AF208" s="9"/>
      <c r="AG208" s="22">
        <v>0.89706399999999997</v>
      </c>
      <c r="AH208" s="22">
        <v>368.08</v>
      </c>
      <c r="AI208" s="22">
        <v>-1.59393E-2</v>
      </c>
      <c r="AJ208" s="22">
        <v>198</v>
      </c>
      <c r="AK208" s="22">
        <v>0.89569100000000001</v>
      </c>
      <c r="AL208">
        <f t="shared" si="42"/>
        <v>15.939299999999999</v>
      </c>
      <c r="AM208">
        <f t="shared" si="43"/>
        <v>14.298572215199998</v>
      </c>
      <c r="AP208" s="9"/>
      <c r="AQ208" s="22">
        <v>0.80291699999999999</v>
      </c>
      <c r="AR208" s="22">
        <v>451.47899999999998</v>
      </c>
      <c r="AS208" s="22">
        <v>-1.5994299999999999E-2</v>
      </c>
      <c r="AT208" s="22">
        <v>198</v>
      </c>
      <c r="AU208" s="22">
        <v>0.80200199999999999</v>
      </c>
      <c r="AV208">
        <f t="shared" si="44"/>
        <v>15.994299999999999</v>
      </c>
      <c r="AW208">
        <f t="shared" si="45"/>
        <v>12.842095373099999</v>
      </c>
      <c r="AX208" s="9"/>
      <c r="AY208" s="22">
        <v>0.89706399999999997</v>
      </c>
      <c r="AZ208" s="22">
        <v>573.41300000000001</v>
      </c>
      <c r="BA208" s="22">
        <v>-1.59515E-2</v>
      </c>
      <c r="BB208" s="22">
        <v>198</v>
      </c>
      <c r="BC208" s="22">
        <v>0.89660600000000001</v>
      </c>
      <c r="BD208">
        <f t="shared" si="46"/>
        <v>15.951500000000001</v>
      </c>
      <c r="BE208">
        <f t="shared" si="47"/>
        <v>14.309516396000001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93.286100000000005</v>
      </c>
      <c r="I209" s="22">
        <v>-1.5930199999999999E-2</v>
      </c>
      <c r="J209" s="22">
        <v>199</v>
      </c>
      <c r="K209" s="22">
        <v>0.79650900000000002</v>
      </c>
      <c r="L209">
        <f t="shared" si="36"/>
        <v>15.930199999999999</v>
      </c>
      <c r="M209">
        <f t="shared" si="37"/>
        <v>12.7104198364</v>
      </c>
      <c r="N209" s="9"/>
      <c r="O209" s="22">
        <v>0.90210000000000001</v>
      </c>
      <c r="P209" s="22">
        <v>200.57300000000001</v>
      </c>
      <c r="Q209" s="22">
        <v>-1.5921000000000001E-2</v>
      </c>
      <c r="R209" s="22">
        <v>199</v>
      </c>
      <c r="S209" s="22">
        <v>0.90087899999999999</v>
      </c>
      <c r="T209">
        <f t="shared" si="38"/>
        <v>15.921000000000001</v>
      </c>
      <c r="U209">
        <f t="shared" si="39"/>
        <v>14.362334100000002</v>
      </c>
      <c r="X209" s="9"/>
      <c r="Y209" s="22">
        <v>0.79788199999999998</v>
      </c>
      <c r="Z209" s="22">
        <v>283.08600000000001</v>
      </c>
      <c r="AA209" s="22">
        <v>-1.5991200000000001E-2</v>
      </c>
      <c r="AB209" s="22">
        <v>199</v>
      </c>
      <c r="AC209" s="22">
        <v>0.79711900000000002</v>
      </c>
      <c r="AD209">
        <f t="shared" si="40"/>
        <v>15.991200000000001</v>
      </c>
      <c r="AE209">
        <f t="shared" si="41"/>
        <v>12.7590906384</v>
      </c>
      <c r="AF209" s="9"/>
      <c r="AG209" s="22">
        <v>0.90210000000000001</v>
      </c>
      <c r="AH209" s="22">
        <v>368.18099999999998</v>
      </c>
      <c r="AI209" s="22">
        <v>-1.59393E-2</v>
      </c>
      <c r="AJ209" s="22">
        <v>199</v>
      </c>
      <c r="AK209" s="22">
        <v>0.90148899999999998</v>
      </c>
      <c r="AL209">
        <f t="shared" si="42"/>
        <v>15.939299999999999</v>
      </c>
      <c r="AM209">
        <f t="shared" si="43"/>
        <v>14.37884253</v>
      </c>
      <c r="AP209" s="9"/>
      <c r="AQ209" s="22">
        <v>0.79788199999999998</v>
      </c>
      <c r="AR209" s="22">
        <v>451.58</v>
      </c>
      <c r="AS209" s="22">
        <v>-1.5991200000000001E-2</v>
      </c>
      <c r="AT209" s="22">
        <v>199</v>
      </c>
      <c r="AU209" s="22">
        <v>0.79711900000000002</v>
      </c>
      <c r="AV209">
        <f t="shared" si="44"/>
        <v>15.991200000000001</v>
      </c>
      <c r="AW209">
        <f t="shared" si="45"/>
        <v>12.7590906384</v>
      </c>
      <c r="AX209" s="9"/>
      <c r="AY209" s="22">
        <v>0.90210000000000001</v>
      </c>
      <c r="AZ209" s="22">
        <v>573.51400000000001</v>
      </c>
      <c r="BA209" s="22">
        <v>-1.59515E-2</v>
      </c>
      <c r="BB209" s="22">
        <v>199</v>
      </c>
      <c r="BC209" s="22">
        <v>0.90148899999999998</v>
      </c>
      <c r="BD209">
        <f t="shared" si="46"/>
        <v>15.951500000000001</v>
      </c>
      <c r="BE209">
        <f t="shared" si="47"/>
        <v>14.389848150000001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93.386799999999994</v>
      </c>
      <c r="I210" s="22">
        <v>-1.5930199999999999E-2</v>
      </c>
      <c r="J210" s="22">
        <v>200</v>
      </c>
      <c r="K210" s="22">
        <v>0.79162600000000005</v>
      </c>
      <c r="L210">
        <f t="shared" si="36"/>
        <v>15.930199999999999</v>
      </c>
      <c r="M210">
        <f t="shared" si="37"/>
        <v>12.630211279399999</v>
      </c>
      <c r="N210" s="9"/>
      <c r="O210" s="22">
        <v>0.90713500000000002</v>
      </c>
      <c r="P210" s="22">
        <v>200.67400000000001</v>
      </c>
      <c r="Q210" s="22">
        <v>-1.5921000000000001E-2</v>
      </c>
      <c r="R210" s="22">
        <v>200</v>
      </c>
      <c r="S210" s="22">
        <v>0.90637199999999996</v>
      </c>
      <c r="T210">
        <f t="shared" si="38"/>
        <v>15.921000000000001</v>
      </c>
      <c r="U210">
        <f t="shared" si="39"/>
        <v>14.442496335000001</v>
      </c>
      <c r="X210" s="9"/>
      <c r="Y210" s="22">
        <v>0.79284699999999997</v>
      </c>
      <c r="Z210" s="22">
        <v>283.18700000000001</v>
      </c>
      <c r="AA210" s="22">
        <v>-1.6000400000000001E-2</v>
      </c>
      <c r="AB210" s="22">
        <v>200</v>
      </c>
      <c r="AC210" s="22">
        <v>0.79223600000000005</v>
      </c>
      <c r="AD210">
        <f t="shared" si="40"/>
        <v>16.000400000000003</v>
      </c>
      <c r="AE210">
        <f t="shared" si="41"/>
        <v>12.685869138800001</v>
      </c>
      <c r="AF210" s="9"/>
      <c r="AG210" s="22">
        <v>0.90713500000000002</v>
      </c>
      <c r="AH210" s="22">
        <v>368.28100000000001</v>
      </c>
      <c r="AI210" s="22">
        <v>-1.59363E-2</v>
      </c>
      <c r="AJ210" s="22">
        <v>200</v>
      </c>
      <c r="AK210" s="22">
        <v>0.90667699999999996</v>
      </c>
      <c r="AL210">
        <f t="shared" si="42"/>
        <v>15.936300000000001</v>
      </c>
      <c r="AM210">
        <f t="shared" si="43"/>
        <v>14.456375500500002</v>
      </c>
      <c r="AP210" s="9"/>
      <c r="AQ210" s="22">
        <v>0.79284699999999997</v>
      </c>
      <c r="AR210" s="22">
        <v>451.68099999999998</v>
      </c>
      <c r="AS210" s="22">
        <v>-1.6000400000000001E-2</v>
      </c>
      <c r="AT210" s="22">
        <v>200</v>
      </c>
      <c r="AU210" s="22">
        <v>0.79193100000000005</v>
      </c>
      <c r="AV210">
        <f t="shared" si="44"/>
        <v>16.000400000000003</v>
      </c>
      <c r="AW210">
        <f t="shared" si="45"/>
        <v>12.685869138800001</v>
      </c>
      <c r="AX210" s="9"/>
      <c r="AY210" s="22">
        <v>0.90713500000000002</v>
      </c>
      <c r="AZ210" s="22">
        <v>573.61500000000001</v>
      </c>
      <c r="BA210" s="22">
        <v>-1.5942399999999999E-2</v>
      </c>
      <c r="BB210" s="22">
        <v>200</v>
      </c>
      <c r="BC210" s="22">
        <v>0.90606699999999996</v>
      </c>
      <c r="BD210">
        <f t="shared" si="46"/>
        <v>15.942399999999999</v>
      </c>
      <c r="BE210">
        <f t="shared" si="47"/>
        <v>14.461909024000001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93.487499999999997</v>
      </c>
      <c r="I211" s="22">
        <v>-1.5930199999999999E-2</v>
      </c>
      <c r="J211" s="22">
        <v>201</v>
      </c>
      <c r="K211" s="22">
        <v>0.787659</v>
      </c>
      <c r="L211">
        <f t="shared" si="36"/>
        <v>15.930199999999999</v>
      </c>
      <c r="M211">
        <f t="shared" si="37"/>
        <v>12.5499867922</v>
      </c>
      <c r="N211" s="9"/>
      <c r="O211" s="22">
        <v>0.91217000000000004</v>
      </c>
      <c r="P211" s="22">
        <v>200.774</v>
      </c>
      <c r="Q211" s="22">
        <v>-1.59271E-2</v>
      </c>
      <c r="R211" s="22">
        <v>201</v>
      </c>
      <c r="S211" s="22">
        <v>0.91156000000000004</v>
      </c>
      <c r="T211">
        <f t="shared" si="38"/>
        <v>15.927099999999999</v>
      </c>
      <c r="U211">
        <f t="shared" si="39"/>
        <v>14.528222807000001</v>
      </c>
      <c r="X211" s="9"/>
      <c r="Y211" s="22">
        <v>0.78781100000000004</v>
      </c>
      <c r="Z211" s="22">
        <v>283.28800000000001</v>
      </c>
      <c r="AA211" s="22">
        <v>-1.6009499999999999E-2</v>
      </c>
      <c r="AB211" s="22">
        <v>201</v>
      </c>
      <c r="AC211" s="22">
        <v>0.787354</v>
      </c>
      <c r="AD211">
        <f t="shared" si="40"/>
        <v>16.009499999999999</v>
      </c>
      <c r="AE211">
        <f t="shared" si="41"/>
        <v>12.6124602045</v>
      </c>
      <c r="AF211" s="9"/>
      <c r="AG211" s="22">
        <v>0.91217000000000004</v>
      </c>
      <c r="AH211" s="22">
        <v>368.38200000000001</v>
      </c>
      <c r="AI211" s="22">
        <v>-1.59271E-2</v>
      </c>
      <c r="AJ211" s="22">
        <v>201</v>
      </c>
      <c r="AK211" s="22">
        <v>0.91156000000000004</v>
      </c>
      <c r="AL211">
        <f t="shared" si="42"/>
        <v>15.927099999999999</v>
      </c>
      <c r="AM211">
        <f t="shared" si="43"/>
        <v>14.528222807000001</v>
      </c>
      <c r="AP211" s="9"/>
      <c r="AQ211" s="22">
        <v>0.78781100000000004</v>
      </c>
      <c r="AR211" s="22">
        <v>451.78100000000001</v>
      </c>
      <c r="AS211" s="22">
        <v>-1.60065E-2</v>
      </c>
      <c r="AT211" s="22">
        <v>201</v>
      </c>
      <c r="AU211" s="22">
        <v>0.78674299999999997</v>
      </c>
      <c r="AV211">
        <f t="shared" si="44"/>
        <v>16.006499999999999</v>
      </c>
      <c r="AW211">
        <f t="shared" si="45"/>
        <v>12.6100967715</v>
      </c>
      <c r="AX211" s="9"/>
      <c r="AY211" s="22">
        <v>0.91217000000000004</v>
      </c>
      <c r="AZ211" s="22">
        <v>573.71600000000001</v>
      </c>
      <c r="BA211" s="22">
        <v>-1.5942399999999999E-2</v>
      </c>
      <c r="BB211" s="22">
        <v>201</v>
      </c>
      <c r="BC211" s="22">
        <v>0.91156000000000004</v>
      </c>
      <c r="BD211">
        <f t="shared" si="46"/>
        <v>15.942399999999999</v>
      </c>
      <c r="BE211">
        <f t="shared" si="47"/>
        <v>14.542179008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93.588300000000004</v>
      </c>
      <c r="I212" s="22">
        <v>-1.59393E-2</v>
      </c>
      <c r="J212" s="22">
        <v>202</v>
      </c>
      <c r="K212" s="22">
        <v>0.781555</v>
      </c>
      <c r="L212">
        <f t="shared" si="36"/>
        <v>15.939299999999999</v>
      </c>
      <c r="M212">
        <f t="shared" si="37"/>
        <v>12.4769014968</v>
      </c>
      <c r="N212" s="9"/>
      <c r="O212" s="22">
        <v>0.91720599999999997</v>
      </c>
      <c r="P212" s="22">
        <v>200.875</v>
      </c>
      <c r="Q212" s="22">
        <v>-1.5921000000000001E-2</v>
      </c>
      <c r="R212" s="22">
        <v>202</v>
      </c>
      <c r="S212" s="22">
        <v>0.91644300000000001</v>
      </c>
      <c r="T212">
        <f t="shared" si="38"/>
        <v>15.921000000000001</v>
      </c>
      <c r="U212">
        <f t="shared" si="39"/>
        <v>14.602836726000001</v>
      </c>
      <c r="X212" s="9"/>
      <c r="Y212" s="22">
        <v>0.78277600000000003</v>
      </c>
      <c r="Z212" s="22">
        <v>283.38799999999998</v>
      </c>
      <c r="AA212" s="22">
        <v>-1.6003400000000001E-2</v>
      </c>
      <c r="AB212" s="22">
        <v>202</v>
      </c>
      <c r="AC212" s="22">
        <v>0.78216600000000003</v>
      </c>
      <c r="AD212">
        <f t="shared" si="40"/>
        <v>16.003399999999999</v>
      </c>
      <c r="AE212">
        <f t="shared" si="41"/>
        <v>12.527077438399999</v>
      </c>
      <c r="AF212" s="9"/>
      <c r="AG212" s="22">
        <v>0.91720599999999997</v>
      </c>
      <c r="AH212" s="22">
        <v>368.483</v>
      </c>
      <c r="AI212" s="22">
        <v>-1.59393E-2</v>
      </c>
      <c r="AJ212" s="22">
        <v>202</v>
      </c>
      <c r="AK212" s="22">
        <v>0.91522199999999998</v>
      </c>
      <c r="AL212">
        <f t="shared" si="42"/>
        <v>15.939299999999999</v>
      </c>
      <c r="AM212">
        <f t="shared" si="43"/>
        <v>14.619621595799998</v>
      </c>
      <c r="AP212" s="9"/>
      <c r="AQ212" s="22">
        <v>0.78277600000000003</v>
      </c>
      <c r="AR212" s="22">
        <v>451.88200000000001</v>
      </c>
      <c r="AS212" s="22">
        <v>-1.6015600000000001E-2</v>
      </c>
      <c r="AT212" s="22">
        <v>202</v>
      </c>
      <c r="AU212" s="22">
        <v>0.781555</v>
      </c>
      <c r="AV212">
        <f t="shared" si="44"/>
        <v>16.015600000000003</v>
      </c>
      <c r="AW212">
        <f t="shared" si="45"/>
        <v>12.536627305600003</v>
      </c>
      <c r="AX212" s="9"/>
      <c r="AY212" s="22">
        <v>0.91720599999999997</v>
      </c>
      <c r="AZ212" s="22">
        <v>573.81600000000003</v>
      </c>
      <c r="BA212" s="22">
        <v>-1.5945399999999998E-2</v>
      </c>
      <c r="BB212" s="22">
        <v>202</v>
      </c>
      <c r="BC212" s="22">
        <v>0.91613800000000001</v>
      </c>
      <c r="BD212">
        <f t="shared" si="46"/>
        <v>15.945399999999999</v>
      </c>
      <c r="BE212">
        <f t="shared" si="47"/>
        <v>14.6252165524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93.688999999999993</v>
      </c>
      <c r="I213" s="22">
        <v>-1.59363E-2</v>
      </c>
      <c r="J213" s="22">
        <v>203</v>
      </c>
      <c r="K213" s="22">
        <v>0.77697799999999995</v>
      </c>
      <c r="L213">
        <f t="shared" si="36"/>
        <v>15.936300000000001</v>
      </c>
      <c r="M213">
        <f t="shared" si="37"/>
        <v>12.394297962000001</v>
      </c>
      <c r="N213" s="9"/>
      <c r="O213" s="22">
        <v>0.92224099999999998</v>
      </c>
      <c r="P213" s="22">
        <v>200.976</v>
      </c>
      <c r="Q213" s="22">
        <v>-1.5918000000000002E-2</v>
      </c>
      <c r="R213" s="22">
        <v>203</v>
      </c>
      <c r="S213" s="22">
        <v>0.92132599999999998</v>
      </c>
      <c r="T213">
        <f t="shared" si="38"/>
        <v>15.918000000000001</v>
      </c>
      <c r="U213">
        <f t="shared" si="39"/>
        <v>14.680232238</v>
      </c>
      <c r="X213" s="9"/>
      <c r="Y213" s="22">
        <v>0.77773999999999999</v>
      </c>
      <c r="Z213" s="22">
        <v>283.48899999999998</v>
      </c>
      <c r="AA213" s="22">
        <v>-1.6000400000000001E-2</v>
      </c>
      <c r="AB213" s="22">
        <v>203</v>
      </c>
      <c r="AC213" s="22">
        <v>0.77697799999999995</v>
      </c>
      <c r="AD213">
        <f t="shared" si="40"/>
        <v>16.000400000000003</v>
      </c>
      <c r="AE213">
        <f t="shared" si="41"/>
        <v>12.444151096000002</v>
      </c>
      <c r="AF213" s="9"/>
      <c r="AG213" s="22">
        <v>0.92224099999999998</v>
      </c>
      <c r="AH213" s="22">
        <v>368.58300000000003</v>
      </c>
      <c r="AI213" s="22">
        <v>-1.5933200000000002E-2</v>
      </c>
      <c r="AJ213" s="22">
        <v>203</v>
      </c>
      <c r="AK213" s="22">
        <v>0.92132599999999998</v>
      </c>
      <c r="AL213">
        <f t="shared" si="42"/>
        <v>15.933200000000001</v>
      </c>
      <c r="AM213">
        <f t="shared" si="43"/>
        <v>14.6942503012</v>
      </c>
      <c r="AP213" s="9"/>
      <c r="AQ213" s="22">
        <v>0.77773999999999999</v>
      </c>
      <c r="AR213" s="22">
        <v>451.983</v>
      </c>
      <c r="AS213" s="22">
        <v>-1.60065E-2</v>
      </c>
      <c r="AT213" s="22">
        <v>203</v>
      </c>
      <c r="AU213" s="22">
        <v>0.77697799999999995</v>
      </c>
      <c r="AV213">
        <f t="shared" si="44"/>
        <v>16.006499999999999</v>
      </c>
      <c r="AW213">
        <f t="shared" si="45"/>
        <v>12.448895309999999</v>
      </c>
      <c r="AX213" s="9"/>
      <c r="AY213" s="22">
        <v>0.92224099999999998</v>
      </c>
      <c r="AZ213" s="22">
        <v>573.91700000000003</v>
      </c>
      <c r="BA213" s="22">
        <v>-1.59363E-2</v>
      </c>
      <c r="BB213" s="22">
        <v>203</v>
      </c>
      <c r="BC213" s="22">
        <v>0.92102099999999998</v>
      </c>
      <c r="BD213">
        <f t="shared" si="46"/>
        <v>15.936300000000001</v>
      </c>
      <c r="BE213">
        <f t="shared" si="47"/>
        <v>14.6971092483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93.789699999999996</v>
      </c>
      <c r="I214" s="22">
        <v>-1.5945399999999998E-2</v>
      </c>
      <c r="J214" s="22">
        <v>204</v>
      </c>
      <c r="K214" s="22">
        <v>0.77148399999999995</v>
      </c>
      <c r="L214">
        <f t="shared" si="36"/>
        <v>15.945399999999999</v>
      </c>
      <c r="M214">
        <f t="shared" si="37"/>
        <v>12.321090306999999</v>
      </c>
      <c r="N214" s="9"/>
      <c r="O214" s="22">
        <v>0.92727700000000002</v>
      </c>
      <c r="P214" s="22">
        <v>201.07599999999999</v>
      </c>
      <c r="Q214" s="22">
        <v>-1.59119E-2</v>
      </c>
      <c r="R214" s="22">
        <v>204</v>
      </c>
      <c r="S214" s="22">
        <v>0.92681899999999995</v>
      </c>
      <c r="T214">
        <f t="shared" si="38"/>
        <v>15.911899999999999</v>
      </c>
      <c r="U214">
        <f t="shared" si="39"/>
        <v>14.754738896299999</v>
      </c>
      <c r="X214" s="9"/>
      <c r="Y214" s="22">
        <v>0.77270499999999998</v>
      </c>
      <c r="Z214" s="22">
        <v>283.58999999999997</v>
      </c>
      <c r="AA214" s="22">
        <v>-1.60065E-2</v>
      </c>
      <c r="AB214" s="22">
        <v>204</v>
      </c>
      <c r="AC214" s="22">
        <v>0.77209499999999998</v>
      </c>
      <c r="AD214">
        <f t="shared" si="40"/>
        <v>16.006499999999999</v>
      </c>
      <c r="AE214">
        <f t="shared" si="41"/>
        <v>12.368302582499998</v>
      </c>
      <c r="AF214" s="9"/>
      <c r="AG214" s="22">
        <v>0.92727700000000002</v>
      </c>
      <c r="AH214" s="22">
        <v>368.68400000000003</v>
      </c>
      <c r="AI214" s="22">
        <v>-1.59363E-2</v>
      </c>
      <c r="AJ214" s="22">
        <v>204</v>
      </c>
      <c r="AK214" s="22">
        <v>0.92651399999999995</v>
      </c>
      <c r="AL214">
        <f t="shared" si="42"/>
        <v>15.936300000000001</v>
      </c>
      <c r="AM214">
        <f t="shared" si="43"/>
        <v>14.777364455100001</v>
      </c>
      <c r="AP214" s="9"/>
      <c r="AQ214" s="22">
        <v>0.77270499999999998</v>
      </c>
      <c r="AR214" s="22">
        <v>452.084</v>
      </c>
      <c r="AS214" s="22">
        <v>-1.6012599999999998E-2</v>
      </c>
      <c r="AT214" s="22">
        <v>204</v>
      </c>
      <c r="AU214" s="22">
        <v>0.77148399999999995</v>
      </c>
      <c r="AV214">
        <f t="shared" si="44"/>
        <v>16.012599999999999</v>
      </c>
      <c r="AW214">
        <f t="shared" si="45"/>
        <v>12.373016083</v>
      </c>
      <c r="AX214" s="9"/>
      <c r="AY214" s="22">
        <v>0.92727700000000002</v>
      </c>
      <c r="AZ214" s="22">
        <v>574.01800000000003</v>
      </c>
      <c r="BA214" s="22">
        <v>-1.59241E-2</v>
      </c>
      <c r="BB214" s="22">
        <v>204</v>
      </c>
      <c r="BC214" s="22">
        <v>0.92590300000000003</v>
      </c>
      <c r="BD214">
        <f t="shared" si="46"/>
        <v>15.924099999999999</v>
      </c>
      <c r="BE214">
        <f t="shared" si="47"/>
        <v>14.7660516757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93.8904</v>
      </c>
      <c r="I215" s="22">
        <v>-1.5945399999999998E-2</v>
      </c>
      <c r="J215" s="22">
        <v>205</v>
      </c>
      <c r="K215" s="22">
        <v>0.76660200000000001</v>
      </c>
      <c r="L215">
        <f t="shared" si="36"/>
        <v>15.945399999999999</v>
      </c>
      <c r="M215">
        <f t="shared" si="37"/>
        <v>12.240805217999998</v>
      </c>
      <c r="N215" s="9"/>
      <c r="O215" s="22">
        <v>0.93231200000000003</v>
      </c>
      <c r="P215" s="22">
        <v>201.17699999999999</v>
      </c>
      <c r="Q215" s="22">
        <v>-1.5908800000000001E-2</v>
      </c>
      <c r="R215" s="22">
        <v>205</v>
      </c>
      <c r="S215" s="22">
        <v>0.931091</v>
      </c>
      <c r="T215">
        <f t="shared" si="38"/>
        <v>15.908800000000001</v>
      </c>
      <c r="U215">
        <f t="shared" si="39"/>
        <v>14.831965145600002</v>
      </c>
      <c r="X215" s="9"/>
      <c r="Y215" s="22">
        <v>0.76766999999999996</v>
      </c>
      <c r="Z215" s="22">
        <v>283.69099999999997</v>
      </c>
      <c r="AA215" s="22">
        <v>-1.6012599999999998E-2</v>
      </c>
      <c r="AB215" s="22">
        <v>205</v>
      </c>
      <c r="AC215" s="22">
        <v>0.76721200000000001</v>
      </c>
      <c r="AD215">
        <f t="shared" si="40"/>
        <v>16.012599999999999</v>
      </c>
      <c r="AE215">
        <f t="shared" si="41"/>
        <v>12.292392641999999</v>
      </c>
      <c r="AF215" s="9"/>
      <c r="AG215" s="22">
        <v>0.93231200000000003</v>
      </c>
      <c r="AH215" s="22">
        <v>368.78500000000003</v>
      </c>
      <c r="AI215" s="22">
        <v>-1.5933200000000002E-2</v>
      </c>
      <c r="AJ215" s="22">
        <v>205</v>
      </c>
      <c r="AK215" s="22">
        <v>0.93170200000000003</v>
      </c>
      <c r="AL215">
        <f t="shared" si="42"/>
        <v>15.933200000000001</v>
      </c>
      <c r="AM215">
        <f t="shared" si="43"/>
        <v>14.854713558400002</v>
      </c>
      <c r="AP215" s="9"/>
      <c r="AQ215" s="22">
        <v>0.76766999999999996</v>
      </c>
      <c r="AR215" s="22">
        <v>452.18400000000003</v>
      </c>
      <c r="AS215" s="22">
        <v>-1.60217E-2</v>
      </c>
      <c r="AT215" s="22">
        <v>205</v>
      </c>
      <c r="AU215" s="22">
        <v>0.76690700000000001</v>
      </c>
      <c r="AV215">
        <f t="shared" si="44"/>
        <v>16.021699999999999</v>
      </c>
      <c r="AW215">
        <f t="shared" si="45"/>
        <v>12.299378438999998</v>
      </c>
      <c r="AX215" s="9"/>
      <c r="AY215" s="22">
        <v>0.93231200000000003</v>
      </c>
      <c r="AZ215" s="22">
        <v>574.11800000000005</v>
      </c>
      <c r="BA215" s="22">
        <v>-1.5918000000000002E-2</v>
      </c>
      <c r="BB215" s="22">
        <v>205</v>
      </c>
      <c r="BC215" s="22">
        <v>0.931091</v>
      </c>
      <c r="BD215">
        <f t="shared" si="46"/>
        <v>15.918000000000001</v>
      </c>
      <c r="BE215">
        <f t="shared" si="47"/>
        <v>14.840542416000002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93.991100000000003</v>
      </c>
      <c r="I216" s="22">
        <v>-1.59515E-2</v>
      </c>
      <c r="J216" s="22">
        <v>206</v>
      </c>
      <c r="K216" s="22">
        <v>0.76202400000000003</v>
      </c>
      <c r="L216">
        <f t="shared" si="36"/>
        <v>15.951500000000001</v>
      </c>
      <c r="M216">
        <f t="shared" si="37"/>
        <v>12.165156251000001</v>
      </c>
      <c r="N216" s="9"/>
      <c r="O216" s="22">
        <v>0.93734700000000004</v>
      </c>
      <c r="P216" s="22">
        <v>201.27799999999999</v>
      </c>
      <c r="Q216" s="22">
        <v>-1.5908800000000001E-2</v>
      </c>
      <c r="R216" s="22">
        <v>206</v>
      </c>
      <c r="S216" s="22">
        <v>0.93597399999999997</v>
      </c>
      <c r="T216">
        <f t="shared" si="38"/>
        <v>15.908800000000001</v>
      </c>
      <c r="U216">
        <f t="shared" si="39"/>
        <v>14.912065953600001</v>
      </c>
      <c r="X216" s="9"/>
      <c r="Y216" s="22">
        <v>0.76263400000000003</v>
      </c>
      <c r="Z216" s="22">
        <v>283.791</v>
      </c>
      <c r="AA216" s="22">
        <v>-1.60187E-2</v>
      </c>
      <c r="AB216" s="22">
        <v>206</v>
      </c>
      <c r="AC216" s="22">
        <v>0.76171900000000003</v>
      </c>
      <c r="AD216">
        <f t="shared" si="40"/>
        <v>16.018699999999999</v>
      </c>
      <c r="AE216">
        <f t="shared" si="41"/>
        <v>12.2164052558</v>
      </c>
      <c r="AF216" s="9"/>
      <c r="AG216" s="22">
        <v>0.93734700000000004</v>
      </c>
      <c r="AH216" s="22">
        <v>368.88600000000002</v>
      </c>
      <c r="AI216" s="22">
        <v>-1.59393E-2</v>
      </c>
      <c r="AJ216" s="22">
        <v>206</v>
      </c>
      <c r="AK216" s="22">
        <v>0.93597399999999997</v>
      </c>
      <c r="AL216">
        <f t="shared" si="42"/>
        <v>15.939299999999999</v>
      </c>
      <c r="AM216">
        <f t="shared" si="43"/>
        <v>14.940655037100001</v>
      </c>
      <c r="AP216" s="9"/>
      <c r="AQ216" s="22">
        <v>0.76263400000000003</v>
      </c>
      <c r="AR216" s="22">
        <v>452.28500000000003</v>
      </c>
      <c r="AS216" s="22">
        <v>-1.60187E-2</v>
      </c>
      <c r="AT216" s="22">
        <v>206</v>
      </c>
      <c r="AU216" s="22">
        <v>0.76202400000000003</v>
      </c>
      <c r="AV216">
        <f t="shared" si="44"/>
        <v>16.018699999999999</v>
      </c>
      <c r="AW216">
        <f t="shared" si="45"/>
        <v>12.2164052558</v>
      </c>
      <c r="AX216" s="9"/>
      <c r="AY216" s="22">
        <v>0.93734700000000004</v>
      </c>
      <c r="AZ216" s="22">
        <v>574.21900000000005</v>
      </c>
      <c r="BA216" s="22">
        <v>-1.59241E-2</v>
      </c>
      <c r="BB216" s="22">
        <v>206</v>
      </c>
      <c r="BC216" s="22">
        <v>0.93658399999999997</v>
      </c>
      <c r="BD216">
        <f t="shared" si="46"/>
        <v>15.924099999999999</v>
      </c>
      <c r="BE216">
        <f t="shared" si="47"/>
        <v>14.926407362699999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94.091800000000006</v>
      </c>
      <c r="I217" s="22">
        <v>-1.5960700000000001E-2</v>
      </c>
      <c r="J217" s="22">
        <v>207</v>
      </c>
      <c r="K217" s="22">
        <v>0.75714099999999995</v>
      </c>
      <c r="L217">
        <f t="shared" si="36"/>
        <v>15.960700000000001</v>
      </c>
      <c r="M217">
        <f t="shared" si="37"/>
        <v>12.091810359300002</v>
      </c>
      <c r="N217" s="9"/>
      <c r="O217" s="22">
        <v>0.94238299999999997</v>
      </c>
      <c r="P217" s="22">
        <v>201.37899999999999</v>
      </c>
      <c r="Q217" s="22">
        <v>-1.5914899999999999E-2</v>
      </c>
      <c r="R217" s="22">
        <v>207</v>
      </c>
      <c r="S217" s="22">
        <v>0.94116200000000005</v>
      </c>
      <c r="T217">
        <f t="shared" si="38"/>
        <v>15.914899999999999</v>
      </c>
      <c r="U217">
        <f t="shared" si="39"/>
        <v>14.997931206699999</v>
      </c>
      <c r="X217" s="9"/>
      <c r="Y217" s="22">
        <v>0.75759900000000002</v>
      </c>
      <c r="Z217" s="22">
        <v>283.892</v>
      </c>
      <c r="AA217" s="22">
        <v>-1.6012599999999998E-2</v>
      </c>
      <c r="AB217" s="22">
        <v>207</v>
      </c>
      <c r="AC217" s="22">
        <v>0.75653099999999995</v>
      </c>
      <c r="AD217">
        <f t="shared" si="40"/>
        <v>16.012599999999999</v>
      </c>
      <c r="AE217">
        <f t="shared" si="41"/>
        <v>12.131129747399999</v>
      </c>
      <c r="AF217" s="9"/>
      <c r="AG217" s="22">
        <v>0.94238299999999997</v>
      </c>
      <c r="AH217" s="22">
        <v>368.98599999999999</v>
      </c>
      <c r="AI217" s="22">
        <v>-1.5918000000000002E-2</v>
      </c>
      <c r="AJ217" s="22">
        <v>207</v>
      </c>
      <c r="AK217" s="22">
        <v>0.94116200000000005</v>
      </c>
      <c r="AL217">
        <f t="shared" si="42"/>
        <v>15.918000000000001</v>
      </c>
      <c r="AM217">
        <f t="shared" si="43"/>
        <v>15.000852594000001</v>
      </c>
      <c r="AP217" s="9"/>
      <c r="AQ217" s="22">
        <v>0.75759900000000002</v>
      </c>
      <c r="AR217" s="22">
        <v>452.38600000000002</v>
      </c>
      <c r="AS217" s="22">
        <v>-1.6030900000000001E-2</v>
      </c>
      <c r="AT217" s="22">
        <v>207</v>
      </c>
      <c r="AU217" s="22">
        <v>0.75683599999999995</v>
      </c>
      <c r="AV217">
        <f t="shared" si="44"/>
        <v>16.030899999999999</v>
      </c>
      <c r="AW217">
        <f t="shared" si="45"/>
        <v>12.144993809099999</v>
      </c>
      <c r="AX217" s="9"/>
      <c r="AY217" s="22">
        <v>0.94238299999999997</v>
      </c>
      <c r="AZ217" s="22">
        <v>574.32000000000005</v>
      </c>
      <c r="BA217" s="22">
        <v>-1.5918000000000002E-2</v>
      </c>
      <c r="BB217" s="22">
        <v>207</v>
      </c>
      <c r="BC217" s="22">
        <v>0.94177200000000005</v>
      </c>
      <c r="BD217">
        <f t="shared" si="46"/>
        <v>15.918000000000001</v>
      </c>
      <c r="BE217">
        <f t="shared" si="47"/>
        <v>15.000852594000001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94.192499999999995</v>
      </c>
      <c r="I218" s="22">
        <v>-1.5963700000000001E-2</v>
      </c>
      <c r="J218" s="22">
        <v>208</v>
      </c>
      <c r="K218" s="22">
        <v>0.75164799999999998</v>
      </c>
      <c r="L218">
        <f t="shared" si="36"/>
        <v>15.963700000000001</v>
      </c>
      <c r="M218">
        <f t="shared" si="37"/>
        <v>12.013689963100001</v>
      </c>
      <c r="N218" s="9"/>
      <c r="O218" s="22">
        <v>0.94741799999999998</v>
      </c>
      <c r="P218" s="22">
        <v>201.47900000000001</v>
      </c>
      <c r="Q218" s="22">
        <v>-1.58966E-2</v>
      </c>
      <c r="R218" s="22">
        <v>208</v>
      </c>
      <c r="S218" s="22">
        <v>0.94635000000000002</v>
      </c>
      <c r="T218">
        <f t="shared" si="38"/>
        <v>15.896600000000001</v>
      </c>
      <c r="U218">
        <f t="shared" si="39"/>
        <v>15.060724978800001</v>
      </c>
      <c r="X218" s="9"/>
      <c r="Y218" s="22">
        <v>0.75256299999999998</v>
      </c>
      <c r="Z218" s="22">
        <v>283.99299999999999</v>
      </c>
      <c r="AA218" s="22">
        <v>-1.6012599999999998E-2</v>
      </c>
      <c r="AB218" s="22">
        <v>208</v>
      </c>
      <c r="AC218" s="22">
        <v>0.75134299999999998</v>
      </c>
      <c r="AD218">
        <f t="shared" si="40"/>
        <v>16.012599999999999</v>
      </c>
      <c r="AE218">
        <f t="shared" si="41"/>
        <v>12.050490293799999</v>
      </c>
      <c r="AF218" s="9"/>
      <c r="AG218" s="22">
        <v>0.94741799999999998</v>
      </c>
      <c r="AH218" s="22">
        <v>369.08699999999999</v>
      </c>
      <c r="AI218" s="22">
        <v>-1.5918000000000002E-2</v>
      </c>
      <c r="AJ218" s="22">
        <v>208</v>
      </c>
      <c r="AK218" s="22">
        <v>0.94574000000000003</v>
      </c>
      <c r="AL218">
        <f t="shared" si="42"/>
        <v>15.918000000000001</v>
      </c>
      <c r="AM218">
        <f t="shared" si="43"/>
        <v>15.080999724000002</v>
      </c>
      <c r="AP218" s="9"/>
      <c r="AQ218" s="22">
        <v>0.75256299999999998</v>
      </c>
      <c r="AR218" s="22">
        <v>452.48599999999999</v>
      </c>
      <c r="AS218" s="22">
        <v>-1.6036999999999999E-2</v>
      </c>
      <c r="AT218" s="22">
        <v>208</v>
      </c>
      <c r="AU218" s="22">
        <v>0.75164799999999998</v>
      </c>
      <c r="AV218">
        <f t="shared" si="44"/>
        <v>16.036999999999999</v>
      </c>
      <c r="AW218">
        <f t="shared" si="45"/>
        <v>12.068852830999999</v>
      </c>
      <c r="AX218" s="9"/>
      <c r="AY218" s="22">
        <v>0.94741799999999998</v>
      </c>
      <c r="AZ218" s="22">
        <v>574.41999999999996</v>
      </c>
      <c r="BA218" s="22">
        <v>-1.59119E-2</v>
      </c>
      <c r="BB218" s="22">
        <v>208</v>
      </c>
      <c r="BC218" s="22">
        <v>0.94635000000000002</v>
      </c>
      <c r="BD218">
        <f t="shared" si="46"/>
        <v>15.911899999999999</v>
      </c>
      <c r="BE218">
        <f t="shared" si="47"/>
        <v>15.075220474199998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94.293199999999999</v>
      </c>
      <c r="I219" s="22">
        <v>-1.5948500000000001E-2</v>
      </c>
      <c r="J219" s="22">
        <v>209</v>
      </c>
      <c r="K219" s="22">
        <v>0.74648999999999999</v>
      </c>
      <c r="L219">
        <f t="shared" si="36"/>
        <v>15.948500000000001</v>
      </c>
      <c r="M219">
        <f t="shared" si="37"/>
        <v>11.921950308</v>
      </c>
      <c r="N219" s="9"/>
      <c r="O219" s="22">
        <v>0.95245400000000002</v>
      </c>
      <c r="P219" s="22">
        <v>201.58</v>
      </c>
      <c r="Q219" s="22">
        <v>-1.5899699999999999E-2</v>
      </c>
      <c r="R219" s="22">
        <v>209</v>
      </c>
      <c r="S219" s="22">
        <v>0.95153799999999999</v>
      </c>
      <c r="T219">
        <f t="shared" si="38"/>
        <v>15.899699999999999</v>
      </c>
      <c r="U219">
        <f t="shared" si="39"/>
        <v>15.1437328638</v>
      </c>
      <c r="X219" s="9"/>
      <c r="Y219" s="22">
        <v>0.74752799999999997</v>
      </c>
      <c r="Z219" s="22">
        <v>284.09300000000002</v>
      </c>
      <c r="AA219" s="22">
        <v>-1.6009499999999999E-2</v>
      </c>
      <c r="AB219" s="22">
        <v>209</v>
      </c>
      <c r="AC219" s="22">
        <v>0.74691799999999997</v>
      </c>
      <c r="AD219">
        <f t="shared" si="40"/>
        <v>16.009499999999999</v>
      </c>
      <c r="AE219">
        <f t="shared" si="41"/>
        <v>11.967549515999998</v>
      </c>
      <c r="AF219" s="9"/>
      <c r="AG219" s="22">
        <v>0.95245400000000002</v>
      </c>
      <c r="AH219" s="22">
        <v>369.18799999999999</v>
      </c>
      <c r="AI219" s="22">
        <v>-1.5921000000000001E-2</v>
      </c>
      <c r="AJ219" s="22">
        <v>209</v>
      </c>
      <c r="AK219" s="22">
        <v>0.95153799999999999</v>
      </c>
      <c r="AL219">
        <f t="shared" si="42"/>
        <v>15.921000000000001</v>
      </c>
      <c r="AM219">
        <f t="shared" si="43"/>
        <v>15.164020134000001</v>
      </c>
      <c r="AP219" s="9"/>
      <c r="AQ219" s="22">
        <v>0.74752799999999997</v>
      </c>
      <c r="AR219" s="22">
        <v>452.58699999999999</v>
      </c>
      <c r="AS219" s="22">
        <v>-1.6030900000000001E-2</v>
      </c>
      <c r="AT219" s="22">
        <v>209</v>
      </c>
      <c r="AU219" s="22">
        <v>0.74664299999999995</v>
      </c>
      <c r="AV219">
        <f t="shared" si="44"/>
        <v>16.030899999999999</v>
      </c>
      <c r="AW219">
        <f t="shared" si="45"/>
        <v>11.983546615199998</v>
      </c>
      <c r="AX219" s="9"/>
      <c r="AY219" s="22">
        <v>0.95245400000000002</v>
      </c>
      <c r="AZ219" s="22">
        <v>574.52099999999996</v>
      </c>
      <c r="BA219" s="22">
        <v>-1.5918000000000002E-2</v>
      </c>
      <c r="BB219" s="22">
        <v>209</v>
      </c>
      <c r="BC219" s="22">
        <v>0.95184299999999999</v>
      </c>
      <c r="BD219">
        <f t="shared" si="46"/>
        <v>15.918000000000001</v>
      </c>
      <c r="BE219">
        <f t="shared" si="47"/>
        <v>15.161162772000001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94.393900000000002</v>
      </c>
      <c r="I220" s="22">
        <v>-1.5963700000000001E-2</v>
      </c>
      <c r="J220" s="22">
        <v>210</v>
      </c>
      <c r="K220" s="22">
        <v>0.74185199999999996</v>
      </c>
      <c r="L220">
        <f t="shared" si="36"/>
        <v>15.963700000000001</v>
      </c>
      <c r="M220">
        <f t="shared" si="37"/>
        <v>11.8529355041</v>
      </c>
      <c r="N220" s="9"/>
      <c r="O220" s="22">
        <v>0.95748900000000003</v>
      </c>
      <c r="P220" s="22">
        <v>201.68100000000001</v>
      </c>
      <c r="Q220" s="22">
        <v>-1.5893600000000001E-2</v>
      </c>
      <c r="R220" s="22">
        <v>210</v>
      </c>
      <c r="S220" s="22">
        <v>0.95703099999999997</v>
      </c>
      <c r="T220">
        <f t="shared" si="38"/>
        <v>15.893600000000001</v>
      </c>
      <c r="U220">
        <f t="shared" si="39"/>
        <v>15.217947170400002</v>
      </c>
      <c r="X220" s="9"/>
      <c r="Y220" s="22">
        <v>0.74249299999999996</v>
      </c>
      <c r="Z220" s="22">
        <v>284.19400000000002</v>
      </c>
      <c r="AA220" s="22">
        <v>-1.60187E-2</v>
      </c>
      <c r="AB220" s="22">
        <v>210</v>
      </c>
      <c r="AC220" s="22">
        <v>0.74175999999999997</v>
      </c>
      <c r="AD220">
        <f t="shared" si="40"/>
        <v>16.018699999999999</v>
      </c>
      <c r="AE220">
        <f t="shared" si="41"/>
        <v>11.893772619099998</v>
      </c>
      <c r="AF220" s="9"/>
      <c r="AG220" s="22">
        <v>0.95748900000000003</v>
      </c>
      <c r="AH220" s="22">
        <v>369.28800000000001</v>
      </c>
      <c r="AI220" s="22">
        <v>-1.5918000000000002E-2</v>
      </c>
      <c r="AJ220" s="22">
        <v>210</v>
      </c>
      <c r="AK220" s="22">
        <v>0.95642099999999997</v>
      </c>
      <c r="AL220">
        <f t="shared" si="42"/>
        <v>15.918000000000001</v>
      </c>
      <c r="AM220">
        <f t="shared" si="43"/>
        <v>15.241309902000001</v>
      </c>
      <c r="AP220" s="9"/>
      <c r="AQ220" s="22">
        <v>0.74249299999999996</v>
      </c>
      <c r="AR220" s="22">
        <v>452.68799999999999</v>
      </c>
      <c r="AS220" s="22">
        <v>-1.60339E-2</v>
      </c>
      <c r="AT220" s="22">
        <v>210</v>
      </c>
      <c r="AU220" s="22">
        <v>0.74182099999999995</v>
      </c>
      <c r="AV220">
        <f t="shared" si="44"/>
        <v>16.033899999999999</v>
      </c>
      <c r="AW220">
        <f t="shared" si="45"/>
        <v>11.905058512699998</v>
      </c>
      <c r="AX220" s="9"/>
      <c r="AY220" s="22">
        <v>0.95748900000000003</v>
      </c>
      <c r="AZ220" s="22">
        <v>574.62199999999996</v>
      </c>
      <c r="BA220" s="22">
        <v>-1.5914899999999999E-2</v>
      </c>
      <c r="BB220" s="22">
        <v>210</v>
      </c>
      <c r="BC220" s="22">
        <v>0.95611599999999997</v>
      </c>
      <c r="BD220">
        <f t="shared" si="46"/>
        <v>15.914899999999999</v>
      </c>
      <c r="BE220">
        <f t="shared" si="47"/>
        <v>15.2383416861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94.494600000000005</v>
      </c>
      <c r="I221" s="22">
        <v>-1.5972900000000002E-2</v>
      </c>
      <c r="J221" s="22">
        <v>211</v>
      </c>
      <c r="K221" s="22">
        <v>0.73669399999999996</v>
      </c>
      <c r="L221">
        <f t="shared" si="36"/>
        <v>15.972900000000001</v>
      </c>
      <c r="M221">
        <f t="shared" si="37"/>
        <v>11.7793269153</v>
      </c>
      <c r="N221" s="9"/>
      <c r="O221" s="22">
        <v>0.96252400000000005</v>
      </c>
      <c r="P221" s="22">
        <v>201.78100000000001</v>
      </c>
      <c r="Q221" s="22">
        <v>-1.5887499999999999E-2</v>
      </c>
      <c r="R221" s="22">
        <v>211</v>
      </c>
      <c r="S221" s="22">
        <v>0.96130400000000005</v>
      </c>
      <c r="T221">
        <f t="shared" si="38"/>
        <v>15.887499999999999</v>
      </c>
      <c r="U221">
        <f t="shared" si="39"/>
        <v>15.29210005</v>
      </c>
      <c r="X221" s="9"/>
      <c r="Y221" s="22">
        <v>0.73745700000000003</v>
      </c>
      <c r="Z221" s="22">
        <v>284.29500000000002</v>
      </c>
      <c r="AA221" s="22">
        <v>-1.6024799999999999E-2</v>
      </c>
      <c r="AB221" s="22">
        <v>211</v>
      </c>
      <c r="AC221" s="22">
        <v>0.73672499999999996</v>
      </c>
      <c r="AD221">
        <f t="shared" si="40"/>
        <v>16.024799999999999</v>
      </c>
      <c r="AE221">
        <f t="shared" si="41"/>
        <v>11.8176009336</v>
      </c>
      <c r="AF221" s="9"/>
      <c r="AG221" s="22">
        <v>0.96252400000000005</v>
      </c>
      <c r="AH221" s="22">
        <v>369.38900000000001</v>
      </c>
      <c r="AI221" s="22">
        <v>-1.5918000000000002E-2</v>
      </c>
      <c r="AJ221" s="22">
        <v>211</v>
      </c>
      <c r="AK221" s="22">
        <v>0.96160900000000005</v>
      </c>
      <c r="AL221">
        <f t="shared" si="42"/>
        <v>15.918000000000001</v>
      </c>
      <c r="AM221">
        <f t="shared" si="43"/>
        <v>15.321457032000001</v>
      </c>
      <c r="AP221" s="9"/>
      <c r="AQ221" s="22">
        <v>0.73745700000000003</v>
      </c>
      <c r="AR221" s="22">
        <v>452.78899999999999</v>
      </c>
      <c r="AS221" s="22">
        <v>-1.6024799999999999E-2</v>
      </c>
      <c r="AT221" s="22">
        <v>211</v>
      </c>
      <c r="AU221" s="22">
        <v>0.73663299999999998</v>
      </c>
      <c r="AV221">
        <f t="shared" si="44"/>
        <v>16.024799999999999</v>
      </c>
      <c r="AW221">
        <f t="shared" si="45"/>
        <v>11.8176009336</v>
      </c>
      <c r="AX221" s="9"/>
      <c r="AY221" s="22">
        <v>0.96252400000000005</v>
      </c>
      <c r="AZ221" s="22">
        <v>574.72299999999996</v>
      </c>
      <c r="BA221" s="22">
        <v>-1.5905800000000001E-2</v>
      </c>
      <c r="BB221" s="22">
        <v>211</v>
      </c>
      <c r="BC221" s="22">
        <v>0.96160900000000005</v>
      </c>
      <c r="BD221">
        <f t="shared" si="46"/>
        <v>15.905800000000001</v>
      </c>
      <c r="BE221">
        <f t="shared" si="47"/>
        <v>15.309714239200002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94.595299999999995</v>
      </c>
      <c r="I222" s="22">
        <v>-1.5972900000000002E-2</v>
      </c>
      <c r="J222" s="22">
        <v>212</v>
      </c>
      <c r="K222" s="22">
        <v>0.73175000000000001</v>
      </c>
      <c r="L222">
        <f t="shared" si="36"/>
        <v>15.972900000000001</v>
      </c>
      <c r="M222">
        <f t="shared" si="37"/>
        <v>11.698903363800001</v>
      </c>
      <c r="N222" s="9"/>
      <c r="O222" s="22">
        <v>0.96755999999999998</v>
      </c>
      <c r="P222" s="22">
        <v>201.88200000000001</v>
      </c>
      <c r="Q222" s="22">
        <v>-1.58844E-2</v>
      </c>
      <c r="R222" s="22">
        <v>212</v>
      </c>
      <c r="S222" s="22">
        <v>0.96649200000000002</v>
      </c>
      <c r="T222">
        <f t="shared" si="38"/>
        <v>15.884399999999999</v>
      </c>
      <c r="U222">
        <f t="shared" si="39"/>
        <v>15.369110063999999</v>
      </c>
      <c r="X222" s="9"/>
      <c r="Y222" s="22">
        <v>0.73242200000000002</v>
      </c>
      <c r="Z222" s="22">
        <v>284.39499999999998</v>
      </c>
      <c r="AA222" s="22">
        <v>-1.60187E-2</v>
      </c>
      <c r="AB222" s="22">
        <v>212</v>
      </c>
      <c r="AC222" s="22">
        <v>0.73165899999999995</v>
      </c>
      <c r="AD222">
        <f t="shared" si="40"/>
        <v>16.018699999999999</v>
      </c>
      <c r="AE222">
        <f t="shared" si="41"/>
        <v>11.732448291399999</v>
      </c>
      <c r="AF222" s="9"/>
      <c r="AG222" s="22">
        <v>0.96755999999999998</v>
      </c>
      <c r="AH222" s="22">
        <v>369.49</v>
      </c>
      <c r="AI222" s="22">
        <v>-1.5899699999999999E-2</v>
      </c>
      <c r="AJ222" s="22">
        <v>212</v>
      </c>
      <c r="AK222" s="22">
        <v>0.96588099999999999</v>
      </c>
      <c r="AL222">
        <f t="shared" si="42"/>
        <v>15.899699999999999</v>
      </c>
      <c r="AM222">
        <f t="shared" si="43"/>
        <v>15.383913731999998</v>
      </c>
      <c r="AP222" s="9"/>
      <c r="AQ222" s="22">
        <v>0.73242200000000002</v>
      </c>
      <c r="AR222" s="22">
        <v>452.88900000000001</v>
      </c>
      <c r="AS222" s="22">
        <v>-1.6036999999999999E-2</v>
      </c>
      <c r="AT222" s="22">
        <v>212</v>
      </c>
      <c r="AU222" s="22">
        <v>0.73165899999999995</v>
      </c>
      <c r="AV222">
        <f t="shared" si="44"/>
        <v>16.036999999999999</v>
      </c>
      <c r="AW222">
        <f t="shared" si="45"/>
        <v>11.745851613999999</v>
      </c>
      <c r="AX222" s="9"/>
      <c r="AY222" s="22">
        <v>0.96755999999999998</v>
      </c>
      <c r="AZ222" s="22">
        <v>574.82299999999998</v>
      </c>
      <c r="BA222" s="22">
        <v>-1.5908800000000001E-2</v>
      </c>
      <c r="BB222" s="22">
        <v>212</v>
      </c>
      <c r="BC222" s="22">
        <v>0.96649200000000002</v>
      </c>
      <c r="BD222">
        <f t="shared" si="46"/>
        <v>15.908800000000001</v>
      </c>
      <c r="BE222">
        <f t="shared" si="47"/>
        <v>15.392718528000001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94.695999999999998</v>
      </c>
      <c r="I223" s="22">
        <v>-1.5960700000000001E-2</v>
      </c>
      <c r="J223" s="22">
        <v>213</v>
      </c>
      <c r="K223" s="22">
        <v>0.72680699999999998</v>
      </c>
      <c r="L223">
        <f t="shared" si="36"/>
        <v>15.960700000000001</v>
      </c>
      <c r="M223">
        <f t="shared" si="37"/>
        <v>11.6095897302</v>
      </c>
      <c r="N223" s="9"/>
      <c r="O223" s="22">
        <v>0.97259499999999999</v>
      </c>
      <c r="P223" s="22">
        <v>201.983</v>
      </c>
      <c r="Q223" s="22">
        <v>-1.58722E-2</v>
      </c>
      <c r="R223" s="22">
        <v>213</v>
      </c>
      <c r="S223" s="22">
        <v>0.97106899999999996</v>
      </c>
      <c r="T223">
        <f t="shared" si="38"/>
        <v>15.872199999999999</v>
      </c>
      <c r="U223">
        <f t="shared" si="39"/>
        <v>15.437222359</v>
      </c>
      <c r="X223" s="9"/>
      <c r="Y223" s="22">
        <v>0.72738599999999998</v>
      </c>
      <c r="Z223" s="22">
        <v>284.49599999999998</v>
      </c>
      <c r="AA223" s="22">
        <v>-1.60187E-2</v>
      </c>
      <c r="AB223" s="22">
        <v>213</v>
      </c>
      <c r="AC223" s="22">
        <v>0.72650099999999995</v>
      </c>
      <c r="AD223">
        <f t="shared" si="40"/>
        <v>16.018699999999999</v>
      </c>
      <c r="AE223">
        <f t="shared" si="41"/>
        <v>11.651778118199999</v>
      </c>
      <c r="AF223" s="9"/>
      <c r="AG223" s="22">
        <v>0.97259499999999999</v>
      </c>
      <c r="AH223" s="22">
        <v>369.59100000000001</v>
      </c>
      <c r="AI223" s="22">
        <v>-1.5902699999999999E-2</v>
      </c>
      <c r="AJ223" s="22">
        <v>213</v>
      </c>
      <c r="AK223" s="22">
        <v>0.97106899999999996</v>
      </c>
      <c r="AL223">
        <f t="shared" si="42"/>
        <v>15.902699999999999</v>
      </c>
      <c r="AM223">
        <f t="shared" si="43"/>
        <v>15.4668865065</v>
      </c>
      <c r="AP223" s="9"/>
      <c r="AQ223" s="22">
        <v>0.72738599999999998</v>
      </c>
      <c r="AR223" s="22">
        <v>452.99</v>
      </c>
      <c r="AS223" s="22">
        <v>-1.6039999999999999E-2</v>
      </c>
      <c r="AT223" s="22">
        <v>213</v>
      </c>
      <c r="AU223" s="22">
        <v>0.72665400000000002</v>
      </c>
      <c r="AV223">
        <f t="shared" si="44"/>
        <v>16.04</v>
      </c>
      <c r="AW223">
        <f t="shared" si="45"/>
        <v>11.667271439999999</v>
      </c>
      <c r="AX223" s="9"/>
      <c r="AY223" s="22">
        <v>0.97259499999999999</v>
      </c>
      <c r="AZ223" s="22">
        <v>574.92399999999998</v>
      </c>
      <c r="BA223" s="22">
        <v>-1.5902699999999999E-2</v>
      </c>
      <c r="BB223" s="22">
        <v>213</v>
      </c>
      <c r="BC223" s="22">
        <v>0.97106899999999996</v>
      </c>
      <c r="BD223">
        <f t="shared" si="46"/>
        <v>15.902699999999999</v>
      </c>
      <c r="BE223">
        <f t="shared" si="47"/>
        <v>15.4668865065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94.796700000000001</v>
      </c>
      <c r="I224" s="22">
        <v>-1.5969799999999999E-2</v>
      </c>
      <c r="J224" s="22">
        <v>214</v>
      </c>
      <c r="K224" s="22">
        <v>0.72149700000000005</v>
      </c>
      <c r="L224">
        <f t="shared" si="36"/>
        <v>15.969799999999999</v>
      </c>
      <c r="M224">
        <f t="shared" si="37"/>
        <v>11.535800999799999</v>
      </c>
      <c r="N224" s="9"/>
      <c r="O224" s="22">
        <v>0.97763100000000003</v>
      </c>
      <c r="P224" s="22">
        <v>202.084</v>
      </c>
      <c r="Q224" s="22">
        <v>-1.58722E-2</v>
      </c>
      <c r="R224" s="22">
        <v>214</v>
      </c>
      <c r="S224" s="22">
        <v>0.97686799999999996</v>
      </c>
      <c r="T224">
        <f t="shared" si="38"/>
        <v>15.872199999999999</v>
      </c>
      <c r="U224">
        <f t="shared" si="39"/>
        <v>15.5171547582</v>
      </c>
      <c r="X224" s="9"/>
      <c r="Y224" s="22">
        <v>0.72235099999999997</v>
      </c>
      <c r="Z224" s="22">
        <v>284.59699999999998</v>
      </c>
      <c r="AA224" s="22">
        <v>-1.6024799999999999E-2</v>
      </c>
      <c r="AB224" s="22">
        <v>214</v>
      </c>
      <c r="AC224" s="22">
        <v>0.72186300000000003</v>
      </c>
      <c r="AD224">
        <f t="shared" si="40"/>
        <v>16.024799999999999</v>
      </c>
      <c r="AE224">
        <f t="shared" si="41"/>
        <v>11.575530304799999</v>
      </c>
      <c r="AF224" s="9"/>
      <c r="AG224" s="22">
        <v>0.97763100000000003</v>
      </c>
      <c r="AH224" s="22">
        <v>369.69099999999997</v>
      </c>
      <c r="AI224" s="22">
        <v>-1.58966E-2</v>
      </c>
      <c r="AJ224" s="22">
        <v>214</v>
      </c>
      <c r="AK224" s="22">
        <v>0.97656299999999996</v>
      </c>
      <c r="AL224">
        <f t="shared" si="42"/>
        <v>15.896600000000001</v>
      </c>
      <c r="AM224">
        <f t="shared" si="43"/>
        <v>15.541008954600002</v>
      </c>
      <c r="AP224" s="9"/>
      <c r="AQ224" s="22">
        <v>0.72235099999999997</v>
      </c>
      <c r="AR224" s="22">
        <v>453.09100000000001</v>
      </c>
      <c r="AS224" s="22">
        <v>-1.6046100000000001E-2</v>
      </c>
      <c r="AT224" s="22">
        <v>214</v>
      </c>
      <c r="AU224" s="22">
        <v>0.72158800000000001</v>
      </c>
      <c r="AV224">
        <f t="shared" si="44"/>
        <v>16.046099999999999</v>
      </c>
      <c r="AW224">
        <f t="shared" si="45"/>
        <v>11.5909163811</v>
      </c>
      <c r="AX224" s="9"/>
      <c r="AY224" s="22">
        <v>0.97763100000000003</v>
      </c>
      <c r="AZ224" s="22">
        <v>575.02499999999998</v>
      </c>
      <c r="BA224" s="22">
        <v>-1.58966E-2</v>
      </c>
      <c r="BB224" s="22">
        <v>214</v>
      </c>
      <c r="BC224" s="22">
        <v>0.97686799999999996</v>
      </c>
      <c r="BD224">
        <f t="shared" si="46"/>
        <v>15.896600000000001</v>
      </c>
      <c r="BE224">
        <f t="shared" si="47"/>
        <v>15.541008954600002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94.897499999999994</v>
      </c>
      <c r="I225" s="22">
        <v>-1.5969799999999999E-2</v>
      </c>
      <c r="J225" s="22">
        <v>215</v>
      </c>
      <c r="K225" s="22">
        <v>0.71670500000000004</v>
      </c>
      <c r="L225">
        <f t="shared" si="36"/>
        <v>15.969799999999999</v>
      </c>
      <c r="M225">
        <f t="shared" si="37"/>
        <v>11.455393056799998</v>
      </c>
      <c r="N225" s="9"/>
      <c r="O225" s="22">
        <v>0.98266600000000004</v>
      </c>
      <c r="P225" s="22">
        <v>202.184</v>
      </c>
      <c r="Q225" s="22">
        <v>-1.5869100000000001E-2</v>
      </c>
      <c r="R225" s="22">
        <v>215</v>
      </c>
      <c r="S225" s="22">
        <v>0.98175000000000001</v>
      </c>
      <c r="T225">
        <f t="shared" si="38"/>
        <v>15.869100000000001</v>
      </c>
      <c r="U225">
        <f t="shared" si="39"/>
        <v>15.594025020600002</v>
      </c>
      <c r="X225" s="9"/>
      <c r="Y225" s="22">
        <v>0.71731599999999995</v>
      </c>
      <c r="Z225" s="22">
        <v>284.69799999999998</v>
      </c>
      <c r="AA225" s="22">
        <v>-1.6027799999999998E-2</v>
      </c>
      <c r="AB225" s="22">
        <v>215</v>
      </c>
      <c r="AC225" s="22">
        <v>0.71673600000000004</v>
      </c>
      <c r="AD225">
        <f t="shared" si="40"/>
        <v>16.027799999999999</v>
      </c>
      <c r="AE225">
        <f t="shared" si="41"/>
        <v>11.496997384799998</v>
      </c>
      <c r="AF225" s="9"/>
      <c r="AG225" s="22">
        <v>0.98266600000000004</v>
      </c>
      <c r="AH225" s="22">
        <v>369.79199999999997</v>
      </c>
      <c r="AI225" s="22">
        <v>-1.5887499999999999E-2</v>
      </c>
      <c r="AJ225" s="22">
        <v>215</v>
      </c>
      <c r="AK225" s="22">
        <v>0.98205600000000004</v>
      </c>
      <c r="AL225">
        <f t="shared" si="42"/>
        <v>15.887499999999999</v>
      </c>
      <c r="AM225">
        <f t="shared" si="43"/>
        <v>15.612106075</v>
      </c>
      <c r="AP225" s="9"/>
      <c r="AQ225" s="22">
        <v>0.71731599999999995</v>
      </c>
      <c r="AR225" s="22">
        <v>453.19099999999997</v>
      </c>
      <c r="AS225" s="22">
        <v>-1.6043100000000001E-2</v>
      </c>
      <c r="AT225" s="22">
        <v>215</v>
      </c>
      <c r="AU225" s="22">
        <v>0.71667499999999995</v>
      </c>
      <c r="AV225">
        <f t="shared" si="44"/>
        <v>16.043100000000003</v>
      </c>
      <c r="AW225">
        <f t="shared" si="45"/>
        <v>11.5079723196</v>
      </c>
      <c r="AX225" s="9"/>
      <c r="AY225" s="22">
        <v>0.98266600000000004</v>
      </c>
      <c r="AZ225" s="22">
        <v>575.125</v>
      </c>
      <c r="BA225" s="22">
        <v>-1.58966E-2</v>
      </c>
      <c r="BB225" s="22">
        <v>215</v>
      </c>
      <c r="BC225" s="22">
        <v>0.98175000000000001</v>
      </c>
      <c r="BD225">
        <f t="shared" si="46"/>
        <v>15.896600000000001</v>
      </c>
      <c r="BE225">
        <f t="shared" si="47"/>
        <v>15.621048335600001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94.998199999999997</v>
      </c>
      <c r="I226" s="22">
        <v>-1.5969799999999999E-2</v>
      </c>
      <c r="J226" s="22">
        <v>216</v>
      </c>
      <c r="K226" s="22">
        <v>0.71154799999999996</v>
      </c>
      <c r="L226">
        <f t="shared" si="36"/>
        <v>15.969799999999999</v>
      </c>
      <c r="M226">
        <f t="shared" si="37"/>
        <v>11.374969144</v>
      </c>
      <c r="N226" s="9"/>
      <c r="O226" s="22">
        <v>0.98770100000000005</v>
      </c>
      <c r="P226" s="22">
        <v>202.285</v>
      </c>
      <c r="Q226" s="22">
        <v>-1.5866100000000001E-2</v>
      </c>
      <c r="R226" s="22">
        <v>216</v>
      </c>
      <c r="S226" s="22">
        <v>0.98663299999999998</v>
      </c>
      <c r="T226">
        <f t="shared" si="38"/>
        <v>15.866100000000001</v>
      </c>
      <c r="U226">
        <f t="shared" si="39"/>
        <v>15.670962836100003</v>
      </c>
      <c r="X226" s="9"/>
      <c r="Y226" s="22">
        <v>0.71228000000000002</v>
      </c>
      <c r="Z226" s="22">
        <v>284.798</v>
      </c>
      <c r="AA226" s="22">
        <v>-1.6030900000000001E-2</v>
      </c>
      <c r="AB226" s="22">
        <v>216</v>
      </c>
      <c r="AC226" s="22">
        <v>0.71154799999999996</v>
      </c>
      <c r="AD226">
        <f t="shared" si="40"/>
        <v>16.030899999999999</v>
      </c>
      <c r="AE226">
        <f t="shared" si="41"/>
        <v>11.418489451999999</v>
      </c>
      <c r="AF226" s="9"/>
      <c r="AG226" s="22">
        <v>0.98770100000000005</v>
      </c>
      <c r="AH226" s="22">
        <v>369.89299999999997</v>
      </c>
      <c r="AI226" s="22">
        <v>-1.5890499999999998E-2</v>
      </c>
      <c r="AJ226" s="22">
        <v>216</v>
      </c>
      <c r="AK226" s="22">
        <v>0.98693799999999998</v>
      </c>
      <c r="AL226">
        <f t="shared" si="42"/>
        <v>15.890499999999998</v>
      </c>
      <c r="AM226">
        <f t="shared" si="43"/>
        <v>15.695062740499999</v>
      </c>
      <c r="AP226" s="9"/>
      <c r="AQ226" s="22">
        <v>0.71228000000000002</v>
      </c>
      <c r="AR226" s="22">
        <v>453.29199999999997</v>
      </c>
      <c r="AS226" s="22">
        <v>-1.60492E-2</v>
      </c>
      <c r="AT226" s="22">
        <v>216</v>
      </c>
      <c r="AU226" s="22">
        <v>0.711395</v>
      </c>
      <c r="AV226">
        <f t="shared" si="44"/>
        <v>16.049199999999999</v>
      </c>
      <c r="AW226">
        <f t="shared" si="45"/>
        <v>11.431524176</v>
      </c>
      <c r="AX226" s="9"/>
      <c r="AY226" s="22">
        <v>0.98770100000000005</v>
      </c>
      <c r="AZ226" s="22">
        <v>575.226</v>
      </c>
      <c r="BA226" s="22">
        <v>-1.5893600000000001E-2</v>
      </c>
      <c r="BB226" s="22">
        <v>216</v>
      </c>
      <c r="BC226" s="22">
        <v>0.98632799999999998</v>
      </c>
      <c r="BD226">
        <f t="shared" si="46"/>
        <v>15.893600000000001</v>
      </c>
      <c r="BE226">
        <f t="shared" si="47"/>
        <v>15.698124613600001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95.0989</v>
      </c>
      <c r="I227" s="22">
        <v>-1.5979E-2</v>
      </c>
      <c r="J227" s="22">
        <v>217</v>
      </c>
      <c r="K227" s="22">
        <v>0.70642099999999997</v>
      </c>
      <c r="L227">
        <f t="shared" si="36"/>
        <v>15.979000000000001</v>
      </c>
      <c r="M227">
        <f t="shared" si="37"/>
        <v>11.301067855000001</v>
      </c>
      <c r="N227" s="9"/>
      <c r="O227" s="22">
        <v>0.99273699999999998</v>
      </c>
      <c r="P227" s="22">
        <v>202.386</v>
      </c>
      <c r="Q227" s="22">
        <v>-1.58569E-2</v>
      </c>
      <c r="R227" s="22">
        <v>217</v>
      </c>
      <c r="S227" s="22">
        <v>0.99151599999999995</v>
      </c>
      <c r="T227">
        <f t="shared" si="38"/>
        <v>15.8569</v>
      </c>
      <c r="U227">
        <f t="shared" si="39"/>
        <v>15.741731335299999</v>
      </c>
      <c r="X227" s="9"/>
      <c r="Y227" s="22">
        <v>0.70724500000000001</v>
      </c>
      <c r="Z227" s="22">
        <v>284.899</v>
      </c>
      <c r="AA227" s="22">
        <v>-1.60339E-2</v>
      </c>
      <c r="AB227" s="22">
        <v>217</v>
      </c>
      <c r="AC227" s="22">
        <v>0.70645100000000005</v>
      </c>
      <c r="AD227">
        <f t="shared" si="40"/>
        <v>16.033899999999999</v>
      </c>
      <c r="AE227">
        <f t="shared" si="41"/>
        <v>11.339895605499999</v>
      </c>
      <c r="AF227" s="9"/>
      <c r="AG227" s="22">
        <v>0.99273699999999998</v>
      </c>
      <c r="AH227" s="22">
        <v>369.99299999999999</v>
      </c>
      <c r="AI227" s="22">
        <v>-1.5887499999999999E-2</v>
      </c>
      <c r="AJ227" s="22">
        <v>217</v>
      </c>
      <c r="AK227" s="22">
        <v>0.99151599999999995</v>
      </c>
      <c r="AL227">
        <f t="shared" si="42"/>
        <v>15.887499999999999</v>
      </c>
      <c r="AM227">
        <f t="shared" si="43"/>
        <v>15.772109087499999</v>
      </c>
      <c r="AP227" s="9"/>
      <c r="AQ227" s="22">
        <v>0.70724500000000001</v>
      </c>
      <c r="AR227" s="22">
        <v>453.39299999999997</v>
      </c>
      <c r="AS227" s="22">
        <v>-1.6043100000000001E-2</v>
      </c>
      <c r="AT227" s="22">
        <v>217</v>
      </c>
      <c r="AU227" s="22">
        <v>0.70657300000000001</v>
      </c>
      <c r="AV227">
        <f t="shared" si="44"/>
        <v>16.043100000000003</v>
      </c>
      <c r="AW227">
        <f t="shared" si="45"/>
        <v>11.346402259500001</v>
      </c>
      <c r="AX227" s="9"/>
      <c r="AY227" s="22">
        <v>0.99273699999999998</v>
      </c>
      <c r="AZ227" s="22">
        <v>575.327</v>
      </c>
      <c r="BA227" s="22">
        <v>-1.5890499999999998E-2</v>
      </c>
      <c r="BB227" s="22">
        <v>217</v>
      </c>
      <c r="BC227" s="22">
        <v>0.99212599999999995</v>
      </c>
      <c r="BD227">
        <f t="shared" si="46"/>
        <v>15.890499999999998</v>
      </c>
      <c r="BE227">
        <f t="shared" si="47"/>
        <v>15.775087298499997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95.199600000000004</v>
      </c>
      <c r="I228" s="22">
        <v>-1.5982099999999999E-2</v>
      </c>
      <c r="J228" s="22">
        <v>218</v>
      </c>
      <c r="K228" s="22">
        <v>0.70147700000000002</v>
      </c>
      <c r="L228">
        <f t="shared" si="36"/>
        <v>15.982099999999999</v>
      </c>
      <c r="M228">
        <f t="shared" si="37"/>
        <v>11.222774458899998</v>
      </c>
      <c r="N228" s="9"/>
      <c r="O228" s="22">
        <v>0.99777199999999999</v>
      </c>
      <c r="P228" s="22">
        <v>202.48599999999999</v>
      </c>
      <c r="Q228" s="22">
        <v>-1.5853900000000001E-2</v>
      </c>
      <c r="R228" s="22">
        <v>218</v>
      </c>
      <c r="S228" s="22">
        <v>0.99670400000000003</v>
      </c>
      <c r="T228">
        <f t="shared" si="38"/>
        <v>15.853900000000001</v>
      </c>
      <c r="U228">
        <f t="shared" si="39"/>
        <v>15.818577510800001</v>
      </c>
      <c r="X228" s="9"/>
      <c r="Y228" s="22">
        <v>0.70220899999999997</v>
      </c>
      <c r="Z228" s="22">
        <v>285</v>
      </c>
      <c r="AA228" s="22">
        <v>-1.6027799999999998E-2</v>
      </c>
      <c r="AB228" s="22">
        <v>218</v>
      </c>
      <c r="AC228" s="22">
        <v>0.70144700000000004</v>
      </c>
      <c r="AD228">
        <f t="shared" si="40"/>
        <v>16.027799999999999</v>
      </c>
      <c r="AE228">
        <f t="shared" si="41"/>
        <v>11.254865410199999</v>
      </c>
      <c r="AF228" s="9"/>
      <c r="AG228" s="22">
        <v>0.99777199999999999</v>
      </c>
      <c r="AH228" s="22">
        <v>370.09399999999999</v>
      </c>
      <c r="AI228" s="22">
        <v>-1.5890499999999998E-2</v>
      </c>
      <c r="AJ228" s="22">
        <v>218</v>
      </c>
      <c r="AK228" s="22">
        <v>0.99700900000000003</v>
      </c>
      <c r="AL228">
        <f t="shared" si="42"/>
        <v>15.890499999999998</v>
      </c>
      <c r="AM228">
        <f t="shared" si="43"/>
        <v>15.855095965999997</v>
      </c>
      <c r="AP228" s="9"/>
      <c r="AQ228" s="22">
        <v>0.70220899999999997</v>
      </c>
      <c r="AR228" s="22">
        <v>453.49299999999999</v>
      </c>
      <c r="AS228" s="22">
        <v>-1.6052199999999999E-2</v>
      </c>
      <c r="AT228" s="22">
        <v>218</v>
      </c>
      <c r="AU228" s="22">
        <v>0.70150800000000002</v>
      </c>
      <c r="AV228">
        <f t="shared" si="44"/>
        <v>16.052199999999999</v>
      </c>
      <c r="AW228">
        <f t="shared" si="45"/>
        <v>11.271999309799998</v>
      </c>
      <c r="AX228" s="9"/>
      <c r="AY228" s="22">
        <v>0.99777199999999999</v>
      </c>
      <c r="AZ228" s="22">
        <v>575.428</v>
      </c>
      <c r="BA228" s="22">
        <v>-1.5890499999999998E-2</v>
      </c>
      <c r="BB228" s="22">
        <v>218</v>
      </c>
      <c r="BC228" s="22">
        <v>0.99700900000000003</v>
      </c>
      <c r="BD228">
        <f t="shared" si="46"/>
        <v>15.890499999999998</v>
      </c>
      <c r="BE228">
        <f t="shared" si="47"/>
        <v>15.855095965999997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95.300299999999993</v>
      </c>
      <c r="I229" s="22">
        <v>-1.5985099999999999E-2</v>
      </c>
      <c r="J229" s="22">
        <v>219</v>
      </c>
      <c r="K229" s="22">
        <v>0.69632000000000005</v>
      </c>
      <c r="L229">
        <f t="shared" si="36"/>
        <v>15.985099999999999</v>
      </c>
      <c r="M229">
        <f t="shared" si="37"/>
        <v>11.144396107399999</v>
      </c>
      <c r="N229" s="9"/>
      <c r="O229" s="22">
        <v>1.00281</v>
      </c>
      <c r="P229" s="22">
        <v>202.58699999999999</v>
      </c>
      <c r="Q229" s="22">
        <v>-1.5859999999999999E-2</v>
      </c>
      <c r="R229" s="22">
        <v>219</v>
      </c>
      <c r="S229" s="22">
        <v>1.0012799999999999</v>
      </c>
      <c r="T229">
        <f t="shared" si="38"/>
        <v>15.86</v>
      </c>
      <c r="U229">
        <f t="shared" si="39"/>
        <v>15.904566599999999</v>
      </c>
      <c r="X229" s="9"/>
      <c r="Y229" s="22">
        <v>0.69717399999999996</v>
      </c>
      <c r="Z229" s="22">
        <v>285.10000000000002</v>
      </c>
      <c r="AA229" s="22">
        <v>-1.6036999999999999E-2</v>
      </c>
      <c r="AB229" s="22">
        <v>219</v>
      </c>
      <c r="AC229" s="22">
        <v>0.69647199999999998</v>
      </c>
      <c r="AD229">
        <f t="shared" si="40"/>
        <v>16.036999999999999</v>
      </c>
      <c r="AE229">
        <f t="shared" si="41"/>
        <v>11.180579437999999</v>
      </c>
      <c r="AF229" s="9"/>
      <c r="AG229" s="22">
        <v>1.00281</v>
      </c>
      <c r="AH229" s="22">
        <v>370.19499999999999</v>
      </c>
      <c r="AI229" s="22">
        <v>-1.58722E-2</v>
      </c>
      <c r="AJ229" s="22">
        <v>219</v>
      </c>
      <c r="AK229" s="22">
        <v>1.0018899999999999</v>
      </c>
      <c r="AL229">
        <f t="shared" si="42"/>
        <v>15.872199999999999</v>
      </c>
      <c r="AM229">
        <f t="shared" si="43"/>
        <v>15.916800881999999</v>
      </c>
      <c r="AP229" s="9"/>
      <c r="AQ229" s="22">
        <v>0.69717399999999996</v>
      </c>
      <c r="AR229" s="22">
        <v>453.59399999999999</v>
      </c>
      <c r="AS229" s="22">
        <v>-1.6058300000000001E-2</v>
      </c>
      <c r="AT229" s="22">
        <v>219</v>
      </c>
      <c r="AU229" s="22">
        <v>0.69653299999999996</v>
      </c>
      <c r="AV229">
        <f t="shared" si="44"/>
        <v>16.058300000000003</v>
      </c>
      <c r="AW229">
        <f t="shared" si="45"/>
        <v>11.195429244200001</v>
      </c>
      <c r="AX229" s="9"/>
      <c r="AY229" s="22">
        <v>1.00281</v>
      </c>
      <c r="AZ229" s="22">
        <v>575.52800000000002</v>
      </c>
      <c r="BA229" s="22">
        <v>-1.5881300000000001E-2</v>
      </c>
      <c r="BB229" s="22">
        <v>219</v>
      </c>
      <c r="BC229" s="22">
        <v>1.0018899999999999</v>
      </c>
      <c r="BD229">
        <f t="shared" si="46"/>
        <v>15.881300000000001</v>
      </c>
      <c r="BE229">
        <f t="shared" si="47"/>
        <v>15.925926453000001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95.400999999999996</v>
      </c>
      <c r="I230" s="22">
        <v>-1.5979E-2</v>
      </c>
      <c r="J230" s="22">
        <v>220</v>
      </c>
      <c r="K230" s="22">
        <v>0.69113199999999997</v>
      </c>
      <c r="L230">
        <f t="shared" si="36"/>
        <v>15.979000000000001</v>
      </c>
      <c r="M230">
        <f t="shared" si="37"/>
        <v>11.059689081</v>
      </c>
      <c r="N230" s="9"/>
      <c r="O230" s="22">
        <v>1.0078400000000001</v>
      </c>
      <c r="P230" s="22">
        <v>202.68799999999999</v>
      </c>
      <c r="Q230" s="22">
        <v>-1.5866100000000001E-2</v>
      </c>
      <c r="R230" s="22">
        <v>220</v>
      </c>
      <c r="S230" s="22">
        <v>1.0067699999999999</v>
      </c>
      <c r="T230">
        <f t="shared" si="38"/>
        <v>15.866100000000001</v>
      </c>
      <c r="U230">
        <f t="shared" si="39"/>
        <v>15.990490224000002</v>
      </c>
      <c r="X230" s="9"/>
      <c r="Y230" s="22">
        <v>0.69213899999999995</v>
      </c>
      <c r="Z230" s="22">
        <v>285.20100000000002</v>
      </c>
      <c r="AA230" s="22">
        <v>-1.60492E-2</v>
      </c>
      <c r="AB230" s="22">
        <v>220</v>
      </c>
      <c r="AC230" s="22">
        <v>0.69146700000000005</v>
      </c>
      <c r="AD230">
        <f t="shared" si="40"/>
        <v>16.049199999999999</v>
      </c>
      <c r="AE230">
        <f t="shared" si="41"/>
        <v>11.108277238799998</v>
      </c>
      <c r="AF230" s="9"/>
      <c r="AG230" s="22">
        <v>1.0078400000000001</v>
      </c>
      <c r="AH230" s="22">
        <v>370.29599999999999</v>
      </c>
      <c r="AI230" s="22">
        <v>-1.58722E-2</v>
      </c>
      <c r="AJ230" s="22">
        <v>220</v>
      </c>
      <c r="AK230" s="22">
        <v>1.0067699999999999</v>
      </c>
      <c r="AL230">
        <f t="shared" si="42"/>
        <v>15.872199999999999</v>
      </c>
      <c r="AM230">
        <f t="shared" si="43"/>
        <v>15.996638048000001</v>
      </c>
      <c r="AP230" s="9"/>
      <c r="AQ230" s="22">
        <v>0.69213899999999995</v>
      </c>
      <c r="AR230" s="22">
        <v>453.69499999999999</v>
      </c>
      <c r="AS230" s="22">
        <v>-1.6064499999999999E-2</v>
      </c>
      <c r="AT230" s="22">
        <v>220</v>
      </c>
      <c r="AU230" s="22">
        <v>0.69131500000000001</v>
      </c>
      <c r="AV230">
        <f t="shared" si="44"/>
        <v>16.064499999999999</v>
      </c>
      <c r="AW230">
        <f t="shared" si="45"/>
        <v>11.118866965499999</v>
      </c>
      <c r="AX230" s="9"/>
      <c r="AY230" s="22">
        <v>1.0078400000000001</v>
      </c>
      <c r="AZ230" s="22">
        <v>575.62900000000002</v>
      </c>
      <c r="BA230" s="22">
        <v>-1.5881300000000001E-2</v>
      </c>
      <c r="BB230" s="22">
        <v>220</v>
      </c>
      <c r="BC230" s="22">
        <v>1.00708</v>
      </c>
      <c r="BD230">
        <f t="shared" si="46"/>
        <v>15.881300000000001</v>
      </c>
      <c r="BE230">
        <f t="shared" si="47"/>
        <v>16.005809392000003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95.5017</v>
      </c>
      <c r="I231" s="22">
        <v>-1.5988200000000001E-2</v>
      </c>
      <c r="J231" s="22">
        <v>221</v>
      </c>
      <c r="K231" s="22">
        <v>0.68640100000000004</v>
      </c>
      <c r="L231">
        <f t="shared" si="36"/>
        <v>15.988200000000001</v>
      </c>
      <c r="M231">
        <f t="shared" si="37"/>
        <v>10.985540184600001</v>
      </c>
      <c r="N231" s="9"/>
      <c r="O231" s="22">
        <v>1.01288</v>
      </c>
      <c r="P231" s="22">
        <v>202.78800000000001</v>
      </c>
      <c r="Q231" s="22">
        <v>-1.58569E-2</v>
      </c>
      <c r="R231" s="22">
        <v>221</v>
      </c>
      <c r="S231" s="22">
        <v>1.01196</v>
      </c>
      <c r="T231">
        <f t="shared" si="38"/>
        <v>15.8569</v>
      </c>
      <c r="U231">
        <f t="shared" si="39"/>
        <v>16.061136871999999</v>
      </c>
      <c r="X231" s="9"/>
      <c r="Y231" s="22">
        <v>0.68710300000000002</v>
      </c>
      <c r="Z231" s="22">
        <v>285.30200000000002</v>
      </c>
      <c r="AA231" s="22">
        <v>-1.6039999999999999E-2</v>
      </c>
      <c r="AB231" s="22">
        <v>221</v>
      </c>
      <c r="AC231" s="22">
        <v>0.68615700000000002</v>
      </c>
      <c r="AD231">
        <f t="shared" si="40"/>
        <v>16.04</v>
      </c>
      <c r="AE231">
        <f t="shared" si="41"/>
        <v>11.021132119999999</v>
      </c>
      <c r="AF231" s="9"/>
      <c r="AG231" s="22">
        <v>1.01288</v>
      </c>
      <c r="AH231" s="22">
        <v>370.39600000000002</v>
      </c>
      <c r="AI231" s="22">
        <v>-1.5875199999999999E-2</v>
      </c>
      <c r="AJ231" s="22">
        <v>221</v>
      </c>
      <c r="AK231" s="22">
        <v>1.01166</v>
      </c>
      <c r="AL231">
        <f t="shared" si="42"/>
        <v>15.8752</v>
      </c>
      <c r="AM231">
        <f t="shared" si="43"/>
        <v>16.079672576</v>
      </c>
      <c r="AP231" s="9"/>
      <c r="AQ231" s="22">
        <v>0.68710300000000002</v>
      </c>
      <c r="AR231" s="22">
        <v>453.79599999999999</v>
      </c>
      <c r="AS231" s="22">
        <v>-1.60614E-2</v>
      </c>
      <c r="AT231" s="22">
        <v>221</v>
      </c>
      <c r="AU231" s="22">
        <v>0.68637099999999995</v>
      </c>
      <c r="AV231">
        <f t="shared" si="44"/>
        <v>16.061399999999999</v>
      </c>
      <c r="AW231">
        <f t="shared" si="45"/>
        <v>11.035836124199999</v>
      </c>
      <c r="AX231" s="9"/>
      <c r="AY231" s="22">
        <v>1.01288</v>
      </c>
      <c r="AZ231" s="22">
        <v>575.73</v>
      </c>
      <c r="BA231" s="22">
        <v>-1.5875199999999999E-2</v>
      </c>
      <c r="BB231" s="22">
        <v>221</v>
      </c>
      <c r="BC231" s="22">
        <v>1.01196</v>
      </c>
      <c r="BD231">
        <f t="shared" si="46"/>
        <v>15.8752</v>
      </c>
      <c r="BE231">
        <f t="shared" si="47"/>
        <v>16.079672576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95.602400000000003</v>
      </c>
      <c r="I232" s="22">
        <v>-1.5994299999999999E-2</v>
      </c>
      <c r="J232" s="22">
        <v>222</v>
      </c>
      <c r="K232" s="22">
        <v>0.68124399999999996</v>
      </c>
      <c r="L232">
        <f t="shared" si="36"/>
        <v>15.994299999999999</v>
      </c>
      <c r="M232">
        <f t="shared" si="37"/>
        <v>10.9092002124</v>
      </c>
      <c r="N232" s="9"/>
      <c r="O232" s="22">
        <v>1.0179100000000001</v>
      </c>
      <c r="P232" s="22">
        <v>202.88900000000001</v>
      </c>
      <c r="Q232" s="22">
        <v>-1.5847799999999999E-2</v>
      </c>
      <c r="R232" s="22">
        <v>222</v>
      </c>
      <c r="S232" s="22">
        <v>1.01685</v>
      </c>
      <c r="T232">
        <f t="shared" si="38"/>
        <v>15.847799999999999</v>
      </c>
      <c r="U232">
        <f t="shared" si="39"/>
        <v>16.131634097999999</v>
      </c>
      <c r="X232" s="9"/>
      <c r="Y232" s="22">
        <v>0.68206800000000001</v>
      </c>
      <c r="Z232" s="22">
        <v>285.40300000000002</v>
      </c>
      <c r="AA232" s="22">
        <v>-1.60492E-2</v>
      </c>
      <c r="AB232" s="22">
        <v>222</v>
      </c>
      <c r="AC232" s="22">
        <v>0.681396</v>
      </c>
      <c r="AD232">
        <f t="shared" si="40"/>
        <v>16.049199999999999</v>
      </c>
      <c r="AE232">
        <f t="shared" si="41"/>
        <v>10.9466457456</v>
      </c>
      <c r="AF232" s="9"/>
      <c r="AG232" s="22">
        <v>1.0179100000000001</v>
      </c>
      <c r="AH232" s="22">
        <v>370.49700000000001</v>
      </c>
      <c r="AI232" s="22">
        <v>-1.58722E-2</v>
      </c>
      <c r="AJ232" s="22">
        <v>222</v>
      </c>
      <c r="AK232" s="22">
        <v>1.01715</v>
      </c>
      <c r="AL232">
        <f t="shared" si="42"/>
        <v>15.872199999999999</v>
      </c>
      <c r="AM232">
        <f t="shared" si="43"/>
        <v>16.156471102000001</v>
      </c>
      <c r="AP232" s="9"/>
      <c r="AQ232" s="22">
        <v>0.68206800000000001</v>
      </c>
      <c r="AR232" s="22">
        <v>453.89600000000002</v>
      </c>
      <c r="AS232" s="22">
        <v>-1.6064499999999999E-2</v>
      </c>
      <c r="AT232" s="22">
        <v>222</v>
      </c>
      <c r="AU232" s="22">
        <v>0.681427</v>
      </c>
      <c r="AV232">
        <f t="shared" si="44"/>
        <v>16.064499999999999</v>
      </c>
      <c r="AW232">
        <f t="shared" si="45"/>
        <v>10.957081385999999</v>
      </c>
      <c r="AX232" s="9"/>
      <c r="AY232" s="22">
        <v>1.0179100000000001</v>
      </c>
      <c r="AZ232" s="22">
        <v>575.83000000000004</v>
      </c>
      <c r="BA232" s="22">
        <v>-1.58722E-2</v>
      </c>
      <c r="BB232" s="22">
        <v>222</v>
      </c>
      <c r="BC232" s="22">
        <v>1.01685</v>
      </c>
      <c r="BD232">
        <f t="shared" si="46"/>
        <v>15.872199999999999</v>
      </c>
      <c r="BE232">
        <f t="shared" si="47"/>
        <v>16.156471102000001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95.703100000000006</v>
      </c>
      <c r="I233" s="22">
        <v>-1.5988200000000001E-2</v>
      </c>
      <c r="J233" s="22">
        <v>223</v>
      </c>
      <c r="K233" s="22">
        <v>0.67623900000000003</v>
      </c>
      <c r="L233">
        <f t="shared" si="36"/>
        <v>15.988200000000001</v>
      </c>
      <c r="M233">
        <f t="shared" si="37"/>
        <v>10.824523022399999</v>
      </c>
      <c r="N233" s="9"/>
      <c r="O233" s="22">
        <v>1.02295</v>
      </c>
      <c r="P233" s="22">
        <v>202.99</v>
      </c>
      <c r="Q233" s="22">
        <v>-1.58447E-2</v>
      </c>
      <c r="R233" s="22">
        <v>223</v>
      </c>
      <c r="S233" s="22">
        <v>1.02173</v>
      </c>
      <c r="T233">
        <f t="shared" si="38"/>
        <v>15.8447</v>
      </c>
      <c r="U233">
        <f t="shared" si="39"/>
        <v>16.208335864999999</v>
      </c>
      <c r="X233" s="9"/>
      <c r="Y233" s="22">
        <v>0.67703199999999997</v>
      </c>
      <c r="Z233" s="22">
        <v>285.50299999999999</v>
      </c>
      <c r="AA233" s="22">
        <v>-1.6046100000000001E-2</v>
      </c>
      <c r="AB233" s="22">
        <v>223</v>
      </c>
      <c r="AC233" s="22">
        <v>0.67633100000000002</v>
      </c>
      <c r="AD233">
        <f t="shared" si="40"/>
        <v>16.046099999999999</v>
      </c>
      <c r="AE233">
        <f t="shared" si="41"/>
        <v>10.863723175199999</v>
      </c>
      <c r="AF233" s="9"/>
      <c r="AG233" s="22">
        <v>1.02295</v>
      </c>
      <c r="AH233" s="22">
        <v>370.59800000000001</v>
      </c>
      <c r="AI233" s="22">
        <v>-1.5866100000000001E-2</v>
      </c>
      <c r="AJ233" s="22">
        <v>223</v>
      </c>
      <c r="AK233" s="22">
        <v>1.02203</v>
      </c>
      <c r="AL233">
        <f t="shared" si="42"/>
        <v>15.866100000000001</v>
      </c>
      <c r="AM233">
        <f t="shared" si="43"/>
        <v>16.230226995000002</v>
      </c>
      <c r="AP233" s="9"/>
      <c r="AQ233" s="22">
        <v>0.67703199999999997</v>
      </c>
      <c r="AR233" s="22">
        <v>453.99700000000001</v>
      </c>
      <c r="AS233" s="22">
        <v>-1.6064499999999999E-2</v>
      </c>
      <c r="AT233" s="22">
        <v>223</v>
      </c>
      <c r="AU233" s="22">
        <v>0.67639199999999999</v>
      </c>
      <c r="AV233">
        <f t="shared" si="44"/>
        <v>16.064499999999999</v>
      </c>
      <c r="AW233">
        <f t="shared" si="45"/>
        <v>10.876180563999998</v>
      </c>
      <c r="AX233" s="9"/>
      <c r="AY233" s="22">
        <v>1.02295</v>
      </c>
      <c r="AZ233" s="22">
        <v>575.93100000000004</v>
      </c>
      <c r="BA233" s="22">
        <v>-1.58569E-2</v>
      </c>
      <c r="BB233" s="22">
        <v>223</v>
      </c>
      <c r="BC233" s="22">
        <v>1.02203</v>
      </c>
      <c r="BD233">
        <f t="shared" si="46"/>
        <v>15.8569</v>
      </c>
      <c r="BE233">
        <f t="shared" si="47"/>
        <v>16.220815855000001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95.803799999999995</v>
      </c>
      <c r="I234" s="22">
        <v>-1.5997299999999999E-2</v>
      </c>
      <c r="J234" s="22">
        <v>224</v>
      </c>
      <c r="K234" s="22">
        <v>0.67135599999999995</v>
      </c>
      <c r="L234">
        <f t="shared" si="36"/>
        <v>15.997299999999999</v>
      </c>
      <c r="M234">
        <f t="shared" si="37"/>
        <v>10.750137608099999</v>
      </c>
      <c r="N234" s="9"/>
      <c r="O234" s="22">
        <v>1.0279799999999999</v>
      </c>
      <c r="P234" s="22">
        <v>203.09100000000001</v>
      </c>
      <c r="Q234" s="22">
        <v>-1.5832499999999999E-2</v>
      </c>
      <c r="R234" s="22">
        <v>224</v>
      </c>
      <c r="S234" s="22">
        <v>1.0275300000000001</v>
      </c>
      <c r="T234">
        <f t="shared" si="38"/>
        <v>15.8325</v>
      </c>
      <c r="U234">
        <f t="shared" si="39"/>
        <v>16.275493349999998</v>
      </c>
      <c r="X234" s="9"/>
      <c r="Y234" s="22">
        <v>0.67199699999999996</v>
      </c>
      <c r="Z234" s="22">
        <v>285.60399999999998</v>
      </c>
      <c r="AA234" s="22">
        <v>-1.6055300000000002E-2</v>
      </c>
      <c r="AB234" s="22">
        <v>224</v>
      </c>
      <c r="AC234" s="22">
        <v>0.67111200000000004</v>
      </c>
      <c r="AD234">
        <f t="shared" si="40"/>
        <v>16.055300000000003</v>
      </c>
      <c r="AE234">
        <f t="shared" si="41"/>
        <v>10.789113434100001</v>
      </c>
      <c r="AF234" s="9"/>
      <c r="AG234" s="22">
        <v>1.0279799999999999</v>
      </c>
      <c r="AH234" s="22">
        <v>370.69799999999998</v>
      </c>
      <c r="AI234" s="22">
        <v>-1.5866100000000001E-2</v>
      </c>
      <c r="AJ234" s="22">
        <v>224</v>
      </c>
      <c r="AK234" s="22">
        <v>1.0275300000000001</v>
      </c>
      <c r="AL234">
        <f t="shared" si="42"/>
        <v>15.866100000000001</v>
      </c>
      <c r="AM234">
        <f t="shared" si="43"/>
        <v>16.310033478000001</v>
      </c>
      <c r="AP234" s="9"/>
      <c r="AQ234" s="22">
        <v>0.67199699999999996</v>
      </c>
      <c r="AR234" s="22">
        <v>454.09800000000001</v>
      </c>
      <c r="AS234" s="22">
        <v>-1.60736E-2</v>
      </c>
      <c r="AT234" s="22">
        <v>224</v>
      </c>
      <c r="AU234" s="22">
        <v>0.671265</v>
      </c>
      <c r="AV234">
        <f t="shared" si="44"/>
        <v>16.073599999999999</v>
      </c>
      <c r="AW234">
        <f t="shared" si="45"/>
        <v>10.801410979199998</v>
      </c>
      <c r="AX234" s="9"/>
      <c r="AY234" s="22">
        <v>1.0279799999999999</v>
      </c>
      <c r="AZ234" s="22">
        <v>576.03200000000004</v>
      </c>
      <c r="BA234" s="22">
        <v>-1.5862999999999999E-2</v>
      </c>
      <c r="BB234" s="22">
        <v>224</v>
      </c>
      <c r="BC234" s="22">
        <v>1.02661</v>
      </c>
      <c r="BD234">
        <f t="shared" si="46"/>
        <v>15.862999999999998</v>
      </c>
      <c r="BE234">
        <f t="shared" si="47"/>
        <v>16.306846739999997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95.904499999999999</v>
      </c>
      <c r="I235" s="22">
        <v>-1.5997299999999999E-2</v>
      </c>
      <c r="J235" s="22">
        <v>225</v>
      </c>
      <c r="K235" s="22">
        <v>0.66625999999999996</v>
      </c>
      <c r="L235">
        <f t="shared" si="36"/>
        <v>15.997299999999999</v>
      </c>
      <c r="M235">
        <f t="shared" si="37"/>
        <v>10.669591202599999</v>
      </c>
      <c r="N235" s="9"/>
      <c r="O235" s="22">
        <v>1.03302</v>
      </c>
      <c r="P235" s="22">
        <v>203.191</v>
      </c>
      <c r="Q235" s="22">
        <v>-1.5838600000000001E-2</v>
      </c>
      <c r="R235" s="22">
        <v>225</v>
      </c>
      <c r="S235" s="22">
        <v>1.0321</v>
      </c>
      <c r="T235">
        <f t="shared" si="38"/>
        <v>15.838600000000001</v>
      </c>
      <c r="U235">
        <f t="shared" si="39"/>
        <v>16.361590572000001</v>
      </c>
      <c r="X235" s="9"/>
      <c r="Y235" s="22">
        <v>0.66696200000000005</v>
      </c>
      <c r="Z235" s="22">
        <v>285.70499999999998</v>
      </c>
      <c r="AA235" s="22">
        <v>-1.60614E-2</v>
      </c>
      <c r="AB235" s="22">
        <v>225</v>
      </c>
      <c r="AC235" s="22">
        <v>0.66632100000000005</v>
      </c>
      <c r="AD235">
        <f t="shared" si="40"/>
        <v>16.061399999999999</v>
      </c>
      <c r="AE235">
        <f t="shared" si="41"/>
        <v>10.7123434668</v>
      </c>
      <c r="AF235" s="9"/>
      <c r="AG235" s="22">
        <v>1.03302</v>
      </c>
      <c r="AH235" s="22">
        <v>370.79899999999998</v>
      </c>
      <c r="AI235" s="22">
        <v>-1.5869100000000001E-2</v>
      </c>
      <c r="AJ235" s="22">
        <v>225</v>
      </c>
      <c r="AK235" s="22">
        <v>1.03241</v>
      </c>
      <c r="AL235">
        <f t="shared" si="42"/>
        <v>15.869100000000001</v>
      </c>
      <c r="AM235">
        <f t="shared" si="43"/>
        <v>16.393097682000001</v>
      </c>
      <c r="AP235" s="9"/>
      <c r="AQ235" s="22">
        <v>0.66696200000000005</v>
      </c>
      <c r="AR235" s="22">
        <v>454.19799999999998</v>
      </c>
      <c r="AS235" s="22">
        <v>-1.6079699999999999E-2</v>
      </c>
      <c r="AT235" s="22">
        <v>225</v>
      </c>
      <c r="AU235" s="22">
        <v>0.66622899999999996</v>
      </c>
      <c r="AV235">
        <f t="shared" si="44"/>
        <v>16.079699999999999</v>
      </c>
      <c r="AW235">
        <f t="shared" si="45"/>
        <v>10.7245488714</v>
      </c>
      <c r="AX235" s="9"/>
      <c r="AY235" s="22">
        <v>1.03302</v>
      </c>
      <c r="AZ235" s="22">
        <v>576.13300000000004</v>
      </c>
      <c r="BA235" s="22">
        <v>-1.5859999999999999E-2</v>
      </c>
      <c r="BB235" s="22">
        <v>225</v>
      </c>
      <c r="BC235" s="22">
        <v>1.0321</v>
      </c>
      <c r="BD235">
        <f t="shared" si="46"/>
        <v>15.86</v>
      </c>
      <c r="BE235">
        <f t="shared" si="47"/>
        <v>16.3836972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96.005200000000002</v>
      </c>
      <c r="I236" s="22">
        <v>-1.5997299999999999E-2</v>
      </c>
      <c r="J236" s="22">
        <v>226</v>
      </c>
      <c r="K236" s="22">
        <v>0.66119399999999995</v>
      </c>
      <c r="L236">
        <f t="shared" si="36"/>
        <v>15.997299999999999</v>
      </c>
      <c r="M236">
        <f t="shared" si="37"/>
        <v>10.589028799799999</v>
      </c>
      <c r="N236" s="9"/>
      <c r="O236" s="22">
        <v>1.03806</v>
      </c>
      <c r="P236" s="22">
        <v>203.292</v>
      </c>
      <c r="Q236" s="22">
        <v>-1.58295E-2</v>
      </c>
      <c r="R236" s="22">
        <v>226</v>
      </c>
      <c r="S236" s="22">
        <v>1.03729</v>
      </c>
      <c r="T236">
        <f t="shared" si="38"/>
        <v>15.829499999999999</v>
      </c>
      <c r="U236">
        <f t="shared" si="39"/>
        <v>16.43197077</v>
      </c>
      <c r="X236" s="9"/>
      <c r="Y236" s="22">
        <v>0.66192600000000001</v>
      </c>
      <c r="Z236" s="22">
        <v>285.80500000000001</v>
      </c>
      <c r="AA236" s="22">
        <v>-1.6055300000000002E-2</v>
      </c>
      <c r="AB236" s="22">
        <v>226</v>
      </c>
      <c r="AC236" s="22">
        <v>0.66131600000000001</v>
      </c>
      <c r="AD236">
        <f t="shared" si="40"/>
        <v>16.055300000000003</v>
      </c>
      <c r="AE236">
        <f t="shared" si="41"/>
        <v>10.627420507800002</v>
      </c>
      <c r="AF236" s="9"/>
      <c r="AG236" s="22">
        <v>1.03806</v>
      </c>
      <c r="AH236" s="22">
        <v>370.9</v>
      </c>
      <c r="AI236" s="22">
        <v>-1.5853900000000001E-2</v>
      </c>
      <c r="AJ236" s="22">
        <v>226</v>
      </c>
      <c r="AK236" s="22">
        <v>1.03668</v>
      </c>
      <c r="AL236">
        <f t="shared" si="42"/>
        <v>15.853900000000001</v>
      </c>
      <c r="AM236">
        <f t="shared" si="43"/>
        <v>16.457299433999999</v>
      </c>
      <c r="AP236" s="9"/>
      <c r="AQ236" s="22">
        <v>0.66192600000000001</v>
      </c>
      <c r="AR236" s="22">
        <v>454.29899999999998</v>
      </c>
      <c r="AS236" s="22">
        <v>-1.6070600000000001E-2</v>
      </c>
      <c r="AT236" s="22">
        <v>226</v>
      </c>
      <c r="AU236" s="22">
        <v>0.66131600000000001</v>
      </c>
      <c r="AV236">
        <f t="shared" si="44"/>
        <v>16.070600000000002</v>
      </c>
      <c r="AW236">
        <f t="shared" si="45"/>
        <v>10.637547975600002</v>
      </c>
      <c r="AX236" s="9"/>
      <c r="AY236" s="22">
        <v>1.03806</v>
      </c>
      <c r="AZ236" s="22">
        <v>576.23299999999995</v>
      </c>
      <c r="BA236" s="22">
        <v>-1.5853900000000001E-2</v>
      </c>
      <c r="BB236" s="22">
        <v>226</v>
      </c>
      <c r="BC236" s="22">
        <v>1.0369900000000001</v>
      </c>
      <c r="BD236">
        <f t="shared" si="46"/>
        <v>15.853900000000001</v>
      </c>
      <c r="BE236">
        <f t="shared" si="47"/>
        <v>16.457299433999999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96.105999999999995</v>
      </c>
      <c r="I237" s="22">
        <v>-1.60065E-2</v>
      </c>
      <c r="J237" s="22">
        <v>227</v>
      </c>
      <c r="K237" s="22">
        <v>0.65612800000000004</v>
      </c>
      <c r="L237">
        <f t="shared" si="36"/>
        <v>16.006499999999999</v>
      </c>
      <c r="M237">
        <f t="shared" si="37"/>
        <v>10.514525791499999</v>
      </c>
      <c r="N237" s="9"/>
      <c r="O237" s="22">
        <v>1.0430900000000001</v>
      </c>
      <c r="P237" s="22">
        <v>203.393</v>
      </c>
      <c r="Q237" s="22">
        <v>-1.5838600000000001E-2</v>
      </c>
      <c r="R237" s="22">
        <v>227</v>
      </c>
      <c r="S237" s="22">
        <v>1.0421800000000001</v>
      </c>
      <c r="T237">
        <f t="shared" si="38"/>
        <v>15.838600000000001</v>
      </c>
      <c r="U237">
        <f t="shared" si="39"/>
        <v>16.521085274000004</v>
      </c>
      <c r="X237" s="9"/>
      <c r="Y237" s="22">
        <v>0.656891</v>
      </c>
      <c r="Z237" s="22">
        <v>285.90600000000001</v>
      </c>
      <c r="AA237" s="22">
        <v>-1.60492E-2</v>
      </c>
      <c r="AB237" s="22">
        <v>227</v>
      </c>
      <c r="AC237" s="22">
        <v>0.65631099999999998</v>
      </c>
      <c r="AD237">
        <f t="shared" si="40"/>
        <v>16.049199999999999</v>
      </c>
      <c r="AE237">
        <f t="shared" si="41"/>
        <v>10.542575037199999</v>
      </c>
      <c r="AF237" s="9"/>
      <c r="AG237" s="22">
        <v>1.0430900000000001</v>
      </c>
      <c r="AH237" s="22">
        <v>371</v>
      </c>
      <c r="AI237" s="22">
        <v>-1.5850800000000002E-2</v>
      </c>
      <c r="AJ237" s="22">
        <v>227</v>
      </c>
      <c r="AK237" s="22">
        <v>1.0418700000000001</v>
      </c>
      <c r="AL237">
        <f t="shared" si="42"/>
        <v>15.850800000000001</v>
      </c>
      <c r="AM237">
        <f t="shared" si="43"/>
        <v>16.533810972000001</v>
      </c>
      <c r="AP237" s="9"/>
      <c r="AQ237" s="22">
        <v>0.656891</v>
      </c>
      <c r="AR237" s="22">
        <v>454.4</v>
      </c>
      <c r="AS237" s="22">
        <v>-1.60736E-2</v>
      </c>
      <c r="AT237" s="22">
        <v>227</v>
      </c>
      <c r="AU237" s="22">
        <v>0.65618900000000002</v>
      </c>
      <c r="AV237">
        <f t="shared" si="44"/>
        <v>16.073599999999999</v>
      </c>
      <c r="AW237">
        <f t="shared" si="45"/>
        <v>10.5586031776</v>
      </c>
      <c r="AX237" s="9"/>
      <c r="AY237" s="22">
        <v>1.0430900000000001</v>
      </c>
      <c r="AZ237" s="22">
        <v>576.33399999999995</v>
      </c>
      <c r="BA237" s="22">
        <v>-1.58447E-2</v>
      </c>
      <c r="BB237" s="22">
        <v>227</v>
      </c>
      <c r="BC237" s="22">
        <v>1.0421800000000001</v>
      </c>
      <c r="BD237">
        <f t="shared" si="46"/>
        <v>15.8447</v>
      </c>
      <c r="BE237">
        <f t="shared" si="47"/>
        <v>16.527448122999999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96.206699999999998</v>
      </c>
      <c r="I238" s="22">
        <v>-1.6012599999999998E-2</v>
      </c>
      <c r="J238" s="22">
        <v>228</v>
      </c>
      <c r="K238" s="22">
        <v>0.65112300000000001</v>
      </c>
      <c r="L238">
        <f t="shared" si="36"/>
        <v>16.012599999999999</v>
      </c>
      <c r="M238">
        <f t="shared" si="37"/>
        <v>10.437893373</v>
      </c>
      <c r="N238" s="9"/>
      <c r="O238" s="22">
        <v>1.04813</v>
      </c>
      <c r="P238" s="22">
        <v>203.49299999999999</v>
      </c>
      <c r="Q238" s="22">
        <v>-1.5820299999999999E-2</v>
      </c>
      <c r="R238" s="22">
        <v>228</v>
      </c>
      <c r="S238" s="22">
        <v>1.0467500000000001</v>
      </c>
      <c r="T238">
        <f t="shared" si="38"/>
        <v>15.8203</v>
      </c>
      <c r="U238">
        <f t="shared" si="39"/>
        <v>16.581731039000001</v>
      </c>
      <c r="X238" s="9"/>
      <c r="Y238" s="22">
        <v>0.65185499999999996</v>
      </c>
      <c r="Z238" s="22">
        <v>286.00700000000001</v>
      </c>
      <c r="AA238" s="22">
        <v>-1.60614E-2</v>
      </c>
      <c r="AB238" s="22">
        <v>228</v>
      </c>
      <c r="AC238" s="22">
        <v>0.65112300000000001</v>
      </c>
      <c r="AD238">
        <f t="shared" si="40"/>
        <v>16.061399999999999</v>
      </c>
      <c r="AE238">
        <f t="shared" si="41"/>
        <v>10.469703896999999</v>
      </c>
      <c r="AF238" s="9"/>
      <c r="AG238" s="22">
        <v>1.04813</v>
      </c>
      <c r="AH238" s="22">
        <v>371.101</v>
      </c>
      <c r="AI238" s="22">
        <v>-1.58417E-2</v>
      </c>
      <c r="AJ238" s="22">
        <v>228</v>
      </c>
      <c r="AK238" s="22">
        <v>1.0464500000000001</v>
      </c>
      <c r="AL238">
        <f t="shared" si="42"/>
        <v>15.841699999999999</v>
      </c>
      <c r="AM238">
        <f t="shared" si="43"/>
        <v>16.604161020999999</v>
      </c>
      <c r="AP238" s="9"/>
      <c r="AQ238" s="22">
        <v>0.65185499999999996</v>
      </c>
      <c r="AR238" s="22">
        <v>454.50099999999998</v>
      </c>
      <c r="AS238" s="22">
        <v>-1.6079699999999999E-2</v>
      </c>
      <c r="AT238" s="22">
        <v>228</v>
      </c>
      <c r="AU238" s="22">
        <v>0.65109300000000003</v>
      </c>
      <c r="AV238">
        <f t="shared" si="44"/>
        <v>16.079699999999999</v>
      </c>
      <c r="AW238">
        <f t="shared" si="45"/>
        <v>10.481632843499998</v>
      </c>
      <c r="AX238" s="9"/>
      <c r="AY238" s="22">
        <v>1.04813</v>
      </c>
      <c r="AZ238" s="22">
        <v>576.43499999999995</v>
      </c>
      <c r="BA238" s="22">
        <v>-1.58417E-2</v>
      </c>
      <c r="BB238" s="22">
        <v>228</v>
      </c>
      <c r="BC238" s="22">
        <v>1.0470600000000001</v>
      </c>
      <c r="BD238">
        <f t="shared" si="46"/>
        <v>15.841699999999999</v>
      </c>
      <c r="BE238">
        <f t="shared" si="47"/>
        <v>16.604161020999999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96.307400000000001</v>
      </c>
      <c r="I239" s="22">
        <v>-1.6003400000000001E-2</v>
      </c>
      <c r="J239" s="22">
        <v>229</v>
      </c>
      <c r="K239" s="22">
        <v>0.64611799999999997</v>
      </c>
      <c r="L239">
        <f t="shared" si="36"/>
        <v>16.003399999999999</v>
      </c>
      <c r="M239">
        <f t="shared" si="37"/>
        <v>10.351319187999998</v>
      </c>
      <c r="N239" s="9"/>
      <c r="O239" s="22">
        <v>1.0531600000000001</v>
      </c>
      <c r="P239" s="22">
        <v>203.59399999999999</v>
      </c>
      <c r="Q239" s="22">
        <v>-1.5820299999999999E-2</v>
      </c>
      <c r="R239" s="22">
        <v>229</v>
      </c>
      <c r="S239" s="22">
        <v>1.0522499999999999</v>
      </c>
      <c r="T239">
        <f t="shared" si="38"/>
        <v>15.8203</v>
      </c>
      <c r="U239">
        <f t="shared" si="39"/>
        <v>16.661307148000002</v>
      </c>
      <c r="X239" s="9"/>
      <c r="Y239" s="22">
        <v>0.64681999999999995</v>
      </c>
      <c r="Z239" s="22">
        <v>286.10700000000003</v>
      </c>
      <c r="AA239" s="22">
        <v>-1.6055300000000002E-2</v>
      </c>
      <c r="AB239" s="22">
        <v>229</v>
      </c>
      <c r="AC239" s="22">
        <v>0.64633200000000002</v>
      </c>
      <c r="AD239">
        <f t="shared" si="40"/>
        <v>16.055300000000003</v>
      </c>
      <c r="AE239">
        <f t="shared" si="41"/>
        <v>10.384889146000001</v>
      </c>
      <c r="AF239" s="9"/>
      <c r="AG239" s="22">
        <v>1.0531600000000001</v>
      </c>
      <c r="AH239" s="22">
        <v>371.202</v>
      </c>
      <c r="AI239" s="22">
        <v>-1.58417E-2</v>
      </c>
      <c r="AJ239" s="22">
        <v>229</v>
      </c>
      <c r="AK239" s="22">
        <v>1.0522499999999999</v>
      </c>
      <c r="AL239">
        <f t="shared" si="42"/>
        <v>15.841699999999999</v>
      </c>
      <c r="AM239">
        <f t="shared" si="43"/>
        <v>16.683844772</v>
      </c>
      <c r="AP239" s="9"/>
      <c r="AQ239" s="22">
        <v>0.64681999999999995</v>
      </c>
      <c r="AR239" s="22">
        <v>454.601</v>
      </c>
      <c r="AS239" s="22">
        <v>-1.60736E-2</v>
      </c>
      <c r="AT239" s="22">
        <v>229</v>
      </c>
      <c r="AU239" s="22">
        <v>0.64599600000000001</v>
      </c>
      <c r="AV239">
        <f t="shared" si="44"/>
        <v>16.073599999999999</v>
      </c>
      <c r="AW239">
        <f t="shared" si="45"/>
        <v>10.396725951999999</v>
      </c>
      <c r="AX239" s="9"/>
      <c r="AY239" s="22">
        <v>1.0531600000000001</v>
      </c>
      <c r="AZ239" s="22">
        <v>576.53499999999997</v>
      </c>
      <c r="BA239" s="22">
        <v>-1.5835599999999998E-2</v>
      </c>
      <c r="BB239" s="22">
        <v>229</v>
      </c>
      <c r="BC239" s="22">
        <v>1.0525500000000001</v>
      </c>
      <c r="BD239">
        <f t="shared" si="46"/>
        <v>15.835599999999998</v>
      </c>
      <c r="BE239">
        <f t="shared" si="47"/>
        <v>16.677420496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96.408100000000005</v>
      </c>
      <c r="I240" s="22">
        <v>-1.6003400000000001E-2</v>
      </c>
      <c r="J240" s="22">
        <v>230</v>
      </c>
      <c r="K240" s="22">
        <v>0.64108299999999996</v>
      </c>
      <c r="L240">
        <f t="shared" si="36"/>
        <v>16.003399999999999</v>
      </c>
      <c r="M240">
        <f t="shared" si="37"/>
        <v>10.270742069000001</v>
      </c>
      <c r="N240" s="9"/>
      <c r="O240" s="22">
        <v>1.0582</v>
      </c>
      <c r="P240" s="22">
        <v>203.69499999999999</v>
      </c>
      <c r="Q240" s="22">
        <v>-1.5817299999999999E-2</v>
      </c>
      <c r="R240" s="22">
        <v>230</v>
      </c>
      <c r="S240" s="22">
        <v>1.0571299999999999</v>
      </c>
      <c r="T240">
        <f t="shared" si="38"/>
        <v>15.817299999999999</v>
      </c>
      <c r="U240">
        <f t="shared" si="39"/>
        <v>16.73786686</v>
      </c>
      <c r="X240" s="9"/>
      <c r="Y240" s="22">
        <v>0.64178500000000005</v>
      </c>
      <c r="Z240" s="22">
        <v>286.20800000000003</v>
      </c>
      <c r="AA240" s="22">
        <v>-1.6055300000000002E-2</v>
      </c>
      <c r="AB240" s="22">
        <v>230</v>
      </c>
      <c r="AC240" s="22">
        <v>0.64108299999999996</v>
      </c>
      <c r="AD240">
        <f t="shared" si="40"/>
        <v>16.055300000000003</v>
      </c>
      <c r="AE240">
        <f t="shared" si="41"/>
        <v>10.304050710500002</v>
      </c>
      <c r="AF240" s="9"/>
      <c r="AG240" s="22">
        <v>1.0582</v>
      </c>
      <c r="AH240" s="22">
        <v>371.303</v>
      </c>
      <c r="AI240" s="22">
        <v>-1.58417E-2</v>
      </c>
      <c r="AJ240" s="22">
        <v>230</v>
      </c>
      <c r="AK240" s="22">
        <v>1.0571299999999999</v>
      </c>
      <c r="AL240">
        <f t="shared" si="42"/>
        <v>15.841699999999999</v>
      </c>
      <c r="AM240">
        <f t="shared" si="43"/>
        <v>16.763686939999999</v>
      </c>
      <c r="AP240" s="9"/>
      <c r="AQ240" s="22">
        <v>0.64178500000000005</v>
      </c>
      <c r="AR240" s="22">
        <v>454.702</v>
      </c>
      <c r="AS240" s="22">
        <v>-1.6079699999999999E-2</v>
      </c>
      <c r="AT240" s="22">
        <v>230</v>
      </c>
      <c r="AU240" s="22">
        <v>0.64093</v>
      </c>
      <c r="AV240">
        <f t="shared" si="44"/>
        <v>16.079699999999999</v>
      </c>
      <c r="AW240">
        <f t="shared" si="45"/>
        <v>10.319710264499999</v>
      </c>
      <c r="AX240" s="9"/>
      <c r="AY240" s="22">
        <v>1.0582</v>
      </c>
      <c r="AZ240" s="22">
        <v>576.63599999999997</v>
      </c>
      <c r="BA240" s="22">
        <v>-1.58447E-2</v>
      </c>
      <c r="BB240" s="22">
        <v>230</v>
      </c>
      <c r="BC240" s="22">
        <v>1.0574300000000001</v>
      </c>
      <c r="BD240">
        <f t="shared" si="46"/>
        <v>15.8447</v>
      </c>
      <c r="BE240">
        <f t="shared" si="47"/>
        <v>16.766861540000001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96.508799999999994</v>
      </c>
      <c r="I241" s="22">
        <v>-1.6009499999999999E-2</v>
      </c>
      <c r="J241" s="22">
        <v>231</v>
      </c>
      <c r="K241" s="22">
        <v>0.63595599999999997</v>
      </c>
      <c r="L241">
        <f t="shared" si="36"/>
        <v>16.009499999999999</v>
      </c>
      <c r="M241">
        <f t="shared" si="37"/>
        <v>10.1940331155</v>
      </c>
      <c r="N241" s="9"/>
      <c r="O241" s="22">
        <v>1.0632299999999999</v>
      </c>
      <c r="P241" s="22">
        <v>203.79599999999999</v>
      </c>
      <c r="Q241" s="22">
        <v>-1.5811200000000001E-2</v>
      </c>
      <c r="R241" s="22">
        <v>231</v>
      </c>
      <c r="S241" s="22">
        <v>1.0623199999999999</v>
      </c>
      <c r="T241">
        <f t="shared" si="38"/>
        <v>15.811200000000001</v>
      </c>
      <c r="U241">
        <f t="shared" si="39"/>
        <v>16.810942176000001</v>
      </c>
      <c r="X241" s="9"/>
      <c r="Y241" s="22">
        <v>0.63674900000000001</v>
      </c>
      <c r="Z241" s="22">
        <v>286.30900000000003</v>
      </c>
      <c r="AA241" s="22">
        <v>-1.6067499999999998E-2</v>
      </c>
      <c r="AB241" s="22">
        <v>231</v>
      </c>
      <c r="AC241" s="22">
        <v>0.63598600000000005</v>
      </c>
      <c r="AD241">
        <f t="shared" si="40"/>
        <v>16.067499999999999</v>
      </c>
      <c r="AE241">
        <f t="shared" si="41"/>
        <v>10.2309645575</v>
      </c>
      <c r="AF241" s="9"/>
      <c r="AG241" s="22">
        <v>1.0632299999999999</v>
      </c>
      <c r="AH241" s="22">
        <v>371.40300000000002</v>
      </c>
      <c r="AI241" s="22">
        <v>-1.58417E-2</v>
      </c>
      <c r="AJ241" s="22">
        <v>231</v>
      </c>
      <c r="AK241" s="22">
        <v>1.0623199999999999</v>
      </c>
      <c r="AL241">
        <f t="shared" si="42"/>
        <v>15.841699999999999</v>
      </c>
      <c r="AM241">
        <f t="shared" si="43"/>
        <v>16.843370690999997</v>
      </c>
      <c r="AP241" s="9"/>
      <c r="AQ241" s="22">
        <v>0.63674900000000001</v>
      </c>
      <c r="AR241" s="22">
        <v>454.803</v>
      </c>
      <c r="AS241" s="22">
        <v>-1.6076699999999999E-2</v>
      </c>
      <c r="AT241" s="22">
        <v>231</v>
      </c>
      <c r="AU241" s="22">
        <v>0.63592499999999996</v>
      </c>
      <c r="AV241">
        <f t="shared" si="44"/>
        <v>16.076699999999999</v>
      </c>
      <c r="AW241">
        <f t="shared" si="45"/>
        <v>10.236822648299999</v>
      </c>
      <c r="AX241" s="9"/>
      <c r="AY241" s="22">
        <v>1.0632299999999999</v>
      </c>
      <c r="AZ241" s="22">
        <v>576.73699999999997</v>
      </c>
      <c r="BA241" s="22">
        <v>-1.5832499999999999E-2</v>
      </c>
      <c r="BB241" s="22">
        <v>231</v>
      </c>
      <c r="BC241" s="22">
        <v>1.0620099999999999</v>
      </c>
      <c r="BD241">
        <f t="shared" si="46"/>
        <v>15.8325</v>
      </c>
      <c r="BE241">
        <f t="shared" si="47"/>
        <v>16.833588974999998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96.609499999999997</v>
      </c>
      <c r="I242" s="22">
        <v>-1.60187E-2</v>
      </c>
      <c r="J242" s="22">
        <v>232</v>
      </c>
      <c r="K242" s="22">
        <v>0.63104199999999999</v>
      </c>
      <c r="L242">
        <f t="shared" si="36"/>
        <v>16.018699999999999</v>
      </c>
      <c r="M242">
        <f t="shared" si="37"/>
        <v>10.119237051799999</v>
      </c>
      <c r="N242" s="9"/>
      <c r="O242" s="22">
        <v>1.0682700000000001</v>
      </c>
      <c r="P242" s="22">
        <v>203.89599999999999</v>
      </c>
      <c r="Q242" s="22">
        <v>-1.5811200000000001E-2</v>
      </c>
      <c r="R242" s="22">
        <v>232</v>
      </c>
      <c r="S242" s="22">
        <v>1.0671999999999999</v>
      </c>
      <c r="T242">
        <f t="shared" si="38"/>
        <v>15.811200000000001</v>
      </c>
      <c r="U242">
        <f t="shared" si="39"/>
        <v>16.890630624000003</v>
      </c>
      <c r="X242" s="9"/>
      <c r="Y242" s="22">
        <v>0.631714</v>
      </c>
      <c r="Z242" s="22">
        <v>286.41000000000003</v>
      </c>
      <c r="AA242" s="22">
        <v>-1.6070600000000001E-2</v>
      </c>
      <c r="AB242" s="22">
        <v>232</v>
      </c>
      <c r="AC242" s="22">
        <v>0.63092000000000004</v>
      </c>
      <c r="AD242">
        <f t="shared" si="40"/>
        <v>16.070600000000002</v>
      </c>
      <c r="AE242">
        <f t="shared" si="41"/>
        <v>10.152023008400002</v>
      </c>
      <c r="AF242" s="9"/>
      <c r="AG242" s="22">
        <v>1.0682700000000001</v>
      </c>
      <c r="AH242" s="22">
        <v>371.50400000000002</v>
      </c>
      <c r="AI242" s="22">
        <v>-1.5823400000000001E-2</v>
      </c>
      <c r="AJ242" s="22">
        <v>232</v>
      </c>
      <c r="AK242" s="22">
        <v>1.0678099999999999</v>
      </c>
      <c r="AL242">
        <f t="shared" si="42"/>
        <v>15.823400000000001</v>
      </c>
      <c r="AM242">
        <f t="shared" si="43"/>
        <v>16.903663518000002</v>
      </c>
      <c r="AP242" s="9"/>
      <c r="AQ242" s="22">
        <v>0.631714</v>
      </c>
      <c r="AR242" s="22">
        <v>454.90300000000002</v>
      </c>
      <c r="AS242" s="22">
        <v>-1.6079699999999999E-2</v>
      </c>
      <c r="AT242" s="22">
        <v>232</v>
      </c>
      <c r="AU242" s="22">
        <v>0.63095100000000004</v>
      </c>
      <c r="AV242">
        <f t="shared" si="44"/>
        <v>16.079699999999999</v>
      </c>
      <c r="AW242">
        <f t="shared" si="45"/>
        <v>10.157771605799999</v>
      </c>
      <c r="AX242" s="9"/>
      <c r="AY242" s="22">
        <v>1.0682700000000001</v>
      </c>
      <c r="AZ242" s="22">
        <v>576.83699999999999</v>
      </c>
      <c r="BA242" s="22">
        <v>-1.5826400000000001E-2</v>
      </c>
      <c r="BB242" s="22">
        <v>232</v>
      </c>
      <c r="BC242" s="22">
        <v>1.0671999999999999</v>
      </c>
      <c r="BD242">
        <f t="shared" si="46"/>
        <v>15.826400000000001</v>
      </c>
      <c r="BE242">
        <f t="shared" si="47"/>
        <v>16.906868328000002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96.7102</v>
      </c>
      <c r="I243" s="22">
        <v>-1.6009499999999999E-2</v>
      </c>
      <c r="J243" s="22">
        <v>233</v>
      </c>
      <c r="K243" s="22">
        <v>0.62600699999999998</v>
      </c>
      <c r="L243">
        <f t="shared" si="36"/>
        <v>16.009499999999999</v>
      </c>
      <c r="M243">
        <f t="shared" si="37"/>
        <v>10.032801440999998</v>
      </c>
      <c r="N243" s="9"/>
      <c r="O243" s="22">
        <v>1.0732999999999999</v>
      </c>
      <c r="P243" s="22">
        <v>203.99700000000001</v>
      </c>
      <c r="Q243" s="22">
        <v>-1.58142E-2</v>
      </c>
      <c r="R243" s="22">
        <v>233</v>
      </c>
      <c r="S243" s="22">
        <v>1.0720799999999999</v>
      </c>
      <c r="T243">
        <f t="shared" si="38"/>
        <v>15.8142</v>
      </c>
      <c r="U243">
        <f t="shared" si="39"/>
        <v>16.973380859999999</v>
      </c>
      <c r="X243" s="9"/>
      <c r="Y243" s="22">
        <v>0.62667799999999996</v>
      </c>
      <c r="Z243" s="22">
        <v>286.51</v>
      </c>
      <c r="AA243" s="22">
        <v>-1.60736E-2</v>
      </c>
      <c r="AB243" s="22">
        <v>233</v>
      </c>
      <c r="AC243" s="22">
        <v>0.62588500000000002</v>
      </c>
      <c r="AD243">
        <f t="shared" si="40"/>
        <v>16.073599999999999</v>
      </c>
      <c r="AE243">
        <f t="shared" si="41"/>
        <v>10.072971500799998</v>
      </c>
      <c r="AF243" s="9"/>
      <c r="AG243" s="22">
        <v>1.0732999999999999</v>
      </c>
      <c r="AH243" s="22">
        <v>371.60500000000002</v>
      </c>
      <c r="AI243" s="22">
        <v>-1.5832499999999999E-2</v>
      </c>
      <c r="AJ243" s="22">
        <v>233</v>
      </c>
      <c r="AK243" s="22">
        <v>1.073</v>
      </c>
      <c r="AL243">
        <f t="shared" si="42"/>
        <v>15.8325</v>
      </c>
      <c r="AM243">
        <f t="shared" si="43"/>
        <v>16.993022249999999</v>
      </c>
      <c r="AP243" s="9"/>
      <c r="AQ243" s="22">
        <v>0.62667799999999996</v>
      </c>
      <c r="AR243" s="22">
        <v>455.00400000000002</v>
      </c>
      <c r="AS243" s="22">
        <v>-1.60889E-2</v>
      </c>
      <c r="AT243" s="22">
        <v>233</v>
      </c>
      <c r="AU243" s="22">
        <v>0.62582400000000005</v>
      </c>
      <c r="AV243">
        <f t="shared" si="44"/>
        <v>16.088899999999999</v>
      </c>
      <c r="AW243">
        <f t="shared" si="45"/>
        <v>10.082559674199999</v>
      </c>
      <c r="AX243" s="9"/>
      <c r="AY243" s="22">
        <v>1.0732999999999999</v>
      </c>
      <c r="AZ243" s="22">
        <v>576.93799999999999</v>
      </c>
      <c r="BA243" s="22">
        <v>-1.5826400000000001E-2</v>
      </c>
      <c r="BB243" s="22">
        <v>233</v>
      </c>
      <c r="BC243" s="22">
        <v>1.07239</v>
      </c>
      <c r="BD243">
        <f t="shared" si="46"/>
        <v>15.826400000000001</v>
      </c>
      <c r="BE243">
        <f t="shared" si="47"/>
        <v>16.986475120000001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96.810900000000004</v>
      </c>
      <c r="I244" s="22">
        <v>-1.60187E-2</v>
      </c>
      <c r="J244" s="22">
        <v>234</v>
      </c>
      <c r="K244" s="22">
        <v>0.62072799999999995</v>
      </c>
      <c r="L244">
        <f t="shared" si="36"/>
        <v>16.018699999999999</v>
      </c>
      <c r="M244">
        <f t="shared" si="37"/>
        <v>9.9579127240999981</v>
      </c>
      <c r="N244" s="9"/>
      <c r="O244" s="22">
        <v>1.0783400000000001</v>
      </c>
      <c r="P244" s="22">
        <v>204.09800000000001</v>
      </c>
      <c r="Q244" s="22">
        <v>-1.5805099999999999E-2</v>
      </c>
      <c r="R244" s="22">
        <v>234</v>
      </c>
      <c r="S244" s="22">
        <v>1.0772699999999999</v>
      </c>
      <c r="T244">
        <f t="shared" si="38"/>
        <v>15.805099999999999</v>
      </c>
      <c r="U244">
        <f t="shared" si="39"/>
        <v>17.043271534000002</v>
      </c>
      <c r="X244" s="9"/>
      <c r="Y244" s="22">
        <v>0.62164299999999995</v>
      </c>
      <c r="Z244" s="22">
        <v>286.61099999999999</v>
      </c>
      <c r="AA244" s="22">
        <v>-1.6076699999999999E-2</v>
      </c>
      <c r="AB244" s="22">
        <v>234</v>
      </c>
      <c r="AC244" s="22">
        <v>0.62091099999999999</v>
      </c>
      <c r="AD244">
        <f t="shared" si="40"/>
        <v>16.076699999999999</v>
      </c>
      <c r="AE244">
        <f t="shared" si="41"/>
        <v>9.9939680180999986</v>
      </c>
      <c r="AF244" s="9"/>
      <c r="AG244" s="22">
        <v>1.0783400000000001</v>
      </c>
      <c r="AH244" s="22">
        <v>371.70499999999998</v>
      </c>
      <c r="AI244" s="22">
        <v>-1.5823400000000001E-2</v>
      </c>
      <c r="AJ244" s="22">
        <v>234</v>
      </c>
      <c r="AK244" s="22">
        <v>1.0772699999999999</v>
      </c>
      <c r="AL244">
        <f t="shared" si="42"/>
        <v>15.823400000000001</v>
      </c>
      <c r="AM244">
        <f t="shared" si="43"/>
        <v>17.063005156000003</v>
      </c>
      <c r="AP244" s="9"/>
      <c r="AQ244" s="22">
        <v>0.62164299999999995</v>
      </c>
      <c r="AR244" s="22">
        <v>455.10500000000002</v>
      </c>
      <c r="AS244" s="22">
        <v>-1.6076699999999999E-2</v>
      </c>
      <c r="AT244" s="22">
        <v>234</v>
      </c>
      <c r="AU244" s="22">
        <v>0.62094099999999997</v>
      </c>
      <c r="AV244">
        <f t="shared" si="44"/>
        <v>16.076699999999999</v>
      </c>
      <c r="AW244">
        <f t="shared" si="45"/>
        <v>9.9939680180999986</v>
      </c>
      <c r="AX244" s="9"/>
      <c r="AY244" s="22">
        <v>1.0783400000000001</v>
      </c>
      <c r="AZ244" s="22">
        <v>577.03899999999999</v>
      </c>
      <c r="BA244" s="22">
        <v>-1.5826400000000001E-2</v>
      </c>
      <c r="BB244" s="22">
        <v>234</v>
      </c>
      <c r="BC244" s="22">
        <v>1.07758</v>
      </c>
      <c r="BD244">
        <f t="shared" si="46"/>
        <v>15.826400000000001</v>
      </c>
      <c r="BE244">
        <f t="shared" si="47"/>
        <v>17.066240176000004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96.911600000000007</v>
      </c>
      <c r="I245" s="22">
        <v>-1.60217E-2</v>
      </c>
      <c r="J245" s="22">
        <v>235</v>
      </c>
      <c r="K245" s="22">
        <v>0.61584499999999998</v>
      </c>
      <c r="L245">
        <f t="shared" si="36"/>
        <v>16.021699999999999</v>
      </c>
      <c r="M245">
        <f t="shared" si="37"/>
        <v>9.879108393600001</v>
      </c>
      <c r="N245" s="9"/>
      <c r="O245" s="22">
        <v>1.0833699999999999</v>
      </c>
      <c r="P245" s="22">
        <v>204.19800000000001</v>
      </c>
      <c r="Q245" s="22">
        <v>-1.5805099999999999E-2</v>
      </c>
      <c r="R245" s="22">
        <v>235</v>
      </c>
      <c r="S245" s="22">
        <v>1.0821499999999999</v>
      </c>
      <c r="T245">
        <f t="shared" si="38"/>
        <v>15.805099999999999</v>
      </c>
      <c r="U245">
        <f t="shared" si="39"/>
        <v>17.122771186999998</v>
      </c>
      <c r="X245" s="9"/>
      <c r="Y245" s="22">
        <v>0.61660800000000004</v>
      </c>
      <c r="Z245" s="22">
        <v>286.71199999999999</v>
      </c>
      <c r="AA245" s="22">
        <v>-1.60736E-2</v>
      </c>
      <c r="AB245" s="22">
        <v>235</v>
      </c>
      <c r="AC245" s="22">
        <v>0.61587499999999995</v>
      </c>
      <c r="AD245">
        <f t="shared" si="40"/>
        <v>16.073599999999999</v>
      </c>
      <c r="AE245">
        <f t="shared" si="41"/>
        <v>9.9111103487999994</v>
      </c>
      <c r="AF245" s="9"/>
      <c r="AG245" s="22">
        <v>1.0833699999999999</v>
      </c>
      <c r="AH245" s="22">
        <v>371.80599999999998</v>
      </c>
      <c r="AI245" s="22">
        <v>-1.5817299999999999E-2</v>
      </c>
      <c r="AJ245" s="22">
        <v>235</v>
      </c>
      <c r="AK245" s="22">
        <v>1.08246</v>
      </c>
      <c r="AL245">
        <f t="shared" si="42"/>
        <v>15.817299999999999</v>
      </c>
      <c r="AM245">
        <f t="shared" si="43"/>
        <v>17.135988300999998</v>
      </c>
      <c r="AP245" s="9"/>
      <c r="AQ245" s="22">
        <v>0.61660800000000004</v>
      </c>
      <c r="AR245" s="22">
        <v>455.20600000000002</v>
      </c>
      <c r="AS245" s="22">
        <v>-1.6085800000000001E-2</v>
      </c>
      <c r="AT245" s="22">
        <v>235</v>
      </c>
      <c r="AU245" s="22">
        <v>0.61584499999999998</v>
      </c>
      <c r="AV245">
        <f t="shared" si="44"/>
        <v>16.085800000000003</v>
      </c>
      <c r="AW245">
        <f t="shared" si="45"/>
        <v>9.9186329664000024</v>
      </c>
      <c r="AX245" s="9"/>
      <c r="AY245" s="22">
        <v>1.0833699999999999</v>
      </c>
      <c r="AZ245" s="22">
        <v>577.14</v>
      </c>
      <c r="BA245" s="22">
        <v>-1.58142E-2</v>
      </c>
      <c r="BB245" s="22">
        <v>235</v>
      </c>
      <c r="BC245" s="22">
        <v>1.08246</v>
      </c>
      <c r="BD245">
        <f t="shared" si="46"/>
        <v>15.8142</v>
      </c>
      <c r="BE245">
        <f t="shared" si="47"/>
        <v>17.132629853999997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97.012299999999996</v>
      </c>
      <c r="I246" s="22">
        <v>-1.60217E-2</v>
      </c>
      <c r="J246" s="22">
        <v>236</v>
      </c>
      <c r="K246" s="22">
        <v>0.61087000000000002</v>
      </c>
      <c r="L246">
        <f t="shared" si="36"/>
        <v>16.021699999999999</v>
      </c>
      <c r="M246">
        <f t="shared" si="37"/>
        <v>9.7984231124000001</v>
      </c>
      <c r="N246" s="9"/>
      <c r="O246" s="22">
        <v>1.0884100000000001</v>
      </c>
      <c r="P246" s="22">
        <v>204.29900000000001</v>
      </c>
      <c r="Q246" s="22">
        <v>-1.5799000000000001E-2</v>
      </c>
      <c r="R246" s="22">
        <v>236</v>
      </c>
      <c r="S246" s="22">
        <v>1.08704</v>
      </c>
      <c r="T246">
        <f t="shared" si="38"/>
        <v>15.799000000000001</v>
      </c>
      <c r="U246">
        <f t="shared" si="39"/>
        <v>17.195789590000004</v>
      </c>
      <c r="X246" s="9"/>
      <c r="Y246" s="22">
        <v>0.611572</v>
      </c>
      <c r="Z246" s="22">
        <v>286.81200000000001</v>
      </c>
      <c r="AA246" s="22">
        <v>-1.6064499999999999E-2</v>
      </c>
      <c r="AB246" s="22">
        <v>236</v>
      </c>
      <c r="AC246" s="22">
        <v>0.61090100000000003</v>
      </c>
      <c r="AD246">
        <f t="shared" si="40"/>
        <v>16.064499999999999</v>
      </c>
      <c r="AE246">
        <f t="shared" si="41"/>
        <v>9.8245983939999988</v>
      </c>
      <c r="AF246" s="9"/>
      <c r="AG246" s="22">
        <v>1.0884100000000001</v>
      </c>
      <c r="AH246" s="22">
        <v>371.90699999999998</v>
      </c>
      <c r="AI246" s="22">
        <v>-1.58142E-2</v>
      </c>
      <c r="AJ246" s="22">
        <v>236</v>
      </c>
      <c r="AK246" s="22">
        <v>1.08734</v>
      </c>
      <c r="AL246">
        <f t="shared" si="42"/>
        <v>15.8142</v>
      </c>
      <c r="AM246">
        <f t="shared" si="43"/>
        <v>17.212333422</v>
      </c>
      <c r="AP246" s="9"/>
      <c r="AQ246" s="22">
        <v>0.611572</v>
      </c>
      <c r="AR246" s="22">
        <v>455.30599999999998</v>
      </c>
      <c r="AS246" s="22">
        <v>-1.61011E-2</v>
      </c>
      <c r="AT246" s="22">
        <v>236</v>
      </c>
      <c r="AU246" s="22">
        <v>0.61090100000000003</v>
      </c>
      <c r="AV246">
        <f t="shared" si="44"/>
        <v>16.101099999999999</v>
      </c>
      <c r="AW246">
        <f t="shared" si="45"/>
        <v>9.8469819292</v>
      </c>
      <c r="AX246" s="9"/>
      <c r="AY246" s="22">
        <v>1.0884100000000001</v>
      </c>
      <c r="AZ246" s="22">
        <v>577.24</v>
      </c>
      <c r="BA246" s="22">
        <v>-1.5820299999999999E-2</v>
      </c>
      <c r="BB246" s="22">
        <v>236</v>
      </c>
      <c r="BC246" s="22">
        <v>1.08765</v>
      </c>
      <c r="BD246">
        <f t="shared" si="46"/>
        <v>15.8203</v>
      </c>
      <c r="BE246">
        <f t="shared" si="47"/>
        <v>17.218972723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97.113</v>
      </c>
      <c r="I247" s="22">
        <v>-1.60217E-2</v>
      </c>
      <c r="J247" s="22">
        <v>237</v>
      </c>
      <c r="K247" s="22">
        <v>0.60574300000000003</v>
      </c>
      <c r="L247">
        <f t="shared" si="36"/>
        <v>16.021699999999999</v>
      </c>
      <c r="M247">
        <f t="shared" si="37"/>
        <v>9.7177538528999996</v>
      </c>
      <c r="N247" s="9"/>
      <c r="O247" s="22">
        <v>1.09344</v>
      </c>
      <c r="P247" s="22">
        <v>204.4</v>
      </c>
      <c r="Q247" s="22">
        <v>-1.5792799999999999E-2</v>
      </c>
      <c r="R247" s="22">
        <v>237</v>
      </c>
      <c r="S247" s="22">
        <v>1.09192</v>
      </c>
      <c r="T247">
        <f t="shared" si="38"/>
        <v>15.7928</v>
      </c>
      <c r="U247">
        <f t="shared" si="39"/>
        <v>17.268479232000001</v>
      </c>
      <c r="X247" s="9"/>
      <c r="Y247" s="22">
        <v>0.60653699999999999</v>
      </c>
      <c r="Z247" s="22">
        <v>286.91300000000001</v>
      </c>
      <c r="AA247" s="22">
        <v>-1.6076699999999999E-2</v>
      </c>
      <c r="AB247" s="22">
        <v>237</v>
      </c>
      <c r="AC247" s="22">
        <v>0.60565199999999997</v>
      </c>
      <c r="AD247">
        <f t="shared" si="40"/>
        <v>16.076699999999999</v>
      </c>
      <c r="AE247">
        <f t="shared" si="41"/>
        <v>9.7511133878999985</v>
      </c>
      <c r="AF247" s="9"/>
      <c r="AG247" s="22">
        <v>1.09344</v>
      </c>
      <c r="AH247" s="22">
        <v>372.00799999999998</v>
      </c>
      <c r="AI247" s="22">
        <v>-1.58142E-2</v>
      </c>
      <c r="AJ247" s="22">
        <v>237</v>
      </c>
      <c r="AK247" s="22">
        <v>1.09283</v>
      </c>
      <c r="AL247">
        <f t="shared" si="42"/>
        <v>15.8142</v>
      </c>
      <c r="AM247">
        <f t="shared" si="43"/>
        <v>17.291878848</v>
      </c>
      <c r="AP247" s="9"/>
      <c r="AQ247" s="22">
        <v>0.60653699999999999</v>
      </c>
      <c r="AR247" s="22">
        <v>455.40699999999998</v>
      </c>
      <c r="AS247" s="22">
        <v>-1.61011E-2</v>
      </c>
      <c r="AT247" s="22">
        <v>237</v>
      </c>
      <c r="AU247" s="22">
        <v>0.60574300000000003</v>
      </c>
      <c r="AV247">
        <f t="shared" si="44"/>
        <v>16.101099999999999</v>
      </c>
      <c r="AW247">
        <f t="shared" si="45"/>
        <v>9.7659128906999992</v>
      </c>
      <c r="AX247" s="9"/>
      <c r="AY247" s="22">
        <v>1.09344</v>
      </c>
      <c r="AZ247" s="22">
        <v>577.34100000000001</v>
      </c>
      <c r="BA247" s="22">
        <v>-1.5811200000000001E-2</v>
      </c>
      <c r="BB247" s="22">
        <v>237</v>
      </c>
      <c r="BC247" s="22">
        <v>1.09192</v>
      </c>
      <c r="BD247">
        <f t="shared" si="46"/>
        <v>15.811200000000001</v>
      </c>
      <c r="BE247">
        <f t="shared" si="47"/>
        <v>17.288598528000001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97.213700000000003</v>
      </c>
      <c r="I248" s="22">
        <v>-1.60187E-2</v>
      </c>
      <c r="J248" s="22">
        <v>238</v>
      </c>
      <c r="K248" s="22">
        <v>0.60095200000000004</v>
      </c>
      <c r="L248">
        <f t="shared" si="36"/>
        <v>16.018699999999999</v>
      </c>
      <c r="M248">
        <f t="shared" si="37"/>
        <v>9.635264068699998</v>
      </c>
      <c r="N248" s="9"/>
      <c r="O248" s="22">
        <v>1.0984799999999999</v>
      </c>
      <c r="P248" s="22">
        <v>204.501</v>
      </c>
      <c r="Q248" s="22">
        <v>-1.5780599999999999E-2</v>
      </c>
      <c r="R248" s="22">
        <v>238</v>
      </c>
      <c r="S248" s="22">
        <v>1.09741</v>
      </c>
      <c r="T248">
        <f t="shared" si="38"/>
        <v>15.780599999999998</v>
      </c>
      <c r="U248">
        <f t="shared" si="39"/>
        <v>17.334673487999996</v>
      </c>
      <c r="X248" s="9"/>
      <c r="Y248" s="22">
        <v>0.60150099999999995</v>
      </c>
      <c r="Z248" s="22">
        <v>287.01400000000001</v>
      </c>
      <c r="AA248" s="22">
        <v>-1.6076699999999999E-2</v>
      </c>
      <c r="AB248" s="22">
        <v>238</v>
      </c>
      <c r="AC248" s="22">
        <v>0.60073900000000002</v>
      </c>
      <c r="AD248">
        <f t="shared" si="40"/>
        <v>16.076699999999999</v>
      </c>
      <c r="AE248">
        <f t="shared" si="41"/>
        <v>9.6701511266999987</v>
      </c>
      <c r="AF248" s="9"/>
      <c r="AG248" s="22">
        <v>1.0984799999999999</v>
      </c>
      <c r="AH248" s="22">
        <v>372.108</v>
      </c>
      <c r="AI248" s="22">
        <v>-1.5817299999999999E-2</v>
      </c>
      <c r="AJ248" s="22">
        <v>238</v>
      </c>
      <c r="AK248" s="22">
        <v>1.09802</v>
      </c>
      <c r="AL248">
        <f t="shared" si="42"/>
        <v>15.817299999999999</v>
      </c>
      <c r="AM248">
        <f t="shared" si="43"/>
        <v>17.374987703999999</v>
      </c>
      <c r="AP248" s="9"/>
      <c r="AQ248" s="22">
        <v>0.60150099999999995</v>
      </c>
      <c r="AR248" s="22">
        <v>455.50799999999998</v>
      </c>
      <c r="AS248" s="22">
        <v>-1.61011E-2</v>
      </c>
      <c r="AT248" s="22">
        <v>238</v>
      </c>
      <c r="AU248" s="22">
        <v>0.60082999999999998</v>
      </c>
      <c r="AV248">
        <f t="shared" si="44"/>
        <v>16.101099999999999</v>
      </c>
      <c r="AW248">
        <f t="shared" si="45"/>
        <v>9.6848277510999985</v>
      </c>
      <c r="AX248" s="9"/>
      <c r="AY248" s="22">
        <v>1.0984799999999999</v>
      </c>
      <c r="AZ248" s="22">
        <v>577.44200000000001</v>
      </c>
      <c r="BA248" s="22">
        <v>-1.5805099999999999E-2</v>
      </c>
      <c r="BB248" s="22">
        <v>238</v>
      </c>
      <c r="BC248" s="22">
        <v>1.09772</v>
      </c>
      <c r="BD248">
        <f t="shared" si="46"/>
        <v>15.805099999999999</v>
      </c>
      <c r="BE248">
        <f t="shared" si="47"/>
        <v>17.361586247999998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97.314400000000006</v>
      </c>
      <c r="I249" s="22">
        <v>-1.6030900000000001E-2</v>
      </c>
      <c r="J249" s="22">
        <v>239</v>
      </c>
      <c r="K249" s="22">
        <v>0.59573399999999999</v>
      </c>
      <c r="L249">
        <f t="shared" si="36"/>
        <v>16.030899999999999</v>
      </c>
      <c r="M249">
        <f t="shared" si="37"/>
        <v>9.5618867993999999</v>
      </c>
      <c r="N249" s="9"/>
      <c r="O249" s="22">
        <v>1.1035200000000001</v>
      </c>
      <c r="P249" s="22">
        <v>204.601</v>
      </c>
      <c r="Q249" s="22">
        <v>-1.5795900000000002E-2</v>
      </c>
      <c r="R249" s="22">
        <v>239</v>
      </c>
      <c r="S249" s="22">
        <v>1.1026</v>
      </c>
      <c r="T249">
        <f t="shared" si="38"/>
        <v>15.795900000000001</v>
      </c>
      <c r="U249">
        <f t="shared" si="39"/>
        <v>17.431091568000003</v>
      </c>
      <c r="X249" s="9"/>
      <c r="Y249" s="22">
        <v>0.59646600000000005</v>
      </c>
      <c r="Z249" s="22">
        <v>287.11500000000001</v>
      </c>
      <c r="AA249" s="22">
        <v>-1.6082800000000001E-2</v>
      </c>
      <c r="AB249" s="22">
        <v>239</v>
      </c>
      <c r="AC249" s="22">
        <v>0.59558100000000003</v>
      </c>
      <c r="AD249">
        <f t="shared" si="40"/>
        <v>16.082800000000002</v>
      </c>
      <c r="AE249">
        <f t="shared" si="41"/>
        <v>9.5928433848000019</v>
      </c>
      <c r="AF249" s="9"/>
      <c r="AG249" s="22">
        <v>1.1035200000000001</v>
      </c>
      <c r="AH249" s="22">
        <v>372.209</v>
      </c>
      <c r="AI249" s="22">
        <v>-1.5802E-2</v>
      </c>
      <c r="AJ249" s="22">
        <v>239</v>
      </c>
      <c r="AK249" s="22">
        <v>1.10199</v>
      </c>
      <c r="AL249">
        <f t="shared" si="42"/>
        <v>15.802</v>
      </c>
      <c r="AM249">
        <f t="shared" si="43"/>
        <v>17.437823040000001</v>
      </c>
      <c r="AP249" s="9"/>
      <c r="AQ249" s="22">
        <v>0.59646600000000005</v>
      </c>
      <c r="AR249" s="22">
        <v>455.608</v>
      </c>
      <c r="AS249" s="22">
        <v>-1.6113300000000001E-2</v>
      </c>
      <c r="AT249" s="22">
        <v>239</v>
      </c>
      <c r="AU249" s="22">
        <v>0.59573399999999999</v>
      </c>
      <c r="AV249">
        <f t="shared" si="44"/>
        <v>16.113299999999999</v>
      </c>
      <c r="AW249">
        <f t="shared" si="45"/>
        <v>9.6110355978000008</v>
      </c>
      <c r="AX249" s="9"/>
      <c r="AY249" s="22">
        <v>1.1035200000000001</v>
      </c>
      <c r="AZ249" s="22">
        <v>577.54200000000003</v>
      </c>
      <c r="BA249" s="22">
        <v>-1.5795900000000002E-2</v>
      </c>
      <c r="BB249" s="22">
        <v>239</v>
      </c>
      <c r="BC249" s="22">
        <v>1.1026</v>
      </c>
      <c r="BD249">
        <f t="shared" si="46"/>
        <v>15.795900000000001</v>
      </c>
      <c r="BE249">
        <f t="shared" si="47"/>
        <v>17.431091568000003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97.415199999999999</v>
      </c>
      <c r="I250" s="22">
        <v>-1.6030900000000001E-2</v>
      </c>
      <c r="J250" s="22">
        <v>240</v>
      </c>
      <c r="K250" s="22">
        <v>0.59066799999999997</v>
      </c>
      <c r="L250">
        <f t="shared" si="36"/>
        <v>16.030899999999999</v>
      </c>
      <c r="M250">
        <f t="shared" si="37"/>
        <v>9.4811712179000001</v>
      </c>
      <c r="N250" s="9"/>
      <c r="O250" s="22">
        <v>1.1085499999999999</v>
      </c>
      <c r="P250" s="22">
        <v>204.702</v>
      </c>
      <c r="Q250" s="22">
        <v>-1.57898E-2</v>
      </c>
      <c r="R250" s="22">
        <v>240</v>
      </c>
      <c r="S250" s="22">
        <v>1.1077900000000001</v>
      </c>
      <c r="T250">
        <f t="shared" si="38"/>
        <v>15.7898</v>
      </c>
      <c r="U250">
        <f t="shared" si="39"/>
        <v>17.503782789999999</v>
      </c>
      <c r="X250" s="9"/>
      <c r="Y250" s="22">
        <v>0.59143100000000004</v>
      </c>
      <c r="Z250" s="22">
        <v>287.21499999999997</v>
      </c>
      <c r="AA250" s="22">
        <v>-1.6082800000000001E-2</v>
      </c>
      <c r="AB250" s="22">
        <v>240</v>
      </c>
      <c r="AC250" s="22">
        <v>0.59066799999999997</v>
      </c>
      <c r="AD250">
        <f t="shared" si="40"/>
        <v>16.082800000000002</v>
      </c>
      <c r="AE250">
        <f t="shared" si="41"/>
        <v>9.5118664868000025</v>
      </c>
      <c r="AF250" s="9"/>
      <c r="AG250" s="22">
        <v>1.1085499999999999</v>
      </c>
      <c r="AH250" s="22">
        <v>372.31</v>
      </c>
      <c r="AI250" s="22">
        <v>-1.5802E-2</v>
      </c>
      <c r="AJ250" s="22">
        <v>240</v>
      </c>
      <c r="AK250" s="22">
        <v>1.10809</v>
      </c>
      <c r="AL250">
        <f t="shared" si="42"/>
        <v>15.802</v>
      </c>
      <c r="AM250">
        <f t="shared" si="43"/>
        <v>17.5173071</v>
      </c>
      <c r="AP250" s="9"/>
      <c r="AQ250" s="22">
        <v>0.59143100000000004</v>
      </c>
      <c r="AR250" s="22">
        <v>455.709</v>
      </c>
      <c r="AS250" s="22">
        <v>-1.61041E-2</v>
      </c>
      <c r="AT250" s="22">
        <v>240</v>
      </c>
      <c r="AU250" s="22">
        <v>0.59060699999999999</v>
      </c>
      <c r="AV250">
        <f t="shared" si="44"/>
        <v>16.104099999999999</v>
      </c>
      <c r="AW250">
        <f t="shared" si="45"/>
        <v>9.5244639671000009</v>
      </c>
      <c r="AX250" s="9"/>
      <c r="AY250" s="22">
        <v>1.1085499999999999</v>
      </c>
      <c r="AZ250" s="22">
        <v>577.64300000000003</v>
      </c>
      <c r="BA250" s="22">
        <v>-1.5799000000000001E-2</v>
      </c>
      <c r="BB250" s="22">
        <v>240</v>
      </c>
      <c r="BC250" s="22">
        <v>1.1077900000000001</v>
      </c>
      <c r="BD250">
        <f t="shared" si="46"/>
        <v>15.799000000000001</v>
      </c>
      <c r="BE250">
        <f t="shared" si="47"/>
        <v>17.513981449999999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97.515900000000002</v>
      </c>
      <c r="I251" s="22">
        <v>-1.6027799999999998E-2</v>
      </c>
      <c r="J251" s="22">
        <v>241</v>
      </c>
      <c r="K251" s="22">
        <v>0.58566300000000004</v>
      </c>
      <c r="L251">
        <f t="shared" si="36"/>
        <v>16.027799999999999</v>
      </c>
      <c r="M251">
        <f t="shared" si="37"/>
        <v>9.3986217809999992</v>
      </c>
      <c r="N251" s="9"/>
      <c r="O251" s="22">
        <v>1.1135900000000001</v>
      </c>
      <c r="P251" s="22">
        <v>204.803</v>
      </c>
      <c r="Q251" s="22">
        <v>-1.5777599999999999E-2</v>
      </c>
      <c r="R251" s="22">
        <v>241</v>
      </c>
      <c r="S251" s="22">
        <v>1.1123700000000001</v>
      </c>
      <c r="T251">
        <f t="shared" si="38"/>
        <v>15.7776</v>
      </c>
      <c r="U251">
        <f t="shared" si="39"/>
        <v>17.569777584000001</v>
      </c>
      <c r="X251" s="9"/>
      <c r="Y251" s="22">
        <v>0.586395</v>
      </c>
      <c r="Z251" s="22">
        <v>287.31599999999997</v>
      </c>
      <c r="AA251" s="22">
        <v>-1.6085800000000001E-2</v>
      </c>
      <c r="AB251" s="22">
        <v>241</v>
      </c>
      <c r="AC251" s="22">
        <v>0.58566300000000004</v>
      </c>
      <c r="AD251">
        <f t="shared" si="40"/>
        <v>16.085800000000003</v>
      </c>
      <c r="AE251">
        <f t="shared" si="41"/>
        <v>9.432632691000002</v>
      </c>
      <c r="AF251" s="9"/>
      <c r="AG251" s="22">
        <v>1.1135900000000001</v>
      </c>
      <c r="AH251" s="22">
        <v>372.41</v>
      </c>
      <c r="AI251" s="22">
        <v>-1.5799000000000001E-2</v>
      </c>
      <c r="AJ251" s="22">
        <v>241</v>
      </c>
      <c r="AK251" s="22">
        <v>1.11267</v>
      </c>
      <c r="AL251">
        <f t="shared" si="42"/>
        <v>15.799000000000001</v>
      </c>
      <c r="AM251">
        <f t="shared" si="43"/>
        <v>17.593608410000002</v>
      </c>
      <c r="AP251" s="9"/>
      <c r="AQ251" s="22">
        <v>0.586395</v>
      </c>
      <c r="AR251" s="22">
        <v>455.81</v>
      </c>
      <c r="AS251" s="22">
        <v>-1.6110200000000002E-2</v>
      </c>
      <c r="AT251" s="22">
        <v>241</v>
      </c>
      <c r="AU251" s="22">
        <v>0.58566300000000004</v>
      </c>
      <c r="AV251">
        <f t="shared" si="44"/>
        <v>16.110200000000003</v>
      </c>
      <c r="AW251">
        <f t="shared" si="45"/>
        <v>9.4469407290000014</v>
      </c>
      <c r="AX251" s="9"/>
      <c r="AY251" s="22">
        <v>1.1135900000000001</v>
      </c>
      <c r="AZ251" s="22">
        <v>577.74400000000003</v>
      </c>
      <c r="BA251" s="22">
        <v>-1.5792799999999999E-2</v>
      </c>
      <c r="BB251" s="22">
        <v>241</v>
      </c>
      <c r="BC251" s="22">
        <v>1.1123700000000001</v>
      </c>
      <c r="BD251">
        <f t="shared" si="46"/>
        <v>15.7928</v>
      </c>
      <c r="BE251">
        <f t="shared" si="47"/>
        <v>17.586704151999999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97.616600000000005</v>
      </c>
      <c r="I252" s="22">
        <v>-1.6046100000000001E-2</v>
      </c>
      <c r="J252" s="22">
        <v>242</v>
      </c>
      <c r="K252" s="22">
        <v>0.58056600000000003</v>
      </c>
      <c r="L252">
        <f t="shared" si="36"/>
        <v>16.046099999999999</v>
      </c>
      <c r="M252">
        <f t="shared" si="37"/>
        <v>9.3285606959999985</v>
      </c>
      <c r="N252" s="9"/>
      <c r="O252" s="22">
        <v>1.1186199999999999</v>
      </c>
      <c r="P252" s="22">
        <v>204.90299999999999</v>
      </c>
      <c r="Q252" s="22">
        <v>-1.5777599999999999E-2</v>
      </c>
      <c r="R252" s="22">
        <v>242</v>
      </c>
      <c r="S252" s="22">
        <v>1.11694</v>
      </c>
      <c r="T252">
        <f t="shared" si="38"/>
        <v>15.7776</v>
      </c>
      <c r="U252">
        <f t="shared" si="39"/>
        <v>17.649138911999998</v>
      </c>
      <c r="X252" s="9"/>
      <c r="Y252" s="22">
        <v>0.58135999999999999</v>
      </c>
      <c r="Z252" s="22">
        <v>287.41699999999997</v>
      </c>
      <c r="AA252" s="22">
        <v>-1.60889E-2</v>
      </c>
      <c r="AB252" s="22">
        <v>242</v>
      </c>
      <c r="AC252" s="22">
        <v>0.58065800000000001</v>
      </c>
      <c r="AD252">
        <f t="shared" si="40"/>
        <v>16.088899999999999</v>
      </c>
      <c r="AE252">
        <f t="shared" si="41"/>
        <v>9.3534429039999996</v>
      </c>
      <c r="AF252" s="9"/>
      <c r="AG252" s="22">
        <v>1.1186199999999999</v>
      </c>
      <c r="AH252" s="22">
        <v>372.51100000000002</v>
      </c>
      <c r="AI252" s="22">
        <v>-1.5799000000000001E-2</v>
      </c>
      <c r="AJ252" s="22">
        <v>242</v>
      </c>
      <c r="AK252" s="22">
        <v>1.11694</v>
      </c>
      <c r="AL252">
        <f t="shared" si="42"/>
        <v>15.799000000000001</v>
      </c>
      <c r="AM252">
        <f t="shared" si="43"/>
        <v>17.673077380000002</v>
      </c>
      <c r="AP252" s="9"/>
      <c r="AQ252" s="22">
        <v>0.58135999999999999</v>
      </c>
      <c r="AR252" s="22">
        <v>455.91</v>
      </c>
      <c r="AS252" s="22">
        <v>-1.6110200000000002E-2</v>
      </c>
      <c r="AT252" s="22">
        <v>242</v>
      </c>
      <c r="AU252" s="22">
        <v>0.58047499999999996</v>
      </c>
      <c r="AV252">
        <f t="shared" si="44"/>
        <v>16.110200000000003</v>
      </c>
      <c r="AW252">
        <f t="shared" si="45"/>
        <v>9.3658258720000021</v>
      </c>
      <c r="AX252" s="9"/>
      <c r="AY252" s="22">
        <v>1.1186199999999999</v>
      </c>
      <c r="AZ252" s="22">
        <v>577.84500000000003</v>
      </c>
      <c r="BA252" s="22">
        <v>-1.5802E-2</v>
      </c>
      <c r="BB252" s="22">
        <v>242</v>
      </c>
      <c r="BC252" s="22">
        <v>1.1178600000000001</v>
      </c>
      <c r="BD252">
        <f t="shared" si="46"/>
        <v>15.802</v>
      </c>
      <c r="BE252">
        <f t="shared" si="47"/>
        <v>17.676433239999998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97.717299999999994</v>
      </c>
      <c r="I253" s="22">
        <v>-1.6043100000000001E-2</v>
      </c>
      <c r="J253" s="22">
        <v>243</v>
      </c>
      <c r="K253" s="22">
        <v>0.57565299999999997</v>
      </c>
      <c r="L253">
        <f t="shared" si="36"/>
        <v>16.043100000000003</v>
      </c>
      <c r="M253">
        <f t="shared" si="37"/>
        <v>9.2460235644000015</v>
      </c>
      <c r="N253" s="9"/>
      <c r="O253" s="22">
        <v>1.1236600000000001</v>
      </c>
      <c r="P253" s="22">
        <v>205.00399999999999</v>
      </c>
      <c r="Q253" s="22">
        <v>-1.5780599999999999E-2</v>
      </c>
      <c r="R253" s="22">
        <v>243</v>
      </c>
      <c r="S253" s="22">
        <v>1.1224400000000001</v>
      </c>
      <c r="T253">
        <f t="shared" si="38"/>
        <v>15.780599999999998</v>
      </c>
      <c r="U253">
        <f t="shared" si="39"/>
        <v>17.732028996</v>
      </c>
      <c r="X253" s="9"/>
      <c r="Y253" s="22">
        <v>0.57632399999999995</v>
      </c>
      <c r="Z253" s="22">
        <v>287.517</v>
      </c>
      <c r="AA253" s="22">
        <v>-1.60889E-2</v>
      </c>
      <c r="AB253" s="22">
        <v>243</v>
      </c>
      <c r="AC253" s="22">
        <v>0.57559199999999999</v>
      </c>
      <c r="AD253">
        <f t="shared" si="40"/>
        <v>16.088899999999999</v>
      </c>
      <c r="AE253">
        <f t="shared" si="41"/>
        <v>9.2724192035999984</v>
      </c>
      <c r="AF253" s="9"/>
      <c r="AG253" s="22">
        <v>1.1236600000000001</v>
      </c>
      <c r="AH253" s="22">
        <v>372.61200000000002</v>
      </c>
      <c r="AI253" s="22">
        <v>-1.5792799999999999E-2</v>
      </c>
      <c r="AJ253" s="22">
        <v>243</v>
      </c>
      <c r="AK253" s="22">
        <v>1.1221300000000001</v>
      </c>
      <c r="AL253">
        <f t="shared" si="42"/>
        <v>15.7928</v>
      </c>
      <c r="AM253">
        <f t="shared" si="43"/>
        <v>17.745737648000002</v>
      </c>
      <c r="AP253" s="9"/>
      <c r="AQ253" s="22">
        <v>0.57632399999999995</v>
      </c>
      <c r="AR253" s="22">
        <v>456.01100000000002</v>
      </c>
      <c r="AS253" s="22">
        <v>-1.6107199999999999E-2</v>
      </c>
      <c r="AT253" s="22">
        <v>243</v>
      </c>
      <c r="AU253" s="22">
        <v>0.57553100000000001</v>
      </c>
      <c r="AV253">
        <f t="shared" si="44"/>
        <v>16.107199999999999</v>
      </c>
      <c r="AW253">
        <f t="shared" si="45"/>
        <v>9.282965932799998</v>
      </c>
      <c r="AX253" s="9"/>
      <c r="AY253" s="22">
        <v>1.1236600000000001</v>
      </c>
      <c r="AZ253" s="22">
        <v>577.94500000000005</v>
      </c>
      <c r="BA253" s="22">
        <v>-1.5786700000000001E-2</v>
      </c>
      <c r="BB253" s="22">
        <v>243</v>
      </c>
      <c r="BC253" s="22">
        <v>1.1224400000000001</v>
      </c>
      <c r="BD253">
        <f t="shared" si="46"/>
        <v>15.786700000000002</v>
      </c>
      <c r="BE253">
        <f t="shared" si="47"/>
        <v>17.738883322000003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97.817999999999998</v>
      </c>
      <c r="I254" s="22">
        <v>-1.6039999999999999E-2</v>
      </c>
      <c r="J254" s="22">
        <v>244</v>
      </c>
      <c r="K254" s="22">
        <v>0.57058699999999996</v>
      </c>
      <c r="L254">
        <f t="shared" si="36"/>
        <v>16.04</v>
      </c>
      <c r="M254">
        <f t="shared" si="37"/>
        <v>9.1634755600000002</v>
      </c>
      <c r="N254" s="9"/>
      <c r="O254" s="22">
        <v>1.12869</v>
      </c>
      <c r="P254" s="22">
        <v>205.10499999999999</v>
      </c>
      <c r="Q254" s="22">
        <v>-1.5768399999999998E-2</v>
      </c>
      <c r="R254" s="22">
        <v>244</v>
      </c>
      <c r="S254" s="22">
        <v>1.1276200000000001</v>
      </c>
      <c r="T254">
        <f t="shared" si="38"/>
        <v>15.768399999999998</v>
      </c>
      <c r="U254">
        <f t="shared" si="39"/>
        <v>17.797635395999997</v>
      </c>
      <c r="X254" s="9"/>
      <c r="Y254" s="22">
        <v>0.57128900000000005</v>
      </c>
      <c r="Z254" s="22">
        <v>287.61799999999999</v>
      </c>
      <c r="AA254" s="22">
        <v>-1.60889E-2</v>
      </c>
      <c r="AB254" s="22">
        <v>244</v>
      </c>
      <c r="AC254" s="22">
        <v>0.57052599999999998</v>
      </c>
      <c r="AD254">
        <f t="shared" si="40"/>
        <v>16.088899999999999</v>
      </c>
      <c r="AE254">
        <f t="shared" si="41"/>
        <v>9.1914115920999997</v>
      </c>
      <c r="AF254" s="9"/>
      <c r="AG254" s="22">
        <v>1.12869</v>
      </c>
      <c r="AH254" s="22">
        <v>372.71300000000002</v>
      </c>
      <c r="AI254" s="22">
        <v>-1.5786700000000001E-2</v>
      </c>
      <c r="AJ254" s="22">
        <v>244</v>
      </c>
      <c r="AK254" s="22">
        <v>1.1276200000000001</v>
      </c>
      <c r="AL254">
        <f t="shared" si="42"/>
        <v>15.786700000000002</v>
      </c>
      <c r="AM254">
        <f t="shared" si="43"/>
        <v>17.818290423000001</v>
      </c>
      <c r="AP254" s="9"/>
      <c r="AQ254" s="22">
        <v>0.57128900000000005</v>
      </c>
      <c r="AR254" s="22">
        <v>456.11200000000002</v>
      </c>
      <c r="AS254" s="22">
        <v>-1.61163E-2</v>
      </c>
      <c r="AT254" s="22">
        <v>244</v>
      </c>
      <c r="AU254" s="22">
        <v>0.57055699999999998</v>
      </c>
      <c r="AV254">
        <f t="shared" si="44"/>
        <v>16.116299999999999</v>
      </c>
      <c r="AW254">
        <f t="shared" si="45"/>
        <v>9.2070649106999998</v>
      </c>
      <c r="AX254" s="9"/>
      <c r="AY254" s="22">
        <v>1.12869</v>
      </c>
      <c r="AZ254" s="22">
        <v>578.04600000000005</v>
      </c>
      <c r="BA254" s="22">
        <v>-1.57898E-2</v>
      </c>
      <c r="BB254" s="22">
        <v>244</v>
      </c>
      <c r="BC254" s="22">
        <v>1.1279300000000001</v>
      </c>
      <c r="BD254">
        <f t="shared" si="46"/>
        <v>15.7898</v>
      </c>
      <c r="BE254">
        <f t="shared" si="47"/>
        <v>17.821789362000001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97.918700000000001</v>
      </c>
      <c r="I255" s="22">
        <v>-1.6039999999999999E-2</v>
      </c>
      <c r="J255" s="22">
        <v>245</v>
      </c>
      <c r="K255" s="22">
        <v>0.56558200000000003</v>
      </c>
      <c r="L255">
        <f t="shared" si="36"/>
        <v>16.04</v>
      </c>
      <c r="M255">
        <f t="shared" si="37"/>
        <v>9.0827141600000001</v>
      </c>
      <c r="N255" s="9"/>
      <c r="O255" s="22">
        <v>1.1337299999999999</v>
      </c>
      <c r="P255" s="22">
        <v>205.20500000000001</v>
      </c>
      <c r="Q255" s="22">
        <v>-1.57623E-2</v>
      </c>
      <c r="R255" s="22">
        <v>245</v>
      </c>
      <c r="S255" s="22">
        <v>1.1331199999999999</v>
      </c>
      <c r="T255">
        <f t="shared" si="38"/>
        <v>15.7623</v>
      </c>
      <c r="U255">
        <f t="shared" si="39"/>
        <v>17.870192378999999</v>
      </c>
      <c r="X255" s="9"/>
      <c r="Y255" s="22">
        <v>0.56625400000000004</v>
      </c>
      <c r="Z255" s="22">
        <v>287.71899999999999</v>
      </c>
      <c r="AA255" s="22">
        <v>-1.6098000000000001E-2</v>
      </c>
      <c r="AB255" s="22">
        <v>245</v>
      </c>
      <c r="AC255" s="22">
        <v>0.56552100000000005</v>
      </c>
      <c r="AD255">
        <f t="shared" si="40"/>
        <v>16.098000000000003</v>
      </c>
      <c r="AE255">
        <f t="shared" si="41"/>
        <v>9.1155568920000025</v>
      </c>
      <c r="AF255" s="9"/>
      <c r="AG255" s="22">
        <v>1.1337299999999999</v>
      </c>
      <c r="AH255" s="22">
        <v>372.81299999999999</v>
      </c>
      <c r="AI255" s="22">
        <v>-1.57745E-2</v>
      </c>
      <c r="AJ255" s="22">
        <v>245</v>
      </c>
      <c r="AK255" s="22">
        <v>1.1325099999999999</v>
      </c>
      <c r="AL255">
        <f t="shared" si="42"/>
        <v>15.7745</v>
      </c>
      <c r="AM255">
        <f t="shared" si="43"/>
        <v>17.884023884999998</v>
      </c>
      <c r="AP255" s="9"/>
      <c r="AQ255" s="22">
        <v>0.56625400000000004</v>
      </c>
      <c r="AR255" s="22">
        <v>456.21300000000002</v>
      </c>
      <c r="AS255" s="22">
        <v>-1.6107199999999999E-2</v>
      </c>
      <c r="AT255" s="22">
        <v>245</v>
      </c>
      <c r="AU255" s="22">
        <v>0.56552100000000005</v>
      </c>
      <c r="AV255">
        <f t="shared" si="44"/>
        <v>16.107199999999999</v>
      </c>
      <c r="AW255">
        <f t="shared" si="45"/>
        <v>9.1207664287999997</v>
      </c>
      <c r="AX255" s="9"/>
      <c r="AY255" s="22">
        <v>1.1337299999999999</v>
      </c>
      <c r="AZ255" s="22">
        <v>578.14700000000005</v>
      </c>
      <c r="BA255" s="22">
        <v>-1.5780599999999999E-2</v>
      </c>
      <c r="BB255" s="22">
        <v>245</v>
      </c>
      <c r="BC255" s="22">
        <v>1.1325099999999999</v>
      </c>
      <c r="BD255">
        <f t="shared" si="46"/>
        <v>15.780599999999998</v>
      </c>
      <c r="BE255">
        <f t="shared" si="47"/>
        <v>17.890939637999995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98.019400000000005</v>
      </c>
      <c r="I256" s="22">
        <v>-1.6043100000000001E-2</v>
      </c>
      <c r="J256" s="22">
        <v>246</v>
      </c>
      <c r="K256" s="22">
        <v>0.56054700000000002</v>
      </c>
      <c r="L256">
        <f t="shared" si="36"/>
        <v>16.043100000000003</v>
      </c>
      <c r="M256">
        <f t="shared" si="37"/>
        <v>9.0036764958000006</v>
      </c>
      <c r="N256" s="9"/>
      <c r="O256" s="22">
        <v>1.13876</v>
      </c>
      <c r="P256" s="22">
        <v>205.30600000000001</v>
      </c>
      <c r="Q256" s="22">
        <v>-1.5756200000000001E-2</v>
      </c>
      <c r="R256" s="22">
        <v>246</v>
      </c>
      <c r="S256" s="22">
        <v>1.1373899999999999</v>
      </c>
      <c r="T256">
        <f t="shared" si="38"/>
        <v>15.756200000000002</v>
      </c>
      <c r="U256">
        <f t="shared" si="39"/>
        <v>17.942530312000002</v>
      </c>
      <c r="X256" s="9"/>
      <c r="Y256" s="22">
        <v>0.56121799999999999</v>
      </c>
      <c r="Z256" s="22">
        <v>287.82</v>
      </c>
      <c r="AA256" s="22">
        <v>-1.6098000000000001E-2</v>
      </c>
      <c r="AB256" s="22">
        <v>246</v>
      </c>
      <c r="AC256" s="22">
        <v>0.56054700000000002</v>
      </c>
      <c r="AD256">
        <f t="shared" si="40"/>
        <v>16.098000000000003</v>
      </c>
      <c r="AE256">
        <f t="shared" si="41"/>
        <v>9.0344873640000021</v>
      </c>
      <c r="AF256" s="9"/>
      <c r="AG256" s="22">
        <v>1.13876</v>
      </c>
      <c r="AH256" s="22">
        <v>372.91399999999999</v>
      </c>
      <c r="AI256" s="22">
        <v>-1.5771500000000001E-2</v>
      </c>
      <c r="AJ256" s="22">
        <v>246</v>
      </c>
      <c r="AK256" s="22">
        <v>1.1370800000000001</v>
      </c>
      <c r="AL256">
        <f t="shared" si="42"/>
        <v>15.771500000000001</v>
      </c>
      <c r="AM256">
        <f t="shared" si="43"/>
        <v>17.959953340000002</v>
      </c>
      <c r="AP256" s="9"/>
      <c r="AQ256" s="22">
        <v>0.56121799999999999</v>
      </c>
      <c r="AR256" s="22">
        <v>456.31299999999999</v>
      </c>
      <c r="AS256" s="22">
        <v>-1.6113300000000001E-2</v>
      </c>
      <c r="AT256" s="22">
        <v>246</v>
      </c>
      <c r="AU256" s="22">
        <v>0.56051600000000001</v>
      </c>
      <c r="AV256">
        <f t="shared" si="44"/>
        <v>16.113299999999999</v>
      </c>
      <c r="AW256">
        <f t="shared" si="45"/>
        <v>9.0430739993999989</v>
      </c>
      <c r="AX256" s="9"/>
      <c r="AY256" s="22">
        <v>1.13876</v>
      </c>
      <c r="AZ256" s="22">
        <v>578.24699999999996</v>
      </c>
      <c r="BA256" s="22">
        <v>-1.5777599999999999E-2</v>
      </c>
      <c r="BB256" s="22">
        <v>246</v>
      </c>
      <c r="BC256" s="22">
        <v>1.1383099999999999</v>
      </c>
      <c r="BD256">
        <f t="shared" si="46"/>
        <v>15.7776</v>
      </c>
      <c r="BE256">
        <f t="shared" si="47"/>
        <v>17.966899775999998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98.120099999999994</v>
      </c>
      <c r="I257" s="22">
        <v>-1.6043100000000001E-2</v>
      </c>
      <c r="J257" s="22">
        <v>247</v>
      </c>
      <c r="K257" s="22">
        <v>0.55545</v>
      </c>
      <c r="L257">
        <f t="shared" si="36"/>
        <v>16.043100000000003</v>
      </c>
      <c r="M257">
        <f t="shared" si="37"/>
        <v>8.9228994873000005</v>
      </c>
      <c r="N257" s="9"/>
      <c r="O257" s="22">
        <v>1.1437999999999999</v>
      </c>
      <c r="P257" s="22">
        <v>205.40700000000001</v>
      </c>
      <c r="Q257" s="22">
        <v>-1.5753199999999998E-2</v>
      </c>
      <c r="R257" s="22">
        <v>247</v>
      </c>
      <c r="S257" s="22">
        <v>1.1425799999999999</v>
      </c>
      <c r="T257">
        <f t="shared" si="38"/>
        <v>15.753199999999998</v>
      </c>
      <c r="U257">
        <f t="shared" si="39"/>
        <v>18.018510159999998</v>
      </c>
      <c r="X257" s="9"/>
      <c r="Y257" s="22">
        <v>0.55618299999999998</v>
      </c>
      <c r="Z257" s="22">
        <v>287.92</v>
      </c>
      <c r="AA257" s="22">
        <v>-1.61011E-2</v>
      </c>
      <c r="AB257" s="22">
        <v>247</v>
      </c>
      <c r="AC257" s="22">
        <v>0.55538900000000002</v>
      </c>
      <c r="AD257">
        <f t="shared" si="40"/>
        <v>16.101099999999999</v>
      </c>
      <c r="AE257">
        <f t="shared" si="41"/>
        <v>8.9551581012999986</v>
      </c>
      <c r="AF257" s="9"/>
      <c r="AG257" s="22">
        <v>1.1437999999999999</v>
      </c>
      <c r="AH257" s="22">
        <v>373.01499999999999</v>
      </c>
      <c r="AI257" s="22">
        <v>-1.5771500000000001E-2</v>
      </c>
      <c r="AJ257" s="22">
        <v>247</v>
      </c>
      <c r="AK257" s="22">
        <v>1.1428799999999999</v>
      </c>
      <c r="AL257">
        <f t="shared" si="42"/>
        <v>15.771500000000001</v>
      </c>
      <c r="AM257">
        <f t="shared" si="43"/>
        <v>18.039441700000001</v>
      </c>
      <c r="AP257" s="9"/>
      <c r="AQ257" s="22">
        <v>0.55618299999999998</v>
      </c>
      <c r="AR257" s="22">
        <v>456.41399999999999</v>
      </c>
      <c r="AS257" s="22">
        <v>-1.6122399999999999E-2</v>
      </c>
      <c r="AT257" s="22">
        <v>247</v>
      </c>
      <c r="AU257" s="22">
        <v>0.55535900000000005</v>
      </c>
      <c r="AV257">
        <f t="shared" si="44"/>
        <v>16.122399999999999</v>
      </c>
      <c r="AW257">
        <f t="shared" si="45"/>
        <v>8.9670047991999997</v>
      </c>
      <c r="AX257" s="9"/>
      <c r="AY257" s="22">
        <v>1.1437999999999999</v>
      </c>
      <c r="AZ257" s="22">
        <v>578.34799999999996</v>
      </c>
      <c r="BA257" s="22">
        <v>-1.57745E-2</v>
      </c>
      <c r="BB257" s="22">
        <v>247</v>
      </c>
      <c r="BC257" s="22">
        <v>1.1422699999999999</v>
      </c>
      <c r="BD257">
        <f t="shared" si="46"/>
        <v>15.7745</v>
      </c>
      <c r="BE257">
        <f t="shared" si="47"/>
        <v>18.042873099999998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98.220799999999997</v>
      </c>
      <c r="I258" s="22">
        <v>-1.6046100000000001E-2</v>
      </c>
      <c r="J258" s="22">
        <v>248</v>
      </c>
      <c r="K258" s="22">
        <v>0.55041499999999999</v>
      </c>
      <c r="L258">
        <f t="shared" si="36"/>
        <v>16.046099999999999</v>
      </c>
      <c r="M258">
        <f t="shared" si="37"/>
        <v>8.8437598767000001</v>
      </c>
      <c r="N258" s="9"/>
      <c r="O258" s="22">
        <v>1.14883</v>
      </c>
      <c r="P258" s="22">
        <v>205.50800000000001</v>
      </c>
      <c r="Q258" s="22">
        <v>-1.57471E-2</v>
      </c>
      <c r="R258" s="22">
        <v>248</v>
      </c>
      <c r="S258" s="22">
        <v>1.1474599999999999</v>
      </c>
      <c r="T258">
        <f t="shared" si="38"/>
        <v>15.7471</v>
      </c>
      <c r="U258">
        <f t="shared" si="39"/>
        <v>18.090740893</v>
      </c>
      <c r="X258" s="9"/>
      <c r="Y258" s="22">
        <v>0.55114700000000005</v>
      </c>
      <c r="Z258" s="22">
        <v>288.02100000000002</v>
      </c>
      <c r="AA258" s="22">
        <v>-1.6110200000000002E-2</v>
      </c>
      <c r="AB258" s="22">
        <v>248</v>
      </c>
      <c r="AC258" s="22">
        <v>0.55050699999999997</v>
      </c>
      <c r="AD258">
        <f t="shared" si="40"/>
        <v>16.110200000000003</v>
      </c>
      <c r="AE258">
        <f t="shared" si="41"/>
        <v>8.8790883994000023</v>
      </c>
      <c r="AF258" s="9"/>
      <c r="AG258" s="22">
        <v>1.14883</v>
      </c>
      <c r="AH258" s="22">
        <v>373.11500000000001</v>
      </c>
      <c r="AI258" s="22">
        <v>-1.5765399999999999E-2</v>
      </c>
      <c r="AJ258" s="22">
        <v>248</v>
      </c>
      <c r="AK258" s="22">
        <v>1.14838</v>
      </c>
      <c r="AL258">
        <f t="shared" si="42"/>
        <v>15.7654</v>
      </c>
      <c r="AM258">
        <f t="shared" si="43"/>
        <v>18.111764481999998</v>
      </c>
      <c r="AP258" s="9"/>
      <c r="AQ258" s="22">
        <v>0.55114700000000005</v>
      </c>
      <c r="AR258" s="22">
        <v>456.51499999999999</v>
      </c>
      <c r="AS258" s="22">
        <v>-1.6110200000000002E-2</v>
      </c>
      <c r="AT258" s="22">
        <v>248</v>
      </c>
      <c r="AU258" s="22">
        <v>0.55038500000000001</v>
      </c>
      <c r="AV258">
        <f t="shared" si="44"/>
        <v>16.110200000000003</v>
      </c>
      <c r="AW258">
        <f t="shared" si="45"/>
        <v>8.8790883994000023</v>
      </c>
      <c r="AX258" s="9"/>
      <c r="AY258" s="22">
        <v>1.14883</v>
      </c>
      <c r="AZ258" s="22">
        <v>578.44899999999996</v>
      </c>
      <c r="BA258" s="22">
        <v>-1.5768399999999998E-2</v>
      </c>
      <c r="BB258" s="22">
        <v>248</v>
      </c>
      <c r="BC258" s="22">
        <v>1.14716</v>
      </c>
      <c r="BD258">
        <f t="shared" si="46"/>
        <v>15.768399999999998</v>
      </c>
      <c r="BE258">
        <f t="shared" si="47"/>
        <v>18.115210971999996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98.3215</v>
      </c>
      <c r="I259" s="22">
        <v>-1.6046100000000001E-2</v>
      </c>
      <c r="J259" s="22">
        <v>249</v>
      </c>
      <c r="K259" s="22">
        <v>0.54540999999999995</v>
      </c>
      <c r="L259">
        <f t="shared" si="36"/>
        <v>16.046099999999999</v>
      </c>
      <c r="M259">
        <f t="shared" si="37"/>
        <v>8.7629677632000007</v>
      </c>
      <c r="N259" s="9"/>
      <c r="O259" s="22">
        <v>1.15387</v>
      </c>
      <c r="P259" s="22">
        <v>205.608</v>
      </c>
      <c r="Q259" s="22">
        <v>-1.5731800000000001E-2</v>
      </c>
      <c r="R259" s="22">
        <v>249</v>
      </c>
      <c r="S259" s="22">
        <v>1.1529499999999999</v>
      </c>
      <c r="T259">
        <f t="shared" si="38"/>
        <v>15.7318</v>
      </c>
      <c r="U259">
        <f t="shared" si="39"/>
        <v>18.152452065999999</v>
      </c>
      <c r="X259" s="9"/>
      <c r="Y259" s="22">
        <v>0.54611200000000004</v>
      </c>
      <c r="Z259" s="22">
        <v>288.12200000000001</v>
      </c>
      <c r="AA259" s="22">
        <v>-1.6107199999999999E-2</v>
      </c>
      <c r="AB259" s="22">
        <v>249</v>
      </c>
      <c r="AC259" s="22">
        <v>0.54534899999999997</v>
      </c>
      <c r="AD259">
        <f t="shared" si="40"/>
        <v>16.107199999999999</v>
      </c>
      <c r="AE259">
        <f t="shared" si="41"/>
        <v>8.7963352064000002</v>
      </c>
      <c r="AF259" s="9"/>
      <c r="AG259" s="22">
        <v>1.15387</v>
      </c>
      <c r="AH259" s="22">
        <v>373.21600000000001</v>
      </c>
      <c r="AI259" s="22">
        <v>-1.5756200000000001E-2</v>
      </c>
      <c r="AJ259" s="22">
        <v>249</v>
      </c>
      <c r="AK259" s="22">
        <v>1.15265</v>
      </c>
      <c r="AL259">
        <f t="shared" si="42"/>
        <v>15.756200000000002</v>
      </c>
      <c r="AM259">
        <f t="shared" si="43"/>
        <v>18.180606494000003</v>
      </c>
      <c r="AP259" s="9"/>
      <c r="AQ259" s="22">
        <v>0.54611200000000004</v>
      </c>
      <c r="AR259" s="22">
        <v>456.61500000000001</v>
      </c>
      <c r="AS259" s="22">
        <v>-1.6122399999999999E-2</v>
      </c>
      <c r="AT259" s="22">
        <v>249</v>
      </c>
      <c r="AU259" s="22">
        <v>0.54522700000000002</v>
      </c>
      <c r="AV259">
        <f t="shared" si="44"/>
        <v>16.122399999999999</v>
      </c>
      <c r="AW259">
        <f t="shared" si="45"/>
        <v>8.8046361088000005</v>
      </c>
      <c r="AX259" s="9"/>
      <c r="AY259" s="22">
        <v>1.15387</v>
      </c>
      <c r="AZ259" s="22">
        <v>578.54999999999995</v>
      </c>
      <c r="BA259" s="22">
        <v>-1.57623E-2</v>
      </c>
      <c r="BB259" s="22">
        <v>249</v>
      </c>
      <c r="BC259" s="22">
        <v>1.15326</v>
      </c>
      <c r="BD259">
        <f t="shared" si="46"/>
        <v>15.7623</v>
      </c>
      <c r="BE259">
        <f t="shared" si="47"/>
        <v>18.187645100999998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98.422200000000004</v>
      </c>
      <c r="I260" s="22">
        <v>-1.6055300000000002E-2</v>
      </c>
      <c r="J260" s="22">
        <v>250</v>
      </c>
      <c r="K260" s="22">
        <v>0.54034400000000005</v>
      </c>
      <c r="L260">
        <f t="shared" si="36"/>
        <v>16.055300000000003</v>
      </c>
      <c r="M260">
        <f t="shared" si="37"/>
        <v>8.6871535581000021</v>
      </c>
      <c r="N260" s="9"/>
      <c r="O260" s="22">
        <v>1.1589100000000001</v>
      </c>
      <c r="P260" s="22">
        <v>205.709</v>
      </c>
      <c r="Q260" s="22">
        <v>-1.5741000000000002E-2</v>
      </c>
      <c r="R260" s="22">
        <v>250</v>
      </c>
      <c r="S260" s="22">
        <v>1.15723</v>
      </c>
      <c r="T260">
        <f t="shared" si="38"/>
        <v>15.741000000000001</v>
      </c>
      <c r="U260">
        <f t="shared" si="39"/>
        <v>18.242402310000003</v>
      </c>
      <c r="X260" s="9"/>
      <c r="Y260" s="22">
        <v>0.54107700000000003</v>
      </c>
      <c r="Z260" s="22">
        <v>288.22199999999998</v>
      </c>
      <c r="AA260" s="22">
        <v>-1.61041E-2</v>
      </c>
      <c r="AB260" s="22">
        <v>250</v>
      </c>
      <c r="AC260" s="22">
        <v>0.54034400000000005</v>
      </c>
      <c r="AD260">
        <f t="shared" si="40"/>
        <v>16.104099999999999</v>
      </c>
      <c r="AE260">
        <f t="shared" si="41"/>
        <v>8.7135581156999997</v>
      </c>
      <c r="AF260" s="9"/>
      <c r="AG260" s="22">
        <v>1.1589100000000001</v>
      </c>
      <c r="AH260" s="22">
        <v>373.31700000000001</v>
      </c>
      <c r="AI260" s="22">
        <v>-1.57593E-2</v>
      </c>
      <c r="AJ260" s="22">
        <v>250</v>
      </c>
      <c r="AK260" s="22">
        <v>1.15784</v>
      </c>
      <c r="AL260">
        <f t="shared" si="42"/>
        <v>15.7593</v>
      </c>
      <c r="AM260">
        <f t="shared" si="43"/>
        <v>18.263610363000002</v>
      </c>
      <c r="AP260" s="9"/>
      <c r="AQ260" s="22">
        <v>0.54107700000000003</v>
      </c>
      <c r="AR260" s="22">
        <v>456.71600000000001</v>
      </c>
      <c r="AS260" s="22">
        <v>-1.6122399999999999E-2</v>
      </c>
      <c r="AT260" s="22">
        <v>250</v>
      </c>
      <c r="AU260" s="22">
        <v>0.54037500000000005</v>
      </c>
      <c r="AV260">
        <f t="shared" si="44"/>
        <v>16.122399999999999</v>
      </c>
      <c r="AW260">
        <f t="shared" si="45"/>
        <v>8.723459824799999</v>
      </c>
      <c r="AX260" s="9"/>
      <c r="AY260" s="22">
        <v>1.1589100000000001</v>
      </c>
      <c r="AZ260" s="22">
        <v>578.65</v>
      </c>
      <c r="BA260" s="22">
        <v>-1.57593E-2</v>
      </c>
      <c r="BB260" s="22">
        <v>250</v>
      </c>
      <c r="BC260" s="22">
        <v>1.1581399999999999</v>
      </c>
      <c r="BD260">
        <f t="shared" si="46"/>
        <v>15.7593</v>
      </c>
      <c r="BE260">
        <f t="shared" si="47"/>
        <v>18.263610363000002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98.522900000000007</v>
      </c>
      <c r="I261" s="22">
        <v>-1.6043100000000001E-2</v>
      </c>
      <c r="J261" s="22">
        <v>251</v>
      </c>
      <c r="K261" s="22">
        <v>0.53543099999999999</v>
      </c>
      <c r="L261">
        <f t="shared" si="36"/>
        <v>16.043100000000003</v>
      </c>
      <c r="M261">
        <f t="shared" si="37"/>
        <v>8.5997593671000008</v>
      </c>
      <c r="N261" s="9"/>
      <c r="O261" s="22">
        <v>1.16394</v>
      </c>
      <c r="P261" s="22">
        <v>205.81</v>
      </c>
      <c r="Q261" s="22">
        <v>-1.5728800000000001E-2</v>
      </c>
      <c r="R261" s="22">
        <v>251</v>
      </c>
      <c r="S261" s="22">
        <v>1.1630199999999999</v>
      </c>
      <c r="T261">
        <f t="shared" si="38"/>
        <v>15.728800000000001</v>
      </c>
      <c r="U261">
        <f t="shared" si="39"/>
        <v>18.307379472000001</v>
      </c>
      <c r="X261" s="9"/>
      <c r="Y261" s="22">
        <v>0.53604099999999999</v>
      </c>
      <c r="Z261" s="22">
        <v>288.32299999999998</v>
      </c>
      <c r="AA261" s="22">
        <v>-1.61011E-2</v>
      </c>
      <c r="AB261" s="22">
        <v>251</v>
      </c>
      <c r="AC261" s="22">
        <v>0.53533900000000001</v>
      </c>
      <c r="AD261">
        <f t="shared" si="40"/>
        <v>16.101099999999999</v>
      </c>
      <c r="AE261">
        <f t="shared" si="41"/>
        <v>8.630849745099999</v>
      </c>
      <c r="AF261" s="9"/>
      <c r="AG261" s="22">
        <v>1.16394</v>
      </c>
      <c r="AH261" s="22">
        <v>373.41699999999997</v>
      </c>
      <c r="AI261" s="22">
        <v>-1.5756200000000001E-2</v>
      </c>
      <c r="AJ261" s="22">
        <v>251</v>
      </c>
      <c r="AK261" s="22">
        <v>1.16272</v>
      </c>
      <c r="AL261">
        <f t="shared" si="42"/>
        <v>15.756200000000002</v>
      </c>
      <c r="AM261">
        <f t="shared" si="43"/>
        <v>18.339271428</v>
      </c>
      <c r="AP261" s="9"/>
      <c r="AQ261" s="22">
        <v>0.53604099999999999</v>
      </c>
      <c r="AR261" s="22">
        <v>456.81700000000001</v>
      </c>
      <c r="AS261" s="22">
        <v>-1.61163E-2</v>
      </c>
      <c r="AT261" s="22">
        <v>251</v>
      </c>
      <c r="AU261" s="22">
        <v>0.53518699999999997</v>
      </c>
      <c r="AV261">
        <f t="shared" si="44"/>
        <v>16.116299999999999</v>
      </c>
      <c r="AW261">
        <f t="shared" si="45"/>
        <v>8.6389975682999989</v>
      </c>
      <c r="AX261" s="9"/>
      <c r="AY261" s="22">
        <v>1.16394</v>
      </c>
      <c r="AZ261" s="22">
        <v>578.75099999999998</v>
      </c>
      <c r="BA261" s="22">
        <v>-1.5753199999999998E-2</v>
      </c>
      <c r="BB261" s="22">
        <v>251</v>
      </c>
      <c r="BC261" s="22">
        <v>1.1630199999999999</v>
      </c>
      <c r="BD261">
        <f t="shared" si="46"/>
        <v>15.753199999999998</v>
      </c>
      <c r="BE261">
        <f t="shared" si="47"/>
        <v>18.335779607999996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98.623699999999999</v>
      </c>
      <c r="I262" s="22">
        <v>-1.60492E-2</v>
      </c>
      <c r="J262" s="22">
        <v>252</v>
      </c>
      <c r="K262" s="22">
        <v>0.53027299999999999</v>
      </c>
      <c r="L262">
        <f t="shared" si="36"/>
        <v>16.049199999999999</v>
      </c>
      <c r="M262">
        <f t="shared" si="37"/>
        <v>8.5222214951999984</v>
      </c>
      <c r="N262" s="9"/>
      <c r="O262" s="22">
        <v>1.1689799999999999</v>
      </c>
      <c r="P262" s="22">
        <v>205.91</v>
      </c>
      <c r="Q262" s="22">
        <v>-1.5731800000000001E-2</v>
      </c>
      <c r="R262" s="22">
        <v>252</v>
      </c>
      <c r="S262" s="22">
        <v>1.16791</v>
      </c>
      <c r="T262">
        <f t="shared" si="38"/>
        <v>15.7318</v>
      </c>
      <c r="U262">
        <f t="shared" si="39"/>
        <v>18.390159563999998</v>
      </c>
      <c r="X262" s="9"/>
      <c r="Y262" s="22">
        <v>0.53100599999999998</v>
      </c>
      <c r="Z262" s="22">
        <v>288.42399999999998</v>
      </c>
      <c r="AA262" s="22">
        <v>-1.6113300000000001E-2</v>
      </c>
      <c r="AB262" s="22">
        <v>252</v>
      </c>
      <c r="AC262" s="22">
        <v>0.53024300000000002</v>
      </c>
      <c r="AD262">
        <f t="shared" si="40"/>
        <v>16.113299999999999</v>
      </c>
      <c r="AE262">
        <f t="shared" si="41"/>
        <v>8.5562589797999991</v>
      </c>
      <c r="AF262" s="9"/>
      <c r="AG262" s="22">
        <v>1.1689799999999999</v>
      </c>
      <c r="AH262" s="22">
        <v>373.51799999999997</v>
      </c>
      <c r="AI262" s="22">
        <v>-1.57471E-2</v>
      </c>
      <c r="AJ262" s="22">
        <v>252</v>
      </c>
      <c r="AK262" s="22">
        <v>1.16821</v>
      </c>
      <c r="AL262">
        <f t="shared" si="42"/>
        <v>15.7471</v>
      </c>
      <c r="AM262">
        <f t="shared" si="43"/>
        <v>18.408044957999998</v>
      </c>
      <c r="AP262" s="9"/>
      <c r="AQ262" s="22">
        <v>0.53100599999999998</v>
      </c>
      <c r="AR262" s="22">
        <v>456.91800000000001</v>
      </c>
      <c r="AS262" s="22">
        <v>-1.61285E-2</v>
      </c>
      <c r="AT262" s="22">
        <v>252</v>
      </c>
      <c r="AU262" s="22">
        <v>0.53024300000000002</v>
      </c>
      <c r="AV262">
        <f t="shared" si="44"/>
        <v>16.128499999999999</v>
      </c>
      <c r="AW262">
        <f t="shared" si="45"/>
        <v>8.5643302709999993</v>
      </c>
      <c r="AX262" s="9"/>
      <c r="AY262" s="22">
        <v>1.1689799999999999</v>
      </c>
      <c r="AZ262" s="22">
        <v>578.85199999999998</v>
      </c>
      <c r="BA262" s="22">
        <v>-1.57471E-2</v>
      </c>
      <c r="BB262" s="22">
        <v>252</v>
      </c>
      <c r="BC262" s="22">
        <v>1.16791</v>
      </c>
      <c r="BD262">
        <f t="shared" si="46"/>
        <v>15.7471</v>
      </c>
      <c r="BE262">
        <f t="shared" si="47"/>
        <v>18.408044957999998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98.724400000000003</v>
      </c>
      <c r="I263" s="22">
        <v>-1.6043100000000001E-2</v>
      </c>
      <c r="J263" s="22">
        <v>253</v>
      </c>
      <c r="K263" s="22">
        <v>0.52526899999999999</v>
      </c>
      <c r="L263">
        <f t="shared" si="36"/>
        <v>16.043100000000003</v>
      </c>
      <c r="M263">
        <f t="shared" si="37"/>
        <v>8.4381893070000018</v>
      </c>
      <c r="N263" s="9"/>
      <c r="O263" s="22">
        <v>1.17401</v>
      </c>
      <c r="P263" s="22">
        <v>206.011</v>
      </c>
      <c r="Q263" s="22">
        <v>-1.5731800000000001E-2</v>
      </c>
      <c r="R263" s="22">
        <v>253</v>
      </c>
      <c r="S263" s="22">
        <v>1.17218</v>
      </c>
      <c r="T263">
        <f t="shared" si="38"/>
        <v>15.7318</v>
      </c>
      <c r="U263">
        <f t="shared" si="39"/>
        <v>18.469290518000001</v>
      </c>
      <c r="X263" s="9"/>
      <c r="Y263" s="22">
        <v>0.52597000000000005</v>
      </c>
      <c r="Z263" s="22">
        <v>288.524</v>
      </c>
      <c r="AA263" s="22">
        <v>-1.6113300000000001E-2</v>
      </c>
      <c r="AB263" s="22">
        <v>253</v>
      </c>
      <c r="AC263" s="22">
        <v>0.52532999999999996</v>
      </c>
      <c r="AD263">
        <f t="shared" si="40"/>
        <v>16.113299999999999</v>
      </c>
      <c r="AE263">
        <f t="shared" si="41"/>
        <v>8.4751124010000005</v>
      </c>
      <c r="AF263" s="9"/>
      <c r="AG263" s="22">
        <v>1.17401</v>
      </c>
      <c r="AH263" s="22">
        <v>373.61900000000003</v>
      </c>
      <c r="AI263" s="22">
        <v>-1.5741000000000002E-2</v>
      </c>
      <c r="AJ263" s="22">
        <v>253</v>
      </c>
      <c r="AK263" s="22">
        <v>1.1731</v>
      </c>
      <c r="AL263">
        <f t="shared" si="42"/>
        <v>15.741000000000001</v>
      </c>
      <c r="AM263">
        <f t="shared" si="43"/>
        <v>18.48009141</v>
      </c>
      <c r="AP263" s="9"/>
      <c r="AQ263" s="22">
        <v>0.52597000000000005</v>
      </c>
      <c r="AR263" s="22">
        <v>457.01799999999997</v>
      </c>
      <c r="AS263" s="22">
        <v>-1.61285E-2</v>
      </c>
      <c r="AT263" s="22">
        <v>253</v>
      </c>
      <c r="AU263" s="22">
        <v>0.52505500000000005</v>
      </c>
      <c r="AV263">
        <f t="shared" si="44"/>
        <v>16.128499999999999</v>
      </c>
      <c r="AW263">
        <f t="shared" si="45"/>
        <v>8.483107145</v>
      </c>
      <c r="AX263" s="9"/>
      <c r="AY263" s="22">
        <v>1.17401</v>
      </c>
      <c r="AZ263" s="22">
        <v>578.952</v>
      </c>
      <c r="BA263" s="22">
        <v>-1.57349E-2</v>
      </c>
      <c r="BB263" s="22">
        <v>253</v>
      </c>
      <c r="BC263" s="22">
        <v>1.1734</v>
      </c>
      <c r="BD263">
        <f t="shared" si="46"/>
        <v>15.7349</v>
      </c>
      <c r="BE263">
        <f t="shared" si="47"/>
        <v>18.472929949000001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98.825100000000006</v>
      </c>
      <c r="I264" s="22">
        <v>-1.6055300000000002E-2</v>
      </c>
      <c r="J264" s="22">
        <v>254</v>
      </c>
      <c r="K264" s="22">
        <v>0.52023299999999995</v>
      </c>
      <c r="L264">
        <f t="shared" si="36"/>
        <v>16.055300000000003</v>
      </c>
      <c r="M264">
        <f t="shared" si="37"/>
        <v>8.3637677055000026</v>
      </c>
      <c r="N264" s="9"/>
      <c r="O264" s="22">
        <v>1.1790499999999999</v>
      </c>
      <c r="P264" s="22">
        <v>206.11199999999999</v>
      </c>
      <c r="Q264" s="22">
        <v>-1.5722699999999999E-2</v>
      </c>
      <c r="R264" s="22">
        <v>254</v>
      </c>
      <c r="S264" s="22">
        <v>1.17798</v>
      </c>
      <c r="T264">
        <f t="shared" si="38"/>
        <v>15.7227</v>
      </c>
      <c r="U264">
        <f t="shared" si="39"/>
        <v>18.537849434999998</v>
      </c>
      <c r="X264" s="9"/>
      <c r="Y264" s="22">
        <v>0.52093500000000004</v>
      </c>
      <c r="Z264" s="22">
        <v>288.625</v>
      </c>
      <c r="AA264" s="22">
        <v>-1.61163E-2</v>
      </c>
      <c r="AB264" s="22">
        <v>254</v>
      </c>
      <c r="AC264" s="22">
        <v>0.52032500000000004</v>
      </c>
      <c r="AD264">
        <f t="shared" si="40"/>
        <v>16.116299999999999</v>
      </c>
      <c r="AE264">
        <f t="shared" si="41"/>
        <v>8.3955447405000001</v>
      </c>
      <c r="AF264" s="9"/>
      <c r="AG264" s="22">
        <v>1.1790499999999999</v>
      </c>
      <c r="AH264" s="22">
        <v>373.72</v>
      </c>
      <c r="AI264" s="22">
        <v>-1.57471E-2</v>
      </c>
      <c r="AJ264" s="22">
        <v>254</v>
      </c>
      <c r="AK264" s="22">
        <v>1.17859</v>
      </c>
      <c r="AL264">
        <f t="shared" si="42"/>
        <v>15.7471</v>
      </c>
      <c r="AM264">
        <f t="shared" si="43"/>
        <v>18.566618254999998</v>
      </c>
      <c r="AP264" s="9"/>
      <c r="AQ264" s="22">
        <v>0.52093500000000004</v>
      </c>
      <c r="AR264" s="22">
        <v>457.11900000000003</v>
      </c>
      <c r="AS264" s="22">
        <v>-1.6125500000000001E-2</v>
      </c>
      <c r="AT264" s="22">
        <v>254</v>
      </c>
      <c r="AU264" s="22">
        <v>0.52020299999999997</v>
      </c>
      <c r="AV264">
        <f t="shared" si="44"/>
        <v>16.125500000000002</v>
      </c>
      <c r="AW264">
        <f t="shared" si="45"/>
        <v>8.4003373425000021</v>
      </c>
      <c r="AX264" s="9"/>
      <c r="AY264" s="22">
        <v>1.1790499999999999</v>
      </c>
      <c r="AZ264" s="22">
        <v>579.053</v>
      </c>
      <c r="BA264" s="22">
        <v>-1.57471E-2</v>
      </c>
      <c r="BB264" s="22">
        <v>254</v>
      </c>
      <c r="BC264" s="22">
        <v>1.17737</v>
      </c>
      <c r="BD264">
        <f t="shared" si="46"/>
        <v>15.7471</v>
      </c>
      <c r="BE264">
        <f t="shared" si="47"/>
        <v>18.566618254999998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98.925799999999995</v>
      </c>
      <c r="I265" s="22">
        <v>-1.6052199999999999E-2</v>
      </c>
      <c r="J265" s="22">
        <v>255</v>
      </c>
      <c r="K265" s="22">
        <v>0.51510599999999995</v>
      </c>
      <c r="L265">
        <f t="shared" si="36"/>
        <v>16.052199999999999</v>
      </c>
      <c r="M265">
        <f t="shared" si="37"/>
        <v>8.2813299800000006</v>
      </c>
      <c r="N265" s="9"/>
      <c r="O265" s="22">
        <v>1.18408</v>
      </c>
      <c r="P265" s="22">
        <v>206.21299999999999</v>
      </c>
      <c r="Q265" s="22">
        <v>-1.57074E-2</v>
      </c>
      <c r="R265" s="22">
        <v>255</v>
      </c>
      <c r="S265" s="22">
        <v>1.1831700000000001</v>
      </c>
      <c r="T265">
        <f t="shared" si="38"/>
        <v>15.7074</v>
      </c>
      <c r="U265">
        <f t="shared" si="39"/>
        <v>18.598818192</v>
      </c>
      <c r="X265" s="9"/>
      <c r="Y265" s="22">
        <v>0.51590000000000003</v>
      </c>
      <c r="Z265" s="22">
        <v>288.726</v>
      </c>
      <c r="AA265" s="22">
        <v>-1.6113300000000001E-2</v>
      </c>
      <c r="AB265" s="22">
        <v>255</v>
      </c>
      <c r="AC265" s="22">
        <v>0.51525900000000002</v>
      </c>
      <c r="AD265">
        <f t="shared" si="40"/>
        <v>16.113299999999999</v>
      </c>
      <c r="AE265">
        <f t="shared" si="41"/>
        <v>8.31285147</v>
      </c>
      <c r="AF265" s="9"/>
      <c r="AG265" s="22">
        <v>1.18408</v>
      </c>
      <c r="AH265" s="22">
        <v>373.82</v>
      </c>
      <c r="AI265" s="22">
        <v>-1.5744000000000001E-2</v>
      </c>
      <c r="AJ265" s="22">
        <v>255</v>
      </c>
      <c r="AK265" s="22">
        <v>1.1831700000000001</v>
      </c>
      <c r="AL265">
        <f t="shared" si="42"/>
        <v>15.744000000000002</v>
      </c>
      <c r="AM265">
        <f t="shared" si="43"/>
        <v>18.642155520000003</v>
      </c>
      <c r="AP265" s="9"/>
      <c r="AQ265" s="22">
        <v>0.51590000000000003</v>
      </c>
      <c r="AR265" s="22">
        <v>457.22</v>
      </c>
      <c r="AS265" s="22">
        <v>-1.6131599999999999E-2</v>
      </c>
      <c r="AT265" s="22">
        <v>255</v>
      </c>
      <c r="AU265" s="22">
        <v>0.51532</v>
      </c>
      <c r="AV265">
        <f t="shared" si="44"/>
        <v>16.131599999999999</v>
      </c>
      <c r="AW265">
        <f t="shared" si="45"/>
        <v>8.32229244</v>
      </c>
      <c r="AX265" s="9"/>
      <c r="AY265" s="22">
        <v>1.18408</v>
      </c>
      <c r="AZ265" s="22">
        <v>579.154</v>
      </c>
      <c r="BA265" s="22">
        <v>-1.57349E-2</v>
      </c>
      <c r="BB265" s="22">
        <v>255</v>
      </c>
      <c r="BC265" s="22">
        <v>1.18347</v>
      </c>
      <c r="BD265">
        <f t="shared" si="46"/>
        <v>15.7349</v>
      </c>
      <c r="BE265">
        <f t="shared" si="47"/>
        <v>18.631380392000001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99.026499999999999</v>
      </c>
      <c r="I266" s="22">
        <v>-1.6055300000000002E-2</v>
      </c>
      <c r="J266" s="22">
        <v>256</v>
      </c>
      <c r="K266" s="22">
        <v>0.51031499999999996</v>
      </c>
      <c r="L266">
        <f t="shared" si="36"/>
        <v>16.055300000000003</v>
      </c>
      <c r="M266">
        <f t="shared" si="37"/>
        <v>8.2020747792000019</v>
      </c>
      <c r="N266" s="9"/>
      <c r="O266" s="22">
        <v>1.18912</v>
      </c>
      <c r="P266" s="22">
        <v>206.31299999999999</v>
      </c>
      <c r="Q266" s="22">
        <v>-1.5698199999999999E-2</v>
      </c>
      <c r="R266" s="22">
        <v>256</v>
      </c>
      <c r="S266" s="22">
        <v>1.1880500000000001</v>
      </c>
      <c r="T266">
        <f t="shared" si="38"/>
        <v>15.698199999999998</v>
      </c>
      <c r="U266">
        <f t="shared" si="39"/>
        <v>18.667043583999998</v>
      </c>
      <c r="X266" s="9"/>
      <c r="Y266" s="22">
        <v>0.51086399999999998</v>
      </c>
      <c r="Z266" s="22">
        <v>288.827</v>
      </c>
      <c r="AA266" s="22">
        <v>-1.6119399999999999E-2</v>
      </c>
      <c r="AB266" s="22">
        <v>256</v>
      </c>
      <c r="AC266" s="22">
        <v>0.51010100000000003</v>
      </c>
      <c r="AD266">
        <f t="shared" si="40"/>
        <v>16.119399999999999</v>
      </c>
      <c r="AE266">
        <f t="shared" si="41"/>
        <v>8.2348211615999993</v>
      </c>
      <c r="AF266" s="9"/>
      <c r="AG266" s="22">
        <v>1.18912</v>
      </c>
      <c r="AH266" s="22">
        <v>373.92099999999999</v>
      </c>
      <c r="AI266" s="22">
        <v>-1.5737899999999999E-2</v>
      </c>
      <c r="AJ266" s="22">
        <v>256</v>
      </c>
      <c r="AK266" s="22">
        <v>1.1880500000000001</v>
      </c>
      <c r="AL266">
        <f t="shared" si="42"/>
        <v>15.7379</v>
      </c>
      <c r="AM266">
        <f t="shared" si="43"/>
        <v>18.714251647999998</v>
      </c>
      <c r="AP266" s="9"/>
      <c r="AQ266" s="22">
        <v>0.51086399999999998</v>
      </c>
      <c r="AR266" s="22">
        <v>457.32</v>
      </c>
      <c r="AS266" s="22">
        <v>-1.6137700000000001E-2</v>
      </c>
      <c r="AT266" s="22">
        <v>256</v>
      </c>
      <c r="AU266" s="22">
        <v>0.51040600000000003</v>
      </c>
      <c r="AV266">
        <f t="shared" si="44"/>
        <v>16.137700000000002</v>
      </c>
      <c r="AW266">
        <f t="shared" si="45"/>
        <v>8.2441699728000017</v>
      </c>
      <c r="AX266" s="9"/>
      <c r="AY266" s="22">
        <v>1.18912</v>
      </c>
      <c r="AZ266" s="22">
        <v>579.25400000000002</v>
      </c>
      <c r="BA266" s="22">
        <v>-1.57349E-2</v>
      </c>
      <c r="BB266" s="22">
        <v>256</v>
      </c>
      <c r="BC266" s="22">
        <v>1.18774</v>
      </c>
      <c r="BD266">
        <f t="shared" si="46"/>
        <v>15.7349</v>
      </c>
      <c r="BE266">
        <f t="shared" si="47"/>
        <v>18.710684287999999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99.127200000000002</v>
      </c>
      <c r="I267" s="22">
        <v>-1.60614E-2</v>
      </c>
      <c r="J267" s="22">
        <v>257</v>
      </c>
      <c r="K267" s="22">
        <v>0.50494399999999995</v>
      </c>
      <c r="L267">
        <f t="shared" si="36"/>
        <v>16.061399999999999</v>
      </c>
      <c r="M267">
        <f t="shared" si="37"/>
        <v>8.1243219005999983</v>
      </c>
      <c r="N267" s="9"/>
      <c r="O267" s="22">
        <v>1.19415</v>
      </c>
      <c r="P267" s="22">
        <v>206.41399999999999</v>
      </c>
      <c r="Q267" s="22">
        <v>-1.5698199999999999E-2</v>
      </c>
      <c r="R267" s="22">
        <v>257</v>
      </c>
      <c r="S267" s="22">
        <v>1.19293</v>
      </c>
      <c r="T267">
        <f t="shared" si="38"/>
        <v>15.698199999999998</v>
      </c>
      <c r="U267">
        <f t="shared" si="39"/>
        <v>18.746005529999998</v>
      </c>
      <c r="X267" s="9"/>
      <c r="Y267" s="22">
        <v>0.50582899999999997</v>
      </c>
      <c r="Z267" s="22">
        <v>288.92700000000002</v>
      </c>
      <c r="AA267" s="22">
        <v>-1.6113300000000001E-2</v>
      </c>
      <c r="AB267" s="22">
        <v>257</v>
      </c>
      <c r="AC267" s="22">
        <v>0.50509599999999999</v>
      </c>
      <c r="AD267">
        <f t="shared" si="40"/>
        <v>16.113299999999999</v>
      </c>
      <c r="AE267">
        <f t="shared" si="41"/>
        <v>8.1505744256999986</v>
      </c>
      <c r="AF267" s="9"/>
      <c r="AG267" s="22">
        <v>1.19415</v>
      </c>
      <c r="AH267" s="22">
        <v>374.02199999999999</v>
      </c>
      <c r="AI267" s="22">
        <v>-1.5725699999999999E-2</v>
      </c>
      <c r="AJ267" s="22">
        <v>257</v>
      </c>
      <c r="AK267" s="22">
        <v>1.1932400000000001</v>
      </c>
      <c r="AL267">
        <f t="shared" si="42"/>
        <v>15.725699999999998</v>
      </c>
      <c r="AM267">
        <f t="shared" si="43"/>
        <v>18.778844654999997</v>
      </c>
      <c r="AP267" s="9"/>
      <c r="AQ267" s="22">
        <v>0.50582899999999997</v>
      </c>
      <c r="AR267" s="22">
        <v>457.42099999999999</v>
      </c>
      <c r="AS267" s="22">
        <v>-1.6131599999999999E-2</v>
      </c>
      <c r="AT267" s="22">
        <v>257</v>
      </c>
      <c r="AU267" s="22">
        <v>0.50509599999999999</v>
      </c>
      <c r="AV267">
        <f t="shared" si="44"/>
        <v>16.131599999999999</v>
      </c>
      <c r="AW267">
        <f t="shared" si="45"/>
        <v>8.1598310963999996</v>
      </c>
      <c r="AX267" s="9"/>
      <c r="AY267" s="22">
        <v>1.19415</v>
      </c>
      <c r="AZ267" s="22">
        <v>579.35500000000002</v>
      </c>
      <c r="BA267" s="22">
        <v>-1.5725699999999999E-2</v>
      </c>
      <c r="BB267" s="22">
        <v>257</v>
      </c>
      <c r="BC267" s="22">
        <v>1.19293</v>
      </c>
      <c r="BD267">
        <f t="shared" si="46"/>
        <v>15.725699999999998</v>
      </c>
      <c r="BE267">
        <f t="shared" si="47"/>
        <v>18.778844654999997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99.227900000000005</v>
      </c>
      <c r="I268" s="22">
        <v>-1.60614E-2</v>
      </c>
      <c r="J268" s="22">
        <v>258</v>
      </c>
      <c r="K268" s="22">
        <v>0.50009199999999998</v>
      </c>
      <c r="L268">
        <f t="shared" ref="L268:L331" si="48">-I268/$F$2*1000</f>
        <v>16.061399999999999</v>
      </c>
      <c r="M268">
        <f t="shared" ref="M268:M331" si="49">L268*G268</f>
        <v>8.0434366902000001</v>
      </c>
      <c r="N268" s="9"/>
      <c r="O268" s="22">
        <v>1.19919</v>
      </c>
      <c r="P268" s="22">
        <v>206.51499999999999</v>
      </c>
      <c r="Q268" s="22">
        <v>-1.5695199999999999E-2</v>
      </c>
      <c r="R268" s="22">
        <v>258</v>
      </c>
      <c r="S268" s="22">
        <v>1.1981200000000001</v>
      </c>
      <c r="T268">
        <f t="shared" ref="T268:T331" si="50">-Q268/$F$2*1000</f>
        <v>15.6952</v>
      </c>
      <c r="U268">
        <f t="shared" ref="U268:U331" si="51">T268*O268</f>
        <v>18.821526888000001</v>
      </c>
      <c r="X268" s="9"/>
      <c r="Y268" s="22">
        <v>0.50079300000000004</v>
      </c>
      <c r="Z268" s="22">
        <v>289.02800000000002</v>
      </c>
      <c r="AA268" s="22">
        <v>-1.6110200000000002E-2</v>
      </c>
      <c r="AB268" s="22">
        <v>258</v>
      </c>
      <c r="AC268" s="22">
        <v>0.500031</v>
      </c>
      <c r="AD268">
        <f t="shared" ref="AD268:AD331" si="52">-AA268/$F$2*1000</f>
        <v>16.110200000000003</v>
      </c>
      <c r="AE268">
        <f t="shared" ref="AE268:AE331" si="53">AD268*Y268</f>
        <v>8.0678753886000028</v>
      </c>
      <c r="AF268" s="9"/>
      <c r="AG268" s="22">
        <v>1.19919</v>
      </c>
      <c r="AH268" s="22">
        <v>374.12200000000001</v>
      </c>
      <c r="AI268" s="22">
        <v>-1.5728800000000001E-2</v>
      </c>
      <c r="AJ268" s="22">
        <v>258</v>
      </c>
      <c r="AK268" s="22">
        <v>1.1984300000000001</v>
      </c>
      <c r="AL268">
        <f t="shared" ref="AL268:AL331" si="54">-AI268/$F$2*1000</f>
        <v>15.728800000000001</v>
      </c>
      <c r="AM268">
        <f t="shared" ref="AM268:AM331" si="55">AL268*AG268</f>
        <v>18.861819672000003</v>
      </c>
      <c r="AP268" s="9"/>
      <c r="AQ268" s="22">
        <v>0.50079300000000004</v>
      </c>
      <c r="AR268" s="22">
        <v>457.52199999999999</v>
      </c>
      <c r="AS268" s="22">
        <v>-1.6137700000000001E-2</v>
      </c>
      <c r="AT268" s="22">
        <v>258</v>
      </c>
      <c r="AU268" s="22">
        <v>0.5</v>
      </c>
      <c r="AV268">
        <f t="shared" ref="AV268:AV331" si="56">-AS268/$F$2*1000</f>
        <v>16.137700000000002</v>
      </c>
      <c r="AW268">
        <f t="shared" ref="AW268:AW331" si="57">AV268*AQ268</f>
        <v>8.0816471961000023</v>
      </c>
      <c r="AX268" s="9"/>
      <c r="AY268" s="22">
        <v>1.19919</v>
      </c>
      <c r="AZ268" s="22">
        <v>579.45600000000002</v>
      </c>
      <c r="BA268" s="22">
        <v>-1.5728800000000001E-2</v>
      </c>
      <c r="BB268" s="22">
        <v>258</v>
      </c>
      <c r="BC268" s="22">
        <v>1.19781</v>
      </c>
      <c r="BD268">
        <f t="shared" ref="BD268:BD331" si="58">-BA268/$F$2*1000</f>
        <v>15.728800000000001</v>
      </c>
      <c r="BE268">
        <f t="shared" ref="BE268:BE331" si="59">BD268*AY268</f>
        <v>18.861819672000003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99.328599999999994</v>
      </c>
      <c r="I269" s="22">
        <v>-1.6067499999999998E-2</v>
      </c>
      <c r="J269" s="22">
        <v>259</v>
      </c>
      <c r="K269" s="22">
        <v>0.49502600000000002</v>
      </c>
      <c r="L269">
        <f t="shared" si="48"/>
        <v>16.067499999999999</v>
      </c>
      <c r="M269">
        <f t="shared" si="49"/>
        <v>7.9655916649999989</v>
      </c>
      <c r="N269" s="9"/>
      <c r="O269" s="22">
        <v>1.2042200000000001</v>
      </c>
      <c r="P269" s="22">
        <v>206.61500000000001</v>
      </c>
      <c r="Q269" s="22">
        <v>-1.5685999999999999E-2</v>
      </c>
      <c r="R269" s="22">
        <v>259</v>
      </c>
      <c r="S269" s="22">
        <v>1.2030000000000001</v>
      </c>
      <c r="T269">
        <f t="shared" si="50"/>
        <v>15.685999999999998</v>
      </c>
      <c r="U269">
        <f t="shared" si="51"/>
        <v>18.889394919999997</v>
      </c>
      <c r="X269" s="9"/>
      <c r="Y269" s="22">
        <v>0.49575799999999998</v>
      </c>
      <c r="Z269" s="22">
        <v>289.12900000000002</v>
      </c>
      <c r="AA269" s="22">
        <v>-1.6119399999999999E-2</v>
      </c>
      <c r="AB269" s="22">
        <v>259</v>
      </c>
      <c r="AC269" s="22">
        <v>0.49496499999999999</v>
      </c>
      <c r="AD269">
        <f t="shared" si="52"/>
        <v>16.119399999999999</v>
      </c>
      <c r="AE269">
        <f t="shared" si="53"/>
        <v>7.9913215051999993</v>
      </c>
      <c r="AF269" s="9"/>
      <c r="AG269" s="22">
        <v>1.2042200000000001</v>
      </c>
      <c r="AH269" s="22">
        <v>374.22300000000001</v>
      </c>
      <c r="AI269" s="22">
        <v>-1.57196E-2</v>
      </c>
      <c r="AJ269" s="22">
        <v>259</v>
      </c>
      <c r="AK269" s="22">
        <v>1.2030000000000001</v>
      </c>
      <c r="AL269">
        <f t="shared" si="54"/>
        <v>15.7196</v>
      </c>
      <c r="AM269">
        <f t="shared" si="55"/>
        <v>18.929856711999999</v>
      </c>
      <c r="AP269" s="9"/>
      <c r="AQ269" s="22">
        <v>0.49575799999999998</v>
      </c>
      <c r="AR269" s="22">
        <v>457.62299999999999</v>
      </c>
      <c r="AS269" s="22">
        <v>-1.6134599999999999E-2</v>
      </c>
      <c r="AT269" s="22">
        <v>259</v>
      </c>
      <c r="AU269" s="22">
        <v>0.495087</v>
      </c>
      <c r="AV269">
        <f t="shared" si="56"/>
        <v>16.134599999999999</v>
      </c>
      <c r="AW269">
        <f t="shared" si="57"/>
        <v>7.9988570267999988</v>
      </c>
      <c r="AX269" s="9"/>
      <c r="AY269" s="22">
        <v>1.2042200000000001</v>
      </c>
      <c r="AZ269" s="22">
        <v>579.55700000000002</v>
      </c>
      <c r="BA269" s="22">
        <v>-1.5713499999999998E-2</v>
      </c>
      <c r="BB269" s="22">
        <v>259</v>
      </c>
      <c r="BC269" s="22">
        <v>1.2030000000000001</v>
      </c>
      <c r="BD269">
        <f t="shared" si="58"/>
        <v>15.713499999999998</v>
      </c>
      <c r="BE269">
        <f t="shared" si="59"/>
        <v>18.922510969999998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99.429299999999998</v>
      </c>
      <c r="I270" s="22">
        <v>-1.6079699999999999E-2</v>
      </c>
      <c r="J270" s="22">
        <v>260</v>
      </c>
      <c r="K270" s="22">
        <v>0.49020399999999997</v>
      </c>
      <c r="L270">
        <f t="shared" si="48"/>
        <v>16.079699999999999</v>
      </c>
      <c r="M270">
        <f t="shared" si="49"/>
        <v>7.8906786230999995</v>
      </c>
      <c r="N270" s="9"/>
      <c r="O270" s="22">
        <v>1.20926</v>
      </c>
      <c r="P270" s="22">
        <v>206.71600000000001</v>
      </c>
      <c r="Q270" s="22">
        <v>-1.5689100000000001E-2</v>
      </c>
      <c r="R270" s="22">
        <v>260</v>
      </c>
      <c r="S270" s="22">
        <v>1.2078899999999999</v>
      </c>
      <c r="T270">
        <f t="shared" si="50"/>
        <v>15.689100000000002</v>
      </c>
      <c r="U270">
        <f t="shared" si="51"/>
        <v>18.972201066</v>
      </c>
      <c r="X270" s="9"/>
      <c r="Y270" s="22">
        <v>0.49072300000000002</v>
      </c>
      <c r="Z270" s="22">
        <v>289.22899999999998</v>
      </c>
      <c r="AA270" s="22">
        <v>-1.6119399999999999E-2</v>
      </c>
      <c r="AB270" s="22">
        <v>260</v>
      </c>
      <c r="AC270" s="22">
        <v>0.49002099999999998</v>
      </c>
      <c r="AD270">
        <f t="shared" si="52"/>
        <v>16.119399999999999</v>
      </c>
      <c r="AE270">
        <f t="shared" si="53"/>
        <v>7.9101603261999998</v>
      </c>
      <c r="AF270" s="9"/>
      <c r="AG270" s="22">
        <v>1.20926</v>
      </c>
      <c r="AH270" s="22">
        <v>374.32400000000001</v>
      </c>
      <c r="AI270" s="22">
        <v>-1.5713499999999998E-2</v>
      </c>
      <c r="AJ270" s="22">
        <v>260</v>
      </c>
      <c r="AK270" s="22">
        <v>1.2084999999999999</v>
      </c>
      <c r="AL270">
        <f t="shared" si="54"/>
        <v>15.713499999999998</v>
      </c>
      <c r="AM270">
        <f t="shared" si="55"/>
        <v>19.001707009999997</v>
      </c>
      <c r="AP270" s="9"/>
      <c r="AQ270" s="22">
        <v>0.49072300000000002</v>
      </c>
      <c r="AR270" s="22">
        <v>457.72300000000001</v>
      </c>
      <c r="AS270" s="22">
        <v>-1.6134599999999999E-2</v>
      </c>
      <c r="AT270" s="22">
        <v>260</v>
      </c>
      <c r="AU270" s="22">
        <v>0.49002099999999998</v>
      </c>
      <c r="AV270">
        <f t="shared" si="56"/>
        <v>16.134599999999999</v>
      </c>
      <c r="AW270">
        <f t="shared" si="57"/>
        <v>7.9176193157999997</v>
      </c>
      <c r="AX270" s="9"/>
      <c r="AY270" s="22">
        <v>1.20926</v>
      </c>
      <c r="AZ270" s="22">
        <v>579.65700000000004</v>
      </c>
      <c r="BA270" s="22">
        <v>-1.5713499999999998E-2</v>
      </c>
      <c r="BB270" s="22">
        <v>260</v>
      </c>
      <c r="BC270" s="22">
        <v>1.2084999999999999</v>
      </c>
      <c r="BD270">
        <f t="shared" si="58"/>
        <v>15.713499999999998</v>
      </c>
      <c r="BE270">
        <f t="shared" si="59"/>
        <v>19.001707009999997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99.53</v>
      </c>
      <c r="I271" s="22">
        <v>-1.60736E-2</v>
      </c>
      <c r="J271" s="22">
        <v>261</v>
      </c>
      <c r="K271" s="22">
        <v>0.484985</v>
      </c>
      <c r="L271">
        <f t="shared" si="48"/>
        <v>16.073599999999999</v>
      </c>
      <c r="M271">
        <f t="shared" si="49"/>
        <v>7.8067385631999988</v>
      </c>
      <c r="N271" s="9"/>
      <c r="O271" s="22">
        <v>1.2142900000000001</v>
      </c>
      <c r="P271" s="22">
        <v>206.81700000000001</v>
      </c>
      <c r="Q271" s="22">
        <v>-1.5695199999999999E-2</v>
      </c>
      <c r="R271" s="22">
        <v>261</v>
      </c>
      <c r="S271" s="22">
        <v>1.2136800000000001</v>
      </c>
      <c r="T271">
        <f t="shared" si="50"/>
        <v>15.6952</v>
      </c>
      <c r="U271">
        <f t="shared" si="51"/>
        <v>19.058524408</v>
      </c>
      <c r="X271" s="9"/>
      <c r="Y271" s="22">
        <v>0.48568699999999998</v>
      </c>
      <c r="Z271" s="22">
        <v>289.33</v>
      </c>
      <c r="AA271" s="22">
        <v>-1.61163E-2</v>
      </c>
      <c r="AB271" s="22">
        <v>261</v>
      </c>
      <c r="AC271" s="22">
        <v>0.484985</v>
      </c>
      <c r="AD271">
        <f t="shared" si="52"/>
        <v>16.116299999999999</v>
      </c>
      <c r="AE271">
        <f t="shared" si="53"/>
        <v>7.8274773980999992</v>
      </c>
      <c r="AF271" s="9"/>
      <c r="AG271" s="22">
        <v>1.2142900000000001</v>
      </c>
      <c r="AH271" s="22">
        <v>374.42500000000001</v>
      </c>
      <c r="AI271" s="22">
        <v>-1.5704300000000001E-2</v>
      </c>
      <c r="AJ271" s="22">
        <v>261</v>
      </c>
      <c r="AK271" s="22">
        <v>1.2136800000000001</v>
      </c>
      <c r="AL271">
        <f t="shared" si="54"/>
        <v>15.704300000000002</v>
      </c>
      <c r="AM271">
        <f t="shared" si="55"/>
        <v>19.069574447000004</v>
      </c>
      <c r="AP271" s="9"/>
      <c r="AQ271" s="22">
        <v>0.48568699999999998</v>
      </c>
      <c r="AR271" s="22">
        <v>457.82400000000001</v>
      </c>
      <c r="AS271" s="22">
        <v>-1.6137700000000001E-2</v>
      </c>
      <c r="AT271" s="22">
        <v>261</v>
      </c>
      <c r="AU271" s="22">
        <v>0.484985</v>
      </c>
      <c r="AV271">
        <f t="shared" si="56"/>
        <v>16.137700000000002</v>
      </c>
      <c r="AW271">
        <f t="shared" si="57"/>
        <v>7.837871099900001</v>
      </c>
      <c r="AX271" s="9"/>
      <c r="AY271" s="22">
        <v>1.2142900000000001</v>
      </c>
      <c r="AZ271" s="22">
        <v>579.75800000000004</v>
      </c>
      <c r="BA271" s="22">
        <v>-1.5695199999999999E-2</v>
      </c>
      <c r="BB271" s="22">
        <v>261</v>
      </c>
      <c r="BC271" s="22">
        <v>1.2127699999999999</v>
      </c>
      <c r="BD271">
        <f t="shared" si="58"/>
        <v>15.6952</v>
      </c>
      <c r="BE271">
        <f t="shared" si="59"/>
        <v>19.058524408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99.630700000000004</v>
      </c>
      <c r="I272" s="22">
        <v>-1.6064499999999999E-2</v>
      </c>
      <c r="J272" s="22">
        <v>262</v>
      </c>
      <c r="K272" s="22">
        <v>0.47994999999999999</v>
      </c>
      <c r="L272">
        <f t="shared" si="48"/>
        <v>16.064499999999999</v>
      </c>
      <c r="M272">
        <f t="shared" si="49"/>
        <v>7.7214340539999995</v>
      </c>
      <c r="N272" s="9"/>
      <c r="O272" s="22">
        <v>1.21933</v>
      </c>
      <c r="P272" s="22">
        <v>206.91800000000001</v>
      </c>
      <c r="Q272" s="22">
        <v>-1.5685999999999999E-2</v>
      </c>
      <c r="R272" s="22">
        <v>262</v>
      </c>
      <c r="S272" s="22">
        <v>1.2185699999999999</v>
      </c>
      <c r="T272">
        <f t="shared" si="50"/>
        <v>15.685999999999998</v>
      </c>
      <c r="U272">
        <f t="shared" si="51"/>
        <v>19.126410379999999</v>
      </c>
      <c r="X272" s="9"/>
      <c r="Y272" s="22">
        <v>0.48065200000000002</v>
      </c>
      <c r="Z272" s="22">
        <v>289.43099999999998</v>
      </c>
      <c r="AA272" s="22">
        <v>-1.6125500000000001E-2</v>
      </c>
      <c r="AB272" s="22">
        <v>262</v>
      </c>
      <c r="AC272" s="22">
        <v>0.47985800000000001</v>
      </c>
      <c r="AD272">
        <f t="shared" si="52"/>
        <v>16.125500000000002</v>
      </c>
      <c r="AE272">
        <f t="shared" si="53"/>
        <v>7.7507538260000013</v>
      </c>
      <c r="AF272" s="9"/>
      <c r="AG272" s="22">
        <v>1.21933</v>
      </c>
      <c r="AH272" s="22">
        <v>374.52499999999998</v>
      </c>
      <c r="AI272" s="22">
        <v>-1.57074E-2</v>
      </c>
      <c r="AJ272" s="22">
        <v>262</v>
      </c>
      <c r="AK272" s="22">
        <v>1.2182599999999999</v>
      </c>
      <c r="AL272">
        <f t="shared" si="54"/>
        <v>15.7074</v>
      </c>
      <c r="AM272">
        <f t="shared" si="55"/>
        <v>19.152504042</v>
      </c>
      <c r="AP272" s="9"/>
      <c r="AQ272" s="22">
        <v>0.48065200000000002</v>
      </c>
      <c r="AR272" s="22">
        <v>457.92500000000001</v>
      </c>
      <c r="AS272" s="22">
        <v>-1.6140700000000001E-2</v>
      </c>
      <c r="AT272" s="22">
        <v>262</v>
      </c>
      <c r="AU272" s="22">
        <v>0.48001100000000002</v>
      </c>
      <c r="AV272">
        <f t="shared" si="56"/>
        <v>16.140700000000002</v>
      </c>
      <c r="AW272">
        <f t="shared" si="57"/>
        <v>7.7580597364000017</v>
      </c>
      <c r="AX272" s="9"/>
      <c r="AY272" s="22">
        <v>1.21933</v>
      </c>
      <c r="AZ272" s="22">
        <v>579.85900000000004</v>
      </c>
      <c r="BA272" s="22">
        <v>-1.5701300000000001E-2</v>
      </c>
      <c r="BB272" s="22">
        <v>262</v>
      </c>
      <c r="BC272" s="22">
        <v>1.2188699999999999</v>
      </c>
      <c r="BD272">
        <f t="shared" si="58"/>
        <v>15.701300000000002</v>
      </c>
      <c r="BE272">
        <f t="shared" si="59"/>
        <v>19.145066129000003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99.731399999999994</v>
      </c>
      <c r="I273" s="22">
        <v>-1.6079699999999999E-2</v>
      </c>
      <c r="J273" s="22">
        <v>263</v>
      </c>
      <c r="K273" s="22">
        <v>0.47488399999999997</v>
      </c>
      <c r="L273">
        <f t="shared" si="48"/>
        <v>16.079699999999999</v>
      </c>
      <c r="M273">
        <f t="shared" si="49"/>
        <v>7.6477625951999997</v>
      </c>
      <c r="N273" s="9"/>
      <c r="O273" s="22">
        <v>1.22437</v>
      </c>
      <c r="P273" s="22">
        <v>207.018</v>
      </c>
      <c r="Q273" s="22">
        <v>-1.56799E-2</v>
      </c>
      <c r="R273" s="22">
        <v>263</v>
      </c>
      <c r="S273" s="22">
        <v>1.2237499999999999</v>
      </c>
      <c r="T273">
        <f t="shared" si="50"/>
        <v>15.6799</v>
      </c>
      <c r="U273">
        <f t="shared" si="51"/>
        <v>19.197999162999999</v>
      </c>
      <c r="X273" s="9"/>
      <c r="Y273" s="22">
        <v>0.47561599999999998</v>
      </c>
      <c r="Z273" s="22">
        <v>289.53199999999998</v>
      </c>
      <c r="AA273" s="22">
        <v>-1.61285E-2</v>
      </c>
      <c r="AB273" s="22">
        <v>263</v>
      </c>
      <c r="AC273" s="22">
        <v>0.474823</v>
      </c>
      <c r="AD273">
        <f t="shared" si="52"/>
        <v>16.128499999999999</v>
      </c>
      <c r="AE273">
        <f t="shared" si="53"/>
        <v>7.6709726559999991</v>
      </c>
      <c r="AF273" s="9"/>
      <c r="AG273" s="22">
        <v>1.22437</v>
      </c>
      <c r="AH273" s="22">
        <v>374.62599999999998</v>
      </c>
      <c r="AI273" s="22">
        <v>-1.5698199999999999E-2</v>
      </c>
      <c r="AJ273" s="22">
        <v>263</v>
      </c>
      <c r="AK273" s="22">
        <v>1.2228399999999999</v>
      </c>
      <c r="AL273">
        <f t="shared" si="54"/>
        <v>15.698199999999998</v>
      </c>
      <c r="AM273">
        <f t="shared" si="55"/>
        <v>19.220405133999996</v>
      </c>
      <c r="AP273" s="9"/>
      <c r="AQ273" s="22">
        <v>0.47561599999999998</v>
      </c>
      <c r="AR273" s="22">
        <v>458.02499999999998</v>
      </c>
      <c r="AS273" s="22">
        <v>-1.6131599999999999E-2</v>
      </c>
      <c r="AT273" s="22">
        <v>263</v>
      </c>
      <c r="AU273" s="22">
        <v>0.47491499999999998</v>
      </c>
      <c r="AV273">
        <f t="shared" si="56"/>
        <v>16.131599999999999</v>
      </c>
      <c r="AW273">
        <f t="shared" si="57"/>
        <v>7.6724470655999992</v>
      </c>
      <c r="AX273" s="9"/>
      <c r="AY273" s="22">
        <v>1.22437</v>
      </c>
      <c r="AZ273" s="22">
        <v>579.95899999999995</v>
      </c>
      <c r="BA273" s="22">
        <v>-1.5701300000000001E-2</v>
      </c>
      <c r="BB273" s="22">
        <v>263</v>
      </c>
      <c r="BC273" s="22">
        <v>1.2231399999999999</v>
      </c>
      <c r="BD273">
        <f t="shared" si="58"/>
        <v>15.701300000000002</v>
      </c>
      <c r="BE273">
        <f t="shared" si="59"/>
        <v>19.224200681000003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99.832099999999997</v>
      </c>
      <c r="I274" s="22">
        <v>-1.6079699999999999E-2</v>
      </c>
      <c r="J274" s="22">
        <v>264</v>
      </c>
      <c r="K274" s="22">
        <v>0.46975699999999998</v>
      </c>
      <c r="L274">
        <f t="shared" si="48"/>
        <v>16.079699999999999</v>
      </c>
      <c r="M274">
        <f t="shared" si="49"/>
        <v>7.5668013057000003</v>
      </c>
      <c r="N274" s="9"/>
      <c r="O274" s="22">
        <v>1.2294</v>
      </c>
      <c r="P274" s="22">
        <v>207.119</v>
      </c>
      <c r="Q274" s="22">
        <v>-1.56647E-2</v>
      </c>
      <c r="R274" s="22">
        <v>264</v>
      </c>
      <c r="S274" s="22">
        <v>1.2283299999999999</v>
      </c>
      <c r="T274">
        <f t="shared" si="50"/>
        <v>15.6647</v>
      </c>
      <c r="U274">
        <f t="shared" si="51"/>
        <v>19.258182180000002</v>
      </c>
      <c r="X274" s="9"/>
      <c r="Y274" s="22">
        <v>0.47058100000000003</v>
      </c>
      <c r="Z274" s="22">
        <v>289.63200000000001</v>
      </c>
      <c r="AA274" s="22">
        <v>-1.6125500000000001E-2</v>
      </c>
      <c r="AB274" s="22">
        <v>264</v>
      </c>
      <c r="AC274" s="22">
        <v>0.46994000000000002</v>
      </c>
      <c r="AD274">
        <f t="shared" si="52"/>
        <v>16.125500000000002</v>
      </c>
      <c r="AE274">
        <f t="shared" si="53"/>
        <v>7.5883539155000017</v>
      </c>
      <c r="AF274" s="9"/>
      <c r="AG274" s="22">
        <v>1.2294</v>
      </c>
      <c r="AH274" s="22">
        <v>374.72699999999998</v>
      </c>
      <c r="AI274" s="22">
        <v>-1.5698199999999999E-2</v>
      </c>
      <c r="AJ274" s="22">
        <v>264</v>
      </c>
      <c r="AK274" s="22">
        <v>1.22864</v>
      </c>
      <c r="AL274">
        <f t="shared" si="54"/>
        <v>15.698199999999998</v>
      </c>
      <c r="AM274">
        <f t="shared" si="55"/>
        <v>19.29936708</v>
      </c>
      <c r="AP274" s="9"/>
      <c r="AQ274" s="22">
        <v>0.47058100000000003</v>
      </c>
      <c r="AR274" s="22">
        <v>458.12599999999998</v>
      </c>
      <c r="AS274" s="22">
        <v>-1.6134599999999999E-2</v>
      </c>
      <c r="AT274" s="22">
        <v>264</v>
      </c>
      <c r="AU274" s="22">
        <v>0.46987899999999999</v>
      </c>
      <c r="AV274">
        <f t="shared" si="56"/>
        <v>16.134599999999999</v>
      </c>
      <c r="AW274">
        <f t="shared" si="57"/>
        <v>7.5926362025999996</v>
      </c>
      <c r="AX274" s="9"/>
      <c r="AY274" s="22">
        <v>1.2294</v>
      </c>
      <c r="AZ274" s="22">
        <v>580.05999999999995</v>
      </c>
      <c r="BA274" s="22">
        <v>-1.5685999999999999E-2</v>
      </c>
      <c r="BB274" s="22">
        <v>264</v>
      </c>
      <c r="BC274" s="22">
        <v>1.2283299999999999</v>
      </c>
      <c r="BD274">
        <f t="shared" si="58"/>
        <v>15.685999999999998</v>
      </c>
      <c r="BE274">
        <f t="shared" si="59"/>
        <v>19.284368399999998</v>
      </c>
    </row>
    <row r="275" spans="6:101">
      <c r="F275" s="9"/>
      <c r="G275" s="22">
        <v>0.46554600000000002</v>
      </c>
      <c r="H275" s="22">
        <v>99.932900000000004</v>
      </c>
      <c r="I275" s="22">
        <v>-1.6076699999999999E-2</v>
      </c>
      <c r="J275" s="22">
        <v>265</v>
      </c>
      <c r="K275" s="22">
        <v>0.46499600000000002</v>
      </c>
      <c r="L275">
        <f t="shared" si="48"/>
        <v>16.076699999999999</v>
      </c>
      <c r="M275">
        <f t="shared" si="49"/>
        <v>7.4844433781999999</v>
      </c>
      <c r="N275" s="9"/>
      <c r="O275" s="22">
        <v>1.23444</v>
      </c>
      <c r="P275" s="22">
        <v>207.22</v>
      </c>
      <c r="Q275" s="22">
        <v>-1.56677E-2</v>
      </c>
      <c r="R275" s="22">
        <v>265</v>
      </c>
      <c r="S275" s="22">
        <v>1.2335199999999999</v>
      </c>
      <c r="T275">
        <f t="shared" si="50"/>
        <v>15.6677</v>
      </c>
      <c r="U275">
        <f t="shared" si="51"/>
        <v>19.340835588000001</v>
      </c>
      <c r="X275" s="9"/>
      <c r="Y275" s="22">
        <v>0.46554600000000002</v>
      </c>
      <c r="Z275" s="22">
        <v>289.733</v>
      </c>
      <c r="AA275" s="22">
        <v>-1.6131599999999999E-2</v>
      </c>
      <c r="AB275" s="22">
        <v>265</v>
      </c>
      <c r="AC275" s="22">
        <v>0.46481299999999998</v>
      </c>
      <c r="AD275">
        <f t="shared" si="52"/>
        <v>16.131599999999999</v>
      </c>
      <c r="AE275">
        <f t="shared" si="53"/>
        <v>7.5100018535999995</v>
      </c>
      <c r="AF275" s="9"/>
      <c r="AG275" s="22">
        <v>1.23444</v>
      </c>
      <c r="AH275" s="22">
        <v>374.827</v>
      </c>
      <c r="AI275" s="22">
        <v>-1.56921E-2</v>
      </c>
      <c r="AJ275" s="22">
        <v>265</v>
      </c>
      <c r="AK275" s="22">
        <v>1.2335199999999999</v>
      </c>
      <c r="AL275">
        <f t="shared" si="54"/>
        <v>15.6921</v>
      </c>
      <c r="AM275">
        <f t="shared" si="55"/>
        <v>19.370955924</v>
      </c>
      <c r="AP275" s="9"/>
      <c r="AQ275" s="22">
        <v>0.46554600000000002</v>
      </c>
      <c r="AR275" s="22">
        <v>458.22699999999998</v>
      </c>
      <c r="AS275" s="22">
        <v>-1.6149899999999998E-2</v>
      </c>
      <c r="AT275" s="22">
        <v>265</v>
      </c>
      <c r="AU275" s="22">
        <v>0.46484399999999998</v>
      </c>
      <c r="AV275">
        <f t="shared" si="56"/>
        <v>16.149899999999999</v>
      </c>
      <c r="AW275">
        <f t="shared" si="57"/>
        <v>7.5185213453999999</v>
      </c>
      <c r="AX275" s="9"/>
      <c r="AY275" s="22">
        <v>1.23444</v>
      </c>
      <c r="AZ275" s="22">
        <v>580.16099999999994</v>
      </c>
      <c r="BA275" s="22">
        <v>-1.56921E-2</v>
      </c>
      <c r="BB275" s="22">
        <v>265</v>
      </c>
      <c r="BC275" s="22">
        <v>1.2335199999999999</v>
      </c>
      <c r="BD275">
        <f t="shared" si="58"/>
        <v>15.6921</v>
      </c>
      <c r="BE275">
        <f t="shared" si="59"/>
        <v>19.370955924</v>
      </c>
    </row>
    <row r="276" spans="6:101">
      <c r="F276" s="9"/>
      <c r="G276" s="22">
        <v>0.46050999999999997</v>
      </c>
      <c r="H276" s="22">
        <v>100.03400000000001</v>
      </c>
      <c r="I276" s="22">
        <v>-1.6082800000000001E-2</v>
      </c>
      <c r="J276" s="22">
        <v>266</v>
      </c>
      <c r="K276" s="22">
        <v>0.45986900000000003</v>
      </c>
      <c r="L276">
        <f t="shared" si="48"/>
        <v>16.082800000000002</v>
      </c>
      <c r="M276">
        <f t="shared" si="49"/>
        <v>7.4062902280000005</v>
      </c>
      <c r="N276" s="9"/>
      <c r="O276" s="22">
        <v>1.2394700000000001</v>
      </c>
      <c r="P276" s="22">
        <v>207.32</v>
      </c>
      <c r="Q276" s="22">
        <v>-1.56647E-2</v>
      </c>
      <c r="R276" s="22">
        <v>266</v>
      </c>
      <c r="S276" s="22">
        <v>1.2383999999999999</v>
      </c>
      <c r="T276">
        <f t="shared" si="50"/>
        <v>15.6647</v>
      </c>
      <c r="U276">
        <f t="shared" si="51"/>
        <v>19.415925709</v>
      </c>
      <c r="X276" s="9"/>
      <c r="Y276" s="22">
        <v>0.46050999999999997</v>
      </c>
      <c r="Z276" s="22">
        <v>289.834</v>
      </c>
      <c r="AA276" s="22">
        <v>-1.61285E-2</v>
      </c>
      <c r="AB276" s="22">
        <v>266</v>
      </c>
      <c r="AC276" s="22">
        <v>0.45977800000000002</v>
      </c>
      <c r="AD276">
        <f t="shared" si="52"/>
        <v>16.128499999999999</v>
      </c>
      <c r="AE276">
        <f t="shared" si="53"/>
        <v>7.4273355349999992</v>
      </c>
      <c r="AF276" s="9"/>
      <c r="AG276" s="22">
        <v>1.2394700000000001</v>
      </c>
      <c r="AH276" s="22">
        <v>374.928</v>
      </c>
      <c r="AI276" s="22">
        <v>-1.5670799999999999E-2</v>
      </c>
      <c r="AJ276" s="22">
        <v>266</v>
      </c>
      <c r="AK276" s="22">
        <v>1.23871</v>
      </c>
      <c r="AL276">
        <f t="shared" si="54"/>
        <v>15.670799999999998</v>
      </c>
      <c r="AM276">
        <f t="shared" si="55"/>
        <v>19.423486475999997</v>
      </c>
      <c r="AP276" s="9"/>
      <c r="AQ276" s="22">
        <v>0.46050999999999997</v>
      </c>
      <c r="AR276" s="22">
        <v>458.327</v>
      </c>
      <c r="AS276" s="22">
        <v>-1.6153000000000001E-2</v>
      </c>
      <c r="AT276" s="22">
        <v>266</v>
      </c>
      <c r="AU276" s="22">
        <v>0.45980799999999999</v>
      </c>
      <c r="AV276">
        <f t="shared" si="56"/>
        <v>16.153000000000002</v>
      </c>
      <c r="AW276">
        <f t="shared" si="57"/>
        <v>7.4386180300000007</v>
      </c>
      <c r="AX276" s="9"/>
      <c r="AY276" s="22">
        <v>1.2394700000000001</v>
      </c>
      <c r="AZ276" s="22">
        <v>580.26199999999994</v>
      </c>
      <c r="BA276" s="22">
        <v>-1.5670799999999999E-2</v>
      </c>
      <c r="BB276" s="22">
        <v>266</v>
      </c>
      <c r="BC276" s="22">
        <v>1.23871</v>
      </c>
      <c r="BD276">
        <f t="shared" si="58"/>
        <v>15.670799999999998</v>
      </c>
      <c r="BE276">
        <f t="shared" si="59"/>
        <v>19.423486475999997</v>
      </c>
    </row>
    <row r="277" spans="6:101">
      <c r="F277" s="9"/>
      <c r="G277" s="22">
        <v>0.45547500000000002</v>
      </c>
      <c r="H277" s="22">
        <v>100.134</v>
      </c>
      <c r="I277" s="22">
        <v>-1.6085800000000001E-2</v>
      </c>
      <c r="J277" s="22">
        <v>267</v>
      </c>
      <c r="K277" s="22">
        <v>0.45477299999999998</v>
      </c>
      <c r="L277">
        <f t="shared" si="48"/>
        <v>16.085800000000003</v>
      </c>
      <c r="M277">
        <f t="shared" si="49"/>
        <v>7.3266797550000016</v>
      </c>
      <c r="N277" s="9"/>
      <c r="O277" s="22">
        <v>1.24451</v>
      </c>
      <c r="P277" s="22">
        <v>207.42099999999999</v>
      </c>
      <c r="Q277" s="22">
        <v>-1.56647E-2</v>
      </c>
      <c r="R277" s="22">
        <v>267</v>
      </c>
      <c r="S277" s="22">
        <v>1.24359</v>
      </c>
      <c r="T277">
        <f t="shared" si="50"/>
        <v>15.6647</v>
      </c>
      <c r="U277">
        <f t="shared" si="51"/>
        <v>19.494875796999999</v>
      </c>
      <c r="X277" s="9"/>
      <c r="Y277" s="22">
        <v>0.45547500000000002</v>
      </c>
      <c r="Z277" s="22">
        <v>289.93400000000003</v>
      </c>
      <c r="AA277" s="22">
        <v>-1.61285E-2</v>
      </c>
      <c r="AB277" s="22">
        <v>267</v>
      </c>
      <c r="AC277" s="22">
        <v>0.45474199999999998</v>
      </c>
      <c r="AD277">
        <f t="shared" si="52"/>
        <v>16.128499999999999</v>
      </c>
      <c r="AE277">
        <f t="shared" si="53"/>
        <v>7.3461285374999994</v>
      </c>
      <c r="AF277" s="9"/>
      <c r="AG277" s="22">
        <v>1.24451</v>
      </c>
      <c r="AH277" s="22">
        <v>375.029</v>
      </c>
      <c r="AI277" s="22">
        <v>-1.56799E-2</v>
      </c>
      <c r="AJ277" s="22">
        <v>267</v>
      </c>
      <c r="AK277" s="22">
        <v>1.24329</v>
      </c>
      <c r="AL277">
        <f t="shared" si="54"/>
        <v>15.6799</v>
      </c>
      <c r="AM277">
        <f t="shared" si="55"/>
        <v>19.513792348999999</v>
      </c>
      <c r="AP277" s="9"/>
      <c r="AQ277" s="22">
        <v>0.45547500000000002</v>
      </c>
      <c r="AR277" s="22">
        <v>458.428</v>
      </c>
      <c r="AS277" s="22">
        <v>-1.6149899999999998E-2</v>
      </c>
      <c r="AT277" s="22">
        <v>267</v>
      </c>
      <c r="AU277" s="22">
        <v>0.45462000000000002</v>
      </c>
      <c r="AV277">
        <f t="shared" si="56"/>
        <v>16.149899999999999</v>
      </c>
      <c r="AW277">
        <f t="shared" si="57"/>
        <v>7.3558757024999997</v>
      </c>
      <c r="AX277" s="9"/>
      <c r="AY277" s="22">
        <v>1.24451</v>
      </c>
      <c r="AZ277" s="22">
        <v>580.36199999999997</v>
      </c>
      <c r="BA277" s="22">
        <v>-1.5670799999999999E-2</v>
      </c>
      <c r="BB277" s="22">
        <v>267</v>
      </c>
      <c r="BC277" s="22">
        <v>1.24329</v>
      </c>
      <c r="BD277">
        <f t="shared" si="58"/>
        <v>15.670799999999998</v>
      </c>
      <c r="BE277">
        <f t="shared" si="59"/>
        <v>19.502467307999996</v>
      </c>
    </row>
    <row r="278" spans="6:101">
      <c r="F278" s="9"/>
      <c r="G278" s="22">
        <v>0.45043899999999998</v>
      </c>
      <c r="H278" s="22">
        <v>100.235</v>
      </c>
      <c r="I278" s="22">
        <v>-1.6085800000000001E-2</v>
      </c>
      <c r="J278" s="22">
        <v>268</v>
      </c>
      <c r="K278" s="22">
        <v>0.44973800000000003</v>
      </c>
      <c r="L278">
        <f t="shared" si="48"/>
        <v>16.085800000000003</v>
      </c>
      <c r="M278">
        <f t="shared" si="49"/>
        <v>7.2456716662000007</v>
      </c>
      <c r="N278" s="9"/>
      <c r="O278" s="22">
        <v>1.2495400000000001</v>
      </c>
      <c r="P278" s="22">
        <v>207.52199999999999</v>
      </c>
      <c r="Q278" s="22">
        <v>-1.5643299999999999E-2</v>
      </c>
      <c r="R278" s="22">
        <v>268</v>
      </c>
      <c r="S278" s="22">
        <v>1.24908</v>
      </c>
      <c r="T278">
        <f t="shared" si="50"/>
        <v>15.643299999999998</v>
      </c>
      <c r="U278">
        <f t="shared" si="51"/>
        <v>19.546929081999998</v>
      </c>
      <c r="X278" s="9"/>
      <c r="Y278" s="22">
        <v>0.45043899999999998</v>
      </c>
      <c r="Z278" s="22">
        <v>290.03500000000003</v>
      </c>
      <c r="AA278" s="22">
        <v>-1.6125500000000001E-2</v>
      </c>
      <c r="AB278" s="22">
        <v>268</v>
      </c>
      <c r="AC278" s="22">
        <v>0.44973800000000003</v>
      </c>
      <c r="AD278">
        <f t="shared" si="52"/>
        <v>16.125500000000002</v>
      </c>
      <c r="AE278">
        <f t="shared" si="53"/>
        <v>7.2635540945000008</v>
      </c>
      <c r="AF278" s="9"/>
      <c r="AG278" s="22">
        <v>1.2495400000000001</v>
      </c>
      <c r="AH278" s="22">
        <v>375.13</v>
      </c>
      <c r="AI278" s="22">
        <v>-1.56647E-2</v>
      </c>
      <c r="AJ278" s="22">
        <v>268</v>
      </c>
      <c r="AK278" s="22">
        <v>1.24878</v>
      </c>
      <c r="AL278">
        <f t="shared" si="54"/>
        <v>15.6647</v>
      </c>
      <c r="AM278">
        <f t="shared" si="55"/>
        <v>19.573669238000001</v>
      </c>
      <c r="AP278" s="9"/>
      <c r="AQ278" s="22">
        <v>0.45043899999999998</v>
      </c>
      <c r="AR278" s="22">
        <v>458.529</v>
      </c>
      <c r="AS278" s="22">
        <v>-1.6149899999999998E-2</v>
      </c>
      <c r="AT278" s="22">
        <v>268</v>
      </c>
      <c r="AU278" s="22">
        <v>0.44973800000000003</v>
      </c>
      <c r="AV278">
        <f t="shared" si="56"/>
        <v>16.149899999999999</v>
      </c>
      <c r="AW278">
        <f t="shared" si="57"/>
        <v>7.2745448060999989</v>
      </c>
      <c r="AX278" s="9"/>
      <c r="AY278" s="22">
        <v>1.2495400000000001</v>
      </c>
      <c r="AZ278" s="22">
        <v>580.46299999999997</v>
      </c>
      <c r="BA278" s="22">
        <v>-1.56677E-2</v>
      </c>
      <c r="BB278" s="22">
        <v>268</v>
      </c>
      <c r="BC278" s="22">
        <v>1.24878</v>
      </c>
      <c r="BD278">
        <f t="shared" si="58"/>
        <v>15.6677</v>
      </c>
      <c r="BE278">
        <f t="shared" si="59"/>
        <v>19.577417858</v>
      </c>
    </row>
    <row r="279" spans="6:101">
      <c r="F279" s="9"/>
      <c r="G279" s="22">
        <v>0.44540400000000002</v>
      </c>
      <c r="H279" s="22">
        <v>100.336</v>
      </c>
      <c r="I279" s="22">
        <v>-1.60889E-2</v>
      </c>
      <c r="J279" s="22">
        <v>269</v>
      </c>
      <c r="K279" s="22">
        <v>0.444824</v>
      </c>
      <c r="L279">
        <f t="shared" si="48"/>
        <v>16.088899999999999</v>
      </c>
      <c r="M279">
        <f t="shared" si="49"/>
        <v>7.1660604155999996</v>
      </c>
      <c r="N279" s="9"/>
      <c r="O279" s="22">
        <v>1.25458</v>
      </c>
      <c r="P279" s="22">
        <v>207.62200000000001</v>
      </c>
      <c r="Q279" s="22">
        <v>-1.56525E-2</v>
      </c>
      <c r="R279" s="22">
        <v>269</v>
      </c>
      <c r="S279" s="22">
        <v>1.25427</v>
      </c>
      <c r="T279">
        <f t="shared" si="50"/>
        <v>15.6525</v>
      </c>
      <c r="U279">
        <f t="shared" si="51"/>
        <v>19.637313450000001</v>
      </c>
      <c r="X279" s="9"/>
      <c r="Y279" s="22">
        <v>0.44540400000000002</v>
      </c>
      <c r="Z279" s="22">
        <v>290.13600000000002</v>
      </c>
      <c r="AA279" s="22">
        <v>-1.6131599999999999E-2</v>
      </c>
      <c r="AB279" s="22">
        <v>269</v>
      </c>
      <c r="AC279" s="22">
        <v>0.44476300000000002</v>
      </c>
      <c r="AD279">
        <f t="shared" si="52"/>
        <v>16.131599999999999</v>
      </c>
      <c r="AE279">
        <f t="shared" si="53"/>
        <v>7.1850791663999996</v>
      </c>
      <c r="AF279" s="9"/>
      <c r="AG279" s="22">
        <v>1.25458</v>
      </c>
      <c r="AH279" s="22">
        <v>375.23</v>
      </c>
      <c r="AI279" s="22">
        <v>-1.5649400000000001E-2</v>
      </c>
      <c r="AJ279" s="22">
        <v>269</v>
      </c>
      <c r="AK279" s="22">
        <v>1.25397</v>
      </c>
      <c r="AL279">
        <f t="shared" si="54"/>
        <v>15.6494</v>
      </c>
      <c r="AM279">
        <f t="shared" si="55"/>
        <v>19.633424252000001</v>
      </c>
      <c r="AP279" s="9"/>
      <c r="AQ279" s="22">
        <v>0.44540400000000002</v>
      </c>
      <c r="AR279" s="22">
        <v>458.63</v>
      </c>
      <c r="AS279" s="22">
        <v>-1.6149899999999998E-2</v>
      </c>
      <c r="AT279" s="22">
        <v>269</v>
      </c>
      <c r="AU279" s="22">
        <v>0.44473299999999999</v>
      </c>
      <c r="AV279">
        <f t="shared" si="56"/>
        <v>16.149899999999999</v>
      </c>
      <c r="AW279">
        <f t="shared" si="57"/>
        <v>7.1932300595999994</v>
      </c>
      <c r="AX279" s="9"/>
      <c r="AY279" s="22">
        <v>1.25458</v>
      </c>
      <c r="AZ279" s="22">
        <v>580.56399999999996</v>
      </c>
      <c r="BA279" s="22">
        <v>-1.56647E-2</v>
      </c>
      <c r="BB279" s="22">
        <v>269</v>
      </c>
      <c r="BC279" s="22">
        <v>1.25397</v>
      </c>
      <c r="BD279">
        <f t="shared" si="58"/>
        <v>15.6647</v>
      </c>
      <c r="BE279">
        <f t="shared" si="59"/>
        <v>19.652619326</v>
      </c>
    </row>
    <row r="280" spans="6:101">
      <c r="F280" s="9"/>
      <c r="G280" s="22">
        <v>0.44036900000000001</v>
      </c>
      <c r="H280" s="22">
        <v>100.43600000000001</v>
      </c>
      <c r="I280" s="22">
        <v>-1.60889E-2</v>
      </c>
      <c r="J280" s="22">
        <v>270</v>
      </c>
      <c r="K280" s="22">
        <v>0.43966699999999997</v>
      </c>
      <c r="L280">
        <f t="shared" si="48"/>
        <v>16.088899999999999</v>
      </c>
      <c r="M280">
        <f t="shared" si="49"/>
        <v>7.0850528041</v>
      </c>
      <c r="N280" s="9"/>
      <c r="O280" s="22">
        <v>1.2596099999999999</v>
      </c>
      <c r="P280" s="22">
        <v>207.72300000000001</v>
      </c>
      <c r="Q280" s="22">
        <v>-1.5649400000000001E-2</v>
      </c>
      <c r="R280" s="22">
        <v>270</v>
      </c>
      <c r="S280" s="22">
        <v>1.2591600000000001</v>
      </c>
      <c r="T280">
        <f t="shared" si="50"/>
        <v>15.6494</v>
      </c>
      <c r="U280">
        <f t="shared" si="51"/>
        <v>19.712140733999998</v>
      </c>
      <c r="X280" s="9"/>
      <c r="Y280" s="22">
        <v>0.44036900000000001</v>
      </c>
      <c r="Z280" s="22">
        <v>290.23700000000002</v>
      </c>
      <c r="AA280" s="22">
        <v>-1.6137700000000001E-2</v>
      </c>
      <c r="AB280" s="22">
        <v>270</v>
      </c>
      <c r="AC280" s="22">
        <v>0.43963600000000003</v>
      </c>
      <c r="AD280">
        <f t="shared" si="52"/>
        <v>16.137700000000002</v>
      </c>
      <c r="AE280">
        <f t="shared" si="53"/>
        <v>7.1065428113000015</v>
      </c>
      <c r="AF280" s="9"/>
      <c r="AG280" s="22">
        <v>1.2596099999999999</v>
      </c>
      <c r="AH280" s="22">
        <v>375.33100000000002</v>
      </c>
      <c r="AI280" s="22">
        <v>-1.56525E-2</v>
      </c>
      <c r="AJ280" s="22">
        <v>270</v>
      </c>
      <c r="AK280" s="22">
        <v>1.25885</v>
      </c>
      <c r="AL280">
        <f t="shared" si="54"/>
        <v>15.6525</v>
      </c>
      <c r="AM280">
        <f t="shared" si="55"/>
        <v>19.716045524999998</v>
      </c>
      <c r="AP280" s="9"/>
      <c r="AQ280" s="22">
        <v>0.44036900000000001</v>
      </c>
      <c r="AR280" s="22">
        <v>458.73</v>
      </c>
      <c r="AS280" s="22">
        <v>-1.6156E-2</v>
      </c>
      <c r="AT280" s="22">
        <v>270</v>
      </c>
      <c r="AU280" s="22">
        <v>0.43963600000000003</v>
      </c>
      <c r="AV280">
        <f t="shared" si="56"/>
        <v>16.155999999999999</v>
      </c>
      <c r="AW280">
        <f t="shared" si="57"/>
        <v>7.114601564</v>
      </c>
      <c r="AX280" s="9"/>
      <c r="AY280" s="22">
        <v>1.2596099999999999</v>
      </c>
      <c r="AZ280" s="22">
        <v>580.66399999999999</v>
      </c>
      <c r="BA280" s="22">
        <v>-1.5661600000000001E-2</v>
      </c>
      <c r="BB280" s="22">
        <v>270</v>
      </c>
      <c r="BC280" s="22">
        <v>1.25854</v>
      </c>
      <c r="BD280">
        <f t="shared" si="58"/>
        <v>15.661600000000002</v>
      </c>
      <c r="BE280">
        <f t="shared" si="59"/>
        <v>19.727507976000002</v>
      </c>
    </row>
    <row r="281" spans="6:101">
      <c r="F281" s="9"/>
      <c r="G281" s="22">
        <v>0.43533300000000003</v>
      </c>
      <c r="H281" s="22">
        <v>100.53700000000001</v>
      </c>
      <c r="I281" s="22">
        <v>-1.60889E-2</v>
      </c>
      <c r="J281" s="22">
        <v>271</v>
      </c>
      <c r="K281" s="22">
        <v>0.43463099999999999</v>
      </c>
      <c r="L281">
        <f t="shared" si="48"/>
        <v>16.088899999999999</v>
      </c>
      <c r="M281">
        <f t="shared" si="49"/>
        <v>7.0040291036999998</v>
      </c>
      <c r="N281" s="9"/>
      <c r="O281" s="22">
        <v>1.2646500000000001</v>
      </c>
      <c r="P281" s="22">
        <v>207.82400000000001</v>
      </c>
      <c r="Q281" s="22">
        <v>-1.56372E-2</v>
      </c>
      <c r="R281" s="22">
        <v>271</v>
      </c>
      <c r="S281" s="22">
        <v>1.26373</v>
      </c>
      <c r="T281">
        <f t="shared" si="50"/>
        <v>15.6372</v>
      </c>
      <c r="U281">
        <f t="shared" si="51"/>
        <v>19.775584980000001</v>
      </c>
      <c r="X281" s="9"/>
      <c r="Y281" s="22">
        <v>0.43533300000000003</v>
      </c>
      <c r="Z281" s="22">
        <v>290.33699999999999</v>
      </c>
      <c r="AA281" s="22">
        <v>-1.6119399999999999E-2</v>
      </c>
      <c r="AB281" s="22">
        <v>271</v>
      </c>
      <c r="AC281" s="22">
        <v>0.43463099999999999</v>
      </c>
      <c r="AD281">
        <f t="shared" si="52"/>
        <v>16.119399999999999</v>
      </c>
      <c r="AE281">
        <f t="shared" si="53"/>
        <v>7.0173067602000003</v>
      </c>
      <c r="AF281" s="9"/>
      <c r="AG281" s="22">
        <v>1.2646500000000001</v>
      </c>
      <c r="AH281" s="22">
        <v>375.43200000000002</v>
      </c>
      <c r="AI281" s="22">
        <v>-1.5649400000000001E-2</v>
      </c>
      <c r="AJ281" s="22">
        <v>271</v>
      </c>
      <c r="AK281" s="22">
        <v>1.26373</v>
      </c>
      <c r="AL281">
        <f t="shared" si="54"/>
        <v>15.6494</v>
      </c>
      <c r="AM281">
        <f t="shared" si="55"/>
        <v>19.791013710000001</v>
      </c>
      <c r="AP281" s="9"/>
      <c r="AQ281" s="22">
        <v>0.43533300000000003</v>
      </c>
      <c r="AR281" s="22">
        <v>458.83100000000002</v>
      </c>
      <c r="AS281" s="22">
        <v>-1.6140700000000001E-2</v>
      </c>
      <c r="AT281" s="22">
        <v>271</v>
      </c>
      <c r="AU281" s="22">
        <v>0.43457000000000001</v>
      </c>
      <c r="AV281">
        <f t="shared" si="56"/>
        <v>16.140700000000002</v>
      </c>
      <c r="AW281">
        <f t="shared" si="57"/>
        <v>7.0265793531000016</v>
      </c>
      <c r="AX281" s="9"/>
      <c r="AY281" s="22">
        <v>1.2646500000000001</v>
      </c>
      <c r="AZ281" s="22">
        <v>580.76499999999999</v>
      </c>
      <c r="BA281" s="22">
        <v>-1.5649400000000001E-2</v>
      </c>
      <c r="BB281" s="22">
        <v>271</v>
      </c>
      <c r="BC281" s="22">
        <v>1.26373</v>
      </c>
      <c r="BD281">
        <f t="shared" si="58"/>
        <v>15.6494</v>
      </c>
      <c r="BE281">
        <f t="shared" si="59"/>
        <v>19.791013710000001</v>
      </c>
    </row>
    <row r="282" spans="6:101">
      <c r="F282" s="9"/>
      <c r="G282" s="22">
        <v>0.43029800000000001</v>
      </c>
      <c r="H282" s="22">
        <v>100.63800000000001</v>
      </c>
      <c r="I282" s="22">
        <v>-1.6098000000000001E-2</v>
      </c>
      <c r="J282" s="22">
        <v>272</v>
      </c>
      <c r="K282" s="22">
        <v>0.42938199999999999</v>
      </c>
      <c r="L282">
        <f t="shared" si="48"/>
        <v>16.098000000000003</v>
      </c>
      <c r="M282">
        <f t="shared" si="49"/>
        <v>6.9269372040000015</v>
      </c>
      <c r="N282" s="9"/>
      <c r="O282" s="22">
        <v>1.2696799999999999</v>
      </c>
      <c r="P282" s="22">
        <v>207.92500000000001</v>
      </c>
      <c r="Q282" s="22">
        <v>-1.5625E-2</v>
      </c>
      <c r="R282" s="22">
        <v>272</v>
      </c>
      <c r="S282" s="22">
        <v>1.26892</v>
      </c>
      <c r="T282">
        <f t="shared" si="50"/>
        <v>15.625</v>
      </c>
      <c r="U282">
        <f t="shared" si="51"/>
        <v>19.838749999999997</v>
      </c>
      <c r="X282" s="9"/>
      <c r="Y282" s="22">
        <v>0.43029800000000001</v>
      </c>
      <c r="Z282" s="22">
        <v>290.43799999999999</v>
      </c>
      <c r="AA282" s="22">
        <v>-1.6134599999999999E-2</v>
      </c>
      <c r="AB282" s="22">
        <v>272</v>
      </c>
      <c r="AC282" s="22">
        <v>0.42968800000000001</v>
      </c>
      <c r="AD282">
        <f t="shared" si="52"/>
        <v>16.134599999999999</v>
      </c>
      <c r="AE282">
        <f t="shared" si="53"/>
        <v>6.9426861107999995</v>
      </c>
      <c r="AF282" s="9"/>
      <c r="AG282" s="22">
        <v>1.2696799999999999</v>
      </c>
      <c r="AH282" s="22">
        <v>375.53199999999998</v>
      </c>
      <c r="AI282" s="22">
        <v>-1.5643299999999999E-2</v>
      </c>
      <c r="AJ282" s="22">
        <v>272</v>
      </c>
      <c r="AK282" s="22">
        <v>1.2686200000000001</v>
      </c>
      <c r="AL282">
        <f t="shared" si="54"/>
        <v>15.643299999999998</v>
      </c>
      <c r="AM282">
        <f t="shared" si="55"/>
        <v>19.861985143999995</v>
      </c>
      <c r="AP282" s="9"/>
      <c r="AQ282" s="22">
        <v>0.43029800000000001</v>
      </c>
      <c r="AR282" s="22">
        <v>458.93200000000002</v>
      </c>
      <c r="AS282" s="22">
        <v>-1.6149899999999998E-2</v>
      </c>
      <c r="AT282" s="22">
        <v>272</v>
      </c>
      <c r="AU282" s="22">
        <v>0.42962600000000001</v>
      </c>
      <c r="AV282">
        <f t="shared" si="56"/>
        <v>16.149899999999999</v>
      </c>
      <c r="AW282">
        <f t="shared" si="57"/>
        <v>6.9492696701999996</v>
      </c>
      <c r="AX282" s="9"/>
      <c r="AY282" s="22">
        <v>1.2696799999999999</v>
      </c>
      <c r="AZ282" s="22">
        <v>580.86599999999999</v>
      </c>
      <c r="BA282" s="22">
        <v>-1.5646400000000001E-2</v>
      </c>
      <c r="BB282" s="22">
        <v>272</v>
      </c>
      <c r="BC282" s="22">
        <v>1.26892</v>
      </c>
      <c r="BD282">
        <f t="shared" si="58"/>
        <v>15.646400000000002</v>
      </c>
      <c r="BE282">
        <f t="shared" si="59"/>
        <v>19.865921152000002</v>
      </c>
    </row>
    <row r="283" spans="6:101">
      <c r="F283" s="9"/>
      <c r="G283" s="22">
        <v>0.42526199999999997</v>
      </c>
      <c r="H283" s="22">
        <v>100.739</v>
      </c>
      <c r="I283" s="22">
        <v>-1.61041E-2</v>
      </c>
      <c r="J283" s="22">
        <v>273</v>
      </c>
      <c r="K283" s="22">
        <v>0.42440800000000001</v>
      </c>
      <c r="L283">
        <f t="shared" si="48"/>
        <v>16.104099999999999</v>
      </c>
      <c r="M283">
        <f t="shared" si="49"/>
        <v>6.8484617741999996</v>
      </c>
      <c r="N283" s="9"/>
      <c r="O283" s="22">
        <v>1.2747200000000001</v>
      </c>
      <c r="P283" s="22">
        <v>208.02500000000001</v>
      </c>
      <c r="Q283" s="22">
        <v>-1.56189E-2</v>
      </c>
      <c r="R283" s="22">
        <v>273</v>
      </c>
      <c r="S283" s="22">
        <v>1.27441</v>
      </c>
      <c r="T283">
        <f t="shared" si="50"/>
        <v>15.6189</v>
      </c>
      <c r="U283">
        <f t="shared" si="51"/>
        <v>19.909724208</v>
      </c>
      <c r="X283" s="9"/>
      <c r="Y283" s="22">
        <v>0.42526199999999997</v>
      </c>
      <c r="Z283" s="22">
        <v>290.53899999999999</v>
      </c>
      <c r="AA283" s="22">
        <v>-1.6137700000000001E-2</v>
      </c>
      <c r="AB283" s="22">
        <v>273</v>
      </c>
      <c r="AC283" s="22">
        <v>0.42453000000000002</v>
      </c>
      <c r="AD283">
        <f t="shared" si="52"/>
        <v>16.137700000000002</v>
      </c>
      <c r="AE283">
        <f t="shared" si="53"/>
        <v>6.8627505774000008</v>
      </c>
      <c r="AF283" s="9"/>
      <c r="AG283" s="22">
        <v>1.2747200000000001</v>
      </c>
      <c r="AH283" s="22">
        <v>375.63299999999998</v>
      </c>
      <c r="AI283" s="22">
        <v>-1.5634200000000001E-2</v>
      </c>
      <c r="AJ283" s="22">
        <v>273</v>
      </c>
      <c r="AK283" s="22">
        <v>1.2738</v>
      </c>
      <c r="AL283">
        <f t="shared" si="54"/>
        <v>15.634200000000002</v>
      </c>
      <c r="AM283">
        <f t="shared" si="55"/>
        <v>19.929227424000004</v>
      </c>
      <c r="AP283" s="9"/>
      <c r="AQ283" s="22">
        <v>0.42526199999999997</v>
      </c>
      <c r="AR283" s="22">
        <v>459.03199999999998</v>
      </c>
      <c r="AS283" s="22">
        <v>-1.6153000000000001E-2</v>
      </c>
      <c r="AT283" s="22">
        <v>273</v>
      </c>
      <c r="AU283" s="22">
        <v>0.42453000000000002</v>
      </c>
      <c r="AV283">
        <f t="shared" si="56"/>
        <v>16.153000000000002</v>
      </c>
      <c r="AW283">
        <f t="shared" si="57"/>
        <v>6.8692570860000002</v>
      </c>
      <c r="AX283" s="9"/>
      <c r="AY283" s="22">
        <v>1.2747200000000001</v>
      </c>
      <c r="AZ283" s="22">
        <v>580.96699999999998</v>
      </c>
      <c r="BA283" s="22">
        <v>-1.56372E-2</v>
      </c>
      <c r="BB283" s="22">
        <v>273</v>
      </c>
      <c r="BC283" s="22">
        <v>1.2738</v>
      </c>
      <c r="BD283">
        <f t="shared" si="58"/>
        <v>15.6372</v>
      </c>
      <c r="BE283">
        <f t="shared" si="59"/>
        <v>19.933051584000001</v>
      </c>
    </row>
    <row r="284" spans="6:101">
      <c r="F284" s="9"/>
      <c r="G284" s="22">
        <v>0.42022700000000002</v>
      </c>
      <c r="H284" s="22">
        <v>100.839</v>
      </c>
      <c r="I284" s="22">
        <v>-1.6098000000000001E-2</v>
      </c>
      <c r="J284" s="22">
        <v>274</v>
      </c>
      <c r="K284" s="22">
        <v>0.41952499999999998</v>
      </c>
      <c r="L284">
        <f t="shared" si="48"/>
        <v>16.098000000000003</v>
      </c>
      <c r="M284">
        <f t="shared" si="49"/>
        <v>6.7648142460000011</v>
      </c>
      <c r="N284" s="9"/>
      <c r="O284" s="22">
        <v>1.2797499999999999</v>
      </c>
      <c r="P284" s="22">
        <v>208.126</v>
      </c>
      <c r="Q284" s="22">
        <v>-1.56189E-2</v>
      </c>
      <c r="R284" s="22">
        <v>274</v>
      </c>
      <c r="S284" s="22">
        <v>1.2789900000000001</v>
      </c>
      <c r="T284">
        <f t="shared" si="50"/>
        <v>15.6189</v>
      </c>
      <c r="U284">
        <f t="shared" si="51"/>
        <v>19.988287274999998</v>
      </c>
      <c r="X284" s="9"/>
      <c r="Y284" s="22">
        <v>0.42022700000000002</v>
      </c>
      <c r="Z284" s="22">
        <v>290.63900000000001</v>
      </c>
      <c r="AA284" s="22">
        <v>-1.6140700000000001E-2</v>
      </c>
      <c r="AB284" s="22">
        <v>274</v>
      </c>
      <c r="AC284" s="22">
        <v>0.41958600000000001</v>
      </c>
      <c r="AD284">
        <f t="shared" si="52"/>
        <v>16.140700000000002</v>
      </c>
      <c r="AE284">
        <f t="shared" si="53"/>
        <v>6.7827579389000014</v>
      </c>
      <c r="AF284" s="9"/>
      <c r="AG284" s="22">
        <v>1.2797499999999999</v>
      </c>
      <c r="AH284" s="22">
        <v>375.73399999999998</v>
      </c>
      <c r="AI284" s="22">
        <v>-1.5631099999999998E-2</v>
      </c>
      <c r="AJ284" s="22">
        <v>274</v>
      </c>
      <c r="AK284" s="22">
        <v>1.2796000000000001</v>
      </c>
      <c r="AL284">
        <f t="shared" si="54"/>
        <v>15.631099999999998</v>
      </c>
      <c r="AM284">
        <f t="shared" si="55"/>
        <v>20.003900224999995</v>
      </c>
      <c r="AP284" s="9"/>
      <c r="AQ284" s="22">
        <v>0.42022700000000002</v>
      </c>
      <c r="AR284" s="22">
        <v>459.13299999999998</v>
      </c>
      <c r="AS284" s="22">
        <v>-1.6149899999999998E-2</v>
      </c>
      <c r="AT284" s="22">
        <v>274</v>
      </c>
      <c r="AU284" s="22">
        <v>0.41958600000000001</v>
      </c>
      <c r="AV284">
        <f t="shared" si="56"/>
        <v>16.149899999999999</v>
      </c>
      <c r="AW284">
        <f t="shared" si="57"/>
        <v>6.7866240272999994</v>
      </c>
      <c r="AX284" s="9"/>
      <c r="AY284" s="22">
        <v>1.2797499999999999</v>
      </c>
      <c r="AZ284" s="22">
        <v>581.06700000000001</v>
      </c>
      <c r="BA284" s="22">
        <v>-1.5628099999999999E-2</v>
      </c>
      <c r="BB284" s="22">
        <v>274</v>
      </c>
      <c r="BC284" s="22">
        <v>1.2789900000000001</v>
      </c>
      <c r="BD284">
        <f t="shared" si="58"/>
        <v>15.628099999999998</v>
      </c>
      <c r="BE284">
        <f t="shared" si="59"/>
        <v>20.000060974999997</v>
      </c>
    </row>
    <row r="285" spans="6:101">
      <c r="F285" s="9"/>
      <c r="G285" s="22">
        <v>0.41519200000000001</v>
      </c>
      <c r="H285" s="22">
        <v>100.94</v>
      </c>
      <c r="I285" s="22">
        <v>-1.6098000000000001E-2</v>
      </c>
      <c r="J285" s="22">
        <v>275</v>
      </c>
      <c r="K285" s="22">
        <v>0.41458099999999998</v>
      </c>
      <c r="L285">
        <f t="shared" si="48"/>
        <v>16.098000000000003</v>
      </c>
      <c r="M285">
        <f t="shared" si="49"/>
        <v>6.6837608160000013</v>
      </c>
      <c r="N285" s="9"/>
      <c r="O285" s="22">
        <v>1.2847900000000001</v>
      </c>
      <c r="P285" s="22">
        <v>208.227</v>
      </c>
      <c r="Q285" s="22">
        <v>-1.5609700000000001E-2</v>
      </c>
      <c r="R285" s="22">
        <v>275</v>
      </c>
      <c r="S285" s="22">
        <v>1.2841800000000001</v>
      </c>
      <c r="T285">
        <f t="shared" si="50"/>
        <v>15.6097</v>
      </c>
      <c r="U285">
        <f t="shared" si="51"/>
        <v>20.055186463000002</v>
      </c>
      <c r="X285" s="9"/>
      <c r="Y285" s="22">
        <v>0.41519200000000001</v>
      </c>
      <c r="Z285" s="22">
        <v>290.74</v>
      </c>
      <c r="AA285" s="22">
        <v>-1.61438E-2</v>
      </c>
      <c r="AB285" s="22">
        <v>275</v>
      </c>
      <c r="AC285" s="22">
        <v>0.41464200000000001</v>
      </c>
      <c r="AD285">
        <f t="shared" si="52"/>
        <v>16.143799999999999</v>
      </c>
      <c r="AE285">
        <f t="shared" si="53"/>
        <v>6.7027766095999999</v>
      </c>
      <c r="AF285" s="9"/>
      <c r="AG285" s="22">
        <v>1.2847900000000001</v>
      </c>
      <c r="AH285" s="22">
        <v>375.834</v>
      </c>
      <c r="AI285" s="22">
        <v>-1.56189E-2</v>
      </c>
      <c r="AJ285" s="22">
        <v>275</v>
      </c>
      <c r="AK285" s="22">
        <v>1.2841800000000001</v>
      </c>
      <c r="AL285">
        <f t="shared" si="54"/>
        <v>15.6189</v>
      </c>
      <c r="AM285">
        <f t="shared" si="55"/>
        <v>20.067006531000001</v>
      </c>
      <c r="AP285" s="9"/>
      <c r="AQ285" s="22">
        <v>0.41519200000000001</v>
      </c>
      <c r="AR285" s="22">
        <v>459.23399999999998</v>
      </c>
      <c r="AS285" s="22">
        <v>-1.6156E-2</v>
      </c>
      <c r="AT285" s="22">
        <v>275</v>
      </c>
      <c r="AU285" s="22">
        <v>0.41449000000000003</v>
      </c>
      <c r="AV285">
        <f t="shared" si="56"/>
        <v>16.155999999999999</v>
      </c>
      <c r="AW285">
        <f t="shared" si="57"/>
        <v>6.7078419519999999</v>
      </c>
      <c r="AX285" s="9"/>
      <c r="AY285" s="22">
        <v>1.2847900000000001</v>
      </c>
      <c r="AZ285" s="22">
        <v>581.16800000000001</v>
      </c>
      <c r="BA285" s="22">
        <v>-1.56128E-2</v>
      </c>
      <c r="BB285" s="22">
        <v>275</v>
      </c>
      <c r="BC285" s="22">
        <v>1.2838700000000001</v>
      </c>
      <c r="BD285">
        <f t="shared" si="58"/>
        <v>15.6128</v>
      </c>
      <c r="BE285">
        <f t="shared" si="59"/>
        <v>20.059169312000002</v>
      </c>
    </row>
    <row r="286" spans="6:101">
      <c r="F286" s="9"/>
      <c r="G286" s="22">
        <v>0.41015600000000002</v>
      </c>
      <c r="H286" s="22">
        <v>101.041</v>
      </c>
      <c r="I286" s="22">
        <v>-1.6095000000000002E-2</v>
      </c>
      <c r="J286" s="22">
        <v>276</v>
      </c>
      <c r="K286" s="22">
        <v>0.40942400000000001</v>
      </c>
      <c r="L286">
        <f t="shared" si="48"/>
        <v>16.095000000000002</v>
      </c>
      <c r="M286">
        <f t="shared" si="49"/>
        <v>6.6014608200000016</v>
      </c>
      <c r="N286" s="9"/>
      <c r="O286" s="22">
        <v>1.28983</v>
      </c>
      <c r="P286" s="22">
        <v>208.327</v>
      </c>
      <c r="Q286" s="22">
        <v>-1.55914E-2</v>
      </c>
      <c r="R286" s="22">
        <v>276</v>
      </c>
      <c r="S286" s="22">
        <v>1.2890600000000001</v>
      </c>
      <c r="T286">
        <f t="shared" si="50"/>
        <v>15.5914</v>
      </c>
      <c r="U286">
        <f t="shared" si="51"/>
        <v>20.110255462000001</v>
      </c>
      <c r="X286" s="9"/>
      <c r="Y286" s="22">
        <v>0.41015600000000002</v>
      </c>
      <c r="Z286" s="22">
        <v>290.84100000000001</v>
      </c>
      <c r="AA286" s="22">
        <v>-1.6140700000000001E-2</v>
      </c>
      <c r="AB286" s="22">
        <v>276</v>
      </c>
      <c r="AC286" s="22">
        <v>0.40939300000000001</v>
      </c>
      <c r="AD286">
        <f t="shared" si="52"/>
        <v>16.140700000000002</v>
      </c>
      <c r="AE286">
        <f t="shared" si="53"/>
        <v>6.6202049492000015</v>
      </c>
      <c r="AF286" s="9"/>
      <c r="AG286" s="22">
        <v>1.28983</v>
      </c>
      <c r="AH286" s="22">
        <v>375.935</v>
      </c>
      <c r="AI286" s="22">
        <v>-1.56128E-2</v>
      </c>
      <c r="AJ286" s="22">
        <v>276</v>
      </c>
      <c r="AK286" s="22">
        <v>1.2893699999999999</v>
      </c>
      <c r="AL286">
        <f t="shared" si="54"/>
        <v>15.6128</v>
      </c>
      <c r="AM286">
        <f t="shared" si="55"/>
        <v>20.137857824000001</v>
      </c>
      <c r="AP286" s="9"/>
      <c r="AQ286" s="22">
        <v>0.41015600000000002</v>
      </c>
      <c r="AR286" s="22">
        <v>459.33499999999998</v>
      </c>
      <c r="AS286" s="22">
        <v>-1.6159099999999999E-2</v>
      </c>
      <c r="AT286" s="22">
        <v>276</v>
      </c>
      <c r="AU286" s="22">
        <v>0.40939300000000001</v>
      </c>
      <c r="AV286">
        <f t="shared" si="56"/>
        <v>16.159099999999999</v>
      </c>
      <c r="AW286">
        <f t="shared" si="57"/>
        <v>6.6277518195999994</v>
      </c>
      <c r="AX286" s="9"/>
      <c r="AY286" s="22">
        <v>1.28983</v>
      </c>
      <c r="AZ286" s="22">
        <v>581.26900000000001</v>
      </c>
      <c r="BA286" s="22">
        <v>-1.5606699999999999E-2</v>
      </c>
      <c r="BB286" s="22">
        <v>276</v>
      </c>
      <c r="BC286" s="22">
        <v>1.2884500000000001</v>
      </c>
      <c r="BD286">
        <f t="shared" si="58"/>
        <v>15.6067</v>
      </c>
      <c r="BE286">
        <f t="shared" si="59"/>
        <v>20.129989861000002</v>
      </c>
    </row>
    <row r="287" spans="6:101">
      <c r="F287" s="9"/>
      <c r="G287" s="22">
        <v>0.40512100000000001</v>
      </c>
      <c r="H287" s="22">
        <v>101.14100000000001</v>
      </c>
      <c r="I287" s="22">
        <v>-1.6095000000000002E-2</v>
      </c>
      <c r="J287" s="22">
        <v>277</v>
      </c>
      <c r="K287" s="22">
        <v>0.40448000000000001</v>
      </c>
      <c r="L287">
        <f t="shared" si="48"/>
        <v>16.095000000000002</v>
      </c>
      <c r="M287">
        <f t="shared" si="49"/>
        <v>6.5204224950000009</v>
      </c>
      <c r="N287" s="9"/>
      <c r="O287" s="22">
        <v>1.2948599999999999</v>
      </c>
      <c r="P287" s="22">
        <v>208.428</v>
      </c>
      <c r="Q287" s="22">
        <v>-1.55853E-2</v>
      </c>
      <c r="R287" s="22">
        <v>277</v>
      </c>
      <c r="S287" s="22">
        <v>1.2942499999999999</v>
      </c>
      <c r="T287">
        <f t="shared" si="50"/>
        <v>15.5853</v>
      </c>
      <c r="U287">
        <f t="shared" si="51"/>
        <v>20.180781558</v>
      </c>
      <c r="X287" s="9"/>
      <c r="Y287" s="22">
        <v>0.40512100000000001</v>
      </c>
      <c r="Z287" s="22">
        <v>290.94099999999997</v>
      </c>
      <c r="AA287" s="22">
        <v>-1.6146899999999999E-2</v>
      </c>
      <c r="AB287" s="22">
        <v>277</v>
      </c>
      <c r="AC287" s="22">
        <v>0.40432699999999999</v>
      </c>
      <c r="AD287">
        <f t="shared" si="52"/>
        <v>16.146899999999999</v>
      </c>
      <c r="AE287">
        <f t="shared" si="53"/>
        <v>6.5414482748999996</v>
      </c>
      <c r="AF287" s="9"/>
      <c r="AG287" s="22">
        <v>1.2948599999999999</v>
      </c>
      <c r="AH287" s="22">
        <v>376.036</v>
      </c>
      <c r="AI287" s="22">
        <v>-1.5609700000000001E-2</v>
      </c>
      <c r="AJ287" s="22">
        <v>277</v>
      </c>
      <c r="AK287" s="22">
        <v>1.2942499999999999</v>
      </c>
      <c r="AL287">
        <f t="shared" si="54"/>
        <v>15.6097</v>
      </c>
      <c r="AM287">
        <f t="shared" si="55"/>
        <v>20.212376142</v>
      </c>
      <c r="AP287" s="9"/>
      <c r="AQ287" s="22">
        <v>0.40512100000000001</v>
      </c>
      <c r="AR287" s="22">
        <v>459.435</v>
      </c>
      <c r="AS287" s="22">
        <v>-1.6156E-2</v>
      </c>
      <c r="AT287" s="22">
        <v>277</v>
      </c>
      <c r="AU287" s="22">
        <v>0.40448000000000001</v>
      </c>
      <c r="AV287">
        <f t="shared" si="56"/>
        <v>16.155999999999999</v>
      </c>
      <c r="AW287">
        <f t="shared" si="57"/>
        <v>6.5451348759999997</v>
      </c>
      <c r="AX287" s="9"/>
      <c r="AY287" s="22">
        <v>1.2948599999999999</v>
      </c>
      <c r="AZ287" s="22">
        <v>581.36900000000003</v>
      </c>
      <c r="BA287" s="22">
        <v>-1.55975E-2</v>
      </c>
      <c r="BB287" s="22">
        <v>277</v>
      </c>
      <c r="BC287" s="22">
        <v>1.2942499999999999</v>
      </c>
      <c r="BD287">
        <f t="shared" si="58"/>
        <v>15.5975</v>
      </c>
      <c r="BE287">
        <f t="shared" si="59"/>
        <v>20.196578849999998</v>
      </c>
    </row>
    <row r="288" spans="6:101">
      <c r="F288" s="9"/>
      <c r="G288" s="22">
        <v>0.40008500000000002</v>
      </c>
      <c r="H288" s="22">
        <v>101.242</v>
      </c>
      <c r="I288" s="22">
        <v>-1.60889E-2</v>
      </c>
      <c r="J288" s="22">
        <v>278</v>
      </c>
      <c r="K288" s="22">
        <v>0.39941399999999999</v>
      </c>
      <c r="L288">
        <f t="shared" si="48"/>
        <v>16.088899999999999</v>
      </c>
      <c r="M288">
        <f t="shared" si="49"/>
        <v>6.4369275564999997</v>
      </c>
      <c r="N288" s="9"/>
      <c r="O288" s="22">
        <v>1.2999000000000001</v>
      </c>
      <c r="P288" s="22">
        <v>208.529</v>
      </c>
      <c r="Q288" s="22">
        <v>-1.55823E-2</v>
      </c>
      <c r="R288" s="22">
        <v>278</v>
      </c>
      <c r="S288" s="22">
        <v>1.2991299999999999</v>
      </c>
      <c r="T288">
        <f t="shared" si="50"/>
        <v>15.5823</v>
      </c>
      <c r="U288">
        <f t="shared" si="51"/>
        <v>20.255431770000001</v>
      </c>
      <c r="X288" s="9"/>
      <c r="Y288" s="22">
        <v>0.40008500000000002</v>
      </c>
      <c r="Z288" s="22">
        <v>291.04199999999997</v>
      </c>
      <c r="AA288" s="22">
        <v>-1.6146899999999999E-2</v>
      </c>
      <c r="AB288" s="22">
        <v>278</v>
      </c>
      <c r="AC288" s="22">
        <v>0.39932299999999998</v>
      </c>
      <c r="AD288">
        <f t="shared" si="52"/>
        <v>16.146899999999999</v>
      </c>
      <c r="AE288">
        <f t="shared" si="53"/>
        <v>6.4601324865</v>
      </c>
      <c r="AF288" s="9"/>
      <c r="AG288" s="22">
        <v>1.2999000000000001</v>
      </c>
      <c r="AH288" s="22">
        <v>376.137</v>
      </c>
      <c r="AI288" s="22">
        <v>-1.56036E-2</v>
      </c>
      <c r="AJ288" s="22">
        <v>278</v>
      </c>
      <c r="AK288" s="22">
        <v>1.2991299999999999</v>
      </c>
      <c r="AL288">
        <f t="shared" si="54"/>
        <v>15.6036</v>
      </c>
      <c r="AM288">
        <f t="shared" si="55"/>
        <v>20.283119640000002</v>
      </c>
      <c r="AP288" s="9"/>
      <c r="AQ288" s="22">
        <v>0.40008500000000002</v>
      </c>
      <c r="AR288" s="22">
        <v>459.536</v>
      </c>
      <c r="AS288" s="22">
        <v>-1.6174299999999999E-2</v>
      </c>
      <c r="AT288" s="22">
        <v>278</v>
      </c>
      <c r="AU288" s="22">
        <v>0.399536</v>
      </c>
      <c r="AV288">
        <f t="shared" si="56"/>
        <v>16.174299999999999</v>
      </c>
      <c r="AW288">
        <f t="shared" si="57"/>
        <v>6.4710948154999999</v>
      </c>
      <c r="AX288" s="9"/>
      <c r="AY288" s="22">
        <v>1.2999000000000001</v>
      </c>
      <c r="AZ288" s="22">
        <v>581.47</v>
      </c>
      <c r="BA288" s="22">
        <v>-1.55914E-2</v>
      </c>
      <c r="BB288" s="22">
        <v>278</v>
      </c>
      <c r="BC288" s="22">
        <v>1.2991299999999999</v>
      </c>
      <c r="BD288">
        <f t="shared" si="58"/>
        <v>15.5914</v>
      </c>
      <c r="BE288">
        <f t="shared" si="59"/>
        <v>20.26726086</v>
      </c>
    </row>
    <row r="289" spans="6:57">
      <c r="F289" s="9"/>
      <c r="G289" s="22">
        <v>0.39505000000000001</v>
      </c>
      <c r="H289" s="22">
        <v>101.343</v>
      </c>
      <c r="I289" s="22">
        <v>-1.60889E-2</v>
      </c>
      <c r="J289" s="22">
        <v>279</v>
      </c>
      <c r="K289" s="22">
        <v>0.39446999999999999</v>
      </c>
      <c r="L289">
        <f t="shared" si="48"/>
        <v>16.088899999999999</v>
      </c>
      <c r="M289">
        <f t="shared" si="49"/>
        <v>6.3559199450000001</v>
      </c>
      <c r="N289" s="9"/>
      <c r="O289" s="22">
        <v>1.3049299999999999</v>
      </c>
      <c r="P289" s="22">
        <v>208.63</v>
      </c>
      <c r="Q289" s="22">
        <v>-1.5573099999999999E-2</v>
      </c>
      <c r="R289" s="22">
        <v>279</v>
      </c>
      <c r="S289" s="22">
        <v>1.30463</v>
      </c>
      <c r="T289">
        <f t="shared" si="50"/>
        <v>15.5731</v>
      </c>
      <c r="U289">
        <f t="shared" si="51"/>
        <v>20.321805382999997</v>
      </c>
      <c r="X289" s="9"/>
      <c r="Y289" s="22">
        <v>0.39505000000000001</v>
      </c>
      <c r="Z289" s="22">
        <v>291.14299999999997</v>
      </c>
      <c r="AA289" s="22">
        <v>-1.6149899999999998E-2</v>
      </c>
      <c r="AB289" s="22">
        <v>279</v>
      </c>
      <c r="AC289" s="22">
        <v>0.39444000000000001</v>
      </c>
      <c r="AD289">
        <f t="shared" si="52"/>
        <v>16.149899999999999</v>
      </c>
      <c r="AE289">
        <f t="shared" si="53"/>
        <v>6.3800179949999993</v>
      </c>
      <c r="AF289" s="9"/>
      <c r="AG289" s="22">
        <v>1.3049299999999999</v>
      </c>
      <c r="AH289" s="22">
        <v>376.23700000000002</v>
      </c>
      <c r="AI289" s="22">
        <v>-1.55975E-2</v>
      </c>
      <c r="AJ289" s="22">
        <v>279</v>
      </c>
      <c r="AK289" s="22">
        <v>1.30463</v>
      </c>
      <c r="AL289">
        <f t="shared" si="54"/>
        <v>15.5975</v>
      </c>
      <c r="AM289">
        <f t="shared" si="55"/>
        <v>20.353645674999999</v>
      </c>
      <c r="AP289" s="9"/>
      <c r="AQ289" s="22">
        <v>0.39505000000000001</v>
      </c>
      <c r="AR289" s="22">
        <v>459.637</v>
      </c>
      <c r="AS289" s="22">
        <v>-1.6156E-2</v>
      </c>
      <c r="AT289" s="22">
        <v>279</v>
      </c>
      <c r="AU289" s="22">
        <v>0.394318</v>
      </c>
      <c r="AV289">
        <f t="shared" si="56"/>
        <v>16.155999999999999</v>
      </c>
      <c r="AW289">
        <f t="shared" si="57"/>
        <v>6.3824277999999994</v>
      </c>
      <c r="AX289" s="9"/>
      <c r="AY289" s="22">
        <v>1.3049299999999999</v>
      </c>
      <c r="AZ289" s="22">
        <v>581.57100000000003</v>
      </c>
      <c r="BA289" s="22">
        <v>-1.55762E-2</v>
      </c>
      <c r="BB289" s="22">
        <v>279</v>
      </c>
      <c r="BC289" s="22">
        <v>1.30402</v>
      </c>
      <c r="BD289">
        <f t="shared" si="58"/>
        <v>15.5762</v>
      </c>
      <c r="BE289">
        <f t="shared" si="59"/>
        <v>20.325850665999997</v>
      </c>
    </row>
    <row r="290" spans="6:57">
      <c r="F290" s="9"/>
      <c r="G290" s="22">
        <v>0.390015</v>
      </c>
      <c r="H290" s="22">
        <v>101.443</v>
      </c>
      <c r="I290" s="22">
        <v>-1.6091899999999999E-2</v>
      </c>
      <c r="J290" s="22">
        <v>280</v>
      </c>
      <c r="K290" s="22">
        <v>0.38931300000000002</v>
      </c>
      <c r="L290">
        <f t="shared" si="48"/>
        <v>16.091899999999999</v>
      </c>
      <c r="M290">
        <f t="shared" si="49"/>
        <v>6.2760823784999999</v>
      </c>
      <c r="N290" s="9"/>
      <c r="O290" s="22">
        <v>1.3099700000000001</v>
      </c>
      <c r="P290" s="22">
        <v>208.73</v>
      </c>
      <c r="Q290" s="22">
        <v>-1.5573099999999999E-2</v>
      </c>
      <c r="R290" s="22">
        <v>280</v>
      </c>
      <c r="S290" s="22">
        <v>1.3089</v>
      </c>
      <c r="T290">
        <f t="shared" si="50"/>
        <v>15.5731</v>
      </c>
      <c r="U290">
        <f t="shared" si="51"/>
        <v>20.400293807000001</v>
      </c>
      <c r="X290" s="9"/>
      <c r="Y290" s="22">
        <v>0.390015</v>
      </c>
      <c r="Z290" s="22">
        <v>291.24400000000003</v>
      </c>
      <c r="AA290" s="22">
        <v>-1.6146899999999999E-2</v>
      </c>
      <c r="AB290" s="22">
        <v>280</v>
      </c>
      <c r="AC290" s="22">
        <v>0.38940399999999997</v>
      </c>
      <c r="AD290">
        <f t="shared" si="52"/>
        <v>16.146899999999999</v>
      </c>
      <c r="AE290">
        <f t="shared" si="53"/>
        <v>6.2975332034999996</v>
      </c>
      <c r="AF290" s="9"/>
      <c r="AG290" s="22">
        <v>1.3099700000000001</v>
      </c>
      <c r="AH290" s="22">
        <v>376.33800000000002</v>
      </c>
      <c r="AI290" s="22">
        <v>-1.5588400000000001E-2</v>
      </c>
      <c r="AJ290" s="22">
        <v>280</v>
      </c>
      <c r="AK290" s="22">
        <v>1.3091999999999999</v>
      </c>
      <c r="AL290">
        <f t="shared" si="54"/>
        <v>15.5884</v>
      </c>
      <c r="AM290">
        <f t="shared" si="55"/>
        <v>20.420336348000003</v>
      </c>
      <c r="AP290" s="9"/>
      <c r="AQ290" s="22">
        <v>0.390015</v>
      </c>
      <c r="AR290" s="22">
        <v>459.73700000000002</v>
      </c>
      <c r="AS290" s="22">
        <v>-1.6153000000000001E-2</v>
      </c>
      <c r="AT290" s="22">
        <v>280</v>
      </c>
      <c r="AU290" s="22">
        <v>0.38912999999999998</v>
      </c>
      <c r="AV290">
        <f t="shared" si="56"/>
        <v>16.153000000000002</v>
      </c>
      <c r="AW290">
        <f t="shared" si="57"/>
        <v>6.2999122950000013</v>
      </c>
      <c r="AX290" s="9"/>
      <c r="AY290" s="22">
        <v>1.3099700000000001</v>
      </c>
      <c r="AZ290" s="22">
        <v>581.67100000000005</v>
      </c>
      <c r="BA290" s="22">
        <v>-1.5564E-2</v>
      </c>
      <c r="BB290" s="22">
        <v>280</v>
      </c>
      <c r="BC290" s="22">
        <v>1.30951</v>
      </c>
      <c r="BD290">
        <f t="shared" si="58"/>
        <v>15.564</v>
      </c>
      <c r="BE290">
        <f t="shared" si="59"/>
        <v>20.388373080000001</v>
      </c>
    </row>
    <row r="291" spans="6:57">
      <c r="F291" s="9"/>
      <c r="G291" s="22">
        <v>0.38497900000000002</v>
      </c>
      <c r="H291" s="22">
        <v>101.544</v>
      </c>
      <c r="I291" s="22">
        <v>-1.6091899999999999E-2</v>
      </c>
      <c r="J291" s="22">
        <v>281</v>
      </c>
      <c r="K291" s="22">
        <v>0.38439899999999999</v>
      </c>
      <c r="L291">
        <f t="shared" si="48"/>
        <v>16.091899999999999</v>
      </c>
      <c r="M291">
        <f t="shared" si="49"/>
        <v>6.1950435701000002</v>
      </c>
      <c r="N291" s="9"/>
      <c r="O291" s="22">
        <v>1.3149999999999999</v>
      </c>
      <c r="P291" s="22">
        <v>208.83099999999999</v>
      </c>
      <c r="Q291" s="22">
        <v>-1.55487E-2</v>
      </c>
      <c r="R291" s="22">
        <v>281</v>
      </c>
      <c r="S291" s="22">
        <v>1.31409</v>
      </c>
      <c r="T291">
        <f t="shared" si="50"/>
        <v>15.5487</v>
      </c>
      <c r="U291">
        <f t="shared" si="51"/>
        <v>20.446540500000001</v>
      </c>
      <c r="X291" s="9"/>
      <c r="Y291" s="22">
        <v>0.38497900000000002</v>
      </c>
      <c r="Z291" s="22">
        <v>291.34399999999999</v>
      </c>
      <c r="AA291" s="22">
        <v>-1.6153000000000001E-2</v>
      </c>
      <c r="AB291" s="22">
        <v>281</v>
      </c>
      <c r="AC291" s="22">
        <v>0.38436900000000002</v>
      </c>
      <c r="AD291">
        <f t="shared" si="52"/>
        <v>16.153000000000002</v>
      </c>
      <c r="AE291">
        <f t="shared" si="53"/>
        <v>6.2185657870000011</v>
      </c>
      <c r="AF291" s="9"/>
      <c r="AG291" s="22">
        <v>1.3149999999999999</v>
      </c>
      <c r="AH291" s="22">
        <v>376.43900000000002</v>
      </c>
      <c r="AI291" s="22">
        <v>-1.5573099999999999E-2</v>
      </c>
      <c r="AJ291" s="22">
        <v>281</v>
      </c>
      <c r="AK291" s="22">
        <v>1.31409</v>
      </c>
      <c r="AL291">
        <f t="shared" si="54"/>
        <v>15.5731</v>
      </c>
      <c r="AM291">
        <f t="shared" si="55"/>
        <v>20.478626500000001</v>
      </c>
      <c r="AP291" s="9"/>
      <c r="AQ291" s="22">
        <v>0.38497900000000002</v>
      </c>
      <c r="AR291" s="22">
        <v>459.83800000000002</v>
      </c>
      <c r="AS291" s="22">
        <v>-1.6168200000000001E-2</v>
      </c>
      <c r="AT291" s="22">
        <v>281</v>
      </c>
      <c r="AU291" s="22">
        <v>0.38427699999999998</v>
      </c>
      <c r="AV291">
        <f t="shared" si="56"/>
        <v>16.168200000000002</v>
      </c>
      <c r="AW291">
        <f t="shared" si="57"/>
        <v>6.2244174678000013</v>
      </c>
      <c r="AX291" s="9"/>
      <c r="AY291" s="22">
        <v>1.3149999999999999</v>
      </c>
      <c r="AZ291" s="22">
        <v>581.77200000000005</v>
      </c>
      <c r="BA291" s="22">
        <v>-1.5564E-2</v>
      </c>
      <c r="BB291" s="22">
        <v>281</v>
      </c>
      <c r="BC291" s="22">
        <v>1.3143899999999999</v>
      </c>
      <c r="BD291">
        <f t="shared" si="58"/>
        <v>15.564</v>
      </c>
      <c r="BE291">
        <f t="shared" si="59"/>
        <v>20.466660000000001</v>
      </c>
    </row>
    <row r="292" spans="6:57">
      <c r="F292" s="9"/>
      <c r="G292" s="22">
        <v>0.379944</v>
      </c>
      <c r="H292" s="22">
        <v>101.645</v>
      </c>
      <c r="I292" s="22">
        <v>-1.61011E-2</v>
      </c>
      <c r="J292" s="22">
        <v>282</v>
      </c>
      <c r="K292" s="22">
        <v>0.37902799999999998</v>
      </c>
      <c r="L292">
        <f t="shared" si="48"/>
        <v>16.101099999999999</v>
      </c>
      <c r="M292">
        <f t="shared" si="49"/>
        <v>6.1175163383999998</v>
      </c>
      <c r="N292" s="9"/>
      <c r="O292" s="22">
        <v>1.3200400000000001</v>
      </c>
      <c r="P292" s="22">
        <v>208.93199999999999</v>
      </c>
      <c r="Q292" s="22">
        <v>-1.55304E-2</v>
      </c>
      <c r="R292" s="22">
        <v>282</v>
      </c>
      <c r="S292" s="22">
        <v>1.3192699999999999</v>
      </c>
      <c r="T292">
        <f t="shared" si="50"/>
        <v>15.5304</v>
      </c>
      <c r="U292">
        <f t="shared" si="51"/>
        <v>20.500749216000003</v>
      </c>
      <c r="X292" s="9"/>
      <c r="Y292" s="22">
        <v>0.379944</v>
      </c>
      <c r="Z292" s="22">
        <v>291.44499999999999</v>
      </c>
      <c r="AA292" s="22">
        <v>-1.61438E-2</v>
      </c>
      <c r="AB292" s="22">
        <v>282</v>
      </c>
      <c r="AC292" s="22">
        <v>0.37936399999999998</v>
      </c>
      <c r="AD292">
        <f t="shared" si="52"/>
        <v>16.143799999999999</v>
      </c>
      <c r="AE292">
        <f t="shared" si="53"/>
        <v>6.1337399471999996</v>
      </c>
      <c r="AF292" s="9"/>
      <c r="AG292" s="22">
        <v>1.3200400000000001</v>
      </c>
      <c r="AH292" s="22">
        <v>376.53899999999999</v>
      </c>
      <c r="AI292" s="22">
        <v>-1.5554800000000001E-2</v>
      </c>
      <c r="AJ292" s="22">
        <v>282</v>
      </c>
      <c r="AK292" s="22">
        <v>1.3192699999999999</v>
      </c>
      <c r="AL292">
        <f t="shared" si="54"/>
        <v>15.5548</v>
      </c>
      <c r="AM292">
        <f t="shared" si="55"/>
        <v>20.532958192000002</v>
      </c>
      <c r="AP292" s="9"/>
      <c r="AQ292" s="22">
        <v>0.379944</v>
      </c>
      <c r="AR292" s="22">
        <v>459.93900000000002</v>
      </c>
      <c r="AS292" s="22">
        <v>-1.6165200000000001E-2</v>
      </c>
      <c r="AT292" s="22">
        <v>282</v>
      </c>
      <c r="AU292" s="22">
        <v>0.37933299999999998</v>
      </c>
      <c r="AV292">
        <f t="shared" si="56"/>
        <v>16.165200000000002</v>
      </c>
      <c r="AW292">
        <f t="shared" si="57"/>
        <v>6.1418707488000006</v>
      </c>
      <c r="AX292" s="9"/>
      <c r="AY292" s="22">
        <v>1.3200400000000001</v>
      </c>
      <c r="AZ292" s="22">
        <v>581.87300000000005</v>
      </c>
      <c r="BA292" s="22">
        <v>-1.5539600000000001E-2</v>
      </c>
      <c r="BB292" s="22">
        <v>282</v>
      </c>
      <c r="BC292" s="22">
        <v>1.3192699999999999</v>
      </c>
      <c r="BD292">
        <f t="shared" si="58"/>
        <v>15.5396</v>
      </c>
      <c r="BE292">
        <f t="shared" si="59"/>
        <v>20.512893584</v>
      </c>
    </row>
    <row r="293" spans="6:57">
      <c r="F293" s="9"/>
      <c r="G293" s="22">
        <v>0.37490800000000002</v>
      </c>
      <c r="H293" s="22">
        <v>101.746</v>
      </c>
      <c r="I293" s="22">
        <v>-1.6091899999999999E-2</v>
      </c>
      <c r="J293" s="22">
        <v>283</v>
      </c>
      <c r="K293" s="22">
        <v>0.37426799999999999</v>
      </c>
      <c r="L293">
        <f t="shared" si="48"/>
        <v>16.091899999999999</v>
      </c>
      <c r="M293">
        <f t="shared" si="49"/>
        <v>6.0329820451999998</v>
      </c>
      <c r="N293" s="9"/>
      <c r="O293" s="22">
        <v>1.32507</v>
      </c>
      <c r="P293" s="22">
        <v>209.03200000000001</v>
      </c>
      <c r="Q293" s="22">
        <v>-1.55304E-2</v>
      </c>
      <c r="R293" s="22">
        <v>283</v>
      </c>
      <c r="S293" s="22">
        <v>1.32446</v>
      </c>
      <c r="T293">
        <f t="shared" si="50"/>
        <v>15.5304</v>
      </c>
      <c r="U293">
        <f t="shared" si="51"/>
        <v>20.578867127999999</v>
      </c>
      <c r="X293" s="9"/>
      <c r="Y293" s="22">
        <v>0.37490800000000002</v>
      </c>
      <c r="Z293" s="22">
        <v>291.54599999999999</v>
      </c>
      <c r="AA293" s="22">
        <v>-1.6153000000000001E-2</v>
      </c>
      <c r="AB293" s="22">
        <v>283</v>
      </c>
      <c r="AC293" s="22">
        <v>0.374359</v>
      </c>
      <c r="AD293">
        <f t="shared" si="52"/>
        <v>16.153000000000002</v>
      </c>
      <c r="AE293">
        <f t="shared" si="53"/>
        <v>6.0558889240000013</v>
      </c>
      <c r="AF293" s="9"/>
      <c r="AG293" s="22">
        <v>1.32507</v>
      </c>
      <c r="AH293" s="22">
        <v>376.64</v>
      </c>
      <c r="AI293" s="22">
        <v>-1.55487E-2</v>
      </c>
      <c r="AJ293" s="22">
        <v>283</v>
      </c>
      <c r="AK293" s="22">
        <v>1.32446</v>
      </c>
      <c r="AL293">
        <f t="shared" si="54"/>
        <v>15.5487</v>
      </c>
      <c r="AM293">
        <f t="shared" si="55"/>
        <v>20.603115909</v>
      </c>
      <c r="AP293" s="9"/>
      <c r="AQ293" s="22">
        <v>0.37490800000000002</v>
      </c>
      <c r="AR293" s="22">
        <v>460.03899999999999</v>
      </c>
      <c r="AS293" s="22">
        <v>-1.6168200000000001E-2</v>
      </c>
      <c r="AT293" s="22">
        <v>283</v>
      </c>
      <c r="AU293" s="22">
        <v>0.37439</v>
      </c>
      <c r="AV293">
        <f t="shared" si="56"/>
        <v>16.168200000000002</v>
      </c>
      <c r="AW293">
        <f t="shared" si="57"/>
        <v>6.0615875256000011</v>
      </c>
      <c r="AX293" s="9"/>
      <c r="AY293" s="22">
        <v>1.32507</v>
      </c>
      <c r="AZ293" s="22">
        <v>581.97400000000005</v>
      </c>
      <c r="BA293" s="22">
        <v>-1.5527300000000001E-2</v>
      </c>
      <c r="BB293" s="22">
        <v>283</v>
      </c>
      <c r="BC293" s="22">
        <v>1.32477</v>
      </c>
      <c r="BD293">
        <f t="shared" si="58"/>
        <v>15.5273</v>
      </c>
      <c r="BE293">
        <f t="shared" si="59"/>
        <v>20.574759410999999</v>
      </c>
    </row>
    <row r="294" spans="6:57">
      <c r="F294" s="9"/>
      <c r="G294" s="22">
        <v>0.36987300000000001</v>
      </c>
      <c r="H294" s="22">
        <v>101.846</v>
      </c>
      <c r="I294" s="22">
        <v>-1.6095000000000002E-2</v>
      </c>
      <c r="J294" s="22">
        <v>284</v>
      </c>
      <c r="K294" s="22">
        <v>0.369141</v>
      </c>
      <c r="L294">
        <f t="shared" si="48"/>
        <v>16.095000000000002</v>
      </c>
      <c r="M294">
        <f t="shared" si="49"/>
        <v>5.9531059350000008</v>
      </c>
      <c r="N294" s="9"/>
      <c r="O294" s="22">
        <v>1.3301099999999999</v>
      </c>
      <c r="P294" s="22">
        <v>209.13300000000001</v>
      </c>
      <c r="Q294" s="22">
        <v>-1.5509E-2</v>
      </c>
      <c r="R294" s="22">
        <v>284</v>
      </c>
      <c r="S294" s="22">
        <v>1.32904</v>
      </c>
      <c r="T294">
        <f t="shared" si="50"/>
        <v>15.509</v>
      </c>
      <c r="U294">
        <f t="shared" si="51"/>
        <v>20.628675989999998</v>
      </c>
      <c r="X294" s="9"/>
      <c r="Y294" s="22">
        <v>0.36987300000000001</v>
      </c>
      <c r="Z294" s="22">
        <v>291.64600000000002</v>
      </c>
      <c r="AA294" s="22">
        <v>-1.6153000000000001E-2</v>
      </c>
      <c r="AB294" s="22">
        <v>284</v>
      </c>
      <c r="AC294" s="22">
        <v>0.369232</v>
      </c>
      <c r="AD294">
        <f t="shared" si="52"/>
        <v>16.153000000000002</v>
      </c>
      <c r="AE294">
        <f t="shared" si="53"/>
        <v>5.9745585690000009</v>
      </c>
      <c r="AF294" s="9"/>
      <c r="AG294" s="22">
        <v>1.3301099999999999</v>
      </c>
      <c r="AH294" s="22">
        <v>376.74099999999999</v>
      </c>
      <c r="AI294" s="22">
        <v>-1.5545700000000001E-2</v>
      </c>
      <c r="AJ294" s="22">
        <v>284</v>
      </c>
      <c r="AK294" s="22">
        <v>1.32965</v>
      </c>
      <c r="AL294">
        <f t="shared" si="54"/>
        <v>15.5457</v>
      </c>
      <c r="AM294">
        <f t="shared" si="55"/>
        <v>20.677491026999999</v>
      </c>
      <c r="AP294" s="9"/>
      <c r="AQ294" s="22">
        <v>0.36987300000000001</v>
      </c>
      <c r="AR294" s="22">
        <v>460.14</v>
      </c>
      <c r="AS294" s="22">
        <v>-1.6174299999999999E-2</v>
      </c>
      <c r="AT294" s="22">
        <v>284</v>
      </c>
      <c r="AU294" s="22">
        <v>0.369141</v>
      </c>
      <c r="AV294">
        <f t="shared" si="56"/>
        <v>16.174299999999999</v>
      </c>
      <c r="AW294">
        <f t="shared" si="57"/>
        <v>5.9824368638999994</v>
      </c>
      <c r="AX294" s="9"/>
      <c r="AY294" s="22">
        <v>1.3301099999999999</v>
      </c>
      <c r="AZ294" s="22">
        <v>582.07399999999996</v>
      </c>
      <c r="BA294" s="22">
        <v>-1.5512099999999999E-2</v>
      </c>
      <c r="BB294" s="22">
        <v>284</v>
      </c>
      <c r="BC294" s="22">
        <v>1.32843</v>
      </c>
      <c r="BD294">
        <f t="shared" si="58"/>
        <v>15.512099999999998</v>
      </c>
      <c r="BE294">
        <f t="shared" si="59"/>
        <v>20.632799330999998</v>
      </c>
    </row>
    <row r="295" spans="6:57">
      <c r="F295" s="9"/>
      <c r="G295" s="22">
        <v>0.364838</v>
      </c>
      <c r="H295" s="22">
        <v>101.947</v>
      </c>
      <c r="I295" s="22">
        <v>-1.6091899999999999E-2</v>
      </c>
      <c r="J295" s="22">
        <v>285</v>
      </c>
      <c r="K295" s="22">
        <v>0.36425800000000003</v>
      </c>
      <c r="L295">
        <f t="shared" si="48"/>
        <v>16.091899999999999</v>
      </c>
      <c r="M295">
        <f t="shared" si="49"/>
        <v>5.8709366121999995</v>
      </c>
      <c r="N295" s="9"/>
      <c r="O295" s="22">
        <v>1.33514</v>
      </c>
      <c r="P295" s="22">
        <v>209.23400000000001</v>
      </c>
      <c r="Q295" s="22">
        <v>-1.54816E-2</v>
      </c>
      <c r="R295" s="22">
        <v>285</v>
      </c>
      <c r="S295" s="22">
        <v>1.33423</v>
      </c>
      <c r="T295">
        <f t="shared" si="50"/>
        <v>15.4816</v>
      </c>
      <c r="U295">
        <f t="shared" si="51"/>
        <v>20.670103424000001</v>
      </c>
      <c r="X295" s="9"/>
      <c r="Y295" s="22">
        <v>0.364838</v>
      </c>
      <c r="Z295" s="22">
        <v>291.74700000000001</v>
      </c>
      <c r="AA295" s="22">
        <v>-1.6153000000000001E-2</v>
      </c>
      <c r="AB295" s="22">
        <v>285</v>
      </c>
      <c r="AC295" s="22">
        <v>0.36416599999999999</v>
      </c>
      <c r="AD295">
        <f t="shared" si="52"/>
        <v>16.153000000000002</v>
      </c>
      <c r="AE295">
        <f t="shared" si="53"/>
        <v>5.8932282140000005</v>
      </c>
      <c r="AF295" s="9"/>
      <c r="AG295" s="22">
        <v>1.33514</v>
      </c>
      <c r="AH295" s="22">
        <v>376.84199999999998</v>
      </c>
      <c r="AI295" s="22">
        <v>-1.5527300000000001E-2</v>
      </c>
      <c r="AJ295" s="22">
        <v>285</v>
      </c>
      <c r="AK295" s="22">
        <v>1.33392</v>
      </c>
      <c r="AL295">
        <f t="shared" si="54"/>
        <v>15.5273</v>
      </c>
      <c r="AM295">
        <f t="shared" si="55"/>
        <v>20.731119322000001</v>
      </c>
      <c r="AP295" s="9"/>
      <c r="AQ295" s="22">
        <v>0.364838</v>
      </c>
      <c r="AR295" s="22">
        <v>460.24099999999999</v>
      </c>
      <c r="AS295" s="22">
        <v>-1.61713E-2</v>
      </c>
      <c r="AT295" s="22">
        <v>285</v>
      </c>
      <c r="AU295" s="22">
        <v>0.364288</v>
      </c>
      <c r="AV295">
        <f t="shared" si="56"/>
        <v>16.171299999999999</v>
      </c>
      <c r="AW295">
        <f t="shared" si="57"/>
        <v>5.8999047493999992</v>
      </c>
      <c r="AX295" s="9"/>
      <c r="AY295" s="22">
        <v>1.33514</v>
      </c>
      <c r="AZ295" s="22">
        <v>582.17499999999995</v>
      </c>
      <c r="BA295" s="22">
        <v>-1.55151E-2</v>
      </c>
      <c r="BB295" s="22">
        <v>285</v>
      </c>
      <c r="BC295" s="22">
        <v>1.33484</v>
      </c>
      <c r="BD295">
        <f t="shared" si="58"/>
        <v>15.5151</v>
      </c>
      <c r="BE295">
        <f t="shared" si="59"/>
        <v>20.714830614</v>
      </c>
    </row>
    <row r="296" spans="6:57">
      <c r="F296" s="9"/>
      <c r="G296" s="22">
        <v>0.35980200000000001</v>
      </c>
      <c r="H296" s="22">
        <v>102.048</v>
      </c>
      <c r="I296" s="22">
        <v>-1.61041E-2</v>
      </c>
      <c r="J296" s="22">
        <v>286</v>
      </c>
      <c r="K296" s="22">
        <v>0.35919200000000001</v>
      </c>
      <c r="L296">
        <f t="shared" si="48"/>
        <v>16.104099999999999</v>
      </c>
      <c r="M296">
        <f t="shared" si="49"/>
        <v>5.7942873881999999</v>
      </c>
      <c r="N296" s="9"/>
      <c r="O296" s="22">
        <v>1.3401799999999999</v>
      </c>
      <c r="P296" s="22">
        <v>209.33500000000001</v>
      </c>
      <c r="Q296" s="22">
        <v>-1.5463299999999999E-2</v>
      </c>
      <c r="R296" s="22">
        <v>286</v>
      </c>
      <c r="S296" s="22">
        <v>1.33911</v>
      </c>
      <c r="T296">
        <f t="shared" si="50"/>
        <v>15.463299999999998</v>
      </c>
      <c r="U296">
        <f t="shared" si="51"/>
        <v>20.723605393999996</v>
      </c>
      <c r="X296" s="9"/>
      <c r="Y296" s="22">
        <v>0.35980200000000001</v>
      </c>
      <c r="Z296" s="22">
        <v>291.84800000000001</v>
      </c>
      <c r="AA296" s="22">
        <v>-1.6146899999999999E-2</v>
      </c>
      <c r="AB296" s="22">
        <v>286</v>
      </c>
      <c r="AC296" s="22">
        <v>0.35907</v>
      </c>
      <c r="AD296">
        <f t="shared" si="52"/>
        <v>16.146899999999999</v>
      </c>
      <c r="AE296">
        <f t="shared" si="53"/>
        <v>5.8096869137999994</v>
      </c>
      <c r="AF296" s="9"/>
      <c r="AG296" s="22">
        <v>1.3401799999999999</v>
      </c>
      <c r="AH296" s="22">
        <v>376.94200000000001</v>
      </c>
      <c r="AI296" s="22">
        <v>-1.55151E-2</v>
      </c>
      <c r="AJ296" s="22">
        <v>286</v>
      </c>
      <c r="AK296" s="22">
        <v>1.3394200000000001</v>
      </c>
      <c r="AL296">
        <f t="shared" si="54"/>
        <v>15.5151</v>
      </c>
      <c r="AM296">
        <f t="shared" si="55"/>
        <v>20.793026718</v>
      </c>
      <c r="AP296" s="9"/>
      <c r="AQ296" s="22">
        <v>0.35980200000000001</v>
      </c>
      <c r="AR296" s="22">
        <v>460.34199999999998</v>
      </c>
      <c r="AS296" s="22">
        <v>-1.6174299999999999E-2</v>
      </c>
      <c r="AT296" s="22">
        <v>286</v>
      </c>
      <c r="AU296" s="22">
        <v>0.35894799999999999</v>
      </c>
      <c r="AV296">
        <f t="shared" si="56"/>
        <v>16.174299999999999</v>
      </c>
      <c r="AW296">
        <f t="shared" si="57"/>
        <v>5.8195454885999993</v>
      </c>
      <c r="AX296" s="9"/>
      <c r="AY296" s="22">
        <v>1.3401799999999999</v>
      </c>
      <c r="AZ296" s="22">
        <v>582.27599999999995</v>
      </c>
      <c r="BA296" s="22">
        <v>-1.5484599999999999E-2</v>
      </c>
      <c r="BB296" s="22">
        <v>286</v>
      </c>
      <c r="BC296" s="22">
        <v>1.3394200000000001</v>
      </c>
      <c r="BD296">
        <f t="shared" si="58"/>
        <v>15.484599999999999</v>
      </c>
      <c r="BE296">
        <f t="shared" si="59"/>
        <v>20.752151227999995</v>
      </c>
    </row>
    <row r="297" spans="6:57">
      <c r="F297" s="9"/>
      <c r="G297" s="22">
        <v>0.354767</v>
      </c>
      <c r="H297" s="22">
        <v>102.148</v>
      </c>
      <c r="I297" s="22">
        <v>-1.6107199999999999E-2</v>
      </c>
      <c r="J297" s="22">
        <v>287</v>
      </c>
      <c r="K297" s="22">
        <v>0.35418699999999997</v>
      </c>
      <c r="L297">
        <f t="shared" si="48"/>
        <v>16.107199999999999</v>
      </c>
      <c r="M297">
        <f t="shared" si="49"/>
        <v>5.7143030223999993</v>
      </c>
      <c r="N297" s="9"/>
      <c r="O297" s="22">
        <v>1.34521</v>
      </c>
      <c r="P297" s="22">
        <v>209.435</v>
      </c>
      <c r="Q297" s="22">
        <v>-1.5466300000000001E-2</v>
      </c>
      <c r="R297" s="22">
        <v>287</v>
      </c>
      <c r="S297" s="22">
        <v>1.3446</v>
      </c>
      <c r="T297">
        <f t="shared" si="50"/>
        <v>15.4663</v>
      </c>
      <c r="U297">
        <f t="shared" si="51"/>
        <v>20.805421423000002</v>
      </c>
      <c r="X297" s="9"/>
      <c r="Y297" s="22">
        <v>0.354767</v>
      </c>
      <c r="Z297" s="22">
        <v>291.94900000000001</v>
      </c>
      <c r="AA297" s="22">
        <v>-1.6162099999999999E-2</v>
      </c>
      <c r="AB297" s="22">
        <v>287</v>
      </c>
      <c r="AC297" s="22">
        <v>0.35406500000000002</v>
      </c>
      <c r="AD297">
        <f t="shared" si="52"/>
        <v>16.162099999999999</v>
      </c>
      <c r="AE297">
        <f t="shared" si="53"/>
        <v>5.7337797306999994</v>
      </c>
      <c r="AF297" s="9"/>
      <c r="AG297" s="22">
        <v>1.34521</v>
      </c>
      <c r="AH297" s="22">
        <v>377.04300000000001</v>
      </c>
      <c r="AI297" s="22">
        <v>-1.54999E-2</v>
      </c>
      <c r="AJ297" s="22">
        <v>287</v>
      </c>
      <c r="AK297" s="22">
        <v>1.3443000000000001</v>
      </c>
      <c r="AL297">
        <f t="shared" si="54"/>
        <v>15.4999</v>
      </c>
      <c r="AM297">
        <f t="shared" si="55"/>
        <v>20.850620479</v>
      </c>
      <c r="AP297" s="9"/>
      <c r="AQ297" s="22">
        <v>0.354767</v>
      </c>
      <c r="AR297" s="22">
        <v>460.44200000000001</v>
      </c>
      <c r="AS297" s="22">
        <v>-1.61713E-2</v>
      </c>
      <c r="AT297" s="22">
        <v>287</v>
      </c>
      <c r="AU297" s="22">
        <v>0.35409499999999999</v>
      </c>
      <c r="AV297">
        <f t="shared" si="56"/>
        <v>16.171299999999999</v>
      </c>
      <c r="AW297">
        <f t="shared" si="57"/>
        <v>5.7370435870999996</v>
      </c>
      <c r="AX297" s="9"/>
      <c r="AY297" s="22">
        <v>1.34521</v>
      </c>
      <c r="AZ297" s="22">
        <v>582.37599999999998</v>
      </c>
      <c r="BA297" s="22">
        <v>-1.54755E-2</v>
      </c>
      <c r="BB297" s="22">
        <v>287</v>
      </c>
      <c r="BC297" s="22">
        <v>1.3443000000000001</v>
      </c>
      <c r="BD297">
        <f t="shared" si="58"/>
        <v>15.4755</v>
      </c>
      <c r="BE297">
        <f t="shared" si="59"/>
        <v>20.817797355</v>
      </c>
    </row>
    <row r="298" spans="6:57">
      <c r="F298" s="9"/>
      <c r="G298" s="22">
        <v>0.34973100000000001</v>
      </c>
      <c r="H298" s="22">
        <v>102.249</v>
      </c>
      <c r="I298" s="22">
        <v>-1.6107199999999999E-2</v>
      </c>
      <c r="J298" s="22">
        <v>288</v>
      </c>
      <c r="K298" s="22">
        <v>0.34909099999999998</v>
      </c>
      <c r="L298">
        <f t="shared" si="48"/>
        <v>16.107199999999999</v>
      </c>
      <c r="M298">
        <f t="shared" si="49"/>
        <v>5.6331871631999997</v>
      </c>
      <c r="N298" s="9"/>
      <c r="O298" s="22">
        <v>1.35025</v>
      </c>
      <c r="P298" s="22">
        <v>209.536</v>
      </c>
      <c r="Q298" s="22">
        <v>-1.5478499999999999E-2</v>
      </c>
      <c r="R298" s="22">
        <v>288</v>
      </c>
      <c r="S298" s="22">
        <v>1.3501000000000001</v>
      </c>
      <c r="T298">
        <f t="shared" si="50"/>
        <v>15.478499999999999</v>
      </c>
      <c r="U298">
        <f t="shared" si="51"/>
        <v>20.899844624999997</v>
      </c>
      <c r="X298" s="9"/>
      <c r="Y298" s="22">
        <v>0.34973100000000001</v>
      </c>
      <c r="Z298" s="22">
        <v>292.04899999999998</v>
      </c>
      <c r="AA298" s="22">
        <v>-1.6162099999999999E-2</v>
      </c>
      <c r="AB298" s="22">
        <v>288</v>
      </c>
      <c r="AC298" s="22">
        <v>0.348999</v>
      </c>
      <c r="AD298">
        <f t="shared" si="52"/>
        <v>16.162099999999999</v>
      </c>
      <c r="AE298">
        <f t="shared" si="53"/>
        <v>5.6523873950999999</v>
      </c>
      <c r="AF298" s="9"/>
      <c r="AG298" s="22">
        <v>1.35025</v>
      </c>
      <c r="AH298" s="22">
        <v>377.14400000000001</v>
      </c>
      <c r="AI298" s="22">
        <v>-1.54907E-2</v>
      </c>
      <c r="AJ298" s="22">
        <v>288</v>
      </c>
      <c r="AK298" s="22">
        <v>1.34918</v>
      </c>
      <c r="AL298">
        <f t="shared" si="54"/>
        <v>15.4907</v>
      </c>
      <c r="AM298">
        <f t="shared" si="55"/>
        <v>20.916317674999998</v>
      </c>
      <c r="AP298" s="9"/>
      <c r="AQ298" s="22">
        <v>0.34973100000000001</v>
      </c>
      <c r="AR298" s="22">
        <v>460.54300000000001</v>
      </c>
      <c r="AS298" s="22">
        <v>-1.6168200000000001E-2</v>
      </c>
      <c r="AT298" s="22">
        <v>288</v>
      </c>
      <c r="AU298" s="22">
        <v>0.348999</v>
      </c>
      <c r="AV298">
        <f t="shared" si="56"/>
        <v>16.168200000000002</v>
      </c>
      <c r="AW298">
        <f t="shared" si="57"/>
        <v>5.6545207542000009</v>
      </c>
      <c r="AX298" s="9"/>
      <c r="AY298" s="22">
        <v>1.35025</v>
      </c>
      <c r="AZ298" s="22">
        <v>582.47699999999998</v>
      </c>
      <c r="BA298" s="22">
        <v>-1.54602E-2</v>
      </c>
      <c r="BB298" s="22">
        <v>288</v>
      </c>
      <c r="BC298" s="22">
        <v>1.34918</v>
      </c>
      <c r="BD298">
        <f t="shared" si="58"/>
        <v>15.4602</v>
      </c>
      <c r="BE298">
        <f t="shared" si="59"/>
        <v>20.875135050000001</v>
      </c>
    </row>
    <row r="299" spans="6:57">
      <c r="F299" s="9"/>
      <c r="G299" s="22">
        <v>0.344696</v>
      </c>
      <c r="H299" s="22">
        <v>102.35</v>
      </c>
      <c r="I299" s="22">
        <v>-1.61041E-2</v>
      </c>
      <c r="J299" s="22">
        <v>289</v>
      </c>
      <c r="K299" s="22">
        <v>0.34399400000000002</v>
      </c>
      <c r="L299">
        <f t="shared" si="48"/>
        <v>16.104099999999999</v>
      </c>
      <c r="M299">
        <f t="shared" si="49"/>
        <v>5.5510188535999996</v>
      </c>
      <c r="N299" s="9"/>
      <c r="O299" s="22">
        <v>1.3552900000000001</v>
      </c>
      <c r="P299" s="22">
        <v>209.637</v>
      </c>
      <c r="Q299" s="22">
        <v>-1.5450999999999999E-2</v>
      </c>
      <c r="R299" s="22">
        <v>289</v>
      </c>
      <c r="S299" s="22">
        <v>1.35406</v>
      </c>
      <c r="T299">
        <f t="shared" si="50"/>
        <v>15.450999999999999</v>
      </c>
      <c r="U299">
        <f t="shared" si="51"/>
        <v>20.94058579</v>
      </c>
      <c r="X299" s="9"/>
      <c r="Y299" s="22">
        <v>0.344696</v>
      </c>
      <c r="Z299" s="22">
        <v>292.14999999999998</v>
      </c>
      <c r="AA299" s="22">
        <v>-1.6156E-2</v>
      </c>
      <c r="AB299" s="22">
        <v>289</v>
      </c>
      <c r="AC299" s="22">
        <v>0.34396399999999999</v>
      </c>
      <c r="AD299">
        <f t="shared" si="52"/>
        <v>16.155999999999999</v>
      </c>
      <c r="AE299">
        <f t="shared" si="53"/>
        <v>5.5689085759999992</v>
      </c>
      <c r="AF299" s="9"/>
      <c r="AG299" s="22">
        <v>1.3552900000000001</v>
      </c>
      <c r="AH299" s="22">
        <v>377.24400000000003</v>
      </c>
      <c r="AI299" s="22">
        <v>-1.5463299999999999E-2</v>
      </c>
      <c r="AJ299" s="22">
        <v>289</v>
      </c>
      <c r="AK299" s="22">
        <v>1.35406</v>
      </c>
      <c r="AL299">
        <f t="shared" si="54"/>
        <v>15.463299999999998</v>
      </c>
      <c r="AM299">
        <f t="shared" si="55"/>
        <v>20.957255857</v>
      </c>
      <c r="AP299" s="9"/>
      <c r="AQ299" s="22">
        <v>0.344696</v>
      </c>
      <c r="AR299" s="22">
        <v>460.64400000000001</v>
      </c>
      <c r="AS299" s="22">
        <v>-1.6177400000000002E-2</v>
      </c>
      <c r="AT299" s="22">
        <v>289</v>
      </c>
      <c r="AU299" s="22">
        <v>0.344055</v>
      </c>
      <c r="AV299">
        <f t="shared" si="56"/>
        <v>16.177400000000002</v>
      </c>
      <c r="AW299">
        <f t="shared" si="57"/>
        <v>5.5762850704000009</v>
      </c>
      <c r="AX299" s="9"/>
      <c r="AY299" s="22">
        <v>1.3552900000000001</v>
      </c>
      <c r="AZ299" s="22">
        <v>582.57799999999997</v>
      </c>
      <c r="BA299" s="22">
        <v>-1.5432700000000001E-2</v>
      </c>
      <c r="BB299" s="22">
        <v>289</v>
      </c>
      <c r="BC299" s="22">
        <v>1.3546800000000001</v>
      </c>
      <c r="BD299">
        <f t="shared" si="58"/>
        <v>15.432700000000001</v>
      </c>
      <c r="BE299">
        <f t="shared" si="59"/>
        <v>20.915783983000001</v>
      </c>
    </row>
    <row r="300" spans="6:57">
      <c r="F300" s="9"/>
      <c r="G300" s="22">
        <v>0.33966099999999999</v>
      </c>
      <c r="H300" s="22">
        <v>102.45099999999999</v>
      </c>
      <c r="I300" s="22">
        <v>-1.6107199999999999E-2</v>
      </c>
      <c r="J300" s="22">
        <v>290</v>
      </c>
      <c r="K300" s="22">
        <v>0.33895900000000001</v>
      </c>
      <c r="L300">
        <f t="shared" si="48"/>
        <v>16.107199999999999</v>
      </c>
      <c r="M300">
        <f t="shared" si="49"/>
        <v>5.4709876591999995</v>
      </c>
      <c r="N300" s="9"/>
      <c r="O300" s="22">
        <v>1.36032</v>
      </c>
      <c r="P300" s="22">
        <v>209.73699999999999</v>
      </c>
      <c r="Q300" s="22">
        <v>-1.54358E-2</v>
      </c>
      <c r="R300" s="22">
        <v>290</v>
      </c>
      <c r="S300" s="22">
        <v>1.3595600000000001</v>
      </c>
      <c r="T300">
        <f t="shared" si="50"/>
        <v>15.4358</v>
      </c>
      <c r="U300">
        <f t="shared" si="51"/>
        <v>20.997627456</v>
      </c>
      <c r="X300" s="9"/>
      <c r="Y300" s="22">
        <v>0.33966099999999999</v>
      </c>
      <c r="Z300" s="22">
        <v>292.25099999999998</v>
      </c>
      <c r="AA300" s="22">
        <v>-1.6162099999999999E-2</v>
      </c>
      <c r="AB300" s="22">
        <v>290</v>
      </c>
      <c r="AC300" s="22">
        <v>0.33892800000000001</v>
      </c>
      <c r="AD300">
        <f t="shared" si="52"/>
        <v>16.162099999999999</v>
      </c>
      <c r="AE300">
        <f t="shared" si="53"/>
        <v>5.4896350480999994</v>
      </c>
      <c r="AF300" s="9"/>
      <c r="AG300" s="22">
        <v>1.36032</v>
      </c>
      <c r="AH300" s="22">
        <v>377.34500000000003</v>
      </c>
      <c r="AI300" s="22">
        <v>-1.5448E-2</v>
      </c>
      <c r="AJ300" s="22">
        <v>290</v>
      </c>
      <c r="AK300" s="22">
        <v>1.3592500000000001</v>
      </c>
      <c r="AL300">
        <f t="shared" si="54"/>
        <v>15.448</v>
      </c>
      <c r="AM300">
        <f t="shared" si="55"/>
        <v>21.014223359999999</v>
      </c>
      <c r="AP300" s="9"/>
      <c r="AQ300" s="22">
        <v>0.33966099999999999</v>
      </c>
      <c r="AR300" s="22">
        <v>460.74400000000003</v>
      </c>
      <c r="AS300" s="22">
        <v>-1.6174299999999999E-2</v>
      </c>
      <c r="AT300" s="22">
        <v>290</v>
      </c>
      <c r="AU300" s="22">
        <v>0.33895900000000001</v>
      </c>
      <c r="AV300">
        <f t="shared" si="56"/>
        <v>16.174299999999999</v>
      </c>
      <c r="AW300">
        <f t="shared" si="57"/>
        <v>5.4937789122999998</v>
      </c>
      <c r="AX300" s="9"/>
      <c r="AY300" s="22">
        <v>1.36032</v>
      </c>
      <c r="AZ300" s="22">
        <v>582.67899999999997</v>
      </c>
      <c r="BA300" s="22">
        <v>-1.54114E-2</v>
      </c>
      <c r="BB300" s="22">
        <v>290</v>
      </c>
      <c r="BC300" s="22">
        <v>1.3592500000000001</v>
      </c>
      <c r="BD300">
        <f t="shared" si="58"/>
        <v>15.4114</v>
      </c>
      <c r="BE300">
        <f t="shared" si="59"/>
        <v>20.964435647999998</v>
      </c>
    </row>
    <row r="301" spans="6:57">
      <c r="F301" s="9"/>
      <c r="G301" s="22">
        <v>0.33462500000000001</v>
      </c>
      <c r="H301" s="22">
        <v>102.551</v>
      </c>
      <c r="I301" s="22">
        <v>-1.6110200000000002E-2</v>
      </c>
      <c r="J301" s="22">
        <v>291</v>
      </c>
      <c r="K301" s="22">
        <v>0.33404499999999998</v>
      </c>
      <c r="L301">
        <f t="shared" si="48"/>
        <v>16.110200000000003</v>
      </c>
      <c r="M301">
        <f t="shared" si="49"/>
        <v>5.3908756750000011</v>
      </c>
      <c r="N301" s="9"/>
      <c r="O301" s="22">
        <v>1.3653599999999999</v>
      </c>
      <c r="P301" s="22">
        <v>209.83799999999999</v>
      </c>
      <c r="Q301" s="22">
        <v>-1.54205E-2</v>
      </c>
      <c r="R301" s="22">
        <v>291</v>
      </c>
      <c r="S301" s="22">
        <v>1.3641399999999999</v>
      </c>
      <c r="T301">
        <f t="shared" si="50"/>
        <v>15.420500000000001</v>
      </c>
      <c r="U301">
        <f t="shared" si="51"/>
        <v>21.054533880000001</v>
      </c>
      <c r="X301" s="9"/>
      <c r="Y301" s="22">
        <v>0.33462500000000001</v>
      </c>
      <c r="Z301" s="22">
        <v>292.351</v>
      </c>
      <c r="AA301" s="22">
        <v>-1.6159099999999999E-2</v>
      </c>
      <c r="AB301" s="22">
        <v>291</v>
      </c>
      <c r="AC301" s="22">
        <v>0.333893</v>
      </c>
      <c r="AD301">
        <f t="shared" si="52"/>
        <v>16.159099999999999</v>
      </c>
      <c r="AE301">
        <f t="shared" si="53"/>
        <v>5.4072388374999996</v>
      </c>
      <c r="AF301" s="9"/>
      <c r="AG301" s="22">
        <v>1.3653599999999999</v>
      </c>
      <c r="AH301" s="22">
        <v>377.44600000000003</v>
      </c>
      <c r="AI301" s="22">
        <v>-1.54419E-2</v>
      </c>
      <c r="AJ301" s="22">
        <v>291</v>
      </c>
      <c r="AK301" s="22">
        <v>1.3647499999999999</v>
      </c>
      <c r="AL301">
        <f t="shared" si="54"/>
        <v>15.4419</v>
      </c>
      <c r="AM301">
        <f t="shared" si="55"/>
        <v>21.083752583999999</v>
      </c>
      <c r="AP301" s="9"/>
      <c r="AQ301" s="22">
        <v>0.33462500000000001</v>
      </c>
      <c r="AR301" s="22">
        <v>460.84500000000003</v>
      </c>
      <c r="AS301" s="22">
        <v>-1.6174299999999999E-2</v>
      </c>
      <c r="AT301" s="22">
        <v>291</v>
      </c>
      <c r="AU301" s="22">
        <v>0.333679</v>
      </c>
      <c r="AV301">
        <f t="shared" si="56"/>
        <v>16.174299999999999</v>
      </c>
      <c r="AW301">
        <f t="shared" si="57"/>
        <v>5.4123251374999999</v>
      </c>
      <c r="AX301" s="9"/>
      <c r="AY301" s="22">
        <v>1.3653599999999999</v>
      </c>
      <c r="AZ301" s="22">
        <v>582.779</v>
      </c>
      <c r="BA301" s="22">
        <v>-1.5380899999999999E-2</v>
      </c>
      <c r="BB301" s="22">
        <v>291</v>
      </c>
      <c r="BC301" s="22">
        <v>1.3650500000000001</v>
      </c>
      <c r="BD301">
        <f t="shared" si="58"/>
        <v>15.380899999999999</v>
      </c>
      <c r="BE301">
        <f t="shared" si="59"/>
        <v>21.000465623999997</v>
      </c>
    </row>
    <row r="302" spans="6:57">
      <c r="F302" s="9"/>
      <c r="G302" s="22">
        <v>0.32958999999999999</v>
      </c>
      <c r="H302" s="22">
        <v>102.652</v>
      </c>
      <c r="I302" s="22">
        <v>-1.6110200000000002E-2</v>
      </c>
      <c r="J302" s="22">
        <v>292</v>
      </c>
      <c r="K302" s="22">
        <v>0.329071</v>
      </c>
      <c r="L302">
        <f t="shared" si="48"/>
        <v>16.110200000000003</v>
      </c>
      <c r="M302">
        <f t="shared" si="49"/>
        <v>5.3097608180000009</v>
      </c>
      <c r="N302" s="9"/>
      <c r="O302" s="22">
        <v>1.37039</v>
      </c>
      <c r="P302" s="22">
        <v>209.93899999999999</v>
      </c>
      <c r="Q302" s="22">
        <v>-1.53992E-2</v>
      </c>
      <c r="R302" s="22">
        <v>292</v>
      </c>
      <c r="S302" s="22">
        <v>1.3699300000000001</v>
      </c>
      <c r="T302">
        <f t="shared" si="50"/>
        <v>15.3992</v>
      </c>
      <c r="U302">
        <f t="shared" si="51"/>
        <v>21.102909688</v>
      </c>
      <c r="X302" s="9"/>
      <c r="Y302" s="22">
        <v>0.32958999999999999</v>
      </c>
      <c r="Z302" s="22">
        <v>292.452</v>
      </c>
      <c r="AA302" s="22">
        <v>-1.6162099999999999E-2</v>
      </c>
      <c r="AB302" s="22">
        <v>292</v>
      </c>
      <c r="AC302" s="22">
        <v>0.32901000000000002</v>
      </c>
      <c r="AD302">
        <f t="shared" si="52"/>
        <v>16.162099999999999</v>
      </c>
      <c r="AE302">
        <f t="shared" si="53"/>
        <v>5.3268665389999992</v>
      </c>
      <c r="AF302" s="9"/>
      <c r="AG302" s="22">
        <v>1.37039</v>
      </c>
      <c r="AH302" s="22">
        <v>377.54700000000003</v>
      </c>
      <c r="AI302" s="22">
        <v>-1.54083E-2</v>
      </c>
      <c r="AJ302" s="22">
        <v>292</v>
      </c>
      <c r="AK302" s="22">
        <v>1.3693200000000001</v>
      </c>
      <c r="AL302">
        <f t="shared" si="54"/>
        <v>15.408300000000001</v>
      </c>
      <c r="AM302">
        <f t="shared" si="55"/>
        <v>21.115380237</v>
      </c>
      <c r="AP302" s="9"/>
      <c r="AQ302" s="22">
        <v>0.32958999999999999</v>
      </c>
      <c r="AR302" s="22">
        <v>460.94600000000003</v>
      </c>
      <c r="AS302" s="22">
        <v>-1.61713E-2</v>
      </c>
      <c r="AT302" s="22">
        <v>292</v>
      </c>
      <c r="AU302" s="22">
        <v>0.32904099999999997</v>
      </c>
      <c r="AV302">
        <f t="shared" si="56"/>
        <v>16.171299999999999</v>
      </c>
      <c r="AW302">
        <f t="shared" si="57"/>
        <v>5.3298987669999995</v>
      </c>
      <c r="AX302" s="9"/>
      <c r="AY302" s="22">
        <v>1.37039</v>
      </c>
      <c r="AZ302" s="22">
        <v>582.88</v>
      </c>
      <c r="BA302" s="22">
        <v>-1.53534E-2</v>
      </c>
      <c r="BB302" s="22">
        <v>292</v>
      </c>
      <c r="BC302" s="22">
        <v>1.3693200000000001</v>
      </c>
      <c r="BD302">
        <f t="shared" si="58"/>
        <v>15.353399999999999</v>
      </c>
      <c r="BE302">
        <f t="shared" si="59"/>
        <v>21.040145826</v>
      </c>
    </row>
    <row r="303" spans="6:57">
      <c r="F303" s="9"/>
      <c r="G303" s="22">
        <v>0.32455400000000001</v>
      </c>
      <c r="H303" s="22">
        <v>102.753</v>
      </c>
      <c r="I303" s="22">
        <v>-1.6122399999999999E-2</v>
      </c>
      <c r="J303" s="22">
        <v>293</v>
      </c>
      <c r="K303" s="22">
        <v>0.323853</v>
      </c>
      <c r="L303">
        <f t="shared" si="48"/>
        <v>16.122399999999999</v>
      </c>
      <c r="M303">
        <f t="shared" si="49"/>
        <v>5.2325894096000001</v>
      </c>
      <c r="N303" s="9"/>
      <c r="O303" s="22">
        <v>1.3754299999999999</v>
      </c>
      <c r="P303" s="22">
        <v>210.03899999999999</v>
      </c>
      <c r="Q303" s="22">
        <v>-1.5374799999999999E-2</v>
      </c>
      <c r="R303" s="22">
        <v>293</v>
      </c>
      <c r="S303" s="22">
        <v>1.3745099999999999</v>
      </c>
      <c r="T303">
        <f t="shared" si="50"/>
        <v>15.374799999999999</v>
      </c>
      <c r="U303">
        <f t="shared" si="51"/>
        <v>21.146961163999997</v>
      </c>
      <c r="X303" s="9"/>
      <c r="Y303" s="22">
        <v>0.32455400000000001</v>
      </c>
      <c r="Z303" s="22">
        <v>292.553</v>
      </c>
      <c r="AA303" s="22">
        <v>-1.6159099999999999E-2</v>
      </c>
      <c r="AB303" s="22">
        <v>293</v>
      </c>
      <c r="AC303" s="22">
        <v>0.32391399999999998</v>
      </c>
      <c r="AD303">
        <f t="shared" si="52"/>
        <v>16.159099999999999</v>
      </c>
      <c r="AE303">
        <f t="shared" si="53"/>
        <v>5.2445005413999999</v>
      </c>
      <c r="AF303" s="9"/>
      <c r="AG303" s="22">
        <v>1.3754299999999999</v>
      </c>
      <c r="AH303" s="22">
        <v>377.64699999999999</v>
      </c>
      <c r="AI303" s="22">
        <v>-1.5396099999999999E-2</v>
      </c>
      <c r="AJ303" s="22">
        <v>293</v>
      </c>
      <c r="AK303" s="22">
        <v>1.3748199999999999</v>
      </c>
      <c r="AL303">
        <f t="shared" si="54"/>
        <v>15.396099999999999</v>
      </c>
      <c r="AM303">
        <f t="shared" si="55"/>
        <v>21.176257822999997</v>
      </c>
      <c r="AP303" s="9"/>
      <c r="AQ303" s="22">
        <v>0.32455400000000001</v>
      </c>
      <c r="AR303" s="22">
        <v>461.04700000000003</v>
      </c>
      <c r="AS303" s="22">
        <v>-1.6177400000000002E-2</v>
      </c>
      <c r="AT303" s="22">
        <v>293</v>
      </c>
      <c r="AU303" s="22">
        <v>0.32388299999999998</v>
      </c>
      <c r="AV303">
        <f t="shared" si="56"/>
        <v>16.177400000000002</v>
      </c>
      <c r="AW303">
        <f t="shared" si="57"/>
        <v>5.2504398796000009</v>
      </c>
      <c r="AX303" s="9"/>
      <c r="AY303" s="22">
        <v>1.3754299999999999</v>
      </c>
      <c r="AZ303" s="22">
        <v>582.98099999999999</v>
      </c>
      <c r="BA303" s="22">
        <v>-1.5341199999999999E-2</v>
      </c>
      <c r="BB303" s="22">
        <v>293</v>
      </c>
      <c r="BC303" s="22">
        <v>1.3742099999999999</v>
      </c>
      <c r="BD303">
        <f t="shared" si="58"/>
        <v>15.341199999999999</v>
      </c>
      <c r="BE303">
        <f t="shared" si="59"/>
        <v>21.100746715999996</v>
      </c>
    </row>
    <row r="304" spans="6:57">
      <c r="F304" s="9"/>
      <c r="G304" s="22">
        <v>0.319519</v>
      </c>
      <c r="H304" s="22">
        <v>102.85299999999999</v>
      </c>
      <c r="I304" s="22">
        <v>-1.6107199999999999E-2</v>
      </c>
      <c r="J304" s="22">
        <v>294</v>
      </c>
      <c r="K304" s="22">
        <v>0.31866499999999998</v>
      </c>
      <c r="L304">
        <f t="shared" si="48"/>
        <v>16.107199999999999</v>
      </c>
      <c r="M304">
        <f t="shared" si="49"/>
        <v>5.1465564367999992</v>
      </c>
      <c r="N304" s="9"/>
      <c r="O304" s="22">
        <v>1.38046</v>
      </c>
      <c r="P304" s="22">
        <v>210.14</v>
      </c>
      <c r="Q304" s="22">
        <v>-1.5356399999999999E-2</v>
      </c>
      <c r="R304" s="22">
        <v>294</v>
      </c>
      <c r="S304" s="22">
        <v>1.3793899999999999</v>
      </c>
      <c r="T304">
        <f t="shared" si="50"/>
        <v>15.356399999999999</v>
      </c>
      <c r="U304">
        <f t="shared" si="51"/>
        <v>21.198895944</v>
      </c>
      <c r="X304" s="9"/>
      <c r="Y304" s="22">
        <v>0.319519</v>
      </c>
      <c r="Z304" s="22">
        <v>292.654</v>
      </c>
      <c r="AA304" s="22">
        <v>-1.6162099999999999E-2</v>
      </c>
      <c r="AB304" s="22">
        <v>294</v>
      </c>
      <c r="AC304" s="22">
        <v>0.31896999999999998</v>
      </c>
      <c r="AD304">
        <f t="shared" si="52"/>
        <v>16.162099999999999</v>
      </c>
      <c r="AE304">
        <f t="shared" si="53"/>
        <v>5.1640980298999999</v>
      </c>
      <c r="AF304" s="9"/>
      <c r="AG304" s="22">
        <v>1.38046</v>
      </c>
      <c r="AH304" s="22">
        <v>377.74799999999999</v>
      </c>
      <c r="AI304" s="22">
        <v>-1.53778E-2</v>
      </c>
      <c r="AJ304" s="22">
        <v>294</v>
      </c>
      <c r="AK304" s="22">
        <v>1.3790899999999999</v>
      </c>
      <c r="AL304">
        <f t="shared" si="54"/>
        <v>15.377800000000001</v>
      </c>
      <c r="AM304">
        <f t="shared" si="55"/>
        <v>21.228437788000001</v>
      </c>
      <c r="AP304" s="9"/>
      <c r="AQ304" s="22">
        <v>0.319519</v>
      </c>
      <c r="AR304" s="22">
        <v>461.14699999999999</v>
      </c>
      <c r="AS304" s="22">
        <v>-1.61835E-2</v>
      </c>
      <c r="AT304" s="22">
        <v>294</v>
      </c>
      <c r="AU304" s="22">
        <v>0.31887799999999999</v>
      </c>
      <c r="AV304">
        <f t="shared" si="56"/>
        <v>16.183499999999999</v>
      </c>
      <c r="AW304">
        <f t="shared" si="57"/>
        <v>5.1709357364999997</v>
      </c>
      <c r="AX304" s="9"/>
      <c r="AY304" s="22">
        <v>1.38046</v>
      </c>
      <c r="AZ304" s="22">
        <v>583.08100000000002</v>
      </c>
      <c r="BA304" s="22">
        <v>-1.53198E-2</v>
      </c>
      <c r="BB304" s="22">
        <v>294</v>
      </c>
      <c r="BC304" s="22">
        <v>1.3803099999999999</v>
      </c>
      <c r="BD304">
        <f t="shared" si="58"/>
        <v>15.319799999999999</v>
      </c>
      <c r="BE304">
        <f t="shared" si="59"/>
        <v>21.148371107999999</v>
      </c>
    </row>
    <row r="305" spans="6:57">
      <c r="F305" s="9"/>
      <c r="G305" s="22">
        <v>0.31448399999999999</v>
      </c>
      <c r="H305" s="22">
        <v>102.95399999999999</v>
      </c>
      <c r="I305" s="22">
        <v>-1.6113300000000001E-2</v>
      </c>
      <c r="J305" s="22">
        <v>295</v>
      </c>
      <c r="K305" s="22">
        <v>0.31365999999999999</v>
      </c>
      <c r="L305">
        <f t="shared" si="48"/>
        <v>16.113299999999999</v>
      </c>
      <c r="M305">
        <f t="shared" si="49"/>
        <v>5.0673750371999997</v>
      </c>
      <c r="N305" s="9"/>
      <c r="O305" s="22">
        <v>1.3855</v>
      </c>
      <c r="P305" s="22">
        <v>210.24100000000001</v>
      </c>
      <c r="Q305" s="22">
        <v>-1.53381E-2</v>
      </c>
      <c r="R305" s="22">
        <v>295</v>
      </c>
      <c r="S305" s="22">
        <v>1.3845799999999999</v>
      </c>
      <c r="T305">
        <f t="shared" si="50"/>
        <v>15.338100000000001</v>
      </c>
      <c r="U305">
        <f t="shared" si="51"/>
        <v>21.25093755</v>
      </c>
      <c r="X305" s="9"/>
      <c r="Y305" s="22">
        <v>0.31448399999999999</v>
      </c>
      <c r="Z305" s="22">
        <v>292.75400000000002</v>
      </c>
      <c r="AA305" s="22">
        <v>-1.6156E-2</v>
      </c>
      <c r="AB305" s="22">
        <v>295</v>
      </c>
      <c r="AC305" s="22">
        <v>0.31390400000000002</v>
      </c>
      <c r="AD305">
        <f t="shared" si="52"/>
        <v>16.155999999999999</v>
      </c>
      <c r="AE305">
        <f t="shared" si="53"/>
        <v>5.0808035039999995</v>
      </c>
      <c r="AF305" s="9"/>
      <c r="AG305" s="22">
        <v>1.3855</v>
      </c>
      <c r="AH305" s="22">
        <v>377.84899999999999</v>
      </c>
      <c r="AI305" s="22">
        <v>-1.53595E-2</v>
      </c>
      <c r="AJ305" s="22">
        <v>295</v>
      </c>
      <c r="AK305" s="22">
        <v>1.3845799999999999</v>
      </c>
      <c r="AL305">
        <f t="shared" si="54"/>
        <v>15.359500000000001</v>
      </c>
      <c r="AM305">
        <f t="shared" si="55"/>
        <v>21.28058725</v>
      </c>
      <c r="AP305" s="9"/>
      <c r="AQ305" s="22">
        <v>0.31448399999999999</v>
      </c>
      <c r="AR305" s="22">
        <v>461.24799999999999</v>
      </c>
      <c r="AS305" s="22">
        <v>-1.6180400000000001E-2</v>
      </c>
      <c r="AT305" s="22">
        <v>295</v>
      </c>
      <c r="AU305" s="22">
        <v>0.31402600000000003</v>
      </c>
      <c r="AV305">
        <f t="shared" si="56"/>
        <v>16.180400000000002</v>
      </c>
      <c r="AW305">
        <f t="shared" si="57"/>
        <v>5.0884769136000001</v>
      </c>
      <c r="AX305" s="9"/>
      <c r="AY305" s="22">
        <v>1.3855</v>
      </c>
      <c r="AZ305" s="22">
        <v>583.18200000000002</v>
      </c>
      <c r="BA305" s="22">
        <v>-1.5273999999999999E-2</v>
      </c>
      <c r="BB305" s="22">
        <v>295</v>
      </c>
      <c r="BC305" s="22">
        <v>1.38428</v>
      </c>
      <c r="BD305">
        <f t="shared" si="58"/>
        <v>15.273999999999999</v>
      </c>
      <c r="BE305">
        <f t="shared" si="59"/>
        <v>21.162126999999998</v>
      </c>
    </row>
    <row r="306" spans="6:57">
      <c r="F306" s="9"/>
      <c r="G306" s="22">
        <v>0.309448</v>
      </c>
      <c r="H306" s="22">
        <v>103.05500000000001</v>
      </c>
      <c r="I306" s="22">
        <v>-1.61163E-2</v>
      </c>
      <c r="J306" s="22">
        <v>296</v>
      </c>
      <c r="K306" s="22">
        <v>0.30871599999999999</v>
      </c>
      <c r="L306">
        <f t="shared" si="48"/>
        <v>16.116299999999999</v>
      </c>
      <c r="M306">
        <f t="shared" si="49"/>
        <v>4.9871568023999995</v>
      </c>
      <c r="N306" s="9"/>
      <c r="O306" s="22">
        <v>1.39053</v>
      </c>
      <c r="P306" s="22">
        <v>210.34200000000001</v>
      </c>
      <c r="Q306" s="22">
        <v>-1.53198E-2</v>
      </c>
      <c r="R306" s="22">
        <v>296</v>
      </c>
      <c r="S306" s="22">
        <v>1.38947</v>
      </c>
      <c r="T306">
        <f t="shared" si="50"/>
        <v>15.319799999999999</v>
      </c>
      <c r="U306">
        <f t="shared" si="51"/>
        <v>21.302641494</v>
      </c>
      <c r="X306" s="9"/>
      <c r="Y306" s="22">
        <v>0.309448</v>
      </c>
      <c r="Z306" s="22">
        <v>292.85500000000002</v>
      </c>
      <c r="AA306" s="22">
        <v>-1.6159099999999999E-2</v>
      </c>
      <c r="AB306" s="22">
        <v>296</v>
      </c>
      <c r="AC306" s="22">
        <v>0.30886799999999998</v>
      </c>
      <c r="AD306">
        <f t="shared" si="52"/>
        <v>16.159099999999999</v>
      </c>
      <c r="AE306">
        <f t="shared" si="53"/>
        <v>5.0004011767999996</v>
      </c>
      <c r="AF306" s="9"/>
      <c r="AG306" s="22">
        <v>1.39053</v>
      </c>
      <c r="AH306" s="22">
        <v>377.94900000000001</v>
      </c>
      <c r="AI306" s="22">
        <v>-1.53259E-2</v>
      </c>
      <c r="AJ306" s="22">
        <v>296</v>
      </c>
      <c r="AK306" s="22">
        <v>1.38947</v>
      </c>
      <c r="AL306">
        <f t="shared" si="54"/>
        <v>15.325900000000001</v>
      </c>
      <c r="AM306">
        <f t="shared" si="55"/>
        <v>21.311123727000002</v>
      </c>
      <c r="AP306" s="9"/>
      <c r="AQ306" s="22">
        <v>0.309448</v>
      </c>
      <c r="AR306" s="22">
        <v>461.34899999999999</v>
      </c>
      <c r="AS306" s="22">
        <v>-1.6177400000000002E-2</v>
      </c>
      <c r="AT306" s="22">
        <v>296</v>
      </c>
      <c r="AU306" s="22">
        <v>0.30886799999999998</v>
      </c>
      <c r="AV306">
        <f t="shared" si="56"/>
        <v>16.177400000000002</v>
      </c>
      <c r="AW306">
        <f t="shared" si="57"/>
        <v>5.0060640752000003</v>
      </c>
      <c r="AX306" s="9"/>
      <c r="AY306" s="22">
        <v>1.39053</v>
      </c>
      <c r="AZ306" s="22">
        <v>583.28300000000002</v>
      </c>
      <c r="BA306" s="22">
        <v>-1.52344E-2</v>
      </c>
      <c r="BB306" s="22">
        <v>296</v>
      </c>
      <c r="BC306" s="22">
        <v>1.39008</v>
      </c>
      <c r="BD306">
        <f t="shared" si="58"/>
        <v>15.234400000000001</v>
      </c>
      <c r="BE306">
        <f t="shared" si="59"/>
        <v>21.183890232000003</v>
      </c>
    </row>
    <row r="307" spans="6:57">
      <c r="F307" s="9"/>
      <c r="G307" s="22">
        <v>0.30441299999999999</v>
      </c>
      <c r="H307" s="22">
        <v>103.15600000000001</v>
      </c>
      <c r="I307" s="22">
        <v>-1.6110200000000002E-2</v>
      </c>
      <c r="J307" s="22">
        <v>297</v>
      </c>
      <c r="K307" s="22">
        <v>0.30374099999999998</v>
      </c>
      <c r="L307">
        <f t="shared" si="48"/>
        <v>16.110200000000003</v>
      </c>
      <c r="M307">
        <f t="shared" si="49"/>
        <v>4.9041543126000002</v>
      </c>
      <c r="N307" s="9"/>
      <c r="O307" s="22">
        <v>1.39557</v>
      </c>
      <c r="P307" s="22">
        <v>210.44200000000001</v>
      </c>
      <c r="Q307" s="22">
        <v>-1.5261800000000001E-2</v>
      </c>
      <c r="R307" s="22">
        <v>297</v>
      </c>
      <c r="S307" s="22">
        <v>1.39496</v>
      </c>
      <c r="T307">
        <f t="shared" si="50"/>
        <v>15.261800000000001</v>
      </c>
      <c r="U307">
        <f t="shared" si="51"/>
        <v>21.298910226</v>
      </c>
      <c r="X307" s="9"/>
      <c r="Y307" s="22">
        <v>0.30441299999999999</v>
      </c>
      <c r="Z307" s="22">
        <v>292.95600000000002</v>
      </c>
      <c r="AA307" s="22">
        <v>-1.6156E-2</v>
      </c>
      <c r="AB307" s="22">
        <v>297</v>
      </c>
      <c r="AC307" s="22">
        <v>0.30364999999999998</v>
      </c>
      <c r="AD307">
        <f t="shared" si="52"/>
        <v>16.155999999999999</v>
      </c>
      <c r="AE307">
        <f t="shared" si="53"/>
        <v>4.9180964279999992</v>
      </c>
      <c r="AF307" s="9"/>
      <c r="AG307" s="22">
        <v>1.39557</v>
      </c>
      <c r="AH307" s="22">
        <v>378.05</v>
      </c>
      <c r="AI307" s="22">
        <v>-1.53259E-2</v>
      </c>
      <c r="AJ307" s="22">
        <v>297</v>
      </c>
      <c r="AK307" s="22">
        <v>1.39496</v>
      </c>
      <c r="AL307">
        <f t="shared" si="54"/>
        <v>15.325900000000001</v>
      </c>
      <c r="AM307">
        <f t="shared" si="55"/>
        <v>21.388366263000002</v>
      </c>
      <c r="AP307" s="9"/>
      <c r="AQ307" s="22">
        <v>0.30441299999999999</v>
      </c>
      <c r="AR307" s="22">
        <v>461.44900000000001</v>
      </c>
      <c r="AS307" s="22">
        <v>-1.6177400000000002E-2</v>
      </c>
      <c r="AT307" s="22">
        <v>297</v>
      </c>
      <c r="AU307" s="22">
        <v>0.30368000000000001</v>
      </c>
      <c r="AV307">
        <f t="shared" si="56"/>
        <v>16.177400000000002</v>
      </c>
      <c r="AW307">
        <f t="shared" si="57"/>
        <v>4.9246108662000001</v>
      </c>
      <c r="AX307" s="9"/>
      <c r="AY307" s="22">
        <v>1.39557</v>
      </c>
      <c r="AZ307" s="22">
        <v>583.38400000000001</v>
      </c>
      <c r="BA307" s="22">
        <v>-1.5219099999999999E-2</v>
      </c>
      <c r="BB307" s="22">
        <v>297</v>
      </c>
      <c r="BC307" s="22">
        <v>1.3952599999999999</v>
      </c>
      <c r="BD307">
        <f t="shared" si="58"/>
        <v>15.219099999999999</v>
      </c>
      <c r="BE307">
        <f t="shared" si="59"/>
        <v>21.239319386999998</v>
      </c>
    </row>
    <row r="308" spans="6:57">
      <c r="F308" s="9"/>
      <c r="G308" s="22">
        <v>0.299377</v>
      </c>
      <c r="H308" s="22">
        <v>103.256</v>
      </c>
      <c r="I308" s="22">
        <v>-1.61163E-2</v>
      </c>
      <c r="J308" s="22">
        <v>298</v>
      </c>
      <c r="K308" s="22">
        <v>0.29855300000000001</v>
      </c>
      <c r="L308">
        <f t="shared" si="48"/>
        <v>16.116299999999999</v>
      </c>
      <c r="M308">
        <f t="shared" si="49"/>
        <v>4.8248495451000002</v>
      </c>
      <c r="N308" s="9"/>
      <c r="O308" s="22">
        <v>1.4006000000000001</v>
      </c>
      <c r="P308" s="22">
        <v>210.54300000000001</v>
      </c>
      <c r="Q308" s="22">
        <v>-1.52435E-2</v>
      </c>
      <c r="R308" s="22">
        <v>298</v>
      </c>
      <c r="S308" s="22">
        <v>1.39954</v>
      </c>
      <c r="T308">
        <f t="shared" si="50"/>
        <v>15.243500000000001</v>
      </c>
      <c r="U308">
        <f t="shared" si="51"/>
        <v>21.350046100000004</v>
      </c>
      <c r="X308" s="9"/>
      <c r="Y308" s="22">
        <v>0.299377</v>
      </c>
      <c r="Z308" s="22">
        <v>293.05599999999998</v>
      </c>
      <c r="AA308" s="22">
        <v>-1.6165200000000001E-2</v>
      </c>
      <c r="AB308" s="22">
        <v>298</v>
      </c>
      <c r="AC308" s="22">
        <v>0.298676</v>
      </c>
      <c r="AD308">
        <f t="shared" si="52"/>
        <v>16.165200000000002</v>
      </c>
      <c r="AE308">
        <f t="shared" si="53"/>
        <v>4.8394890804000008</v>
      </c>
      <c r="AF308" s="9"/>
      <c r="AG308" s="22">
        <v>1.4006000000000001</v>
      </c>
      <c r="AH308" s="22">
        <v>378.15100000000001</v>
      </c>
      <c r="AI308" s="22">
        <v>-1.53137E-2</v>
      </c>
      <c r="AJ308" s="22">
        <v>298</v>
      </c>
      <c r="AK308" s="22">
        <v>1.39984</v>
      </c>
      <c r="AL308">
        <f t="shared" si="54"/>
        <v>15.313699999999999</v>
      </c>
      <c r="AM308">
        <f t="shared" si="55"/>
        <v>21.448368219999999</v>
      </c>
      <c r="AP308" s="9"/>
      <c r="AQ308" s="22">
        <v>0.299377</v>
      </c>
      <c r="AR308" s="22">
        <v>461.55</v>
      </c>
      <c r="AS308" s="22">
        <v>-1.6180400000000001E-2</v>
      </c>
      <c r="AT308" s="22">
        <v>298</v>
      </c>
      <c r="AU308" s="22">
        <v>0.298767</v>
      </c>
      <c r="AV308">
        <f t="shared" si="56"/>
        <v>16.180400000000002</v>
      </c>
      <c r="AW308">
        <f t="shared" si="57"/>
        <v>4.8440396108000003</v>
      </c>
      <c r="AX308" s="9"/>
      <c r="AY308" s="22">
        <v>1.4006000000000001</v>
      </c>
      <c r="AZ308" s="22">
        <v>583.48400000000004</v>
      </c>
      <c r="BA308" s="22">
        <v>-1.51764E-2</v>
      </c>
      <c r="BB308" s="22">
        <v>298</v>
      </c>
      <c r="BC308" s="22">
        <v>1.39984</v>
      </c>
      <c r="BD308">
        <f t="shared" si="58"/>
        <v>15.176399999999999</v>
      </c>
      <c r="BE308">
        <f t="shared" si="59"/>
        <v>21.256065840000002</v>
      </c>
    </row>
    <row r="309" spans="6:57">
      <c r="F309" s="9"/>
      <c r="G309" s="22">
        <v>0.29434199999999999</v>
      </c>
      <c r="H309" s="22">
        <v>103.357</v>
      </c>
      <c r="I309" s="22">
        <v>-1.6110200000000002E-2</v>
      </c>
      <c r="J309" s="22">
        <v>299</v>
      </c>
      <c r="K309" s="22">
        <v>0.29348800000000003</v>
      </c>
      <c r="L309">
        <f t="shared" si="48"/>
        <v>16.110200000000003</v>
      </c>
      <c r="M309">
        <f t="shared" si="49"/>
        <v>4.7419084884000009</v>
      </c>
      <c r="N309" s="9"/>
      <c r="O309" s="22">
        <v>1.40564</v>
      </c>
      <c r="P309" s="22">
        <v>210.64400000000001</v>
      </c>
      <c r="Q309" s="22">
        <v>-1.5219099999999999E-2</v>
      </c>
      <c r="R309" s="22">
        <v>299</v>
      </c>
      <c r="S309" s="22">
        <v>1.40472</v>
      </c>
      <c r="T309">
        <f t="shared" si="50"/>
        <v>15.219099999999999</v>
      </c>
      <c r="U309">
        <f t="shared" si="51"/>
        <v>21.392575724</v>
      </c>
      <c r="X309" s="9"/>
      <c r="Y309" s="22">
        <v>0.29434199999999999</v>
      </c>
      <c r="Z309" s="22">
        <v>293.15699999999998</v>
      </c>
      <c r="AA309" s="22">
        <v>-1.6165200000000001E-2</v>
      </c>
      <c r="AB309" s="22">
        <v>299</v>
      </c>
      <c r="AC309" s="22">
        <v>0.29357899999999998</v>
      </c>
      <c r="AD309">
        <f t="shared" si="52"/>
        <v>16.165200000000002</v>
      </c>
      <c r="AE309">
        <f t="shared" si="53"/>
        <v>4.758097298400001</v>
      </c>
      <c r="AF309" s="9"/>
      <c r="AG309" s="22">
        <v>1.40564</v>
      </c>
      <c r="AH309" s="22">
        <v>378.25099999999998</v>
      </c>
      <c r="AI309" s="22">
        <v>-1.5286299999999999E-2</v>
      </c>
      <c r="AJ309" s="22">
        <v>299</v>
      </c>
      <c r="AK309" s="22">
        <v>1.40503</v>
      </c>
      <c r="AL309">
        <f t="shared" si="54"/>
        <v>15.286299999999999</v>
      </c>
      <c r="AM309">
        <f t="shared" si="55"/>
        <v>21.487034731999998</v>
      </c>
      <c r="AP309" s="9"/>
      <c r="AQ309" s="22">
        <v>0.29434199999999999</v>
      </c>
      <c r="AR309" s="22">
        <v>461.65100000000001</v>
      </c>
      <c r="AS309" s="22">
        <v>-1.6189599999999998E-2</v>
      </c>
      <c r="AT309" s="22">
        <v>299</v>
      </c>
      <c r="AU309" s="22">
        <v>0.29379300000000003</v>
      </c>
      <c r="AV309">
        <f t="shared" si="56"/>
        <v>16.189599999999999</v>
      </c>
      <c r="AW309">
        <f t="shared" si="57"/>
        <v>4.7652792431999993</v>
      </c>
      <c r="AX309" s="9"/>
      <c r="AY309" s="22">
        <v>1.40564</v>
      </c>
      <c r="AZ309" s="22">
        <v>583.58500000000004</v>
      </c>
      <c r="BA309" s="22">
        <v>-1.5155E-2</v>
      </c>
      <c r="BB309" s="22">
        <v>299</v>
      </c>
      <c r="BC309" s="22">
        <v>1.40503</v>
      </c>
      <c r="BD309">
        <f t="shared" si="58"/>
        <v>15.154999999999999</v>
      </c>
      <c r="BE309">
        <f t="shared" si="59"/>
        <v>21.302474199999999</v>
      </c>
    </row>
    <row r="310" spans="6:57">
      <c r="F310" s="9"/>
      <c r="G310" s="22">
        <v>0.28930699999999998</v>
      </c>
      <c r="H310" s="22">
        <v>103.458</v>
      </c>
      <c r="I310" s="22">
        <v>-1.6119399999999999E-2</v>
      </c>
      <c r="J310" s="22">
        <v>300</v>
      </c>
      <c r="K310" s="22">
        <v>0.28854400000000002</v>
      </c>
      <c r="L310">
        <f t="shared" si="48"/>
        <v>16.119399999999999</v>
      </c>
      <c r="M310">
        <f t="shared" si="49"/>
        <v>4.6634552557999998</v>
      </c>
      <c r="N310" s="9"/>
      <c r="O310" s="22">
        <v>1.4106799999999999</v>
      </c>
      <c r="P310" s="22">
        <v>210.744</v>
      </c>
      <c r="Q310" s="22">
        <v>-1.521E-2</v>
      </c>
      <c r="R310" s="22">
        <v>300</v>
      </c>
      <c r="S310" s="22">
        <v>1.41052</v>
      </c>
      <c r="T310">
        <f t="shared" si="50"/>
        <v>15.209999999999999</v>
      </c>
      <c r="U310">
        <f t="shared" si="51"/>
        <v>21.456442799999998</v>
      </c>
      <c r="X310" s="9"/>
      <c r="Y310" s="22">
        <v>0.28930699999999998</v>
      </c>
      <c r="Z310" s="22">
        <v>293.25799999999998</v>
      </c>
      <c r="AA310" s="22">
        <v>-1.6165200000000001E-2</v>
      </c>
      <c r="AB310" s="22">
        <v>300</v>
      </c>
      <c r="AC310" s="22">
        <v>0.28863499999999997</v>
      </c>
      <c r="AD310">
        <f t="shared" si="52"/>
        <v>16.165200000000002</v>
      </c>
      <c r="AE310">
        <f t="shared" si="53"/>
        <v>4.6767055164000002</v>
      </c>
      <c r="AF310" s="9"/>
      <c r="AG310" s="22">
        <v>1.4106799999999999</v>
      </c>
      <c r="AH310" s="22">
        <v>378.35199999999998</v>
      </c>
      <c r="AI310" s="22">
        <v>-1.5240500000000001E-2</v>
      </c>
      <c r="AJ310" s="22">
        <v>300</v>
      </c>
      <c r="AK310" s="22">
        <v>1.41022</v>
      </c>
      <c r="AL310">
        <f t="shared" si="54"/>
        <v>15.240500000000001</v>
      </c>
      <c r="AM310">
        <f t="shared" si="55"/>
        <v>21.499468539999999</v>
      </c>
      <c r="AP310" s="9"/>
      <c r="AQ310" s="22">
        <v>0.28930699999999998</v>
      </c>
      <c r="AR310" s="22">
        <v>461.75200000000001</v>
      </c>
      <c r="AS310" s="22">
        <v>-1.61957E-2</v>
      </c>
      <c r="AT310" s="22">
        <v>300</v>
      </c>
      <c r="AU310" s="22">
        <v>0.288605</v>
      </c>
      <c r="AV310">
        <f t="shared" si="56"/>
        <v>16.195699999999999</v>
      </c>
      <c r="AW310">
        <f t="shared" si="57"/>
        <v>4.6855293798999993</v>
      </c>
      <c r="AX310" s="9"/>
      <c r="AY310" s="22">
        <v>1.4106799999999999</v>
      </c>
      <c r="AZ310" s="22">
        <v>583.68600000000004</v>
      </c>
      <c r="BA310" s="22">
        <v>-1.5118400000000001E-2</v>
      </c>
      <c r="BB310" s="22">
        <v>300</v>
      </c>
      <c r="BC310" s="22">
        <v>1.40961</v>
      </c>
      <c r="BD310">
        <f t="shared" si="58"/>
        <v>15.118400000000001</v>
      </c>
      <c r="BE310">
        <f t="shared" si="59"/>
        <v>21.327224512000001</v>
      </c>
    </row>
    <row r="311" spans="6:57">
      <c r="F311" s="9"/>
      <c r="G311" s="22">
        <v>0.284271</v>
      </c>
      <c r="H311" s="22">
        <v>103.55800000000001</v>
      </c>
      <c r="I311" s="22">
        <v>-1.61163E-2</v>
      </c>
      <c r="J311" s="22">
        <v>301</v>
      </c>
      <c r="K311" s="22">
        <v>0.28353899999999999</v>
      </c>
      <c r="L311">
        <f t="shared" si="48"/>
        <v>16.116299999999999</v>
      </c>
      <c r="M311">
        <f t="shared" si="49"/>
        <v>4.5813967172999996</v>
      </c>
      <c r="N311" s="9"/>
      <c r="O311" s="22">
        <v>1.41571</v>
      </c>
      <c r="P311" s="22">
        <v>210.845</v>
      </c>
      <c r="Q311" s="22">
        <v>-1.5170299999999999E-2</v>
      </c>
      <c r="R311" s="22">
        <v>301</v>
      </c>
      <c r="S311" s="22">
        <v>1.41479</v>
      </c>
      <c r="T311">
        <f t="shared" si="50"/>
        <v>15.170299999999999</v>
      </c>
      <c r="U311">
        <f t="shared" si="51"/>
        <v>21.476745413</v>
      </c>
      <c r="X311" s="9"/>
      <c r="Y311" s="22">
        <v>0.284271</v>
      </c>
      <c r="Z311" s="22">
        <v>293.358</v>
      </c>
      <c r="AA311" s="22">
        <v>-1.61713E-2</v>
      </c>
      <c r="AB311" s="22">
        <v>301</v>
      </c>
      <c r="AC311" s="22">
        <v>0.28347800000000001</v>
      </c>
      <c r="AD311">
        <f t="shared" si="52"/>
        <v>16.171299999999999</v>
      </c>
      <c r="AE311">
        <f t="shared" si="53"/>
        <v>4.5970316222999994</v>
      </c>
      <c r="AF311" s="9"/>
      <c r="AG311" s="22">
        <v>1.41571</v>
      </c>
      <c r="AH311" s="22">
        <v>378.45299999999997</v>
      </c>
      <c r="AI311" s="22">
        <v>-1.52313E-2</v>
      </c>
      <c r="AJ311" s="22">
        <v>301</v>
      </c>
      <c r="AK311" s="22">
        <v>1.4151</v>
      </c>
      <c r="AL311">
        <f t="shared" si="54"/>
        <v>15.231299999999999</v>
      </c>
      <c r="AM311">
        <f t="shared" si="55"/>
        <v>21.563103722999998</v>
      </c>
      <c r="AP311" s="9"/>
      <c r="AQ311" s="22">
        <v>0.284271</v>
      </c>
      <c r="AR311" s="22">
        <v>461.85199999999998</v>
      </c>
      <c r="AS311" s="22">
        <v>-1.6186499999999999E-2</v>
      </c>
      <c r="AT311" s="22">
        <v>301</v>
      </c>
      <c r="AU311" s="22">
        <v>0.28347800000000001</v>
      </c>
      <c r="AV311">
        <f t="shared" si="56"/>
        <v>16.186499999999999</v>
      </c>
      <c r="AW311">
        <f t="shared" si="57"/>
        <v>4.6013525414999998</v>
      </c>
      <c r="AX311" s="9"/>
      <c r="AY311" s="22">
        <v>1.41571</v>
      </c>
      <c r="AZ311" s="22">
        <v>583.78599999999994</v>
      </c>
      <c r="BA311" s="22">
        <v>-1.5094E-2</v>
      </c>
      <c r="BB311" s="22">
        <v>301</v>
      </c>
      <c r="BC311" s="22">
        <v>1.4151</v>
      </c>
      <c r="BD311">
        <f t="shared" si="58"/>
        <v>15.093999999999999</v>
      </c>
      <c r="BE311">
        <f t="shared" si="59"/>
        <v>21.36872674</v>
      </c>
    </row>
    <row r="312" spans="6:57">
      <c r="F312" s="9"/>
      <c r="G312" s="22">
        <v>0.27923599999999998</v>
      </c>
      <c r="H312" s="22">
        <v>103.65900000000001</v>
      </c>
      <c r="I312" s="22">
        <v>-1.6113300000000001E-2</v>
      </c>
      <c r="J312" s="22">
        <v>302</v>
      </c>
      <c r="K312" s="22">
        <v>0.27859499999999998</v>
      </c>
      <c r="L312">
        <f t="shared" si="48"/>
        <v>16.113299999999999</v>
      </c>
      <c r="M312">
        <f t="shared" si="49"/>
        <v>4.4994134387999996</v>
      </c>
      <c r="N312" s="9"/>
      <c r="O312" s="22">
        <v>1.42075</v>
      </c>
      <c r="P312" s="22">
        <v>210.946</v>
      </c>
      <c r="Q312" s="22">
        <v>-1.5158100000000001E-2</v>
      </c>
      <c r="R312" s="22">
        <v>302</v>
      </c>
      <c r="S312" s="22">
        <v>1.4196800000000001</v>
      </c>
      <c r="T312">
        <f t="shared" si="50"/>
        <v>15.158100000000001</v>
      </c>
      <c r="U312">
        <f t="shared" si="51"/>
        <v>21.535870575000001</v>
      </c>
      <c r="X312" s="9"/>
      <c r="Y312" s="22">
        <v>0.27923599999999998</v>
      </c>
      <c r="Z312" s="22">
        <v>293.459</v>
      </c>
      <c r="AA312" s="22">
        <v>-1.6177400000000002E-2</v>
      </c>
      <c r="AB312" s="22">
        <v>302</v>
      </c>
      <c r="AC312" s="22">
        <v>0.27844200000000002</v>
      </c>
      <c r="AD312">
        <f t="shared" si="52"/>
        <v>16.177400000000002</v>
      </c>
      <c r="AE312">
        <f t="shared" si="53"/>
        <v>4.5173124663999999</v>
      </c>
      <c r="AF312" s="9"/>
      <c r="AG312" s="22">
        <v>1.42075</v>
      </c>
      <c r="AH312" s="22">
        <v>378.55399999999997</v>
      </c>
      <c r="AI312" s="22">
        <v>-1.5185499999999999E-2</v>
      </c>
      <c r="AJ312" s="22">
        <v>302</v>
      </c>
      <c r="AK312" s="22">
        <v>1.42059</v>
      </c>
      <c r="AL312">
        <f t="shared" si="54"/>
        <v>15.185499999999999</v>
      </c>
      <c r="AM312">
        <f t="shared" si="55"/>
        <v>21.574799124999998</v>
      </c>
      <c r="AP312" s="9"/>
      <c r="AQ312" s="22">
        <v>0.27923599999999998</v>
      </c>
      <c r="AR312" s="22">
        <v>461.95299999999997</v>
      </c>
      <c r="AS312" s="22">
        <v>-1.6186499999999999E-2</v>
      </c>
      <c r="AT312" s="22">
        <v>302</v>
      </c>
      <c r="AU312" s="22">
        <v>0.27847300000000003</v>
      </c>
      <c r="AV312">
        <f t="shared" si="56"/>
        <v>16.186499999999999</v>
      </c>
      <c r="AW312">
        <f t="shared" si="57"/>
        <v>4.5198535139999994</v>
      </c>
      <c r="AX312" s="9"/>
      <c r="AY312" s="22">
        <v>1.42075</v>
      </c>
      <c r="AZ312" s="22">
        <v>583.88699999999994</v>
      </c>
      <c r="BA312" s="22">
        <v>-1.5026899999999999E-2</v>
      </c>
      <c r="BB312" s="22">
        <v>302</v>
      </c>
      <c r="BC312" s="22">
        <v>1.4196800000000001</v>
      </c>
      <c r="BD312">
        <f t="shared" si="58"/>
        <v>15.026899999999999</v>
      </c>
      <c r="BE312">
        <f t="shared" si="59"/>
        <v>21.349468174999998</v>
      </c>
    </row>
    <row r="313" spans="6:57">
      <c r="F313" s="9"/>
      <c r="G313" s="22">
        <v>0.2742</v>
      </c>
      <c r="H313" s="22">
        <v>103.76</v>
      </c>
      <c r="I313" s="22">
        <v>-1.61163E-2</v>
      </c>
      <c r="J313" s="22">
        <v>303</v>
      </c>
      <c r="K313" s="22">
        <v>0.27343800000000001</v>
      </c>
      <c r="L313">
        <f t="shared" si="48"/>
        <v>16.116299999999999</v>
      </c>
      <c r="M313">
        <f t="shared" si="49"/>
        <v>4.4190894599999995</v>
      </c>
      <c r="N313" s="9"/>
      <c r="O313" s="22">
        <v>1.42578</v>
      </c>
      <c r="P313" s="22">
        <v>211.047</v>
      </c>
      <c r="Q313" s="22">
        <v>-1.51276E-2</v>
      </c>
      <c r="R313" s="22">
        <v>303</v>
      </c>
      <c r="S313" s="22">
        <v>1.42578</v>
      </c>
      <c r="T313">
        <f t="shared" si="50"/>
        <v>15.127599999999999</v>
      </c>
      <c r="U313">
        <f t="shared" si="51"/>
        <v>21.568629527999999</v>
      </c>
      <c r="X313" s="9"/>
      <c r="Y313" s="22">
        <v>0.2742</v>
      </c>
      <c r="Z313" s="22">
        <v>293.56</v>
      </c>
      <c r="AA313" s="22">
        <v>-1.6168200000000001E-2</v>
      </c>
      <c r="AB313" s="22">
        <v>303</v>
      </c>
      <c r="AC313" s="22">
        <v>0.27359</v>
      </c>
      <c r="AD313">
        <f t="shared" si="52"/>
        <v>16.168200000000002</v>
      </c>
      <c r="AE313">
        <f t="shared" si="53"/>
        <v>4.433320440000001</v>
      </c>
      <c r="AF313" s="9"/>
      <c r="AG313" s="22">
        <v>1.42578</v>
      </c>
      <c r="AH313" s="22">
        <v>378.654</v>
      </c>
      <c r="AI313" s="22">
        <v>-1.51398E-2</v>
      </c>
      <c r="AJ313" s="22">
        <v>303</v>
      </c>
      <c r="AK313" s="22">
        <v>1.42456</v>
      </c>
      <c r="AL313">
        <f t="shared" si="54"/>
        <v>15.139799999999999</v>
      </c>
      <c r="AM313">
        <f t="shared" si="55"/>
        <v>21.586024043999998</v>
      </c>
      <c r="AP313" s="9"/>
      <c r="AQ313" s="22">
        <v>0.2742</v>
      </c>
      <c r="AR313" s="22">
        <v>462.05399999999997</v>
      </c>
      <c r="AS313" s="22">
        <v>-1.61835E-2</v>
      </c>
      <c r="AT313" s="22">
        <v>303</v>
      </c>
      <c r="AU313" s="22">
        <v>0.27340700000000001</v>
      </c>
      <c r="AV313">
        <f t="shared" si="56"/>
        <v>16.183499999999999</v>
      </c>
      <c r="AW313">
        <f t="shared" si="57"/>
        <v>4.4375156999999996</v>
      </c>
      <c r="AX313" s="9"/>
      <c r="AY313" s="22">
        <v>1.42578</v>
      </c>
      <c r="AZ313" s="22">
        <v>583.98800000000006</v>
      </c>
      <c r="BA313" s="22">
        <v>-1.50055E-2</v>
      </c>
      <c r="BB313" s="22">
        <v>303</v>
      </c>
      <c r="BC313" s="22">
        <v>1.4248700000000001</v>
      </c>
      <c r="BD313">
        <f t="shared" si="58"/>
        <v>15.0055</v>
      </c>
      <c r="BE313">
        <f t="shared" si="59"/>
        <v>21.394541790000002</v>
      </c>
    </row>
    <row r="314" spans="6:57">
      <c r="F314" s="9"/>
      <c r="G314" s="22">
        <v>0.26916499999999999</v>
      </c>
      <c r="H314" s="22">
        <v>103.86</v>
      </c>
      <c r="I314" s="22">
        <v>-1.6113300000000001E-2</v>
      </c>
      <c r="J314" s="22">
        <v>304</v>
      </c>
      <c r="K314" s="22">
        <v>0.26846300000000001</v>
      </c>
      <c r="L314">
        <f t="shared" si="48"/>
        <v>16.113299999999999</v>
      </c>
      <c r="M314">
        <f t="shared" si="49"/>
        <v>4.3371363944999999</v>
      </c>
      <c r="N314" s="9"/>
      <c r="O314" s="22">
        <v>1.43082</v>
      </c>
      <c r="P314" s="22">
        <v>211.14699999999999</v>
      </c>
      <c r="Q314" s="22">
        <v>-1.51123E-2</v>
      </c>
      <c r="R314" s="22">
        <v>304</v>
      </c>
      <c r="S314" s="22">
        <v>1.4297500000000001</v>
      </c>
      <c r="T314">
        <f t="shared" si="50"/>
        <v>15.112300000000001</v>
      </c>
      <c r="U314">
        <f t="shared" si="51"/>
        <v>21.622981086000003</v>
      </c>
      <c r="X314" s="9"/>
      <c r="Y314" s="22">
        <v>0.26916499999999999</v>
      </c>
      <c r="Z314" s="22">
        <v>293.661</v>
      </c>
      <c r="AA314" s="22">
        <v>-1.61713E-2</v>
      </c>
      <c r="AB314" s="22">
        <v>304</v>
      </c>
      <c r="AC314" s="22">
        <v>0.26858500000000002</v>
      </c>
      <c r="AD314">
        <f t="shared" si="52"/>
        <v>16.171299999999999</v>
      </c>
      <c r="AE314">
        <f t="shared" si="53"/>
        <v>4.3527479644999998</v>
      </c>
      <c r="AF314" s="9"/>
      <c r="AG314" s="22">
        <v>1.43082</v>
      </c>
      <c r="AH314" s="22">
        <v>378.755</v>
      </c>
      <c r="AI314" s="22">
        <v>-1.51215E-2</v>
      </c>
      <c r="AJ314" s="22">
        <v>304</v>
      </c>
      <c r="AK314" s="22">
        <v>1.4297500000000001</v>
      </c>
      <c r="AL314">
        <f t="shared" si="54"/>
        <v>15.121499999999999</v>
      </c>
      <c r="AM314">
        <f t="shared" si="55"/>
        <v>21.63614463</v>
      </c>
      <c r="AP314" s="9"/>
      <c r="AQ314" s="22">
        <v>0.26916499999999999</v>
      </c>
      <c r="AR314" s="22">
        <v>462.154</v>
      </c>
      <c r="AS314" s="22">
        <v>-1.61835E-2</v>
      </c>
      <c r="AT314" s="22">
        <v>304</v>
      </c>
      <c r="AU314" s="22">
        <v>0.26855499999999999</v>
      </c>
      <c r="AV314">
        <f t="shared" si="56"/>
        <v>16.183499999999999</v>
      </c>
      <c r="AW314">
        <f t="shared" si="57"/>
        <v>4.3560317774999993</v>
      </c>
      <c r="AX314" s="9"/>
      <c r="AY314" s="22">
        <v>1.43082</v>
      </c>
      <c r="AZ314" s="22">
        <v>584.08799999999997</v>
      </c>
      <c r="BA314" s="22">
        <v>-1.49658E-2</v>
      </c>
      <c r="BB314" s="22">
        <v>304</v>
      </c>
      <c r="BC314" s="22">
        <v>1.4297500000000001</v>
      </c>
      <c r="BD314">
        <f t="shared" si="58"/>
        <v>14.9658</v>
      </c>
      <c r="BE314">
        <f t="shared" si="59"/>
        <v>21.413365956</v>
      </c>
    </row>
    <row r="315" spans="6:57">
      <c r="F315" s="9"/>
      <c r="G315" s="22">
        <v>0.26412999999999998</v>
      </c>
      <c r="H315" s="22">
        <v>103.961</v>
      </c>
      <c r="I315" s="22">
        <v>-1.6119399999999999E-2</v>
      </c>
      <c r="J315" s="22">
        <v>305</v>
      </c>
      <c r="K315" s="22">
        <v>0.263428</v>
      </c>
      <c r="L315">
        <f t="shared" si="48"/>
        <v>16.119399999999999</v>
      </c>
      <c r="M315">
        <f t="shared" si="49"/>
        <v>4.2576171219999992</v>
      </c>
      <c r="N315" s="9"/>
      <c r="O315" s="22">
        <v>1.4358500000000001</v>
      </c>
      <c r="P315" s="22">
        <v>211.24799999999999</v>
      </c>
      <c r="Q315" s="22">
        <v>-1.50604E-2</v>
      </c>
      <c r="R315" s="22">
        <v>305</v>
      </c>
      <c r="S315" s="22">
        <v>1.4355500000000001</v>
      </c>
      <c r="T315">
        <f t="shared" si="50"/>
        <v>15.0604</v>
      </c>
      <c r="U315">
        <f t="shared" si="51"/>
        <v>21.62447534</v>
      </c>
      <c r="X315" s="9"/>
      <c r="Y315" s="22">
        <v>0.26412999999999998</v>
      </c>
      <c r="Z315" s="22">
        <v>293.76100000000002</v>
      </c>
      <c r="AA315" s="22">
        <v>-1.6162099999999999E-2</v>
      </c>
      <c r="AB315" s="22">
        <v>305</v>
      </c>
      <c r="AC315" s="22">
        <v>0.26345800000000003</v>
      </c>
      <c r="AD315">
        <f t="shared" si="52"/>
        <v>16.162099999999999</v>
      </c>
      <c r="AE315">
        <f t="shared" si="53"/>
        <v>4.2688954729999997</v>
      </c>
      <c r="AF315" s="9"/>
      <c r="AG315" s="22">
        <v>1.4358500000000001</v>
      </c>
      <c r="AH315" s="22">
        <v>378.85599999999999</v>
      </c>
      <c r="AI315" s="22">
        <v>-1.51123E-2</v>
      </c>
      <c r="AJ315" s="22">
        <v>305</v>
      </c>
      <c r="AK315" s="22">
        <v>1.4358500000000001</v>
      </c>
      <c r="AL315">
        <f t="shared" si="54"/>
        <v>15.112300000000001</v>
      </c>
      <c r="AM315">
        <f t="shared" si="55"/>
        <v>21.698995955000004</v>
      </c>
      <c r="AP315" s="9"/>
      <c r="AQ315" s="22">
        <v>0.26412999999999998</v>
      </c>
      <c r="AR315" s="22">
        <v>462.255</v>
      </c>
      <c r="AS315" s="22">
        <v>-1.6186499999999999E-2</v>
      </c>
      <c r="AT315" s="22">
        <v>305</v>
      </c>
      <c r="AU315" s="22">
        <v>0.263519</v>
      </c>
      <c r="AV315">
        <f t="shared" si="56"/>
        <v>16.186499999999999</v>
      </c>
      <c r="AW315">
        <f t="shared" si="57"/>
        <v>4.2753402449999989</v>
      </c>
      <c r="AX315" s="9"/>
      <c r="AY315" s="22">
        <v>1.4358500000000001</v>
      </c>
      <c r="AZ315" s="22">
        <v>584.18899999999996</v>
      </c>
      <c r="BA315" s="22">
        <v>-1.4913900000000001E-2</v>
      </c>
      <c r="BB315" s="22">
        <v>305</v>
      </c>
      <c r="BC315" s="22">
        <v>1.4358500000000001</v>
      </c>
      <c r="BD315">
        <f t="shared" si="58"/>
        <v>14.9139</v>
      </c>
      <c r="BE315">
        <f t="shared" si="59"/>
        <v>21.414123315000001</v>
      </c>
    </row>
    <row r="316" spans="6:57">
      <c r="F316" s="9"/>
      <c r="G316" s="22">
        <v>0.25909399999999999</v>
      </c>
      <c r="H316" s="22">
        <v>104.062</v>
      </c>
      <c r="I316" s="22">
        <v>-1.6122399999999999E-2</v>
      </c>
      <c r="J316" s="22">
        <v>306</v>
      </c>
      <c r="K316" s="22">
        <v>0.25845299999999999</v>
      </c>
      <c r="L316">
        <f t="shared" si="48"/>
        <v>16.122399999999999</v>
      </c>
      <c r="M316">
        <f t="shared" si="49"/>
        <v>4.1772171055999996</v>
      </c>
      <c r="N316" s="9"/>
      <c r="O316" s="22">
        <v>1.44089</v>
      </c>
      <c r="P316" s="22">
        <v>211.34899999999999</v>
      </c>
      <c r="Q316" s="22">
        <v>-1.5026899999999999E-2</v>
      </c>
      <c r="R316" s="22">
        <v>306</v>
      </c>
      <c r="S316" s="22">
        <v>1.4401200000000001</v>
      </c>
      <c r="T316">
        <f t="shared" si="50"/>
        <v>15.026899999999999</v>
      </c>
      <c r="U316">
        <f t="shared" si="51"/>
        <v>21.652109940999999</v>
      </c>
      <c r="X316" s="9"/>
      <c r="Y316" s="22">
        <v>0.25909399999999999</v>
      </c>
      <c r="Z316" s="22">
        <v>293.86200000000002</v>
      </c>
      <c r="AA316" s="22">
        <v>-1.6165200000000001E-2</v>
      </c>
      <c r="AB316" s="22">
        <v>306</v>
      </c>
      <c r="AC316" s="22">
        <v>0.25842300000000001</v>
      </c>
      <c r="AD316">
        <f t="shared" si="52"/>
        <v>16.165200000000002</v>
      </c>
      <c r="AE316">
        <f t="shared" si="53"/>
        <v>4.1883063288000004</v>
      </c>
      <c r="AF316" s="9"/>
      <c r="AG316" s="22">
        <v>1.44089</v>
      </c>
      <c r="AH316" s="22">
        <v>378.95600000000002</v>
      </c>
      <c r="AI316" s="22">
        <v>-1.5090900000000001E-2</v>
      </c>
      <c r="AJ316" s="22">
        <v>306</v>
      </c>
      <c r="AK316" s="22">
        <v>1.4404300000000001</v>
      </c>
      <c r="AL316">
        <f t="shared" si="54"/>
        <v>15.090900000000001</v>
      </c>
      <c r="AM316">
        <f t="shared" si="55"/>
        <v>21.744326901000001</v>
      </c>
      <c r="AP316" s="9"/>
      <c r="AQ316" s="22">
        <v>0.25909399999999999</v>
      </c>
      <c r="AR316" s="22">
        <v>462.35599999999999</v>
      </c>
      <c r="AS316" s="22">
        <v>-1.61835E-2</v>
      </c>
      <c r="AT316" s="22">
        <v>306</v>
      </c>
      <c r="AU316" s="22">
        <v>0.25839200000000001</v>
      </c>
      <c r="AV316">
        <f t="shared" si="56"/>
        <v>16.183499999999999</v>
      </c>
      <c r="AW316">
        <f t="shared" si="57"/>
        <v>4.1930477489999998</v>
      </c>
      <c r="AX316" s="9"/>
      <c r="AY316" s="22">
        <v>1.44089</v>
      </c>
      <c r="AZ316" s="22">
        <v>584.29</v>
      </c>
      <c r="BA316" s="22">
        <v>-1.4919999999999999E-2</v>
      </c>
      <c r="BB316" s="22">
        <v>306</v>
      </c>
      <c r="BC316" s="22">
        <v>1.4401200000000001</v>
      </c>
      <c r="BD316">
        <f t="shared" si="58"/>
        <v>14.92</v>
      </c>
      <c r="BE316">
        <f t="shared" si="59"/>
        <v>21.498078799999998</v>
      </c>
    </row>
    <row r="317" spans="6:57">
      <c r="F317" s="9"/>
      <c r="G317" s="22">
        <v>0.25405899999999998</v>
      </c>
      <c r="H317" s="22">
        <v>104.163</v>
      </c>
      <c r="I317" s="22">
        <v>-1.6125500000000001E-2</v>
      </c>
      <c r="J317" s="22">
        <v>307</v>
      </c>
      <c r="K317" s="22">
        <v>0.25323499999999999</v>
      </c>
      <c r="L317">
        <f t="shared" si="48"/>
        <v>16.125500000000002</v>
      </c>
      <c r="M317">
        <f t="shared" si="49"/>
        <v>4.0968284045000001</v>
      </c>
      <c r="N317" s="9"/>
      <c r="O317" s="22">
        <v>1.4459200000000001</v>
      </c>
      <c r="P317" s="22">
        <v>211.44900000000001</v>
      </c>
      <c r="Q317" s="22">
        <v>-1.4978E-2</v>
      </c>
      <c r="R317" s="22">
        <v>307</v>
      </c>
      <c r="S317" s="22">
        <v>1.4453100000000001</v>
      </c>
      <c r="T317">
        <f t="shared" si="50"/>
        <v>14.978</v>
      </c>
      <c r="U317">
        <f t="shared" si="51"/>
        <v>21.656989760000002</v>
      </c>
      <c r="X317" s="9"/>
      <c r="Y317" s="22">
        <v>0.25405899999999998</v>
      </c>
      <c r="Z317" s="22">
        <v>293.96300000000002</v>
      </c>
      <c r="AA317" s="22">
        <v>-1.6165200000000001E-2</v>
      </c>
      <c r="AB317" s="22">
        <v>307</v>
      </c>
      <c r="AC317" s="22">
        <v>0.25338699999999997</v>
      </c>
      <c r="AD317">
        <f t="shared" si="52"/>
        <v>16.165200000000002</v>
      </c>
      <c r="AE317">
        <f t="shared" si="53"/>
        <v>4.1069145468000006</v>
      </c>
      <c r="AF317" s="9"/>
      <c r="AG317" s="22">
        <v>1.4459200000000001</v>
      </c>
      <c r="AH317" s="22">
        <v>379.05700000000002</v>
      </c>
      <c r="AI317" s="22">
        <v>-1.5063500000000001E-2</v>
      </c>
      <c r="AJ317" s="22">
        <v>307</v>
      </c>
      <c r="AK317" s="22">
        <v>1.4453100000000001</v>
      </c>
      <c r="AL317">
        <f t="shared" si="54"/>
        <v>15.063500000000001</v>
      </c>
      <c r="AM317">
        <f t="shared" si="55"/>
        <v>21.780615920000002</v>
      </c>
      <c r="AP317" s="9"/>
      <c r="AQ317" s="22">
        <v>0.25405899999999998</v>
      </c>
      <c r="AR317" s="22">
        <v>462.45600000000002</v>
      </c>
      <c r="AS317" s="22">
        <v>-1.61835E-2</v>
      </c>
      <c r="AT317" s="22">
        <v>307</v>
      </c>
      <c r="AU317" s="22">
        <v>0.25338699999999997</v>
      </c>
      <c r="AV317">
        <f t="shared" si="56"/>
        <v>16.183499999999999</v>
      </c>
      <c r="AW317">
        <f t="shared" si="57"/>
        <v>4.1115638264999994</v>
      </c>
      <c r="AX317" s="9"/>
      <c r="AY317" s="22">
        <v>1.4459200000000001</v>
      </c>
      <c r="AZ317" s="22">
        <v>584.39099999999996</v>
      </c>
      <c r="BA317" s="22">
        <v>-1.4859000000000001E-2</v>
      </c>
      <c r="BB317" s="22">
        <v>307</v>
      </c>
      <c r="BC317" s="22">
        <v>1.4450099999999999</v>
      </c>
      <c r="BD317">
        <f t="shared" si="58"/>
        <v>14.859</v>
      </c>
      <c r="BE317">
        <f t="shared" si="59"/>
        <v>21.484925280000002</v>
      </c>
    </row>
    <row r="318" spans="6:57">
      <c r="F318" s="9"/>
      <c r="G318" s="22">
        <v>0.24902299999999999</v>
      </c>
      <c r="H318" s="22">
        <v>104.26300000000001</v>
      </c>
      <c r="I318" s="22">
        <v>-1.6119399999999999E-2</v>
      </c>
      <c r="J318" s="22">
        <v>308</v>
      </c>
      <c r="K318" s="22">
        <v>0.24838299999999999</v>
      </c>
      <c r="L318">
        <f t="shared" si="48"/>
        <v>16.119399999999999</v>
      </c>
      <c r="M318">
        <f t="shared" si="49"/>
        <v>4.0141013461999995</v>
      </c>
      <c r="N318" s="9"/>
      <c r="O318" s="22">
        <v>1.45096</v>
      </c>
      <c r="P318" s="22">
        <v>211.55</v>
      </c>
      <c r="Q318" s="22">
        <v>-1.49628E-2</v>
      </c>
      <c r="R318" s="22">
        <v>308</v>
      </c>
      <c r="S318" s="22">
        <v>1.4501999999999999</v>
      </c>
      <c r="T318">
        <f t="shared" si="50"/>
        <v>14.9628</v>
      </c>
      <c r="U318">
        <f t="shared" si="51"/>
        <v>21.710424287999999</v>
      </c>
      <c r="X318" s="9"/>
      <c r="Y318" s="22">
        <v>0.24902299999999999</v>
      </c>
      <c r="Z318" s="22">
        <v>294.06299999999999</v>
      </c>
      <c r="AA318" s="22">
        <v>-1.6168200000000001E-2</v>
      </c>
      <c r="AB318" s="22">
        <v>308</v>
      </c>
      <c r="AC318" s="22">
        <v>0.24829100000000001</v>
      </c>
      <c r="AD318">
        <f t="shared" si="52"/>
        <v>16.168200000000002</v>
      </c>
      <c r="AE318">
        <f t="shared" si="53"/>
        <v>4.0262536686000008</v>
      </c>
      <c r="AF318" s="9"/>
      <c r="AG318" s="22">
        <v>1.45096</v>
      </c>
      <c r="AH318" s="22">
        <v>379.15800000000002</v>
      </c>
      <c r="AI318" s="22">
        <v>-1.5014599999999999E-2</v>
      </c>
      <c r="AJ318" s="22">
        <v>308</v>
      </c>
      <c r="AK318" s="22">
        <v>1.4498899999999999</v>
      </c>
      <c r="AL318">
        <f t="shared" si="54"/>
        <v>15.0146</v>
      </c>
      <c r="AM318">
        <f t="shared" si="55"/>
        <v>21.785584016000001</v>
      </c>
      <c r="AP318" s="9"/>
      <c r="AQ318" s="22">
        <v>0.24902299999999999</v>
      </c>
      <c r="AR318" s="22">
        <v>462.55700000000002</v>
      </c>
      <c r="AS318" s="22">
        <v>-1.6186499999999999E-2</v>
      </c>
      <c r="AT318" s="22">
        <v>308</v>
      </c>
      <c r="AU318" s="22">
        <v>0.24835199999999999</v>
      </c>
      <c r="AV318">
        <f t="shared" si="56"/>
        <v>16.186499999999999</v>
      </c>
      <c r="AW318">
        <f t="shared" si="57"/>
        <v>4.0308107894999994</v>
      </c>
      <c r="AX318" s="9"/>
      <c r="AY318" s="22">
        <v>1.45096</v>
      </c>
      <c r="AZ318" s="22">
        <v>584.49099999999999</v>
      </c>
      <c r="BA318" s="22">
        <v>-1.4798E-2</v>
      </c>
      <c r="BB318" s="22">
        <v>308</v>
      </c>
      <c r="BC318" s="22">
        <v>1.4504999999999999</v>
      </c>
      <c r="BD318">
        <f t="shared" si="58"/>
        <v>14.798</v>
      </c>
      <c r="BE318">
        <f t="shared" si="59"/>
        <v>21.471306080000002</v>
      </c>
    </row>
    <row r="319" spans="6:57">
      <c r="F319" s="9"/>
      <c r="G319" s="22">
        <v>0.24398800000000001</v>
      </c>
      <c r="H319" s="22">
        <v>104.364</v>
      </c>
      <c r="I319" s="22">
        <v>-1.6125500000000001E-2</v>
      </c>
      <c r="J319" s="22">
        <v>309</v>
      </c>
      <c r="K319" s="22">
        <v>0.24337800000000001</v>
      </c>
      <c r="L319">
        <f t="shared" si="48"/>
        <v>16.125500000000002</v>
      </c>
      <c r="M319">
        <f t="shared" si="49"/>
        <v>3.9344284940000009</v>
      </c>
      <c r="N319" s="9"/>
      <c r="O319" s="22">
        <v>1.4559899999999999</v>
      </c>
      <c r="P319" s="22">
        <v>211.65100000000001</v>
      </c>
      <c r="Q319" s="22">
        <v>-1.49017E-2</v>
      </c>
      <c r="R319" s="22">
        <v>309</v>
      </c>
      <c r="S319" s="22">
        <v>1.4553799999999999</v>
      </c>
      <c r="T319">
        <f t="shared" si="50"/>
        <v>14.9017</v>
      </c>
      <c r="U319">
        <f t="shared" si="51"/>
        <v>21.696726182999999</v>
      </c>
      <c r="X319" s="9"/>
      <c r="Y319" s="22">
        <v>0.24398800000000001</v>
      </c>
      <c r="Z319" s="22">
        <v>294.16399999999999</v>
      </c>
      <c r="AA319" s="22">
        <v>-1.6168200000000001E-2</v>
      </c>
      <c r="AB319" s="22">
        <v>309</v>
      </c>
      <c r="AC319" s="22">
        <v>0.24331700000000001</v>
      </c>
      <c r="AD319">
        <f t="shared" si="52"/>
        <v>16.168200000000002</v>
      </c>
      <c r="AE319">
        <f t="shared" si="53"/>
        <v>3.9448467816000008</v>
      </c>
      <c r="AF319" s="9"/>
      <c r="AG319" s="22">
        <v>1.4559899999999999</v>
      </c>
      <c r="AH319" s="22">
        <v>379.25900000000001</v>
      </c>
      <c r="AI319" s="22">
        <v>-1.49841E-2</v>
      </c>
      <c r="AJ319" s="22">
        <v>309</v>
      </c>
      <c r="AK319" s="22">
        <v>1.4553799999999999</v>
      </c>
      <c r="AL319">
        <f t="shared" si="54"/>
        <v>14.9841</v>
      </c>
      <c r="AM319">
        <f t="shared" si="55"/>
        <v>21.816699758999999</v>
      </c>
      <c r="AP319" s="9"/>
      <c r="AQ319" s="22">
        <v>0.24398800000000001</v>
      </c>
      <c r="AR319" s="22">
        <v>462.65800000000002</v>
      </c>
      <c r="AS319" s="22">
        <v>-1.6189599999999998E-2</v>
      </c>
      <c r="AT319" s="22">
        <v>309</v>
      </c>
      <c r="AU319" s="22">
        <v>0.243256</v>
      </c>
      <c r="AV319">
        <f t="shared" si="56"/>
        <v>16.189599999999999</v>
      </c>
      <c r="AW319">
        <f t="shared" si="57"/>
        <v>3.9500681248</v>
      </c>
      <c r="AX319" s="9"/>
      <c r="AY319" s="22">
        <v>1.4559899999999999</v>
      </c>
      <c r="AZ319" s="22">
        <v>584.59199999999998</v>
      </c>
      <c r="BA319" s="22">
        <v>-1.4749099999999999E-2</v>
      </c>
      <c r="BB319" s="22">
        <v>309</v>
      </c>
      <c r="BC319" s="22">
        <v>1.4547699999999999</v>
      </c>
      <c r="BD319">
        <f t="shared" si="58"/>
        <v>14.749099999999999</v>
      </c>
      <c r="BE319">
        <f t="shared" si="59"/>
        <v>21.474542108999998</v>
      </c>
    </row>
    <row r="320" spans="6:57">
      <c r="F320" s="9"/>
      <c r="G320" s="22">
        <v>0.238953</v>
      </c>
      <c r="H320" s="22">
        <v>104.465</v>
      </c>
      <c r="I320" s="22">
        <v>-1.61285E-2</v>
      </c>
      <c r="J320" s="22">
        <v>310</v>
      </c>
      <c r="K320" s="22">
        <v>0.23828099999999999</v>
      </c>
      <c r="L320">
        <f t="shared" si="48"/>
        <v>16.128499999999999</v>
      </c>
      <c r="M320">
        <f t="shared" si="49"/>
        <v>3.8539534604999997</v>
      </c>
      <c r="N320" s="9"/>
      <c r="O320" s="22">
        <v>1.4610300000000001</v>
      </c>
      <c r="P320" s="22">
        <v>211.751</v>
      </c>
      <c r="Q320" s="22">
        <v>-1.48804E-2</v>
      </c>
      <c r="R320" s="22">
        <v>310</v>
      </c>
      <c r="S320" s="22">
        <v>1.46027</v>
      </c>
      <c r="T320">
        <f t="shared" si="50"/>
        <v>14.8804</v>
      </c>
      <c r="U320">
        <f t="shared" si="51"/>
        <v>21.740710812</v>
      </c>
      <c r="X320" s="9"/>
      <c r="Y320" s="22">
        <v>0.238953</v>
      </c>
      <c r="Z320" s="22">
        <v>294.26499999999999</v>
      </c>
      <c r="AA320" s="22">
        <v>-1.6168200000000001E-2</v>
      </c>
      <c r="AB320" s="22">
        <v>310</v>
      </c>
      <c r="AC320" s="22">
        <v>0.23828099999999999</v>
      </c>
      <c r="AD320">
        <f t="shared" si="52"/>
        <v>16.168200000000002</v>
      </c>
      <c r="AE320">
        <f t="shared" si="53"/>
        <v>3.8634398946000004</v>
      </c>
      <c r="AF320" s="9"/>
      <c r="AG320" s="22">
        <v>1.4610300000000001</v>
      </c>
      <c r="AH320" s="22">
        <v>379.35899999999998</v>
      </c>
      <c r="AI320" s="22">
        <v>-1.49231E-2</v>
      </c>
      <c r="AJ320" s="22">
        <v>310</v>
      </c>
      <c r="AK320" s="22">
        <v>1.46088</v>
      </c>
      <c r="AL320">
        <f t="shared" si="54"/>
        <v>14.9231</v>
      </c>
      <c r="AM320">
        <f t="shared" si="55"/>
        <v>21.803096793000002</v>
      </c>
      <c r="AP320" s="9"/>
      <c r="AQ320" s="22">
        <v>0.238953</v>
      </c>
      <c r="AR320" s="22">
        <v>462.75900000000001</v>
      </c>
      <c r="AS320" s="22">
        <v>-1.6189599999999998E-2</v>
      </c>
      <c r="AT320" s="22">
        <v>310</v>
      </c>
      <c r="AU320" s="22">
        <v>0.238342</v>
      </c>
      <c r="AV320">
        <f t="shared" si="56"/>
        <v>16.189599999999999</v>
      </c>
      <c r="AW320">
        <f t="shared" si="57"/>
        <v>3.8685534887999995</v>
      </c>
      <c r="AX320" s="9"/>
      <c r="AY320" s="22">
        <v>1.4610300000000001</v>
      </c>
      <c r="AZ320" s="22">
        <v>584.69299999999998</v>
      </c>
      <c r="BA320" s="22">
        <v>-1.47095E-2</v>
      </c>
      <c r="BB320" s="22">
        <v>310</v>
      </c>
      <c r="BC320" s="22">
        <v>1.4599599999999999</v>
      </c>
      <c r="BD320">
        <f t="shared" si="58"/>
        <v>14.7095</v>
      </c>
      <c r="BE320">
        <f t="shared" si="59"/>
        <v>21.491020785</v>
      </c>
    </row>
    <row r="321" spans="6:57">
      <c r="F321" s="9"/>
      <c r="G321" s="22">
        <v>0.23391700000000001</v>
      </c>
      <c r="H321" s="22">
        <v>104.565</v>
      </c>
      <c r="I321" s="22">
        <v>-1.6125500000000001E-2</v>
      </c>
      <c r="J321" s="22">
        <v>311</v>
      </c>
      <c r="K321" s="22">
        <v>0.23321500000000001</v>
      </c>
      <c r="L321">
        <f t="shared" si="48"/>
        <v>16.125500000000002</v>
      </c>
      <c r="M321">
        <f t="shared" si="49"/>
        <v>3.7720285835000009</v>
      </c>
      <c r="N321" s="9"/>
      <c r="O321" s="22">
        <v>1.4660599999999999</v>
      </c>
      <c r="P321" s="22">
        <v>211.852</v>
      </c>
      <c r="Q321" s="22">
        <v>-1.4837599999999999E-2</v>
      </c>
      <c r="R321" s="22">
        <v>311</v>
      </c>
      <c r="S321" s="22">
        <v>1.4654499999999999</v>
      </c>
      <c r="T321">
        <f t="shared" si="50"/>
        <v>14.8376</v>
      </c>
      <c r="U321">
        <f t="shared" si="51"/>
        <v>21.752811855999997</v>
      </c>
      <c r="X321" s="9"/>
      <c r="Y321" s="22">
        <v>0.23391700000000001</v>
      </c>
      <c r="Z321" s="22">
        <v>294.36599999999999</v>
      </c>
      <c r="AA321" s="22">
        <v>-1.61713E-2</v>
      </c>
      <c r="AB321" s="22">
        <v>311</v>
      </c>
      <c r="AC321" s="22">
        <v>0.23324600000000001</v>
      </c>
      <c r="AD321">
        <f t="shared" si="52"/>
        <v>16.171299999999999</v>
      </c>
      <c r="AE321">
        <f t="shared" si="53"/>
        <v>3.7827419821000001</v>
      </c>
      <c r="AF321" s="9"/>
      <c r="AG321" s="22">
        <v>1.4660599999999999</v>
      </c>
      <c r="AH321" s="22">
        <v>379.46</v>
      </c>
      <c r="AI321" s="22">
        <v>-1.48529E-2</v>
      </c>
      <c r="AJ321" s="22">
        <v>311</v>
      </c>
      <c r="AK321" s="22">
        <v>1.46515</v>
      </c>
      <c r="AL321">
        <f t="shared" si="54"/>
        <v>14.8529</v>
      </c>
      <c r="AM321">
        <f t="shared" si="55"/>
        <v>21.775242574</v>
      </c>
      <c r="AP321" s="9"/>
      <c r="AQ321" s="22">
        <v>0.23391700000000001</v>
      </c>
      <c r="AR321" s="22">
        <v>462.85899999999998</v>
      </c>
      <c r="AS321" s="22">
        <v>-1.6186499999999999E-2</v>
      </c>
      <c r="AT321" s="22">
        <v>311</v>
      </c>
      <c r="AU321" s="22">
        <v>0.23309299999999999</v>
      </c>
      <c r="AV321">
        <f t="shared" si="56"/>
        <v>16.186499999999999</v>
      </c>
      <c r="AW321">
        <f t="shared" si="57"/>
        <v>3.7862975204999998</v>
      </c>
      <c r="AX321" s="9"/>
      <c r="AY321" s="22">
        <v>1.4660599999999999</v>
      </c>
      <c r="AZ321" s="22">
        <v>584.79300000000001</v>
      </c>
      <c r="BA321" s="22">
        <v>-1.4678999999999999E-2</v>
      </c>
      <c r="BB321" s="22">
        <v>311</v>
      </c>
      <c r="BC321" s="22">
        <v>1.46515</v>
      </c>
      <c r="BD321">
        <f t="shared" si="58"/>
        <v>14.678999999999998</v>
      </c>
      <c r="BE321">
        <f t="shared" si="59"/>
        <v>21.520294739999997</v>
      </c>
    </row>
    <row r="322" spans="6:57">
      <c r="F322" s="9"/>
      <c r="G322" s="22">
        <v>0.228882</v>
      </c>
      <c r="H322" s="22">
        <v>104.666</v>
      </c>
      <c r="I322" s="22">
        <v>-1.61163E-2</v>
      </c>
      <c r="J322" s="22">
        <v>312</v>
      </c>
      <c r="K322" s="22">
        <v>0.22833300000000001</v>
      </c>
      <c r="L322">
        <f t="shared" si="48"/>
        <v>16.116299999999999</v>
      </c>
      <c r="M322">
        <f t="shared" si="49"/>
        <v>3.6887309765999996</v>
      </c>
      <c r="N322" s="9"/>
      <c r="O322" s="22">
        <v>1.4711000000000001</v>
      </c>
      <c r="P322" s="22">
        <v>211.953</v>
      </c>
      <c r="Q322" s="22">
        <v>-1.4822399999999999E-2</v>
      </c>
      <c r="R322" s="22">
        <v>312</v>
      </c>
      <c r="S322" s="22">
        <v>1.47034</v>
      </c>
      <c r="T322">
        <f t="shared" si="50"/>
        <v>14.8224</v>
      </c>
      <c r="U322">
        <f t="shared" si="51"/>
        <v>21.80523264</v>
      </c>
      <c r="X322" s="9"/>
      <c r="Y322" s="22">
        <v>0.228882</v>
      </c>
      <c r="Z322" s="22">
        <v>294.46600000000001</v>
      </c>
      <c r="AA322" s="22">
        <v>-1.6174299999999999E-2</v>
      </c>
      <c r="AB322" s="22">
        <v>312</v>
      </c>
      <c r="AC322" s="22">
        <v>0.22821</v>
      </c>
      <c r="AD322">
        <f t="shared" si="52"/>
        <v>16.174299999999999</v>
      </c>
      <c r="AE322">
        <f t="shared" si="53"/>
        <v>3.7020061325999998</v>
      </c>
      <c r="AF322" s="9"/>
      <c r="AG322" s="22">
        <v>1.4711000000000001</v>
      </c>
      <c r="AH322" s="22">
        <v>379.56099999999998</v>
      </c>
      <c r="AI322" s="22">
        <v>-1.47858E-2</v>
      </c>
      <c r="AJ322" s="22">
        <v>312</v>
      </c>
      <c r="AK322" s="22">
        <v>1.4700299999999999</v>
      </c>
      <c r="AL322">
        <f t="shared" si="54"/>
        <v>14.7858</v>
      </c>
      <c r="AM322">
        <f t="shared" si="55"/>
        <v>21.75139038</v>
      </c>
      <c r="AP322" s="9"/>
      <c r="AQ322" s="22">
        <v>0.228882</v>
      </c>
      <c r="AR322" s="22">
        <v>462.96</v>
      </c>
      <c r="AS322" s="22">
        <v>-1.6189599999999998E-2</v>
      </c>
      <c r="AT322" s="22">
        <v>312</v>
      </c>
      <c r="AU322" s="22">
        <v>0.22808800000000001</v>
      </c>
      <c r="AV322">
        <f t="shared" si="56"/>
        <v>16.189599999999999</v>
      </c>
      <c r="AW322">
        <f t="shared" si="57"/>
        <v>3.7055080271999996</v>
      </c>
      <c r="AX322" s="9"/>
      <c r="AY322" s="22">
        <v>1.4711000000000001</v>
      </c>
      <c r="AZ322" s="22">
        <v>584.89400000000001</v>
      </c>
      <c r="BA322" s="22">
        <v>-1.4654500000000001E-2</v>
      </c>
      <c r="BB322" s="22">
        <v>312</v>
      </c>
      <c r="BC322" s="22">
        <v>1.47034</v>
      </c>
      <c r="BD322">
        <f t="shared" si="58"/>
        <v>14.654500000000001</v>
      </c>
      <c r="BE322">
        <f t="shared" si="59"/>
        <v>21.558234950000003</v>
      </c>
    </row>
    <row r="323" spans="6:57">
      <c r="F323" s="9"/>
      <c r="G323" s="22">
        <v>0.22384599999999999</v>
      </c>
      <c r="H323" s="22">
        <v>104.767</v>
      </c>
      <c r="I323" s="22">
        <v>-1.6119399999999999E-2</v>
      </c>
      <c r="J323" s="22">
        <v>313</v>
      </c>
      <c r="K323" s="22">
        <v>0.22320599999999999</v>
      </c>
      <c r="L323">
        <f t="shared" si="48"/>
        <v>16.119399999999999</v>
      </c>
      <c r="M323">
        <f t="shared" si="49"/>
        <v>3.6082632123999994</v>
      </c>
      <c r="N323" s="9"/>
      <c r="O323" s="22">
        <v>1.47614</v>
      </c>
      <c r="P323" s="22">
        <v>212.054</v>
      </c>
      <c r="Q323" s="22">
        <v>-1.47522E-2</v>
      </c>
      <c r="R323" s="22">
        <v>313</v>
      </c>
      <c r="S323" s="22">
        <v>1.47461</v>
      </c>
      <c r="T323">
        <f t="shared" si="50"/>
        <v>14.7522</v>
      </c>
      <c r="U323">
        <f t="shared" si="51"/>
        <v>21.776312508</v>
      </c>
      <c r="X323" s="9"/>
      <c r="Y323" s="22">
        <v>0.22384599999999999</v>
      </c>
      <c r="Z323" s="22">
        <v>294.56700000000001</v>
      </c>
      <c r="AA323" s="22">
        <v>-1.6168200000000001E-2</v>
      </c>
      <c r="AB323" s="22">
        <v>313</v>
      </c>
      <c r="AC323" s="22">
        <v>0.22311400000000001</v>
      </c>
      <c r="AD323">
        <f t="shared" si="52"/>
        <v>16.168200000000002</v>
      </c>
      <c r="AE323">
        <f t="shared" si="53"/>
        <v>3.6191868972000005</v>
      </c>
      <c r="AF323" s="9"/>
      <c r="AG323" s="22">
        <v>1.47614</v>
      </c>
      <c r="AH323" s="22">
        <v>379.661</v>
      </c>
      <c r="AI323" s="22">
        <v>-1.4742999999999999E-2</v>
      </c>
      <c r="AJ323" s="22">
        <v>313</v>
      </c>
      <c r="AK323" s="22">
        <v>1.47522</v>
      </c>
      <c r="AL323">
        <f t="shared" si="54"/>
        <v>14.742999999999999</v>
      </c>
      <c r="AM323">
        <f t="shared" si="55"/>
        <v>21.762732019999998</v>
      </c>
      <c r="AP323" s="9"/>
      <c r="AQ323" s="22">
        <v>0.22384599999999999</v>
      </c>
      <c r="AR323" s="22">
        <v>463.06099999999998</v>
      </c>
      <c r="AS323" s="22">
        <v>-1.6189599999999998E-2</v>
      </c>
      <c r="AT323" s="22">
        <v>313</v>
      </c>
      <c r="AU323" s="22">
        <v>0.22323599999999999</v>
      </c>
      <c r="AV323">
        <f t="shared" si="56"/>
        <v>16.189599999999999</v>
      </c>
      <c r="AW323">
        <f t="shared" si="57"/>
        <v>3.6239772015999994</v>
      </c>
      <c r="AX323" s="9"/>
      <c r="AY323" s="22">
        <v>1.47614</v>
      </c>
      <c r="AZ323" s="22">
        <v>584.995</v>
      </c>
      <c r="BA323" s="22">
        <v>-1.4611799999999999E-2</v>
      </c>
      <c r="BB323" s="22">
        <v>313</v>
      </c>
      <c r="BC323" s="22">
        <v>1.47583</v>
      </c>
      <c r="BD323">
        <f t="shared" si="58"/>
        <v>14.611799999999999</v>
      </c>
      <c r="BE323">
        <f t="shared" si="59"/>
        <v>21.569062451999997</v>
      </c>
    </row>
    <row r="324" spans="6:57">
      <c r="F324" s="9"/>
      <c r="G324" s="22">
        <v>0.21881100000000001</v>
      </c>
      <c r="H324" s="22">
        <v>104.86799999999999</v>
      </c>
      <c r="I324" s="22">
        <v>-1.6125500000000001E-2</v>
      </c>
      <c r="J324" s="22">
        <v>314</v>
      </c>
      <c r="K324" s="22">
        <v>0.21804799999999999</v>
      </c>
      <c r="L324">
        <f t="shared" si="48"/>
        <v>16.125500000000002</v>
      </c>
      <c r="M324">
        <f t="shared" si="49"/>
        <v>3.5284367805000008</v>
      </c>
      <c r="N324" s="9"/>
      <c r="O324" s="22">
        <v>1.4811700000000001</v>
      </c>
      <c r="P324" s="22">
        <v>212.154</v>
      </c>
      <c r="Q324" s="22">
        <v>-1.474E-2</v>
      </c>
      <c r="R324" s="22">
        <v>314</v>
      </c>
      <c r="S324" s="22">
        <v>1.48041</v>
      </c>
      <c r="T324">
        <f t="shared" si="50"/>
        <v>14.74</v>
      </c>
      <c r="U324">
        <f t="shared" si="51"/>
        <v>21.832445800000002</v>
      </c>
      <c r="X324" s="9"/>
      <c r="Y324" s="22">
        <v>0.21881100000000001</v>
      </c>
      <c r="Z324" s="22">
        <v>294.66800000000001</v>
      </c>
      <c r="AA324" s="22">
        <v>-1.6168200000000001E-2</v>
      </c>
      <c r="AB324" s="22">
        <v>314</v>
      </c>
      <c r="AC324" s="22">
        <v>0.21835299999999999</v>
      </c>
      <c r="AD324">
        <f t="shared" si="52"/>
        <v>16.168200000000002</v>
      </c>
      <c r="AE324">
        <f t="shared" si="53"/>
        <v>3.5377800102000005</v>
      </c>
      <c r="AF324" s="9"/>
      <c r="AG324" s="22">
        <v>1.4811700000000001</v>
      </c>
      <c r="AH324" s="22">
        <v>379.762</v>
      </c>
      <c r="AI324" s="22">
        <v>-1.4715600000000001E-2</v>
      </c>
      <c r="AJ324" s="22">
        <v>314</v>
      </c>
      <c r="AK324" s="22">
        <v>1.48071</v>
      </c>
      <c r="AL324">
        <f t="shared" si="54"/>
        <v>14.7156</v>
      </c>
      <c r="AM324">
        <f t="shared" si="55"/>
        <v>21.796305252000003</v>
      </c>
      <c r="AP324" s="9"/>
      <c r="AQ324" s="22">
        <v>0.21881100000000001</v>
      </c>
      <c r="AR324" s="22">
        <v>463.161</v>
      </c>
      <c r="AS324" s="22">
        <v>-1.6192600000000001E-2</v>
      </c>
      <c r="AT324" s="22">
        <v>314</v>
      </c>
      <c r="AU324" s="22">
        <v>0.21820100000000001</v>
      </c>
      <c r="AV324">
        <f t="shared" si="56"/>
        <v>16.192600000000002</v>
      </c>
      <c r="AW324">
        <f t="shared" si="57"/>
        <v>3.5431189986000007</v>
      </c>
      <c r="AX324" s="9"/>
      <c r="AY324" s="22">
        <v>1.4811700000000001</v>
      </c>
      <c r="AZ324" s="22">
        <v>585.096</v>
      </c>
      <c r="BA324" s="22">
        <v>-1.45691E-2</v>
      </c>
      <c r="BB324" s="22">
        <v>314</v>
      </c>
      <c r="BC324" s="22">
        <v>1.48041</v>
      </c>
      <c r="BD324">
        <f t="shared" si="58"/>
        <v>14.569100000000001</v>
      </c>
      <c r="BE324">
        <f t="shared" si="59"/>
        <v>21.579313847000002</v>
      </c>
    </row>
    <row r="325" spans="6:57">
      <c r="F325" s="9"/>
      <c r="G325" s="22">
        <v>0.21377599999999999</v>
      </c>
      <c r="H325" s="22">
        <v>104.968</v>
      </c>
      <c r="I325" s="22">
        <v>-1.6122399999999999E-2</v>
      </c>
      <c r="J325" s="22">
        <v>315</v>
      </c>
      <c r="K325" s="22">
        <v>0.213257</v>
      </c>
      <c r="L325">
        <f t="shared" si="48"/>
        <v>16.122399999999999</v>
      </c>
      <c r="M325">
        <f t="shared" si="49"/>
        <v>3.4465821823999998</v>
      </c>
      <c r="N325" s="9"/>
      <c r="O325" s="22">
        <v>1.48621</v>
      </c>
      <c r="P325" s="22">
        <v>212.255</v>
      </c>
      <c r="Q325" s="22">
        <v>-1.4682000000000001E-2</v>
      </c>
      <c r="R325" s="22">
        <v>315</v>
      </c>
      <c r="S325" s="22">
        <v>1.4856</v>
      </c>
      <c r="T325">
        <f t="shared" si="50"/>
        <v>14.682</v>
      </c>
      <c r="U325">
        <f t="shared" si="51"/>
        <v>21.82053522</v>
      </c>
      <c r="X325" s="9"/>
      <c r="Y325" s="22">
        <v>0.21377599999999999</v>
      </c>
      <c r="Z325" s="22">
        <v>294.76799999999997</v>
      </c>
      <c r="AA325" s="22">
        <v>-1.6159099999999999E-2</v>
      </c>
      <c r="AB325" s="22">
        <v>315</v>
      </c>
      <c r="AC325" s="22">
        <v>0.213287</v>
      </c>
      <c r="AD325">
        <f t="shared" si="52"/>
        <v>16.159099999999999</v>
      </c>
      <c r="AE325">
        <f t="shared" si="53"/>
        <v>3.4544277615999994</v>
      </c>
      <c r="AF325" s="9"/>
      <c r="AG325" s="22">
        <v>1.48621</v>
      </c>
      <c r="AH325" s="22">
        <v>379.863</v>
      </c>
      <c r="AI325" s="22">
        <v>-1.4672899999999999E-2</v>
      </c>
      <c r="AJ325" s="22">
        <v>315</v>
      </c>
      <c r="AK325" s="22">
        <v>1.4856</v>
      </c>
      <c r="AL325">
        <f t="shared" si="54"/>
        <v>14.672899999999998</v>
      </c>
      <c r="AM325">
        <f t="shared" si="55"/>
        <v>21.807010708999996</v>
      </c>
      <c r="AP325" s="9"/>
      <c r="AQ325" s="22">
        <v>0.21377599999999999</v>
      </c>
      <c r="AR325" s="22">
        <v>463.262</v>
      </c>
      <c r="AS325" s="22">
        <v>-1.6192600000000001E-2</v>
      </c>
      <c r="AT325" s="22">
        <v>315</v>
      </c>
      <c r="AU325" s="22">
        <v>0.213226</v>
      </c>
      <c r="AV325">
        <f t="shared" si="56"/>
        <v>16.192600000000002</v>
      </c>
      <c r="AW325">
        <f t="shared" si="57"/>
        <v>3.4615892576000005</v>
      </c>
      <c r="AX325" s="9"/>
      <c r="AY325" s="22">
        <v>1.48621</v>
      </c>
      <c r="AZ325" s="22">
        <v>585.19600000000003</v>
      </c>
      <c r="BA325" s="22">
        <v>-1.4511100000000001E-2</v>
      </c>
      <c r="BB325" s="22">
        <v>315</v>
      </c>
      <c r="BC325" s="22">
        <v>1.48529</v>
      </c>
      <c r="BD325">
        <f t="shared" si="58"/>
        <v>14.511100000000001</v>
      </c>
      <c r="BE325">
        <f t="shared" si="59"/>
        <v>21.566541931000003</v>
      </c>
    </row>
    <row r="326" spans="6:57">
      <c r="F326" s="9"/>
      <c r="G326" s="22">
        <v>0.20874000000000001</v>
      </c>
      <c r="H326" s="22">
        <v>105.069</v>
      </c>
      <c r="I326" s="22">
        <v>-1.61285E-2</v>
      </c>
      <c r="J326" s="22">
        <v>316</v>
      </c>
      <c r="K326" s="22">
        <v>0.20822099999999999</v>
      </c>
      <c r="L326">
        <f t="shared" si="48"/>
        <v>16.128499999999999</v>
      </c>
      <c r="M326">
        <f t="shared" si="49"/>
        <v>3.3666630899999999</v>
      </c>
      <c r="N326" s="9"/>
      <c r="O326" s="22">
        <v>1.4912399999999999</v>
      </c>
      <c r="P326" s="22">
        <v>212.35599999999999</v>
      </c>
      <c r="Q326" s="22">
        <v>-1.4627100000000001E-2</v>
      </c>
      <c r="R326" s="22">
        <v>316</v>
      </c>
      <c r="S326" s="22">
        <v>1.49048</v>
      </c>
      <c r="T326">
        <f t="shared" si="50"/>
        <v>14.6271</v>
      </c>
      <c r="U326">
        <f t="shared" si="51"/>
        <v>21.812516603999999</v>
      </c>
      <c r="X326" s="9"/>
      <c r="Y326" s="22">
        <v>0.20874000000000001</v>
      </c>
      <c r="Z326" s="22">
        <v>294.86900000000003</v>
      </c>
      <c r="AA326" s="22">
        <v>-1.6174299999999999E-2</v>
      </c>
      <c r="AB326" s="22">
        <v>316</v>
      </c>
      <c r="AC326" s="22">
        <v>0.20822099999999999</v>
      </c>
      <c r="AD326">
        <f t="shared" si="52"/>
        <v>16.174299999999999</v>
      </c>
      <c r="AE326">
        <f t="shared" si="53"/>
        <v>3.3762233820000001</v>
      </c>
      <c r="AF326" s="9"/>
      <c r="AG326" s="22">
        <v>1.4912399999999999</v>
      </c>
      <c r="AH326" s="22">
        <v>379.964</v>
      </c>
      <c r="AI326" s="22">
        <v>-1.46179E-2</v>
      </c>
      <c r="AJ326" s="22">
        <v>316</v>
      </c>
      <c r="AK326" s="22">
        <v>1.49048</v>
      </c>
      <c r="AL326">
        <f t="shared" si="54"/>
        <v>14.617899999999999</v>
      </c>
      <c r="AM326">
        <f t="shared" si="55"/>
        <v>21.798797195999995</v>
      </c>
      <c r="AP326" s="9"/>
      <c r="AQ326" s="22">
        <v>0.20874000000000001</v>
      </c>
      <c r="AR326" s="22">
        <v>463.363</v>
      </c>
      <c r="AS326" s="22">
        <v>-1.6192600000000001E-2</v>
      </c>
      <c r="AT326" s="22">
        <v>316</v>
      </c>
      <c r="AU326" s="22">
        <v>0.208313</v>
      </c>
      <c r="AV326">
        <f t="shared" si="56"/>
        <v>16.192600000000002</v>
      </c>
      <c r="AW326">
        <f t="shared" si="57"/>
        <v>3.3800433240000007</v>
      </c>
      <c r="AX326" s="9"/>
      <c r="AY326" s="22">
        <v>1.4912399999999999</v>
      </c>
      <c r="AZ326" s="22">
        <v>585.29700000000003</v>
      </c>
      <c r="BA326" s="22">
        <v>-1.44592E-2</v>
      </c>
      <c r="BB326" s="22">
        <v>316</v>
      </c>
      <c r="BC326" s="22">
        <v>1.49017</v>
      </c>
      <c r="BD326">
        <f t="shared" si="58"/>
        <v>14.459200000000001</v>
      </c>
      <c r="BE326">
        <f t="shared" si="59"/>
        <v>21.562137408000002</v>
      </c>
    </row>
    <row r="327" spans="6:57">
      <c r="F327" s="9"/>
      <c r="G327" s="22">
        <v>0.203705</v>
      </c>
      <c r="H327" s="22">
        <v>105.17</v>
      </c>
      <c r="I327" s="22">
        <v>-1.6125500000000001E-2</v>
      </c>
      <c r="J327" s="22">
        <v>317</v>
      </c>
      <c r="K327" s="22">
        <v>0.20303299999999999</v>
      </c>
      <c r="L327">
        <f t="shared" si="48"/>
        <v>16.125500000000002</v>
      </c>
      <c r="M327">
        <f t="shared" si="49"/>
        <v>3.2848449775000006</v>
      </c>
      <c r="N327" s="9"/>
      <c r="O327" s="22">
        <v>1.4962800000000001</v>
      </c>
      <c r="P327" s="22">
        <v>212.45599999999999</v>
      </c>
      <c r="Q327" s="22">
        <v>-1.45813E-2</v>
      </c>
      <c r="R327" s="22">
        <v>317</v>
      </c>
      <c r="S327" s="22">
        <v>1.49536</v>
      </c>
      <c r="T327">
        <f t="shared" si="50"/>
        <v>14.581300000000001</v>
      </c>
      <c r="U327">
        <f t="shared" si="51"/>
        <v>21.817707564000003</v>
      </c>
      <c r="X327" s="9"/>
      <c r="Y327" s="22">
        <v>0.203705</v>
      </c>
      <c r="Z327" s="22">
        <v>294.97000000000003</v>
      </c>
      <c r="AA327" s="22">
        <v>-1.6168200000000001E-2</v>
      </c>
      <c r="AB327" s="22">
        <v>317</v>
      </c>
      <c r="AC327" s="22">
        <v>0.20300299999999999</v>
      </c>
      <c r="AD327">
        <f t="shared" si="52"/>
        <v>16.168200000000002</v>
      </c>
      <c r="AE327">
        <f t="shared" si="53"/>
        <v>3.2935431810000004</v>
      </c>
      <c r="AF327" s="9"/>
      <c r="AG327" s="22">
        <v>1.4962800000000001</v>
      </c>
      <c r="AH327" s="22">
        <v>380.06400000000002</v>
      </c>
      <c r="AI327" s="22">
        <v>-1.45813E-2</v>
      </c>
      <c r="AJ327" s="22">
        <v>317</v>
      </c>
      <c r="AK327" s="22">
        <v>1.4950600000000001</v>
      </c>
      <c r="AL327">
        <f t="shared" si="54"/>
        <v>14.581300000000001</v>
      </c>
      <c r="AM327">
        <f t="shared" si="55"/>
        <v>21.817707564000003</v>
      </c>
      <c r="AP327" s="9"/>
      <c r="AQ327" s="22">
        <v>0.203705</v>
      </c>
      <c r="AR327" s="22">
        <v>463.464</v>
      </c>
      <c r="AS327" s="22">
        <v>-1.61957E-2</v>
      </c>
      <c r="AT327" s="22">
        <v>317</v>
      </c>
      <c r="AU327" s="22">
        <v>0.20321700000000001</v>
      </c>
      <c r="AV327">
        <f t="shared" si="56"/>
        <v>16.195699999999999</v>
      </c>
      <c r="AW327">
        <f t="shared" si="57"/>
        <v>3.2991450684999997</v>
      </c>
      <c r="AX327" s="9"/>
      <c r="AY327" s="22">
        <v>1.4962800000000001</v>
      </c>
      <c r="AZ327" s="22">
        <v>585.39800000000002</v>
      </c>
      <c r="BA327" s="22">
        <v>-1.4428699999999999E-2</v>
      </c>
      <c r="BB327" s="22">
        <v>317</v>
      </c>
      <c r="BC327" s="22">
        <v>1.49536</v>
      </c>
      <c r="BD327">
        <f t="shared" si="58"/>
        <v>14.428699999999999</v>
      </c>
      <c r="BE327">
        <f t="shared" si="59"/>
        <v>21.589375235999999</v>
      </c>
    </row>
    <row r="328" spans="6:57">
      <c r="F328" s="9"/>
      <c r="G328" s="22">
        <v>0.19866900000000001</v>
      </c>
      <c r="H328" s="22">
        <v>105.27</v>
      </c>
      <c r="I328" s="22">
        <v>-1.61285E-2</v>
      </c>
      <c r="J328" s="22">
        <v>318</v>
      </c>
      <c r="K328" s="22">
        <v>0.19799800000000001</v>
      </c>
      <c r="L328">
        <f t="shared" si="48"/>
        <v>16.128499999999999</v>
      </c>
      <c r="M328">
        <f t="shared" si="49"/>
        <v>3.2042329664999998</v>
      </c>
      <c r="N328" s="9"/>
      <c r="O328" s="22">
        <v>1.5013099999999999</v>
      </c>
      <c r="P328" s="22">
        <v>212.55699999999999</v>
      </c>
      <c r="Q328" s="22">
        <v>-1.4550799999999999E-2</v>
      </c>
      <c r="R328" s="22">
        <v>318</v>
      </c>
      <c r="S328" s="22">
        <v>1.5005500000000001</v>
      </c>
      <c r="T328">
        <f t="shared" si="50"/>
        <v>14.550799999999999</v>
      </c>
      <c r="U328">
        <f t="shared" si="51"/>
        <v>21.845261547999996</v>
      </c>
      <c r="X328" s="9"/>
      <c r="Y328" s="22">
        <v>0.19866900000000001</v>
      </c>
      <c r="Z328" s="22">
        <v>295.07100000000003</v>
      </c>
      <c r="AA328" s="22">
        <v>-1.6162099999999999E-2</v>
      </c>
      <c r="AB328" s="22">
        <v>318</v>
      </c>
      <c r="AC328" s="22">
        <v>0.19802900000000001</v>
      </c>
      <c r="AD328">
        <f t="shared" si="52"/>
        <v>16.162099999999999</v>
      </c>
      <c r="AE328">
        <f t="shared" si="53"/>
        <v>3.2109082449000002</v>
      </c>
      <c r="AF328" s="9"/>
      <c r="AG328" s="22">
        <v>1.5013099999999999</v>
      </c>
      <c r="AH328" s="22">
        <v>380.16500000000002</v>
      </c>
      <c r="AI328" s="22">
        <v>-1.45264E-2</v>
      </c>
      <c r="AJ328" s="22">
        <v>318</v>
      </c>
      <c r="AK328" s="22">
        <v>1.50024</v>
      </c>
      <c r="AL328">
        <f t="shared" si="54"/>
        <v>14.526400000000001</v>
      </c>
      <c r="AM328">
        <f t="shared" si="55"/>
        <v>21.808629583999998</v>
      </c>
      <c r="AP328" s="9"/>
      <c r="AQ328" s="22">
        <v>0.19866900000000001</v>
      </c>
      <c r="AR328" s="22">
        <v>463.56400000000002</v>
      </c>
      <c r="AS328" s="22">
        <v>-1.61987E-2</v>
      </c>
      <c r="AT328" s="22">
        <v>318</v>
      </c>
      <c r="AU328" s="22">
        <v>0.19805900000000001</v>
      </c>
      <c r="AV328">
        <f t="shared" si="56"/>
        <v>16.198699999999999</v>
      </c>
      <c r="AW328">
        <f t="shared" si="57"/>
        <v>3.2181795303</v>
      </c>
      <c r="AX328" s="9"/>
      <c r="AY328" s="22">
        <v>1.5013099999999999</v>
      </c>
      <c r="AZ328" s="22">
        <v>585.49800000000005</v>
      </c>
      <c r="BA328" s="22">
        <v>-1.4340200000000001E-2</v>
      </c>
      <c r="BB328" s="22">
        <v>318</v>
      </c>
      <c r="BC328" s="22">
        <v>1.5005500000000001</v>
      </c>
      <c r="BD328">
        <f t="shared" si="58"/>
        <v>14.340200000000001</v>
      </c>
      <c r="BE328">
        <f t="shared" si="59"/>
        <v>21.529085662</v>
      </c>
    </row>
    <row r="329" spans="6:57">
      <c r="F329" s="9"/>
      <c r="G329" s="22">
        <v>0.193634</v>
      </c>
      <c r="H329" s="22">
        <v>105.371</v>
      </c>
      <c r="I329" s="22">
        <v>-1.6131599999999999E-2</v>
      </c>
      <c r="J329" s="22">
        <v>319</v>
      </c>
      <c r="K329" s="22">
        <v>0.192963</v>
      </c>
      <c r="L329">
        <f t="shared" si="48"/>
        <v>16.131599999999999</v>
      </c>
      <c r="M329">
        <f t="shared" si="49"/>
        <v>3.1236262343999996</v>
      </c>
      <c r="N329" s="9"/>
      <c r="O329" s="22">
        <v>1.5063500000000001</v>
      </c>
      <c r="P329" s="22">
        <v>212.65799999999999</v>
      </c>
      <c r="Q329" s="22">
        <v>-1.4517199999999999E-2</v>
      </c>
      <c r="R329" s="22">
        <v>319</v>
      </c>
      <c r="S329" s="22">
        <v>1.50482</v>
      </c>
      <c r="T329">
        <f t="shared" si="50"/>
        <v>14.517199999999999</v>
      </c>
      <c r="U329">
        <f t="shared" si="51"/>
        <v>21.86798422</v>
      </c>
      <c r="X329" s="9"/>
      <c r="Y329" s="22">
        <v>0.193634</v>
      </c>
      <c r="Z329" s="22">
        <v>295.17099999999999</v>
      </c>
      <c r="AA329" s="22">
        <v>-1.61713E-2</v>
      </c>
      <c r="AB329" s="22">
        <v>319</v>
      </c>
      <c r="AC329" s="22">
        <v>0.192993</v>
      </c>
      <c r="AD329">
        <f t="shared" si="52"/>
        <v>16.171299999999999</v>
      </c>
      <c r="AE329">
        <f t="shared" si="53"/>
        <v>3.1313135041999995</v>
      </c>
      <c r="AF329" s="9"/>
      <c r="AG329" s="22">
        <v>1.5063500000000001</v>
      </c>
      <c r="AH329" s="22">
        <v>380.26600000000002</v>
      </c>
      <c r="AI329" s="22">
        <v>-1.4477500000000001E-2</v>
      </c>
      <c r="AJ329" s="22">
        <v>319</v>
      </c>
      <c r="AK329" s="22">
        <v>1.50482</v>
      </c>
      <c r="AL329">
        <f t="shared" si="54"/>
        <v>14.477500000000001</v>
      </c>
      <c r="AM329">
        <f t="shared" si="55"/>
        <v>21.808182125000002</v>
      </c>
      <c r="AP329" s="9"/>
      <c r="AQ329" s="22">
        <v>0.193634</v>
      </c>
      <c r="AR329" s="22">
        <v>463.66500000000002</v>
      </c>
      <c r="AS329" s="22">
        <v>-1.6186499999999999E-2</v>
      </c>
      <c r="AT329" s="22">
        <v>319</v>
      </c>
      <c r="AU329" s="22">
        <v>0.193024</v>
      </c>
      <c r="AV329">
        <f t="shared" si="56"/>
        <v>16.186499999999999</v>
      </c>
      <c r="AW329">
        <f t="shared" si="57"/>
        <v>3.1342567409999997</v>
      </c>
      <c r="AX329" s="9"/>
      <c r="AY329" s="22">
        <v>1.5063500000000001</v>
      </c>
      <c r="AZ329" s="22">
        <v>585.59900000000005</v>
      </c>
      <c r="BA329" s="22">
        <v>-1.4242599999999999E-2</v>
      </c>
      <c r="BB329" s="22">
        <v>319</v>
      </c>
      <c r="BC329" s="22">
        <v>1.50543</v>
      </c>
      <c r="BD329">
        <f t="shared" si="58"/>
        <v>14.242599999999999</v>
      </c>
      <c r="BE329">
        <f t="shared" si="59"/>
        <v>21.454340510000002</v>
      </c>
    </row>
    <row r="330" spans="6:57">
      <c r="F330" s="9"/>
      <c r="G330" s="22">
        <v>0.18859899999999999</v>
      </c>
      <c r="H330" s="22">
        <v>105.47199999999999</v>
      </c>
      <c r="I330" s="22">
        <v>-1.6125500000000001E-2</v>
      </c>
      <c r="J330" s="22">
        <v>320</v>
      </c>
      <c r="K330" s="22">
        <v>0.18795799999999999</v>
      </c>
      <c r="L330">
        <f t="shared" si="48"/>
        <v>16.125500000000002</v>
      </c>
      <c r="M330">
        <f t="shared" si="49"/>
        <v>3.0412531745000004</v>
      </c>
      <c r="N330" s="9"/>
      <c r="O330" s="22">
        <v>1.5113799999999999</v>
      </c>
      <c r="P330" s="22">
        <v>212.75899999999999</v>
      </c>
      <c r="Q330" s="22">
        <v>-1.4401199999999999E-2</v>
      </c>
      <c r="R330" s="22">
        <v>320</v>
      </c>
      <c r="S330" s="22">
        <v>1.5109300000000001</v>
      </c>
      <c r="T330">
        <f t="shared" si="50"/>
        <v>14.401199999999999</v>
      </c>
      <c r="U330">
        <f t="shared" si="51"/>
        <v>21.765685655999999</v>
      </c>
      <c r="X330" s="9"/>
      <c r="Y330" s="22">
        <v>0.18859899999999999</v>
      </c>
      <c r="Z330" s="22">
        <v>295.27199999999999</v>
      </c>
      <c r="AA330" s="22">
        <v>-1.6168200000000001E-2</v>
      </c>
      <c r="AB330" s="22">
        <v>320</v>
      </c>
      <c r="AC330" s="22">
        <v>0.18811</v>
      </c>
      <c r="AD330">
        <f t="shared" si="52"/>
        <v>16.168200000000002</v>
      </c>
      <c r="AE330">
        <f t="shared" si="53"/>
        <v>3.0493063518000003</v>
      </c>
      <c r="AF330" s="9"/>
      <c r="AG330" s="22">
        <v>1.5113799999999999</v>
      </c>
      <c r="AH330" s="22">
        <v>380.36599999999999</v>
      </c>
      <c r="AI330" s="22">
        <v>-1.4413499999999999E-2</v>
      </c>
      <c r="AJ330" s="22">
        <v>320</v>
      </c>
      <c r="AK330" s="22">
        <v>1.51031</v>
      </c>
      <c r="AL330">
        <f t="shared" si="54"/>
        <v>14.413499999999999</v>
      </c>
      <c r="AM330">
        <f t="shared" si="55"/>
        <v>21.784275629999996</v>
      </c>
      <c r="AP330" s="9"/>
      <c r="AQ330" s="22">
        <v>0.18859899999999999</v>
      </c>
      <c r="AR330" s="22">
        <v>463.76600000000002</v>
      </c>
      <c r="AS330" s="22">
        <v>-1.6189599999999998E-2</v>
      </c>
      <c r="AT330" s="22">
        <v>320</v>
      </c>
      <c r="AU330" s="22">
        <v>0.18786600000000001</v>
      </c>
      <c r="AV330">
        <f t="shared" si="56"/>
        <v>16.189599999999999</v>
      </c>
      <c r="AW330">
        <f t="shared" si="57"/>
        <v>3.0533423703999998</v>
      </c>
      <c r="AX330" s="9"/>
      <c r="AY330" s="22">
        <v>1.5113799999999999</v>
      </c>
      <c r="AZ330" s="22">
        <v>585.70000000000005</v>
      </c>
      <c r="BA330" s="22">
        <v>-1.41846E-2</v>
      </c>
      <c r="BB330" s="22">
        <v>320</v>
      </c>
      <c r="BC330" s="22">
        <v>1.5109300000000001</v>
      </c>
      <c r="BD330">
        <f t="shared" si="58"/>
        <v>14.1846</v>
      </c>
      <c r="BE330">
        <f t="shared" si="59"/>
        <v>21.438320747999999</v>
      </c>
    </row>
    <row r="331" spans="6:57">
      <c r="F331" s="9"/>
      <c r="G331" s="22">
        <v>0.183563</v>
      </c>
      <c r="H331" s="22">
        <v>105.57299999999999</v>
      </c>
      <c r="I331" s="22">
        <v>-1.61285E-2</v>
      </c>
      <c r="J331" s="22">
        <v>321</v>
      </c>
      <c r="K331" s="22">
        <v>0.18298300000000001</v>
      </c>
      <c r="L331">
        <f t="shared" si="48"/>
        <v>16.128499999999999</v>
      </c>
      <c r="M331">
        <f t="shared" si="49"/>
        <v>2.9605958454999999</v>
      </c>
      <c r="N331" s="9"/>
      <c r="O331" s="22">
        <v>1.5164200000000001</v>
      </c>
      <c r="P331" s="22">
        <v>212.85900000000001</v>
      </c>
      <c r="Q331" s="22">
        <v>-1.4373800000000001E-2</v>
      </c>
      <c r="R331" s="22">
        <v>321</v>
      </c>
      <c r="S331" s="22">
        <v>1.5161100000000001</v>
      </c>
      <c r="T331">
        <f t="shared" si="50"/>
        <v>14.373800000000001</v>
      </c>
      <c r="U331">
        <f t="shared" si="51"/>
        <v>21.796717796000003</v>
      </c>
      <c r="X331" s="9"/>
      <c r="Y331" s="22">
        <v>0.183563</v>
      </c>
      <c r="Z331" s="22">
        <v>295.37299999999999</v>
      </c>
      <c r="AA331" s="22">
        <v>-1.6168200000000001E-2</v>
      </c>
      <c r="AB331" s="22">
        <v>321</v>
      </c>
      <c r="AC331" s="22">
        <v>0.182892</v>
      </c>
      <c r="AD331">
        <f t="shared" si="52"/>
        <v>16.168200000000002</v>
      </c>
      <c r="AE331">
        <f t="shared" si="53"/>
        <v>2.9678832966000006</v>
      </c>
      <c r="AF331" s="9"/>
      <c r="AG331" s="22">
        <v>1.5164200000000001</v>
      </c>
      <c r="AH331" s="22">
        <v>380.46699999999998</v>
      </c>
      <c r="AI331" s="22">
        <v>-1.43585E-2</v>
      </c>
      <c r="AJ331" s="22">
        <v>321</v>
      </c>
      <c r="AK331" s="22">
        <v>1.5152000000000001</v>
      </c>
      <c r="AL331">
        <f t="shared" si="54"/>
        <v>14.358499999999999</v>
      </c>
      <c r="AM331">
        <f t="shared" si="55"/>
        <v>21.773516570000002</v>
      </c>
      <c r="AP331" s="9"/>
      <c r="AQ331" s="22">
        <v>0.183563</v>
      </c>
      <c r="AR331" s="22">
        <v>463.86599999999999</v>
      </c>
      <c r="AS331" s="22">
        <v>-1.6186499999999999E-2</v>
      </c>
      <c r="AT331" s="22">
        <v>321</v>
      </c>
      <c r="AU331" s="22">
        <v>0.182953</v>
      </c>
      <c r="AV331">
        <f t="shared" si="56"/>
        <v>16.186499999999999</v>
      </c>
      <c r="AW331">
        <f t="shared" si="57"/>
        <v>2.9712424994999997</v>
      </c>
      <c r="AX331" s="9"/>
      <c r="AY331" s="22">
        <v>1.5164200000000001</v>
      </c>
      <c r="AZ331" s="22">
        <v>585.79999999999995</v>
      </c>
      <c r="BA331" s="22">
        <v>-1.4123500000000001E-2</v>
      </c>
      <c r="BB331" s="22">
        <v>321</v>
      </c>
      <c r="BC331" s="22">
        <v>1.5158100000000001</v>
      </c>
      <c r="BD331">
        <f t="shared" si="58"/>
        <v>14.1235</v>
      </c>
      <c r="BE331">
        <f t="shared" si="59"/>
        <v>21.41715787</v>
      </c>
    </row>
    <row r="332" spans="6:57">
      <c r="F332" s="9"/>
      <c r="G332" s="22">
        <v>0.17852799999999999</v>
      </c>
      <c r="H332" s="22">
        <v>105.673</v>
      </c>
      <c r="I332" s="22">
        <v>-1.61285E-2</v>
      </c>
      <c r="J332" s="22">
        <v>322</v>
      </c>
      <c r="K332" s="22">
        <v>0.17785599999999999</v>
      </c>
      <c r="L332">
        <f t="shared" ref="L332:L388" si="60">-I332/$F$2*1000</f>
        <v>16.128499999999999</v>
      </c>
      <c r="M332">
        <f t="shared" ref="M332:M388" si="61">L332*G332</f>
        <v>2.8793888479999996</v>
      </c>
      <c r="N332" s="9"/>
      <c r="O332" s="22">
        <v>1.52145</v>
      </c>
      <c r="P332" s="22">
        <v>212.96</v>
      </c>
      <c r="Q332" s="22">
        <v>-1.43097E-2</v>
      </c>
      <c r="R332" s="22">
        <v>322</v>
      </c>
      <c r="S332" s="22">
        <v>1.5213000000000001</v>
      </c>
      <c r="T332">
        <f t="shared" ref="T332:T388" si="62">-Q332/$F$2*1000</f>
        <v>14.309699999999999</v>
      </c>
      <c r="U332">
        <f t="shared" ref="U332:U388" si="63">T332*O332</f>
        <v>21.771493064999998</v>
      </c>
      <c r="X332" s="9"/>
      <c r="Y332" s="22">
        <v>0.17852799999999999</v>
      </c>
      <c r="Z332" s="22">
        <v>295.47300000000001</v>
      </c>
      <c r="AA332" s="22">
        <v>-1.6162099999999999E-2</v>
      </c>
      <c r="AB332" s="22">
        <v>322</v>
      </c>
      <c r="AC332" s="22">
        <v>0.17788699999999999</v>
      </c>
      <c r="AD332">
        <f t="shared" ref="AD332:AD388" si="64">-AA332/$F$2*1000</f>
        <v>16.162099999999999</v>
      </c>
      <c r="AE332">
        <f t="shared" ref="AE332:AE388" si="65">AD332*Y332</f>
        <v>2.8853873887999995</v>
      </c>
      <c r="AF332" s="9"/>
      <c r="AG332" s="22">
        <v>1.52145</v>
      </c>
      <c r="AH332" s="22">
        <v>380.56799999999998</v>
      </c>
      <c r="AI332" s="22">
        <v>-1.4285300000000001E-2</v>
      </c>
      <c r="AJ332" s="22">
        <v>322</v>
      </c>
      <c r="AK332" s="22">
        <v>1.5203899999999999</v>
      </c>
      <c r="AL332">
        <f t="shared" ref="AL332:AL388" si="66">-AI332/$F$2*1000</f>
        <v>14.285300000000001</v>
      </c>
      <c r="AM332">
        <f t="shared" ref="AM332:AM388" si="67">AL332*AG332</f>
        <v>21.734369685000001</v>
      </c>
      <c r="AP332" s="9"/>
      <c r="AQ332" s="22">
        <v>0.17852799999999999</v>
      </c>
      <c r="AR332" s="22">
        <v>463.96699999999998</v>
      </c>
      <c r="AS332" s="22">
        <v>-1.6186499999999999E-2</v>
      </c>
      <c r="AT332" s="22">
        <v>322</v>
      </c>
      <c r="AU332" s="22">
        <v>0.17785599999999999</v>
      </c>
      <c r="AV332">
        <f t="shared" ref="AV332:AV388" si="68">-AS332/$F$2*1000</f>
        <v>16.186499999999999</v>
      </c>
      <c r="AW332">
        <f t="shared" ref="AW332:AW388" si="69">AV332*AQ332</f>
        <v>2.8897434719999997</v>
      </c>
      <c r="AX332" s="9"/>
      <c r="AY332" s="22">
        <v>1.52145</v>
      </c>
      <c r="AZ332" s="22">
        <v>585.90099999999995</v>
      </c>
      <c r="BA332" s="22">
        <v>-1.4041100000000001E-2</v>
      </c>
      <c r="BB332" s="22">
        <v>322</v>
      </c>
      <c r="BC332" s="22">
        <v>1.5206900000000001</v>
      </c>
      <c r="BD332">
        <f t="shared" ref="BD332:BD388" si="70">-BA332/$F$2*1000</f>
        <v>14.0411</v>
      </c>
      <c r="BE332">
        <f t="shared" ref="BE332:BE388" si="71">BD332*AY332</f>
        <v>21.362831594999999</v>
      </c>
    </row>
    <row r="333" spans="6:57">
      <c r="F333" s="9"/>
      <c r="G333" s="22">
        <v>0.17349200000000001</v>
      </c>
      <c r="H333" s="22">
        <v>105.774</v>
      </c>
      <c r="I333" s="22">
        <v>-1.61285E-2</v>
      </c>
      <c r="J333" s="22">
        <v>323</v>
      </c>
      <c r="K333" s="22">
        <v>0.172791</v>
      </c>
      <c r="L333">
        <f t="shared" si="60"/>
        <v>16.128499999999999</v>
      </c>
      <c r="M333">
        <f t="shared" si="61"/>
        <v>2.7981657219999998</v>
      </c>
      <c r="N333" s="9"/>
      <c r="O333" s="22">
        <v>1.5264899999999999</v>
      </c>
      <c r="P333" s="22">
        <v>213.06100000000001</v>
      </c>
      <c r="Q333" s="22">
        <v>-1.42395E-2</v>
      </c>
      <c r="R333" s="22">
        <v>323</v>
      </c>
      <c r="S333" s="22">
        <v>1.5255700000000001</v>
      </c>
      <c r="T333">
        <f t="shared" si="62"/>
        <v>14.2395</v>
      </c>
      <c r="U333">
        <f t="shared" si="63"/>
        <v>21.736454354999999</v>
      </c>
      <c r="X333" s="9"/>
      <c r="Y333" s="22">
        <v>0.17349200000000001</v>
      </c>
      <c r="Z333" s="22">
        <v>295.57400000000001</v>
      </c>
      <c r="AA333" s="22">
        <v>-1.6168200000000001E-2</v>
      </c>
      <c r="AB333" s="22">
        <v>323</v>
      </c>
      <c r="AC333" s="22">
        <v>0.172821</v>
      </c>
      <c r="AD333">
        <f t="shared" si="64"/>
        <v>16.168200000000002</v>
      </c>
      <c r="AE333">
        <f t="shared" si="65"/>
        <v>2.8050533544000005</v>
      </c>
      <c r="AF333" s="9"/>
      <c r="AG333" s="22">
        <v>1.5264899999999999</v>
      </c>
      <c r="AH333" s="22">
        <v>380.66800000000001</v>
      </c>
      <c r="AI333" s="22">
        <v>-1.42273E-2</v>
      </c>
      <c r="AJ333" s="22">
        <v>323</v>
      </c>
      <c r="AK333" s="22">
        <v>1.5255700000000001</v>
      </c>
      <c r="AL333">
        <f t="shared" si="66"/>
        <v>14.2273</v>
      </c>
      <c r="AM333">
        <f t="shared" si="67"/>
        <v>21.717831176999997</v>
      </c>
      <c r="AP333" s="9"/>
      <c r="AQ333" s="22">
        <v>0.17349200000000001</v>
      </c>
      <c r="AR333" s="22">
        <v>464.06799999999998</v>
      </c>
      <c r="AS333" s="22">
        <v>-1.61835E-2</v>
      </c>
      <c r="AT333" s="22">
        <v>323</v>
      </c>
      <c r="AU333" s="22">
        <v>0.17291300000000001</v>
      </c>
      <c r="AV333">
        <f t="shared" si="68"/>
        <v>16.183499999999999</v>
      </c>
      <c r="AW333">
        <f t="shared" si="69"/>
        <v>2.807707782</v>
      </c>
      <c r="AX333" s="9"/>
      <c r="AY333" s="22">
        <v>1.5264899999999999</v>
      </c>
      <c r="AZ333" s="22">
        <v>586.00199999999995</v>
      </c>
      <c r="BA333" s="22">
        <v>-1.3992299999999999E-2</v>
      </c>
      <c r="BB333" s="22">
        <v>323</v>
      </c>
      <c r="BC333" s="22">
        <v>1.5255700000000001</v>
      </c>
      <c r="BD333">
        <f t="shared" si="70"/>
        <v>13.992299999999998</v>
      </c>
      <c r="BE333">
        <f t="shared" si="71"/>
        <v>21.359106026999996</v>
      </c>
    </row>
    <row r="334" spans="6:57">
      <c r="F334" s="9"/>
      <c r="G334" s="22">
        <v>0.168457</v>
      </c>
      <c r="H334" s="22">
        <v>105.875</v>
      </c>
      <c r="I334" s="22">
        <v>-1.6134599999999999E-2</v>
      </c>
      <c r="J334" s="22">
        <v>324</v>
      </c>
      <c r="K334" s="22">
        <v>0.167847</v>
      </c>
      <c r="L334">
        <f t="shared" si="60"/>
        <v>16.134599999999999</v>
      </c>
      <c r="M334">
        <f t="shared" si="61"/>
        <v>2.7179863121999999</v>
      </c>
      <c r="N334" s="9"/>
      <c r="O334" s="22">
        <v>1.53152</v>
      </c>
      <c r="P334" s="22">
        <v>213.161</v>
      </c>
      <c r="Q334" s="22">
        <v>-1.4175399999999999E-2</v>
      </c>
      <c r="R334" s="22">
        <v>324</v>
      </c>
      <c r="S334" s="22">
        <v>1.5307599999999999</v>
      </c>
      <c r="T334">
        <f t="shared" si="62"/>
        <v>14.1754</v>
      </c>
      <c r="U334">
        <f t="shared" si="63"/>
        <v>21.709908607999999</v>
      </c>
      <c r="X334" s="9"/>
      <c r="Y334" s="22">
        <v>0.168457</v>
      </c>
      <c r="Z334" s="22">
        <v>295.67500000000001</v>
      </c>
      <c r="AA334" s="22">
        <v>-1.61713E-2</v>
      </c>
      <c r="AB334" s="22">
        <v>324</v>
      </c>
      <c r="AC334" s="22">
        <v>0.16772500000000001</v>
      </c>
      <c r="AD334">
        <f t="shared" si="64"/>
        <v>16.171299999999999</v>
      </c>
      <c r="AE334">
        <f t="shared" si="65"/>
        <v>2.7241686840999999</v>
      </c>
      <c r="AF334" s="9"/>
      <c r="AG334" s="22">
        <v>1.53152</v>
      </c>
      <c r="AH334" s="22">
        <v>380.76900000000001</v>
      </c>
      <c r="AI334" s="22">
        <v>-1.41602E-2</v>
      </c>
      <c r="AJ334" s="22">
        <v>324</v>
      </c>
      <c r="AK334" s="22">
        <v>1.5310699999999999</v>
      </c>
      <c r="AL334">
        <f t="shared" si="66"/>
        <v>14.1602</v>
      </c>
      <c r="AM334">
        <f t="shared" si="67"/>
        <v>21.686629503999999</v>
      </c>
      <c r="AP334" s="9"/>
      <c r="AQ334" s="22">
        <v>0.168457</v>
      </c>
      <c r="AR334" s="22">
        <v>464.16899999999998</v>
      </c>
      <c r="AS334" s="22">
        <v>-1.61957E-2</v>
      </c>
      <c r="AT334" s="22">
        <v>324</v>
      </c>
      <c r="AU334" s="22">
        <v>0.167877</v>
      </c>
      <c r="AV334">
        <f t="shared" si="68"/>
        <v>16.195699999999999</v>
      </c>
      <c r="AW334">
        <f t="shared" si="69"/>
        <v>2.7282790348999999</v>
      </c>
      <c r="AX334" s="9"/>
      <c r="AY334" s="22">
        <v>1.53152</v>
      </c>
      <c r="AZ334" s="22">
        <v>586.10299999999995</v>
      </c>
      <c r="BA334" s="22">
        <v>-1.3946500000000001E-2</v>
      </c>
      <c r="BB334" s="22">
        <v>324</v>
      </c>
      <c r="BC334" s="22">
        <v>1.5310699999999999</v>
      </c>
      <c r="BD334">
        <f t="shared" si="70"/>
        <v>13.9465</v>
      </c>
      <c r="BE334">
        <f t="shared" si="71"/>
        <v>21.359343680000002</v>
      </c>
    </row>
    <row r="335" spans="6:57">
      <c r="F335" s="9"/>
      <c r="G335" s="22">
        <v>0.16342200000000001</v>
      </c>
      <c r="H335" s="22">
        <v>105.97499999999999</v>
      </c>
      <c r="I335" s="22">
        <v>-1.6131599999999999E-2</v>
      </c>
      <c r="J335" s="22">
        <v>325</v>
      </c>
      <c r="K335" s="22">
        <v>0.16284199999999999</v>
      </c>
      <c r="L335">
        <f t="shared" si="60"/>
        <v>16.131599999999999</v>
      </c>
      <c r="M335">
        <f t="shared" si="61"/>
        <v>2.6362583352</v>
      </c>
      <c r="N335" s="9"/>
      <c r="O335" s="22">
        <v>1.5365599999999999</v>
      </c>
      <c r="P335" s="22">
        <v>213.262</v>
      </c>
      <c r="Q335" s="22">
        <v>-1.4135699999999999E-2</v>
      </c>
      <c r="R335" s="22">
        <v>325</v>
      </c>
      <c r="S335" s="22">
        <v>1.5356399999999999</v>
      </c>
      <c r="T335">
        <f t="shared" si="62"/>
        <v>14.1357</v>
      </c>
      <c r="U335">
        <f t="shared" si="63"/>
        <v>21.720351191999999</v>
      </c>
      <c r="X335" s="9"/>
      <c r="Y335" s="22">
        <v>0.16342200000000001</v>
      </c>
      <c r="Z335" s="22">
        <v>295.77499999999998</v>
      </c>
      <c r="AA335" s="22">
        <v>-1.6177400000000002E-2</v>
      </c>
      <c r="AB335" s="22">
        <v>325</v>
      </c>
      <c r="AC335" s="22">
        <v>0.16259799999999999</v>
      </c>
      <c r="AD335">
        <f t="shared" si="64"/>
        <v>16.177400000000002</v>
      </c>
      <c r="AE335">
        <f t="shared" si="65"/>
        <v>2.6437430628000005</v>
      </c>
      <c r="AF335" s="9"/>
      <c r="AG335" s="22">
        <v>1.5365599999999999</v>
      </c>
      <c r="AH335" s="22">
        <v>380.87</v>
      </c>
      <c r="AI335" s="22">
        <v>-1.40961E-2</v>
      </c>
      <c r="AJ335" s="22">
        <v>325</v>
      </c>
      <c r="AK335" s="22">
        <v>1.5359499999999999</v>
      </c>
      <c r="AL335">
        <f t="shared" si="66"/>
        <v>14.0961</v>
      </c>
      <c r="AM335">
        <f t="shared" si="67"/>
        <v>21.659503416</v>
      </c>
      <c r="AP335" s="9"/>
      <c r="AQ335" s="22">
        <v>0.16342200000000001</v>
      </c>
      <c r="AR335" s="22">
        <v>464.26900000000001</v>
      </c>
      <c r="AS335" s="22">
        <v>-1.6192600000000001E-2</v>
      </c>
      <c r="AT335" s="22">
        <v>325</v>
      </c>
      <c r="AU335" s="22">
        <v>0.16284199999999999</v>
      </c>
      <c r="AV335">
        <f t="shared" si="68"/>
        <v>16.192600000000002</v>
      </c>
      <c r="AW335">
        <f t="shared" si="69"/>
        <v>2.6462270772000007</v>
      </c>
      <c r="AX335" s="9"/>
      <c r="AY335" s="22">
        <v>1.5365599999999999</v>
      </c>
      <c r="AZ335" s="22">
        <v>586.20299999999997</v>
      </c>
      <c r="BA335" s="22">
        <v>-1.3858000000000001E-2</v>
      </c>
      <c r="BB335" s="22">
        <v>325</v>
      </c>
      <c r="BC335" s="22">
        <v>1.5359499999999999</v>
      </c>
      <c r="BD335">
        <f t="shared" si="70"/>
        <v>13.858000000000001</v>
      </c>
      <c r="BE335">
        <f t="shared" si="71"/>
        <v>21.293648479999998</v>
      </c>
    </row>
    <row r="336" spans="6:57">
      <c r="F336" s="9"/>
      <c r="G336" s="22">
        <v>0.158386</v>
      </c>
      <c r="H336" s="22">
        <v>106.07599999999999</v>
      </c>
      <c r="I336" s="22">
        <v>-1.6137700000000001E-2</v>
      </c>
      <c r="J336" s="22">
        <v>326</v>
      </c>
      <c r="K336" s="22">
        <v>0.157806</v>
      </c>
      <c r="L336">
        <f t="shared" si="60"/>
        <v>16.137700000000002</v>
      </c>
      <c r="M336">
        <f t="shared" si="61"/>
        <v>2.5559857522000002</v>
      </c>
      <c r="N336" s="9"/>
      <c r="O336" s="22">
        <v>1.5416000000000001</v>
      </c>
      <c r="P336" s="22">
        <v>213.363</v>
      </c>
      <c r="Q336" s="22">
        <v>-1.41052E-2</v>
      </c>
      <c r="R336" s="22">
        <v>326</v>
      </c>
      <c r="S336" s="22">
        <v>1.5408299999999999</v>
      </c>
      <c r="T336">
        <f t="shared" si="62"/>
        <v>14.1052</v>
      </c>
      <c r="U336">
        <f t="shared" si="63"/>
        <v>21.74457632</v>
      </c>
      <c r="X336" s="9"/>
      <c r="Y336" s="22">
        <v>0.158386</v>
      </c>
      <c r="Z336" s="22">
        <v>295.87599999999998</v>
      </c>
      <c r="AA336" s="22">
        <v>-1.61713E-2</v>
      </c>
      <c r="AB336" s="22">
        <v>326</v>
      </c>
      <c r="AC336" s="22">
        <v>0.15783700000000001</v>
      </c>
      <c r="AD336">
        <f t="shared" si="64"/>
        <v>16.171299999999999</v>
      </c>
      <c r="AE336">
        <f t="shared" si="65"/>
        <v>2.5613075217999999</v>
      </c>
      <c r="AF336" s="9"/>
      <c r="AG336" s="22">
        <v>1.5416000000000001</v>
      </c>
      <c r="AH336" s="22">
        <v>380.971</v>
      </c>
      <c r="AI336" s="22">
        <v>-1.4041100000000001E-2</v>
      </c>
      <c r="AJ336" s="22">
        <v>326</v>
      </c>
      <c r="AK336" s="22">
        <v>1.54114</v>
      </c>
      <c r="AL336">
        <f t="shared" si="66"/>
        <v>14.0411</v>
      </c>
      <c r="AM336">
        <f t="shared" si="67"/>
        <v>21.645759760000001</v>
      </c>
      <c r="AP336" s="9"/>
      <c r="AQ336" s="22">
        <v>0.158386</v>
      </c>
      <c r="AR336" s="22">
        <v>464.37</v>
      </c>
      <c r="AS336" s="22">
        <v>-1.61957E-2</v>
      </c>
      <c r="AT336" s="22">
        <v>326</v>
      </c>
      <c r="AU336" s="22">
        <v>0.15762300000000001</v>
      </c>
      <c r="AV336">
        <f t="shared" si="68"/>
        <v>16.195699999999999</v>
      </c>
      <c r="AW336">
        <f t="shared" si="69"/>
        <v>2.5651721401999996</v>
      </c>
      <c r="AX336" s="9"/>
      <c r="AY336" s="22">
        <v>1.5416000000000001</v>
      </c>
      <c r="AZ336" s="22">
        <v>586.30399999999997</v>
      </c>
      <c r="BA336" s="22">
        <v>-1.38031E-2</v>
      </c>
      <c r="BB336" s="22">
        <v>326</v>
      </c>
      <c r="BC336" s="22">
        <v>1.54053</v>
      </c>
      <c r="BD336">
        <f t="shared" si="70"/>
        <v>13.803100000000001</v>
      </c>
      <c r="BE336">
        <f t="shared" si="71"/>
        <v>21.278858960000001</v>
      </c>
    </row>
    <row r="337" spans="6:57">
      <c r="F337" s="9"/>
      <c r="G337" s="22">
        <v>0.15335099999999999</v>
      </c>
      <c r="H337" s="22">
        <v>106.17700000000001</v>
      </c>
      <c r="I337" s="22">
        <v>-1.61438E-2</v>
      </c>
      <c r="J337" s="22">
        <v>327</v>
      </c>
      <c r="K337" s="22">
        <v>0.15273999999999999</v>
      </c>
      <c r="L337">
        <f t="shared" si="60"/>
        <v>16.143799999999999</v>
      </c>
      <c r="M337">
        <f t="shared" si="61"/>
        <v>2.4756678737999995</v>
      </c>
      <c r="N337" s="9"/>
      <c r="O337" s="22">
        <v>1.5466299999999999</v>
      </c>
      <c r="P337" s="22">
        <v>213.464</v>
      </c>
      <c r="Q337" s="22">
        <v>-1.40167E-2</v>
      </c>
      <c r="R337" s="22">
        <v>327</v>
      </c>
      <c r="S337" s="22">
        <v>1.54541</v>
      </c>
      <c r="T337">
        <f t="shared" si="62"/>
        <v>14.0167</v>
      </c>
      <c r="U337">
        <f t="shared" si="63"/>
        <v>21.678648720999998</v>
      </c>
      <c r="X337" s="9"/>
      <c r="Y337" s="22">
        <v>0.15335099999999999</v>
      </c>
      <c r="Z337" s="22">
        <v>295.97699999999998</v>
      </c>
      <c r="AA337" s="22">
        <v>-1.6177400000000002E-2</v>
      </c>
      <c r="AB337" s="22">
        <v>327</v>
      </c>
      <c r="AC337" s="22">
        <v>0.15277099999999999</v>
      </c>
      <c r="AD337">
        <f t="shared" si="64"/>
        <v>16.177400000000002</v>
      </c>
      <c r="AE337">
        <f t="shared" si="65"/>
        <v>2.4808204674000001</v>
      </c>
      <c r="AF337" s="9"/>
      <c r="AG337" s="22">
        <v>1.5466299999999999</v>
      </c>
      <c r="AH337" s="22">
        <v>381.07100000000003</v>
      </c>
      <c r="AI337" s="22">
        <v>-1.3958699999999999E-2</v>
      </c>
      <c r="AJ337" s="22">
        <v>327</v>
      </c>
      <c r="AK337" s="22">
        <v>1.54541</v>
      </c>
      <c r="AL337">
        <f t="shared" si="66"/>
        <v>13.958699999999999</v>
      </c>
      <c r="AM337">
        <f t="shared" si="67"/>
        <v>21.588944180999999</v>
      </c>
      <c r="AP337" s="9"/>
      <c r="AQ337" s="22">
        <v>0.15335099999999999</v>
      </c>
      <c r="AR337" s="22">
        <v>464.471</v>
      </c>
      <c r="AS337" s="22">
        <v>-1.61957E-2</v>
      </c>
      <c r="AT337" s="22">
        <v>327</v>
      </c>
      <c r="AU337" s="22">
        <v>0.15273999999999999</v>
      </c>
      <c r="AV337">
        <f t="shared" si="68"/>
        <v>16.195699999999999</v>
      </c>
      <c r="AW337">
        <f t="shared" si="69"/>
        <v>2.4836267906999998</v>
      </c>
      <c r="AX337" s="9"/>
      <c r="AY337" s="22">
        <v>1.5466299999999999</v>
      </c>
      <c r="AZ337" s="22">
        <v>586.40499999999997</v>
      </c>
      <c r="BA337" s="22">
        <v>-1.37054E-2</v>
      </c>
      <c r="BB337" s="22">
        <v>327</v>
      </c>
      <c r="BC337" s="22">
        <v>1.54541</v>
      </c>
      <c r="BD337">
        <f t="shared" si="70"/>
        <v>13.705399999999999</v>
      </c>
      <c r="BE337">
        <f t="shared" si="71"/>
        <v>21.197182801999997</v>
      </c>
    </row>
    <row r="338" spans="6:57">
      <c r="F338" s="9"/>
      <c r="G338" s="22">
        <v>0.148315</v>
      </c>
      <c r="H338" s="22">
        <v>106.277</v>
      </c>
      <c r="I338" s="22">
        <v>-1.6125500000000001E-2</v>
      </c>
      <c r="J338" s="22">
        <v>328</v>
      </c>
      <c r="K338" s="22">
        <v>0.14788799999999999</v>
      </c>
      <c r="L338">
        <f t="shared" si="60"/>
        <v>16.125500000000002</v>
      </c>
      <c r="M338">
        <f t="shared" si="61"/>
        <v>2.3916535325000003</v>
      </c>
      <c r="N338" s="9"/>
      <c r="O338" s="22">
        <v>1.5516700000000001</v>
      </c>
      <c r="P338" s="22">
        <v>213.56399999999999</v>
      </c>
      <c r="Q338" s="22">
        <v>-1.3964799999999999E-2</v>
      </c>
      <c r="R338" s="22">
        <v>328</v>
      </c>
      <c r="S338" s="22">
        <v>1.5508999999999999</v>
      </c>
      <c r="T338">
        <f t="shared" si="62"/>
        <v>13.9648</v>
      </c>
      <c r="U338">
        <f t="shared" si="63"/>
        <v>21.668761216000004</v>
      </c>
      <c r="X338" s="9"/>
      <c r="Y338" s="22">
        <v>0.148315</v>
      </c>
      <c r="Z338" s="22">
        <v>296.07799999999997</v>
      </c>
      <c r="AA338" s="22">
        <v>-1.6189599999999998E-2</v>
      </c>
      <c r="AB338" s="22">
        <v>328</v>
      </c>
      <c r="AC338" s="22">
        <v>0.14758299999999999</v>
      </c>
      <c r="AD338">
        <f t="shared" si="64"/>
        <v>16.189599999999999</v>
      </c>
      <c r="AE338">
        <f t="shared" si="65"/>
        <v>2.4011605239999998</v>
      </c>
      <c r="AF338" s="9"/>
      <c r="AG338" s="22">
        <v>1.5516700000000001</v>
      </c>
      <c r="AH338" s="22">
        <v>381.17200000000003</v>
      </c>
      <c r="AI338" s="22">
        <v>-1.38916E-2</v>
      </c>
      <c r="AJ338" s="22">
        <v>328</v>
      </c>
      <c r="AK338" s="22">
        <v>1.55121</v>
      </c>
      <c r="AL338">
        <f t="shared" si="66"/>
        <v>13.8916</v>
      </c>
      <c r="AM338">
        <f t="shared" si="67"/>
        <v>21.555178972000004</v>
      </c>
      <c r="AP338" s="9"/>
      <c r="AQ338" s="22">
        <v>0.148315</v>
      </c>
      <c r="AR338" s="22">
        <v>464.57100000000003</v>
      </c>
      <c r="AS338" s="22">
        <v>-1.6192600000000001E-2</v>
      </c>
      <c r="AT338" s="22">
        <v>328</v>
      </c>
      <c r="AU338" s="22">
        <v>0.147614</v>
      </c>
      <c r="AV338">
        <f t="shared" si="68"/>
        <v>16.192600000000002</v>
      </c>
      <c r="AW338">
        <f t="shared" si="69"/>
        <v>2.4016054690000006</v>
      </c>
      <c r="AX338" s="9"/>
      <c r="AY338" s="22">
        <v>1.5516700000000001</v>
      </c>
      <c r="AZ338" s="22">
        <v>586.505</v>
      </c>
      <c r="BA338" s="22">
        <v>-1.36078E-2</v>
      </c>
      <c r="BB338" s="22">
        <v>328</v>
      </c>
      <c r="BC338" s="22">
        <v>1.55121</v>
      </c>
      <c r="BD338">
        <f t="shared" si="70"/>
        <v>13.607799999999999</v>
      </c>
      <c r="BE338">
        <f t="shared" si="71"/>
        <v>21.114815025999999</v>
      </c>
    </row>
    <row r="339" spans="6:57">
      <c r="F339" s="9"/>
      <c r="G339" s="22">
        <v>0.14327999999999999</v>
      </c>
      <c r="H339" s="22">
        <v>106.378</v>
      </c>
      <c r="I339" s="22">
        <v>-1.61285E-2</v>
      </c>
      <c r="J339" s="22">
        <v>329</v>
      </c>
      <c r="K339" s="22">
        <v>0.14266999999999999</v>
      </c>
      <c r="L339">
        <f t="shared" si="60"/>
        <v>16.128499999999999</v>
      </c>
      <c r="M339">
        <f t="shared" si="61"/>
        <v>2.3108914799999996</v>
      </c>
      <c r="N339" s="9"/>
      <c r="O339" s="22">
        <v>1.5567</v>
      </c>
      <c r="P339" s="22">
        <v>213.66499999999999</v>
      </c>
      <c r="Q339" s="22">
        <v>-1.38855E-2</v>
      </c>
      <c r="R339" s="22">
        <v>329</v>
      </c>
      <c r="S339" s="22">
        <v>1.5564</v>
      </c>
      <c r="T339">
        <f t="shared" si="62"/>
        <v>13.8855</v>
      </c>
      <c r="U339">
        <f t="shared" si="63"/>
        <v>21.615557850000002</v>
      </c>
      <c r="X339" s="9"/>
      <c r="Y339" s="22">
        <v>0.14327999999999999</v>
      </c>
      <c r="Z339" s="22">
        <v>296.178</v>
      </c>
      <c r="AA339" s="22">
        <v>-1.61835E-2</v>
      </c>
      <c r="AB339" s="22">
        <v>329</v>
      </c>
      <c r="AC339" s="22">
        <v>0.14260900000000001</v>
      </c>
      <c r="AD339">
        <f t="shared" si="64"/>
        <v>16.183499999999999</v>
      </c>
      <c r="AE339">
        <f t="shared" si="65"/>
        <v>2.3187718799999995</v>
      </c>
      <c r="AF339" s="9"/>
      <c r="AG339" s="22">
        <v>1.5567</v>
      </c>
      <c r="AH339" s="22">
        <v>381.27300000000002</v>
      </c>
      <c r="AI339" s="22">
        <v>-1.3815300000000001E-2</v>
      </c>
      <c r="AJ339" s="22">
        <v>329</v>
      </c>
      <c r="AK339" s="22">
        <v>1.55579</v>
      </c>
      <c r="AL339">
        <f t="shared" si="66"/>
        <v>13.815300000000001</v>
      </c>
      <c r="AM339">
        <f t="shared" si="67"/>
        <v>21.50627751</v>
      </c>
      <c r="AP339" s="9"/>
      <c r="AQ339" s="22">
        <v>0.14327999999999999</v>
      </c>
      <c r="AR339" s="22">
        <v>464.67200000000003</v>
      </c>
      <c r="AS339" s="22">
        <v>-1.6204799999999998E-2</v>
      </c>
      <c r="AT339" s="22">
        <v>329</v>
      </c>
      <c r="AU339" s="22">
        <v>0.14266999999999999</v>
      </c>
      <c r="AV339">
        <f t="shared" si="68"/>
        <v>16.204799999999999</v>
      </c>
      <c r="AW339">
        <f t="shared" si="69"/>
        <v>2.3218237439999996</v>
      </c>
      <c r="AX339" s="9"/>
      <c r="AY339" s="22">
        <v>1.5567</v>
      </c>
      <c r="AZ339" s="22">
        <v>586.60599999999999</v>
      </c>
      <c r="BA339" s="22">
        <v>-1.3507099999999999E-2</v>
      </c>
      <c r="BB339" s="22">
        <v>329</v>
      </c>
      <c r="BC339" s="22">
        <v>1.55609</v>
      </c>
      <c r="BD339">
        <f t="shared" si="70"/>
        <v>13.507099999999999</v>
      </c>
      <c r="BE339">
        <f t="shared" si="71"/>
        <v>21.026502569999998</v>
      </c>
    </row>
    <row r="340" spans="6:57">
      <c r="F340" s="9"/>
      <c r="G340" s="22">
        <v>0.13824500000000001</v>
      </c>
      <c r="H340" s="22">
        <v>106.479</v>
      </c>
      <c r="I340" s="22">
        <v>-1.6137700000000001E-2</v>
      </c>
      <c r="J340" s="22">
        <v>330</v>
      </c>
      <c r="K340" s="22">
        <v>0.137604</v>
      </c>
      <c r="L340">
        <f t="shared" si="60"/>
        <v>16.137700000000002</v>
      </c>
      <c r="M340">
        <f t="shared" si="61"/>
        <v>2.2309563365000002</v>
      </c>
      <c r="N340" s="9"/>
      <c r="O340" s="22">
        <v>1.5617399999999999</v>
      </c>
      <c r="P340" s="22">
        <v>213.76599999999999</v>
      </c>
      <c r="Q340" s="22">
        <v>-1.3797E-2</v>
      </c>
      <c r="R340" s="22">
        <v>330</v>
      </c>
      <c r="S340" s="22">
        <v>1.56097</v>
      </c>
      <c r="T340">
        <f t="shared" si="62"/>
        <v>13.797000000000001</v>
      </c>
      <c r="U340">
        <f t="shared" si="63"/>
        <v>21.547326779999999</v>
      </c>
      <c r="X340" s="9"/>
      <c r="Y340" s="22">
        <v>0.13824500000000001</v>
      </c>
      <c r="Z340" s="22">
        <v>296.279</v>
      </c>
      <c r="AA340" s="22">
        <v>-1.6177400000000002E-2</v>
      </c>
      <c r="AB340" s="22">
        <v>330</v>
      </c>
      <c r="AC340" s="22">
        <v>0.13748199999999999</v>
      </c>
      <c r="AD340">
        <f t="shared" si="64"/>
        <v>16.177400000000002</v>
      </c>
      <c r="AE340">
        <f t="shared" si="65"/>
        <v>2.2364446630000003</v>
      </c>
      <c r="AF340" s="9"/>
      <c r="AG340" s="22">
        <v>1.5617399999999999</v>
      </c>
      <c r="AH340" s="22">
        <v>381.37299999999999</v>
      </c>
      <c r="AI340" s="22">
        <v>-1.3754300000000001E-2</v>
      </c>
      <c r="AJ340" s="22">
        <v>330</v>
      </c>
      <c r="AK340" s="22">
        <v>1.56097</v>
      </c>
      <c r="AL340">
        <f t="shared" si="66"/>
        <v>13.754300000000001</v>
      </c>
      <c r="AM340">
        <f t="shared" si="67"/>
        <v>21.480640481999998</v>
      </c>
      <c r="AP340" s="9"/>
      <c r="AQ340" s="22">
        <v>0.13824500000000001</v>
      </c>
      <c r="AR340" s="22">
        <v>464.77300000000002</v>
      </c>
      <c r="AS340" s="22">
        <v>-1.61957E-2</v>
      </c>
      <c r="AT340" s="22">
        <v>330</v>
      </c>
      <c r="AU340" s="22">
        <v>0.137512</v>
      </c>
      <c r="AV340">
        <f t="shared" si="68"/>
        <v>16.195699999999999</v>
      </c>
      <c r="AW340">
        <f t="shared" si="69"/>
        <v>2.2389745464999997</v>
      </c>
      <c r="AX340" s="9"/>
      <c r="AY340" s="22">
        <v>1.5617399999999999</v>
      </c>
      <c r="AZ340" s="22">
        <v>586.70699999999999</v>
      </c>
      <c r="BA340" s="22">
        <v>-1.3494900000000001E-2</v>
      </c>
      <c r="BB340" s="22">
        <v>330</v>
      </c>
      <c r="BC340" s="22">
        <v>1.56097</v>
      </c>
      <c r="BD340">
        <f t="shared" si="70"/>
        <v>13.494900000000001</v>
      </c>
      <c r="BE340">
        <f t="shared" si="71"/>
        <v>21.075525126000002</v>
      </c>
    </row>
    <row r="341" spans="6:57">
      <c r="F341" s="9"/>
      <c r="G341" s="22">
        <v>0.13320899999999999</v>
      </c>
      <c r="H341" s="22">
        <v>106.58</v>
      </c>
      <c r="I341" s="22">
        <v>-1.6140700000000001E-2</v>
      </c>
      <c r="J341" s="22">
        <v>331</v>
      </c>
      <c r="K341" s="22">
        <v>0.13247700000000001</v>
      </c>
      <c r="L341">
        <f t="shared" si="60"/>
        <v>16.140700000000002</v>
      </c>
      <c r="M341">
        <f t="shared" si="61"/>
        <v>2.1500865063000001</v>
      </c>
      <c r="N341" s="9"/>
      <c r="O341" s="22">
        <v>1.56677</v>
      </c>
      <c r="P341" s="22">
        <v>213.86600000000001</v>
      </c>
      <c r="Q341" s="22">
        <v>-1.3760400000000001E-2</v>
      </c>
      <c r="R341" s="22">
        <v>331</v>
      </c>
      <c r="S341" s="22">
        <v>1.56586</v>
      </c>
      <c r="T341">
        <f t="shared" si="62"/>
        <v>13.760400000000001</v>
      </c>
      <c r="U341">
        <f t="shared" si="63"/>
        <v>21.559381908000002</v>
      </c>
      <c r="X341" s="9"/>
      <c r="Y341" s="22">
        <v>0.13320899999999999</v>
      </c>
      <c r="Z341" s="22">
        <v>296.38</v>
      </c>
      <c r="AA341" s="22">
        <v>-1.61835E-2</v>
      </c>
      <c r="AB341" s="22">
        <v>331</v>
      </c>
      <c r="AC341" s="22">
        <v>0.13272100000000001</v>
      </c>
      <c r="AD341">
        <f t="shared" si="64"/>
        <v>16.183499999999999</v>
      </c>
      <c r="AE341">
        <f t="shared" si="65"/>
        <v>2.1557878514999995</v>
      </c>
      <c r="AF341" s="9"/>
      <c r="AG341" s="22">
        <v>1.56677</v>
      </c>
      <c r="AH341" s="22">
        <v>381.47399999999999</v>
      </c>
      <c r="AI341" s="22">
        <v>-1.36475E-2</v>
      </c>
      <c r="AJ341" s="22">
        <v>331</v>
      </c>
      <c r="AK341" s="22">
        <v>1.56616</v>
      </c>
      <c r="AL341">
        <f t="shared" si="66"/>
        <v>13.647499999999999</v>
      </c>
      <c r="AM341">
        <f t="shared" si="67"/>
        <v>21.382493574999998</v>
      </c>
      <c r="AP341" s="9"/>
      <c r="AQ341" s="22">
        <v>0.13320899999999999</v>
      </c>
      <c r="AR341" s="22">
        <v>464.87299999999999</v>
      </c>
      <c r="AS341" s="22">
        <v>-1.6204799999999998E-2</v>
      </c>
      <c r="AT341" s="22">
        <v>331</v>
      </c>
      <c r="AU341" s="22">
        <v>0.13259899999999999</v>
      </c>
      <c r="AV341">
        <f t="shared" si="68"/>
        <v>16.204799999999999</v>
      </c>
      <c r="AW341">
        <f t="shared" si="69"/>
        <v>2.1586252031999997</v>
      </c>
      <c r="AX341" s="9"/>
      <c r="AY341" s="22">
        <v>1.56677</v>
      </c>
      <c r="AZ341" s="22">
        <v>586.80799999999999</v>
      </c>
      <c r="BA341" s="22">
        <v>-1.3406400000000001E-2</v>
      </c>
      <c r="BB341" s="22">
        <v>331</v>
      </c>
      <c r="BC341" s="22">
        <v>1.56616</v>
      </c>
      <c r="BD341">
        <f t="shared" si="70"/>
        <v>13.406400000000001</v>
      </c>
      <c r="BE341">
        <f t="shared" si="71"/>
        <v>21.004745328000002</v>
      </c>
    </row>
    <row r="342" spans="6:57">
      <c r="F342" s="9"/>
      <c r="G342" s="22">
        <v>0.12817400000000001</v>
      </c>
      <c r="H342" s="22">
        <v>106.68</v>
      </c>
      <c r="I342" s="22">
        <v>-1.61285E-2</v>
      </c>
      <c r="J342" s="22">
        <v>332</v>
      </c>
      <c r="K342" s="22">
        <v>0.12731899999999999</v>
      </c>
      <c r="L342">
        <f t="shared" si="60"/>
        <v>16.128499999999999</v>
      </c>
      <c r="M342">
        <f t="shared" si="61"/>
        <v>2.0672543590000001</v>
      </c>
      <c r="N342" s="9"/>
      <c r="O342" s="22">
        <v>1.5718099999999999</v>
      </c>
      <c r="P342" s="22">
        <v>213.96700000000001</v>
      </c>
      <c r="Q342" s="22">
        <v>-1.3644399999999999E-2</v>
      </c>
      <c r="R342" s="22">
        <v>332</v>
      </c>
      <c r="S342" s="22">
        <v>1.57074</v>
      </c>
      <c r="T342">
        <f t="shared" si="62"/>
        <v>13.644399999999999</v>
      </c>
      <c r="U342">
        <f t="shared" si="63"/>
        <v>21.446404363999999</v>
      </c>
      <c r="X342" s="9"/>
      <c r="Y342" s="22">
        <v>0.12817400000000001</v>
      </c>
      <c r="Z342" s="22">
        <v>296.48</v>
      </c>
      <c r="AA342" s="22">
        <v>-1.6180400000000001E-2</v>
      </c>
      <c r="AB342" s="22">
        <v>332</v>
      </c>
      <c r="AC342" s="22">
        <v>0.12765499999999999</v>
      </c>
      <c r="AD342">
        <f t="shared" si="64"/>
        <v>16.180400000000002</v>
      </c>
      <c r="AE342">
        <f t="shared" si="65"/>
        <v>2.0739065896000004</v>
      </c>
      <c r="AF342" s="9"/>
      <c r="AG342" s="22">
        <v>1.5718099999999999</v>
      </c>
      <c r="AH342" s="22">
        <v>381.57499999999999</v>
      </c>
      <c r="AI342" s="22">
        <v>-1.36078E-2</v>
      </c>
      <c r="AJ342" s="22">
        <v>332</v>
      </c>
      <c r="AK342" s="22">
        <v>1.57135</v>
      </c>
      <c r="AL342">
        <f t="shared" si="66"/>
        <v>13.607799999999999</v>
      </c>
      <c r="AM342">
        <f t="shared" si="67"/>
        <v>21.388876117999999</v>
      </c>
      <c r="AP342" s="9"/>
      <c r="AQ342" s="22">
        <v>0.12817400000000001</v>
      </c>
      <c r="AR342" s="22">
        <v>464.97399999999999</v>
      </c>
      <c r="AS342" s="22">
        <v>-1.61987E-2</v>
      </c>
      <c r="AT342" s="22">
        <v>332</v>
      </c>
      <c r="AU342" s="22">
        <v>0.12756300000000001</v>
      </c>
      <c r="AV342">
        <f t="shared" si="68"/>
        <v>16.198699999999999</v>
      </c>
      <c r="AW342">
        <f t="shared" si="69"/>
        <v>2.0762521737999999</v>
      </c>
      <c r="AX342" s="9"/>
      <c r="AY342" s="22">
        <v>1.5718099999999999</v>
      </c>
      <c r="AZ342" s="22">
        <v>586.90800000000002</v>
      </c>
      <c r="BA342" s="22">
        <v>-1.3290400000000001E-2</v>
      </c>
      <c r="BB342" s="22">
        <v>332</v>
      </c>
      <c r="BC342" s="22">
        <v>1.57104</v>
      </c>
      <c r="BD342">
        <f t="shared" si="70"/>
        <v>13.2904</v>
      </c>
      <c r="BE342">
        <f t="shared" si="71"/>
        <v>20.889983623999999</v>
      </c>
    </row>
    <row r="343" spans="6:57">
      <c r="F343" s="9"/>
      <c r="G343" s="22">
        <v>0.123138</v>
      </c>
      <c r="H343" s="22">
        <v>106.78100000000001</v>
      </c>
      <c r="I343" s="22">
        <v>-1.61438E-2</v>
      </c>
      <c r="J343" s="22">
        <v>333</v>
      </c>
      <c r="K343" s="22">
        <v>0.12246700000000001</v>
      </c>
      <c r="L343">
        <f t="shared" si="60"/>
        <v>16.143799999999999</v>
      </c>
      <c r="M343">
        <f t="shared" si="61"/>
        <v>1.9879152443999999</v>
      </c>
      <c r="N343" s="9"/>
      <c r="O343" s="22">
        <v>1.57684</v>
      </c>
      <c r="P343" s="22">
        <v>214.06800000000001</v>
      </c>
      <c r="Q343" s="22">
        <v>-1.35773E-2</v>
      </c>
      <c r="R343" s="22">
        <v>333</v>
      </c>
      <c r="S343" s="22">
        <v>1.57562</v>
      </c>
      <c r="T343">
        <f t="shared" si="62"/>
        <v>13.577300000000001</v>
      </c>
      <c r="U343">
        <f t="shared" si="63"/>
        <v>21.409229732000004</v>
      </c>
      <c r="X343" s="9"/>
      <c r="Y343" s="22">
        <v>0.123138</v>
      </c>
      <c r="Z343" s="22">
        <v>296.58100000000002</v>
      </c>
      <c r="AA343" s="22">
        <v>-1.61835E-2</v>
      </c>
      <c r="AB343" s="22">
        <v>333</v>
      </c>
      <c r="AC343" s="22">
        <v>0.122528</v>
      </c>
      <c r="AD343">
        <f t="shared" si="64"/>
        <v>16.183499999999999</v>
      </c>
      <c r="AE343">
        <f t="shared" si="65"/>
        <v>1.9928038229999998</v>
      </c>
      <c r="AF343" s="9"/>
      <c r="AG343" s="22">
        <v>1.57684</v>
      </c>
      <c r="AH343" s="22">
        <v>381.67599999999999</v>
      </c>
      <c r="AI343" s="22">
        <v>-1.3507099999999999E-2</v>
      </c>
      <c r="AJ343" s="22">
        <v>333</v>
      </c>
      <c r="AK343" s="22">
        <v>1.5759300000000001</v>
      </c>
      <c r="AL343">
        <f t="shared" si="66"/>
        <v>13.507099999999999</v>
      </c>
      <c r="AM343">
        <f t="shared" si="67"/>
        <v>21.298535563999998</v>
      </c>
      <c r="AP343" s="9"/>
      <c r="AQ343" s="22">
        <v>0.123138</v>
      </c>
      <c r="AR343" s="22">
        <v>465.07499999999999</v>
      </c>
      <c r="AS343" s="22">
        <v>-1.6204799999999998E-2</v>
      </c>
      <c r="AT343" s="22">
        <v>333</v>
      </c>
      <c r="AU343" s="22">
        <v>0.122589</v>
      </c>
      <c r="AV343">
        <f t="shared" si="68"/>
        <v>16.204799999999999</v>
      </c>
      <c r="AW343">
        <f t="shared" si="69"/>
        <v>1.9954266623999999</v>
      </c>
      <c r="AX343" s="9"/>
      <c r="AY343" s="22">
        <v>1.57684</v>
      </c>
      <c r="AZ343" s="22">
        <v>587.00900000000001</v>
      </c>
      <c r="BA343" s="22">
        <v>-1.3201900000000001E-2</v>
      </c>
      <c r="BB343" s="22">
        <v>333</v>
      </c>
      <c r="BC343" s="22">
        <v>1.57623</v>
      </c>
      <c r="BD343">
        <f t="shared" si="70"/>
        <v>13.2019</v>
      </c>
      <c r="BE343">
        <f t="shared" si="71"/>
        <v>20.817283996</v>
      </c>
    </row>
    <row r="344" spans="6:57">
      <c r="F344" s="9"/>
      <c r="G344" s="22">
        <v>0.118103</v>
      </c>
      <c r="H344" s="22">
        <v>106.88200000000001</v>
      </c>
      <c r="I344" s="22">
        <v>-1.61438E-2</v>
      </c>
      <c r="J344" s="22">
        <v>334</v>
      </c>
      <c r="K344" s="22">
        <v>0.117523</v>
      </c>
      <c r="L344">
        <f t="shared" si="60"/>
        <v>16.143799999999999</v>
      </c>
      <c r="M344">
        <f t="shared" si="61"/>
        <v>1.9066312113999999</v>
      </c>
      <c r="N344" s="9"/>
      <c r="O344" s="22">
        <v>1.58188</v>
      </c>
      <c r="P344" s="22">
        <v>214.16800000000001</v>
      </c>
      <c r="Q344" s="22">
        <v>-1.34888E-2</v>
      </c>
      <c r="R344" s="22">
        <v>334</v>
      </c>
      <c r="S344" s="22">
        <v>1.5811200000000001</v>
      </c>
      <c r="T344">
        <f t="shared" si="62"/>
        <v>13.488800000000001</v>
      </c>
      <c r="U344">
        <f t="shared" si="63"/>
        <v>21.337662944000002</v>
      </c>
      <c r="X344" s="9"/>
      <c r="Y344" s="22">
        <v>0.118103</v>
      </c>
      <c r="Z344" s="22">
        <v>296.68200000000002</v>
      </c>
      <c r="AA344" s="22">
        <v>-1.61835E-2</v>
      </c>
      <c r="AB344" s="22">
        <v>334</v>
      </c>
      <c r="AC344" s="22">
        <v>0.117493</v>
      </c>
      <c r="AD344">
        <f t="shared" si="64"/>
        <v>16.183499999999999</v>
      </c>
      <c r="AE344">
        <f t="shared" si="65"/>
        <v>1.9113199004999999</v>
      </c>
      <c r="AF344" s="9"/>
      <c r="AG344" s="22">
        <v>1.58188</v>
      </c>
      <c r="AH344" s="22">
        <v>381.77600000000001</v>
      </c>
      <c r="AI344" s="22">
        <v>-1.3418599999999999E-2</v>
      </c>
      <c r="AJ344" s="22">
        <v>334</v>
      </c>
      <c r="AK344" s="22">
        <v>1.5811200000000001</v>
      </c>
      <c r="AL344">
        <f t="shared" si="66"/>
        <v>13.4186</v>
      </c>
      <c r="AM344">
        <f t="shared" si="67"/>
        <v>21.226614968</v>
      </c>
      <c r="AP344" s="9"/>
      <c r="AQ344" s="22">
        <v>0.118103</v>
      </c>
      <c r="AR344" s="22">
        <v>465.17599999999999</v>
      </c>
      <c r="AS344" s="22">
        <v>-1.6204799999999998E-2</v>
      </c>
      <c r="AT344" s="22">
        <v>334</v>
      </c>
      <c r="AU344" s="22">
        <v>0.11743199999999999</v>
      </c>
      <c r="AV344">
        <f t="shared" si="68"/>
        <v>16.204799999999999</v>
      </c>
      <c r="AW344">
        <f t="shared" si="69"/>
        <v>1.9138354943999998</v>
      </c>
      <c r="AX344" s="9"/>
      <c r="AY344" s="22">
        <v>1.58188</v>
      </c>
      <c r="AZ344" s="22">
        <v>587.11</v>
      </c>
      <c r="BA344" s="22">
        <v>-1.31012E-2</v>
      </c>
      <c r="BB344" s="22">
        <v>334</v>
      </c>
      <c r="BC344" s="22">
        <v>1.5811200000000001</v>
      </c>
      <c r="BD344">
        <f t="shared" si="70"/>
        <v>13.1012</v>
      </c>
      <c r="BE344">
        <f t="shared" si="71"/>
        <v>20.724526256000001</v>
      </c>
    </row>
    <row r="345" spans="6:57">
      <c r="F345" s="9"/>
      <c r="G345" s="22">
        <v>0.113068</v>
      </c>
      <c r="H345" s="22">
        <v>106.982</v>
      </c>
      <c r="I345" s="22">
        <v>-1.6146899999999999E-2</v>
      </c>
      <c r="J345" s="22">
        <v>335</v>
      </c>
      <c r="K345" s="22">
        <v>0.11261</v>
      </c>
      <c r="L345">
        <f t="shared" si="60"/>
        <v>16.146899999999999</v>
      </c>
      <c r="M345">
        <f t="shared" si="61"/>
        <v>1.8256976891999999</v>
      </c>
      <c r="N345" s="9"/>
      <c r="O345" s="22">
        <v>1.58691</v>
      </c>
      <c r="P345" s="22">
        <v>214.26900000000001</v>
      </c>
      <c r="Q345" s="22">
        <v>-1.34094E-2</v>
      </c>
      <c r="R345" s="22">
        <v>335</v>
      </c>
      <c r="S345" s="22">
        <v>1.5860000000000001</v>
      </c>
      <c r="T345">
        <f t="shared" si="62"/>
        <v>13.4094</v>
      </c>
      <c r="U345">
        <f t="shared" si="63"/>
        <v>21.279510953999999</v>
      </c>
      <c r="X345" s="9"/>
      <c r="Y345" s="22">
        <v>0.113068</v>
      </c>
      <c r="Z345" s="22">
        <v>296.78300000000002</v>
      </c>
      <c r="AA345" s="22">
        <v>-1.61835E-2</v>
      </c>
      <c r="AB345" s="22">
        <v>335</v>
      </c>
      <c r="AC345" s="22">
        <v>0.112335</v>
      </c>
      <c r="AD345">
        <f t="shared" si="64"/>
        <v>16.183499999999999</v>
      </c>
      <c r="AE345">
        <f t="shared" si="65"/>
        <v>1.829835978</v>
      </c>
      <c r="AF345" s="9"/>
      <c r="AG345" s="22">
        <v>1.58691</v>
      </c>
      <c r="AH345" s="22">
        <v>381.87700000000001</v>
      </c>
      <c r="AI345" s="22">
        <v>-1.3333100000000001E-2</v>
      </c>
      <c r="AJ345" s="22">
        <v>335</v>
      </c>
      <c r="AK345" s="22">
        <v>1.5860000000000001</v>
      </c>
      <c r="AL345">
        <f t="shared" si="66"/>
        <v>13.3331</v>
      </c>
      <c r="AM345">
        <f t="shared" si="67"/>
        <v>21.158429721000001</v>
      </c>
      <c r="AP345" s="9"/>
      <c r="AQ345" s="22">
        <v>0.113068</v>
      </c>
      <c r="AR345" s="22">
        <v>465.27600000000001</v>
      </c>
      <c r="AS345" s="22">
        <v>-1.62109E-2</v>
      </c>
      <c r="AT345" s="22">
        <v>335</v>
      </c>
      <c r="AU345" s="22">
        <v>0.112488</v>
      </c>
      <c r="AV345">
        <f t="shared" si="68"/>
        <v>16.210899999999999</v>
      </c>
      <c r="AW345">
        <f t="shared" si="69"/>
        <v>1.8329340411999999</v>
      </c>
      <c r="AX345" s="9"/>
      <c r="AY345" s="22">
        <v>1.58691</v>
      </c>
      <c r="AZ345" s="22">
        <v>587.21</v>
      </c>
      <c r="BA345" s="22">
        <v>-1.30127E-2</v>
      </c>
      <c r="BB345" s="22">
        <v>335</v>
      </c>
      <c r="BC345" s="22">
        <v>1.5866100000000001</v>
      </c>
      <c r="BD345">
        <f t="shared" si="70"/>
        <v>13.012700000000001</v>
      </c>
      <c r="BE345">
        <f t="shared" si="71"/>
        <v>20.649983757000001</v>
      </c>
    </row>
    <row r="346" spans="6:57">
      <c r="F346" s="9"/>
      <c r="G346" s="22">
        <v>0.108032</v>
      </c>
      <c r="H346" s="22">
        <v>107.083</v>
      </c>
      <c r="I346" s="22">
        <v>-1.6149899999999998E-2</v>
      </c>
      <c r="J346" s="22">
        <v>336</v>
      </c>
      <c r="K346" s="22">
        <v>0.107483</v>
      </c>
      <c r="L346">
        <f t="shared" si="60"/>
        <v>16.149899999999999</v>
      </c>
      <c r="M346">
        <f t="shared" si="61"/>
        <v>1.7447059967999998</v>
      </c>
      <c r="N346" s="9"/>
      <c r="O346" s="22">
        <v>1.59195</v>
      </c>
      <c r="P346" s="22">
        <v>214.37</v>
      </c>
      <c r="Q346" s="22">
        <v>-1.33118E-2</v>
      </c>
      <c r="R346" s="22">
        <v>336</v>
      </c>
      <c r="S346" s="22">
        <v>1.5911900000000001</v>
      </c>
      <c r="T346">
        <f t="shared" si="62"/>
        <v>13.3118</v>
      </c>
      <c r="U346">
        <f t="shared" si="63"/>
        <v>21.191720010000001</v>
      </c>
      <c r="X346" s="9"/>
      <c r="Y346" s="22">
        <v>0.108032</v>
      </c>
      <c r="Z346" s="22">
        <v>296.88299999999998</v>
      </c>
      <c r="AA346" s="22">
        <v>-1.61835E-2</v>
      </c>
      <c r="AB346" s="22">
        <v>336</v>
      </c>
      <c r="AC346" s="22">
        <v>0.107574</v>
      </c>
      <c r="AD346">
        <f t="shared" si="64"/>
        <v>16.183499999999999</v>
      </c>
      <c r="AE346">
        <f t="shared" si="65"/>
        <v>1.748335872</v>
      </c>
      <c r="AF346" s="9"/>
      <c r="AG346" s="22">
        <v>1.59195</v>
      </c>
      <c r="AH346" s="22">
        <v>381.97800000000001</v>
      </c>
      <c r="AI346" s="22">
        <v>-1.32202E-2</v>
      </c>
      <c r="AJ346" s="22">
        <v>336</v>
      </c>
      <c r="AK346" s="22">
        <v>1.5911900000000001</v>
      </c>
      <c r="AL346">
        <f t="shared" si="66"/>
        <v>13.2202</v>
      </c>
      <c r="AM346">
        <f t="shared" si="67"/>
        <v>21.04589739</v>
      </c>
      <c r="AP346" s="9"/>
      <c r="AQ346" s="22">
        <v>0.108032</v>
      </c>
      <c r="AR346" s="22">
        <v>465.37700000000001</v>
      </c>
      <c r="AS346" s="22">
        <v>-1.6204799999999998E-2</v>
      </c>
      <c r="AT346" s="22">
        <v>336</v>
      </c>
      <c r="AU346" s="22">
        <v>0.107239</v>
      </c>
      <c r="AV346">
        <f t="shared" si="68"/>
        <v>16.204799999999999</v>
      </c>
      <c r="AW346">
        <f t="shared" si="69"/>
        <v>1.7506369535999999</v>
      </c>
      <c r="AX346" s="9"/>
      <c r="AY346" s="22">
        <v>1.59195</v>
      </c>
      <c r="AZ346" s="22">
        <v>587.31100000000004</v>
      </c>
      <c r="BA346" s="22">
        <v>-1.2899799999999999E-2</v>
      </c>
      <c r="BB346" s="22">
        <v>336</v>
      </c>
      <c r="BC346" s="22">
        <v>1.5911900000000001</v>
      </c>
      <c r="BD346">
        <f t="shared" si="70"/>
        <v>12.899799999999999</v>
      </c>
      <c r="BE346">
        <f t="shared" si="71"/>
        <v>20.535836609999997</v>
      </c>
    </row>
    <row r="347" spans="6:57">
      <c r="F347" s="9"/>
      <c r="G347" s="22">
        <v>0.10299700000000001</v>
      </c>
      <c r="H347" s="22">
        <v>107.184</v>
      </c>
      <c r="I347" s="22">
        <v>-1.6140700000000001E-2</v>
      </c>
      <c r="J347" s="22">
        <v>337</v>
      </c>
      <c r="K347" s="22">
        <v>0.102448</v>
      </c>
      <c r="L347">
        <f t="shared" si="60"/>
        <v>16.140700000000002</v>
      </c>
      <c r="M347">
        <f t="shared" si="61"/>
        <v>1.6624436779000002</v>
      </c>
      <c r="N347" s="9"/>
      <c r="O347" s="22">
        <v>1.5969800000000001</v>
      </c>
      <c r="P347" s="22">
        <v>214.471</v>
      </c>
      <c r="Q347" s="22">
        <v>-1.3207999999999999E-2</v>
      </c>
      <c r="R347" s="22">
        <v>337</v>
      </c>
      <c r="S347" s="22">
        <v>1.5960700000000001</v>
      </c>
      <c r="T347">
        <f t="shared" si="62"/>
        <v>13.207999999999998</v>
      </c>
      <c r="U347">
        <f t="shared" si="63"/>
        <v>21.092911839999999</v>
      </c>
      <c r="X347" s="9"/>
      <c r="Y347" s="22">
        <v>0.10299700000000001</v>
      </c>
      <c r="Z347" s="22">
        <v>296.98399999999998</v>
      </c>
      <c r="AA347" s="22">
        <v>-1.6180400000000001E-2</v>
      </c>
      <c r="AB347" s="22">
        <v>337</v>
      </c>
      <c r="AC347" s="22">
        <v>0.102325</v>
      </c>
      <c r="AD347">
        <f t="shared" si="64"/>
        <v>16.180400000000002</v>
      </c>
      <c r="AE347">
        <f t="shared" si="65"/>
        <v>1.6665326588000002</v>
      </c>
      <c r="AF347" s="9"/>
      <c r="AG347" s="22">
        <v>1.5969800000000001</v>
      </c>
      <c r="AH347" s="22">
        <v>382.07799999999997</v>
      </c>
      <c r="AI347" s="22">
        <v>-1.3125599999999999E-2</v>
      </c>
      <c r="AJ347" s="22">
        <v>337</v>
      </c>
      <c r="AK347" s="22">
        <v>1.5960700000000001</v>
      </c>
      <c r="AL347">
        <f t="shared" si="66"/>
        <v>13.125599999999999</v>
      </c>
      <c r="AM347">
        <f t="shared" si="67"/>
        <v>20.961320687999997</v>
      </c>
      <c r="AP347" s="9"/>
      <c r="AQ347" s="22">
        <v>0.10299700000000001</v>
      </c>
      <c r="AR347" s="22">
        <v>465.47800000000001</v>
      </c>
      <c r="AS347" s="22">
        <v>-1.6201799999999999E-2</v>
      </c>
      <c r="AT347" s="22">
        <v>337</v>
      </c>
      <c r="AU347" s="22">
        <v>0.102386</v>
      </c>
      <c r="AV347">
        <f t="shared" si="68"/>
        <v>16.201799999999999</v>
      </c>
      <c r="AW347">
        <f t="shared" si="69"/>
        <v>1.6687367946</v>
      </c>
      <c r="AX347" s="9"/>
      <c r="AY347" s="22">
        <v>1.5969800000000001</v>
      </c>
      <c r="AZ347" s="22">
        <v>587.41200000000003</v>
      </c>
      <c r="BA347" s="22">
        <v>-1.2737999999999999E-2</v>
      </c>
      <c r="BB347" s="22">
        <v>337</v>
      </c>
      <c r="BC347" s="22">
        <v>1.5969800000000001</v>
      </c>
      <c r="BD347">
        <f t="shared" si="70"/>
        <v>12.738</v>
      </c>
      <c r="BE347">
        <f t="shared" si="71"/>
        <v>20.34233124</v>
      </c>
    </row>
    <row r="348" spans="6:57">
      <c r="F348" s="9"/>
      <c r="G348" s="22">
        <v>9.7961400000000004E-2</v>
      </c>
      <c r="H348" s="22">
        <v>107.285</v>
      </c>
      <c r="I348" s="22">
        <v>-1.6146899999999999E-2</v>
      </c>
      <c r="J348" s="22">
        <v>338</v>
      </c>
      <c r="K348" s="22">
        <v>9.7320599999999993E-2</v>
      </c>
      <c r="L348">
        <f t="shared" si="60"/>
        <v>16.146899999999999</v>
      </c>
      <c r="M348">
        <f t="shared" si="61"/>
        <v>1.5817729296599998</v>
      </c>
      <c r="N348" s="9"/>
      <c r="O348" s="22">
        <v>1.60202</v>
      </c>
      <c r="P348" s="22">
        <v>214.571</v>
      </c>
      <c r="Q348" s="22">
        <v>-1.31287E-2</v>
      </c>
      <c r="R348" s="22">
        <v>338</v>
      </c>
      <c r="S348" s="22">
        <v>1.6015600000000001</v>
      </c>
      <c r="T348">
        <f t="shared" si="62"/>
        <v>13.1287</v>
      </c>
      <c r="U348">
        <f t="shared" si="63"/>
        <v>21.032439973999999</v>
      </c>
      <c r="X348" s="9"/>
      <c r="Y348" s="22">
        <v>9.7961400000000004E-2</v>
      </c>
      <c r="Z348" s="22">
        <v>297.08499999999998</v>
      </c>
      <c r="AA348" s="22">
        <v>-1.6189599999999998E-2</v>
      </c>
      <c r="AB348" s="22">
        <v>338</v>
      </c>
      <c r="AC348" s="22">
        <v>9.7351099999999996E-2</v>
      </c>
      <c r="AD348">
        <f t="shared" si="64"/>
        <v>16.189599999999999</v>
      </c>
      <c r="AE348">
        <f t="shared" si="65"/>
        <v>1.5859558814399999</v>
      </c>
      <c r="AF348" s="9"/>
      <c r="AG348" s="22">
        <v>1.60202</v>
      </c>
      <c r="AH348" s="22">
        <v>382.17899999999997</v>
      </c>
      <c r="AI348" s="22">
        <v>-1.30005E-2</v>
      </c>
      <c r="AJ348" s="22">
        <v>338</v>
      </c>
      <c r="AK348" s="22">
        <v>1.6012599999999999</v>
      </c>
      <c r="AL348">
        <f t="shared" si="66"/>
        <v>13.000500000000001</v>
      </c>
      <c r="AM348">
        <f t="shared" si="67"/>
        <v>20.827061010000001</v>
      </c>
      <c r="AP348" s="9"/>
      <c r="AQ348" s="22">
        <v>9.7961400000000004E-2</v>
      </c>
      <c r="AR348" s="22">
        <v>465.57799999999997</v>
      </c>
      <c r="AS348" s="22">
        <v>-1.6204799999999998E-2</v>
      </c>
      <c r="AT348" s="22">
        <v>338</v>
      </c>
      <c r="AU348" s="22">
        <v>9.7290000000000001E-2</v>
      </c>
      <c r="AV348">
        <f t="shared" si="68"/>
        <v>16.204799999999999</v>
      </c>
      <c r="AW348">
        <f t="shared" si="69"/>
        <v>1.5874448947199999</v>
      </c>
      <c r="AX348" s="9"/>
      <c r="AY348" s="22">
        <v>1.60202</v>
      </c>
      <c r="AZ348" s="22">
        <v>587.51300000000003</v>
      </c>
      <c r="BA348" s="22">
        <v>-1.26404E-2</v>
      </c>
      <c r="BB348" s="22">
        <v>338</v>
      </c>
      <c r="BC348" s="22">
        <v>1.6009500000000001</v>
      </c>
      <c r="BD348">
        <f t="shared" si="70"/>
        <v>12.6404</v>
      </c>
      <c r="BE348">
        <f t="shared" si="71"/>
        <v>20.250173608000001</v>
      </c>
    </row>
    <row r="349" spans="6:57">
      <c r="F349" s="9"/>
      <c r="G349" s="22">
        <v>9.2925999999999995E-2</v>
      </c>
      <c r="H349" s="22">
        <v>107.38500000000001</v>
      </c>
      <c r="I349" s="22">
        <v>-1.61438E-2</v>
      </c>
      <c r="J349" s="22">
        <v>339</v>
      </c>
      <c r="K349" s="22">
        <v>9.2254600000000006E-2</v>
      </c>
      <c r="L349">
        <f t="shared" si="60"/>
        <v>16.143799999999999</v>
      </c>
      <c r="M349">
        <f t="shared" si="61"/>
        <v>1.5001787587999997</v>
      </c>
      <c r="N349" s="9"/>
      <c r="O349" s="22">
        <v>1.6070599999999999</v>
      </c>
      <c r="P349" s="22">
        <v>214.672</v>
      </c>
      <c r="Q349" s="22">
        <v>-1.29944E-2</v>
      </c>
      <c r="R349" s="22">
        <v>339</v>
      </c>
      <c r="S349" s="22">
        <v>1.6067499999999999</v>
      </c>
      <c r="T349">
        <f t="shared" si="62"/>
        <v>12.994399999999999</v>
      </c>
      <c r="U349">
        <f t="shared" si="63"/>
        <v>20.882780463999996</v>
      </c>
      <c r="X349" s="9"/>
      <c r="Y349" s="22">
        <v>9.2925999999999995E-2</v>
      </c>
      <c r="Z349" s="22">
        <v>297.185</v>
      </c>
      <c r="AA349" s="22">
        <v>-1.6192600000000001E-2</v>
      </c>
      <c r="AB349" s="22">
        <v>339</v>
      </c>
      <c r="AC349" s="22">
        <v>9.2315700000000001E-2</v>
      </c>
      <c r="AD349">
        <f t="shared" si="64"/>
        <v>16.192600000000002</v>
      </c>
      <c r="AE349">
        <f t="shared" si="65"/>
        <v>1.5047135476000002</v>
      </c>
      <c r="AF349" s="9"/>
      <c r="AG349" s="22">
        <v>1.6070599999999999</v>
      </c>
      <c r="AH349" s="22">
        <v>382.28</v>
      </c>
      <c r="AI349" s="22">
        <v>-1.2908899999999999E-2</v>
      </c>
      <c r="AJ349" s="22">
        <v>339</v>
      </c>
      <c r="AK349" s="22">
        <v>1.6061399999999999</v>
      </c>
      <c r="AL349">
        <f t="shared" si="66"/>
        <v>12.908899999999999</v>
      </c>
      <c r="AM349">
        <f t="shared" si="67"/>
        <v>20.745376833999998</v>
      </c>
      <c r="AP349" s="9"/>
      <c r="AQ349" s="22">
        <v>9.2925999999999995E-2</v>
      </c>
      <c r="AR349" s="22">
        <v>465.67899999999997</v>
      </c>
      <c r="AS349" s="22">
        <v>-1.6201799999999999E-2</v>
      </c>
      <c r="AT349" s="22">
        <v>339</v>
      </c>
      <c r="AU349" s="22">
        <v>9.2224100000000003E-2</v>
      </c>
      <c r="AV349">
        <f t="shared" si="68"/>
        <v>16.201799999999999</v>
      </c>
      <c r="AW349">
        <f t="shared" si="69"/>
        <v>1.5055684667999998</v>
      </c>
      <c r="AX349" s="9"/>
      <c r="AY349" s="22">
        <v>1.6070599999999999</v>
      </c>
      <c r="AZ349" s="22">
        <v>587.61300000000006</v>
      </c>
      <c r="BA349" s="22">
        <v>-1.25275E-2</v>
      </c>
      <c r="BB349" s="22">
        <v>339</v>
      </c>
      <c r="BC349" s="22">
        <v>1.6067499999999999</v>
      </c>
      <c r="BD349">
        <f t="shared" si="70"/>
        <v>12.5275</v>
      </c>
      <c r="BE349">
        <f t="shared" si="71"/>
        <v>20.132444149999998</v>
      </c>
    </row>
    <row r="350" spans="6:57">
      <c r="F350" s="9"/>
      <c r="G350" s="22">
        <v>8.7890599999999999E-2</v>
      </c>
      <c r="H350" s="22">
        <v>107.486</v>
      </c>
      <c r="I350" s="22">
        <v>-1.6131599999999999E-2</v>
      </c>
      <c r="J350" s="22">
        <v>340</v>
      </c>
      <c r="K350" s="22">
        <v>8.7402300000000002E-2</v>
      </c>
      <c r="L350">
        <f t="shared" si="60"/>
        <v>16.131599999999999</v>
      </c>
      <c r="M350">
        <f t="shared" si="61"/>
        <v>1.41781600296</v>
      </c>
      <c r="N350" s="9"/>
      <c r="O350" s="22">
        <v>1.61209</v>
      </c>
      <c r="P350" s="22">
        <v>214.773</v>
      </c>
      <c r="Q350" s="22">
        <v>-1.2908899999999999E-2</v>
      </c>
      <c r="R350" s="22">
        <v>340</v>
      </c>
      <c r="S350" s="22">
        <v>1.6113299999999999</v>
      </c>
      <c r="T350">
        <f t="shared" si="62"/>
        <v>12.908899999999999</v>
      </c>
      <c r="U350">
        <f t="shared" si="63"/>
        <v>20.810308600999999</v>
      </c>
      <c r="X350" s="9"/>
      <c r="Y350" s="22">
        <v>8.7890599999999999E-2</v>
      </c>
      <c r="Z350" s="22">
        <v>297.286</v>
      </c>
      <c r="AA350" s="22">
        <v>-1.6192600000000001E-2</v>
      </c>
      <c r="AB350" s="22">
        <v>340</v>
      </c>
      <c r="AC350" s="22">
        <v>8.7219199999999997E-2</v>
      </c>
      <c r="AD350">
        <f t="shared" si="64"/>
        <v>16.192600000000002</v>
      </c>
      <c r="AE350">
        <f t="shared" si="65"/>
        <v>1.4231773295600001</v>
      </c>
      <c r="AF350" s="9"/>
      <c r="AG350" s="22">
        <v>1.61209</v>
      </c>
      <c r="AH350" s="22">
        <v>382.38</v>
      </c>
      <c r="AI350" s="22">
        <v>-1.2793000000000001E-2</v>
      </c>
      <c r="AJ350" s="22">
        <v>340</v>
      </c>
      <c r="AK350" s="22">
        <v>1.6119399999999999</v>
      </c>
      <c r="AL350">
        <f t="shared" si="66"/>
        <v>12.793000000000001</v>
      </c>
      <c r="AM350">
        <f t="shared" si="67"/>
        <v>20.623467370000004</v>
      </c>
      <c r="AP350" s="9"/>
      <c r="AQ350" s="22">
        <v>8.7890599999999999E-2</v>
      </c>
      <c r="AR350" s="22">
        <v>465.78</v>
      </c>
      <c r="AS350" s="22">
        <v>-1.6204799999999998E-2</v>
      </c>
      <c r="AT350" s="22">
        <v>340</v>
      </c>
      <c r="AU350" s="22">
        <v>8.70972E-2</v>
      </c>
      <c r="AV350">
        <f t="shared" si="68"/>
        <v>16.204799999999999</v>
      </c>
      <c r="AW350">
        <f t="shared" si="69"/>
        <v>1.4242495948799998</v>
      </c>
      <c r="AX350" s="9"/>
      <c r="AY350" s="22">
        <v>1.61209</v>
      </c>
      <c r="AZ350" s="22">
        <v>587.71400000000006</v>
      </c>
      <c r="BA350" s="22">
        <v>-1.2417600000000001E-2</v>
      </c>
      <c r="BB350" s="22">
        <v>340</v>
      </c>
      <c r="BC350" s="22">
        <v>1.6110199999999999</v>
      </c>
      <c r="BD350">
        <f t="shared" si="70"/>
        <v>12.4176</v>
      </c>
      <c r="BE350">
        <f t="shared" si="71"/>
        <v>20.018288783999999</v>
      </c>
    </row>
    <row r="351" spans="6:57">
      <c r="F351" s="9"/>
      <c r="G351" s="22">
        <v>8.2855200000000004E-2</v>
      </c>
      <c r="H351" s="22">
        <v>107.587</v>
      </c>
      <c r="I351" s="22">
        <v>-1.61438E-2</v>
      </c>
      <c r="J351" s="22">
        <v>341</v>
      </c>
      <c r="K351" s="22">
        <v>8.2336400000000004E-2</v>
      </c>
      <c r="L351">
        <f t="shared" si="60"/>
        <v>16.143799999999999</v>
      </c>
      <c r="M351">
        <f t="shared" si="61"/>
        <v>1.3375977777599999</v>
      </c>
      <c r="N351" s="9"/>
      <c r="O351" s="22">
        <v>1.61713</v>
      </c>
      <c r="P351" s="22">
        <v>214.87299999999999</v>
      </c>
      <c r="Q351" s="22">
        <v>-1.2793000000000001E-2</v>
      </c>
      <c r="R351" s="22">
        <v>341</v>
      </c>
      <c r="S351" s="22">
        <v>1.6162099999999999</v>
      </c>
      <c r="T351">
        <f t="shared" si="62"/>
        <v>12.793000000000001</v>
      </c>
      <c r="U351">
        <f t="shared" si="63"/>
        <v>20.687944090000002</v>
      </c>
      <c r="X351" s="9"/>
      <c r="Y351" s="22">
        <v>8.2855200000000004E-2</v>
      </c>
      <c r="Z351" s="22">
        <v>297.387</v>
      </c>
      <c r="AA351" s="22">
        <v>-1.6186499999999999E-2</v>
      </c>
      <c r="AB351" s="22">
        <v>341</v>
      </c>
      <c r="AC351" s="22">
        <v>8.2305900000000001E-2</v>
      </c>
      <c r="AD351">
        <f t="shared" si="64"/>
        <v>16.186499999999999</v>
      </c>
      <c r="AE351">
        <f t="shared" si="65"/>
        <v>1.3411356947999999</v>
      </c>
      <c r="AF351" s="9"/>
      <c r="AG351" s="22">
        <v>1.61713</v>
      </c>
      <c r="AH351" s="22">
        <v>382.48099999999999</v>
      </c>
      <c r="AI351" s="22">
        <v>-1.26404E-2</v>
      </c>
      <c r="AJ351" s="22">
        <v>341</v>
      </c>
      <c r="AK351" s="22">
        <v>1.61652</v>
      </c>
      <c r="AL351">
        <f t="shared" si="66"/>
        <v>12.6404</v>
      </c>
      <c r="AM351">
        <f t="shared" si="67"/>
        <v>20.441170052</v>
      </c>
      <c r="AP351" s="9"/>
      <c r="AQ351" s="22">
        <v>8.2855200000000004E-2</v>
      </c>
      <c r="AR351" s="22">
        <v>465.88099999999997</v>
      </c>
      <c r="AS351" s="22">
        <v>-1.6207900000000001E-2</v>
      </c>
      <c r="AT351" s="22">
        <v>341</v>
      </c>
      <c r="AU351" s="22">
        <v>8.2183800000000001E-2</v>
      </c>
      <c r="AV351">
        <f t="shared" si="68"/>
        <v>16.207900000000002</v>
      </c>
      <c r="AW351">
        <f t="shared" si="69"/>
        <v>1.3429087960800001</v>
      </c>
      <c r="AX351" s="9"/>
      <c r="AY351" s="22">
        <v>1.61713</v>
      </c>
      <c r="AZ351" s="22">
        <v>587.81500000000005</v>
      </c>
      <c r="BA351" s="22">
        <v>-1.2301599999999999E-2</v>
      </c>
      <c r="BB351" s="22">
        <v>341</v>
      </c>
      <c r="BC351" s="22">
        <v>1.6168199999999999</v>
      </c>
      <c r="BD351">
        <f t="shared" si="70"/>
        <v>12.301599999999999</v>
      </c>
      <c r="BE351">
        <f t="shared" si="71"/>
        <v>19.893286407999998</v>
      </c>
    </row>
    <row r="352" spans="6:57">
      <c r="F352" s="9"/>
      <c r="G352" s="22">
        <v>7.7819799999999995E-2</v>
      </c>
      <c r="H352" s="22">
        <v>107.687</v>
      </c>
      <c r="I352" s="22">
        <v>-1.61438E-2</v>
      </c>
      <c r="J352" s="22">
        <v>342</v>
      </c>
      <c r="K352" s="22">
        <v>7.7148400000000006E-2</v>
      </c>
      <c r="L352">
        <f t="shared" si="60"/>
        <v>16.143799999999999</v>
      </c>
      <c r="M352">
        <f t="shared" si="61"/>
        <v>1.2563072872399998</v>
      </c>
      <c r="N352" s="9"/>
      <c r="O352" s="22">
        <v>1.62216</v>
      </c>
      <c r="P352" s="22">
        <v>214.97399999999999</v>
      </c>
      <c r="Q352" s="22">
        <v>-1.2643400000000001E-2</v>
      </c>
      <c r="R352" s="22">
        <v>342</v>
      </c>
      <c r="S352" s="22">
        <v>1.62079</v>
      </c>
      <c r="T352">
        <f t="shared" si="62"/>
        <v>12.643400000000002</v>
      </c>
      <c r="U352">
        <f t="shared" si="63"/>
        <v>20.509617744000003</v>
      </c>
      <c r="X352" s="9"/>
      <c r="Y352" s="22">
        <v>7.7819799999999995E-2</v>
      </c>
      <c r="Z352" s="22">
        <v>297.48700000000002</v>
      </c>
      <c r="AA352" s="22">
        <v>-1.61835E-2</v>
      </c>
      <c r="AB352" s="22">
        <v>342</v>
      </c>
      <c r="AC352" s="22">
        <v>7.7331499999999997E-2</v>
      </c>
      <c r="AD352">
        <f t="shared" si="64"/>
        <v>16.183499999999999</v>
      </c>
      <c r="AE352">
        <f t="shared" si="65"/>
        <v>1.2593967332999998</v>
      </c>
      <c r="AF352" s="9"/>
      <c r="AG352" s="22">
        <v>1.62216</v>
      </c>
      <c r="AH352" s="22">
        <v>382.58199999999999</v>
      </c>
      <c r="AI352" s="22">
        <v>-1.2560999999999999E-2</v>
      </c>
      <c r="AJ352" s="22">
        <v>342</v>
      </c>
      <c r="AK352" s="22">
        <v>1.6210899999999999</v>
      </c>
      <c r="AL352">
        <f t="shared" si="66"/>
        <v>12.561</v>
      </c>
      <c r="AM352">
        <f t="shared" si="67"/>
        <v>20.37595176</v>
      </c>
      <c r="AP352" s="9"/>
      <c r="AQ352" s="22">
        <v>7.7819799999999995E-2</v>
      </c>
      <c r="AR352" s="22">
        <v>465.98099999999999</v>
      </c>
      <c r="AS352" s="22">
        <v>-1.6207900000000001E-2</v>
      </c>
      <c r="AT352" s="22">
        <v>342</v>
      </c>
      <c r="AU352" s="22">
        <v>7.7148400000000006E-2</v>
      </c>
      <c r="AV352">
        <f t="shared" si="68"/>
        <v>16.207900000000002</v>
      </c>
      <c r="AW352">
        <f t="shared" si="69"/>
        <v>1.26129553642</v>
      </c>
      <c r="AX352" s="9"/>
      <c r="AY352" s="22">
        <v>1.62216</v>
      </c>
      <c r="AZ352" s="22">
        <v>587.91499999999996</v>
      </c>
      <c r="BA352" s="22">
        <v>-1.21399E-2</v>
      </c>
      <c r="BB352" s="22">
        <v>342</v>
      </c>
      <c r="BC352" s="22">
        <v>1.6214</v>
      </c>
      <c r="BD352">
        <f t="shared" si="70"/>
        <v>12.139900000000001</v>
      </c>
      <c r="BE352">
        <f t="shared" si="71"/>
        <v>19.692860184000001</v>
      </c>
    </row>
    <row r="353" spans="6:57">
      <c r="F353" s="9"/>
      <c r="G353" s="22">
        <v>7.2784399999999999E-2</v>
      </c>
      <c r="H353" s="22">
        <v>107.788</v>
      </c>
      <c r="I353" s="22">
        <v>-1.6137700000000001E-2</v>
      </c>
      <c r="J353" s="22">
        <v>343</v>
      </c>
      <c r="K353" s="22">
        <v>7.2265599999999999E-2</v>
      </c>
      <c r="L353">
        <f t="shared" si="60"/>
        <v>16.137700000000002</v>
      </c>
      <c r="M353">
        <f t="shared" si="61"/>
        <v>1.1745728118800001</v>
      </c>
      <c r="N353" s="9"/>
      <c r="O353" s="22">
        <v>1.6272</v>
      </c>
      <c r="P353" s="22">
        <v>215.07499999999999</v>
      </c>
      <c r="Q353" s="22">
        <v>-1.2506099999999999E-2</v>
      </c>
      <c r="R353" s="22">
        <v>343</v>
      </c>
      <c r="S353" s="22">
        <v>1.62598</v>
      </c>
      <c r="T353">
        <f t="shared" si="62"/>
        <v>12.5061</v>
      </c>
      <c r="U353">
        <f t="shared" si="63"/>
        <v>20.34992592</v>
      </c>
      <c r="X353" s="9"/>
      <c r="Y353" s="22">
        <v>7.2784399999999999E-2</v>
      </c>
      <c r="Z353" s="22">
        <v>297.58800000000002</v>
      </c>
      <c r="AA353" s="22">
        <v>-1.6186499999999999E-2</v>
      </c>
      <c r="AB353" s="22">
        <v>343</v>
      </c>
      <c r="AC353" s="22">
        <v>7.2326699999999994E-2</v>
      </c>
      <c r="AD353">
        <f t="shared" si="64"/>
        <v>16.186499999999999</v>
      </c>
      <c r="AE353">
        <f t="shared" si="65"/>
        <v>1.1781246905999998</v>
      </c>
      <c r="AF353" s="9"/>
      <c r="AG353" s="22">
        <v>1.6272</v>
      </c>
      <c r="AH353" s="22">
        <v>382.68299999999999</v>
      </c>
      <c r="AI353" s="22">
        <v>-1.24359E-2</v>
      </c>
      <c r="AJ353" s="22">
        <v>343</v>
      </c>
      <c r="AK353" s="22">
        <v>1.62659</v>
      </c>
      <c r="AL353">
        <f t="shared" si="66"/>
        <v>12.4359</v>
      </c>
      <c r="AM353">
        <f t="shared" si="67"/>
        <v>20.235696480000001</v>
      </c>
      <c r="AP353" s="9"/>
      <c r="AQ353" s="22">
        <v>7.2784399999999999E-2</v>
      </c>
      <c r="AR353" s="22">
        <v>466.08199999999999</v>
      </c>
      <c r="AS353" s="22">
        <v>-1.62109E-2</v>
      </c>
      <c r="AT353" s="22">
        <v>343</v>
      </c>
      <c r="AU353" s="22">
        <v>7.2052000000000005E-2</v>
      </c>
      <c r="AV353">
        <f t="shared" si="68"/>
        <v>16.210899999999999</v>
      </c>
      <c r="AW353">
        <f t="shared" si="69"/>
        <v>1.1799006299599999</v>
      </c>
      <c r="AX353" s="9"/>
      <c r="AY353" s="22">
        <v>1.6272</v>
      </c>
      <c r="AZ353" s="22">
        <v>588.01599999999996</v>
      </c>
      <c r="BA353" s="22">
        <v>-1.19934E-2</v>
      </c>
      <c r="BB353" s="22">
        <v>343</v>
      </c>
      <c r="BC353" s="22">
        <v>1.6262799999999999</v>
      </c>
      <c r="BD353">
        <f t="shared" si="70"/>
        <v>11.993399999999999</v>
      </c>
      <c r="BE353">
        <f t="shared" si="71"/>
        <v>19.515660479999998</v>
      </c>
    </row>
    <row r="354" spans="6:57">
      <c r="F354" s="9"/>
      <c r="G354" s="22">
        <v>6.7749000000000004E-2</v>
      </c>
      <c r="H354" s="22">
        <v>107.889</v>
      </c>
      <c r="I354" s="22">
        <v>-1.6131599999999999E-2</v>
      </c>
      <c r="J354" s="22">
        <v>344</v>
      </c>
      <c r="K354" s="22">
        <v>6.7321800000000001E-2</v>
      </c>
      <c r="L354">
        <f t="shared" si="60"/>
        <v>16.131599999999999</v>
      </c>
      <c r="M354">
        <f t="shared" si="61"/>
        <v>1.0928997683999999</v>
      </c>
      <c r="N354" s="9"/>
      <c r="O354" s="22">
        <v>1.6322300000000001</v>
      </c>
      <c r="P354" s="22">
        <v>215.17599999999999</v>
      </c>
      <c r="Q354" s="22">
        <v>-1.24054E-2</v>
      </c>
      <c r="R354" s="22">
        <v>344</v>
      </c>
      <c r="S354" s="22">
        <v>1.63147</v>
      </c>
      <c r="T354">
        <f t="shared" si="62"/>
        <v>12.4054</v>
      </c>
      <c r="U354">
        <f t="shared" si="63"/>
        <v>20.248466042</v>
      </c>
      <c r="X354" s="9"/>
      <c r="Y354" s="22">
        <v>6.7749000000000004E-2</v>
      </c>
      <c r="Z354" s="22">
        <v>297.68900000000002</v>
      </c>
      <c r="AA354" s="22">
        <v>-1.61987E-2</v>
      </c>
      <c r="AB354" s="22">
        <v>344</v>
      </c>
      <c r="AC354" s="22">
        <v>6.7199700000000001E-2</v>
      </c>
      <c r="AD354">
        <f t="shared" si="64"/>
        <v>16.198699999999999</v>
      </c>
      <c r="AE354">
        <f t="shared" si="65"/>
        <v>1.0974457262999999</v>
      </c>
      <c r="AF354" s="9"/>
      <c r="AG354" s="22">
        <v>1.6322300000000001</v>
      </c>
      <c r="AH354" s="22">
        <v>382.78300000000002</v>
      </c>
      <c r="AI354" s="22">
        <v>-1.2295499999999999E-2</v>
      </c>
      <c r="AJ354" s="22">
        <v>344</v>
      </c>
      <c r="AK354" s="22">
        <v>1.63147</v>
      </c>
      <c r="AL354">
        <f t="shared" si="66"/>
        <v>12.295499999999999</v>
      </c>
      <c r="AM354">
        <f t="shared" si="67"/>
        <v>20.069083964999997</v>
      </c>
      <c r="AP354" s="9"/>
      <c r="AQ354" s="22">
        <v>6.7749000000000004E-2</v>
      </c>
      <c r="AR354" s="22">
        <v>466.18299999999999</v>
      </c>
      <c r="AS354" s="22">
        <v>-1.6204799999999998E-2</v>
      </c>
      <c r="AT354" s="22">
        <v>344</v>
      </c>
      <c r="AU354" s="22">
        <v>6.7169199999999998E-2</v>
      </c>
      <c r="AV354">
        <f t="shared" si="68"/>
        <v>16.204799999999999</v>
      </c>
      <c r="AW354">
        <f t="shared" si="69"/>
        <v>1.0978589952</v>
      </c>
      <c r="AX354" s="9"/>
      <c r="AY354" s="22">
        <v>1.6322300000000001</v>
      </c>
      <c r="AZ354" s="22">
        <v>588.11699999999996</v>
      </c>
      <c r="BA354" s="22">
        <v>-1.18073E-2</v>
      </c>
      <c r="BB354" s="22">
        <v>344</v>
      </c>
      <c r="BC354" s="22">
        <v>1.6311599999999999</v>
      </c>
      <c r="BD354">
        <f t="shared" si="70"/>
        <v>11.8073</v>
      </c>
      <c r="BE354">
        <f t="shared" si="71"/>
        <v>19.272229279000001</v>
      </c>
    </row>
    <row r="355" spans="6:57">
      <c r="F355" s="9"/>
      <c r="G355" s="22">
        <v>6.2713599999999994E-2</v>
      </c>
      <c r="H355" s="22">
        <v>107.989</v>
      </c>
      <c r="I355" s="22">
        <v>-1.61438E-2</v>
      </c>
      <c r="J355" s="22">
        <v>345</v>
      </c>
      <c r="K355" s="22">
        <v>6.19812E-2</v>
      </c>
      <c r="L355">
        <f t="shared" si="60"/>
        <v>16.143799999999999</v>
      </c>
      <c r="M355">
        <f t="shared" si="61"/>
        <v>1.0124358156799997</v>
      </c>
      <c r="N355" s="9"/>
      <c r="O355" s="22">
        <v>1.63727</v>
      </c>
      <c r="P355" s="22">
        <v>215.27600000000001</v>
      </c>
      <c r="Q355" s="22">
        <v>-1.2295499999999999E-2</v>
      </c>
      <c r="R355" s="22">
        <v>345</v>
      </c>
      <c r="S355" s="22">
        <v>1.63666</v>
      </c>
      <c r="T355">
        <f t="shared" si="62"/>
        <v>12.295499999999999</v>
      </c>
      <c r="U355">
        <f t="shared" si="63"/>
        <v>20.131053284999997</v>
      </c>
      <c r="X355" s="9"/>
      <c r="Y355" s="22">
        <v>6.2713599999999994E-2</v>
      </c>
      <c r="Z355" s="22">
        <v>297.79000000000002</v>
      </c>
      <c r="AA355" s="22">
        <v>-1.61957E-2</v>
      </c>
      <c r="AB355" s="22">
        <v>345</v>
      </c>
      <c r="AC355" s="22">
        <v>6.19812E-2</v>
      </c>
      <c r="AD355">
        <f t="shared" si="64"/>
        <v>16.195699999999999</v>
      </c>
      <c r="AE355">
        <f t="shared" si="65"/>
        <v>1.0156906515199999</v>
      </c>
      <c r="AF355" s="9"/>
      <c r="AG355" s="22">
        <v>1.63727</v>
      </c>
      <c r="AH355" s="22">
        <v>382.88400000000001</v>
      </c>
      <c r="AI355" s="22">
        <v>-1.2164299999999999E-2</v>
      </c>
      <c r="AJ355" s="22">
        <v>345</v>
      </c>
      <c r="AK355" s="22">
        <v>1.63696</v>
      </c>
      <c r="AL355">
        <f t="shared" si="66"/>
        <v>12.164299999999999</v>
      </c>
      <c r="AM355">
        <f t="shared" si="67"/>
        <v>19.916243460999997</v>
      </c>
      <c r="AP355" s="9"/>
      <c r="AQ355" s="22">
        <v>6.2713599999999994E-2</v>
      </c>
      <c r="AR355" s="22">
        <v>466.28300000000002</v>
      </c>
      <c r="AS355" s="22">
        <v>-1.6207900000000001E-2</v>
      </c>
      <c r="AT355" s="22">
        <v>345</v>
      </c>
      <c r="AU355" s="22">
        <v>6.21033E-2</v>
      </c>
      <c r="AV355">
        <f t="shared" si="68"/>
        <v>16.207900000000002</v>
      </c>
      <c r="AW355">
        <f t="shared" si="69"/>
        <v>1.0164557574399999</v>
      </c>
      <c r="AX355" s="9"/>
      <c r="AY355" s="22">
        <v>1.63727</v>
      </c>
      <c r="AZ355" s="22">
        <v>588.21699999999998</v>
      </c>
      <c r="BA355" s="22">
        <v>-1.16302E-2</v>
      </c>
      <c r="BB355" s="22">
        <v>345</v>
      </c>
      <c r="BC355" s="22">
        <v>1.63666</v>
      </c>
      <c r="BD355">
        <f t="shared" si="70"/>
        <v>11.6302</v>
      </c>
      <c r="BE355">
        <f t="shared" si="71"/>
        <v>19.041777553999999</v>
      </c>
    </row>
    <row r="356" spans="6:57">
      <c r="F356" s="9"/>
      <c r="G356" s="22">
        <v>5.7678199999999999E-2</v>
      </c>
      <c r="H356" s="22">
        <v>108.09</v>
      </c>
      <c r="I356" s="22">
        <v>-1.6140700000000001E-2</v>
      </c>
      <c r="J356" s="22">
        <v>346</v>
      </c>
      <c r="K356" s="22">
        <v>5.6823699999999998E-2</v>
      </c>
      <c r="L356">
        <f t="shared" si="60"/>
        <v>16.140700000000002</v>
      </c>
      <c r="M356">
        <f t="shared" si="61"/>
        <v>0.93096652274000014</v>
      </c>
      <c r="N356" s="9"/>
      <c r="O356" s="22">
        <v>1.6423000000000001</v>
      </c>
      <c r="P356" s="22">
        <v>215.37700000000001</v>
      </c>
      <c r="Q356" s="22">
        <v>-1.2149E-2</v>
      </c>
      <c r="R356" s="22">
        <v>346</v>
      </c>
      <c r="S356" s="22">
        <v>1.64154</v>
      </c>
      <c r="T356">
        <f t="shared" si="62"/>
        <v>12.149000000000001</v>
      </c>
      <c r="U356">
        <f t="shared" si="63"/>
        <v>19.952302700000004</v>
      </c>
      <c r="X356" s="9"/>
      <c r="Y356" s="22">
        <v>5.7678199999999999E-2</v>
      </c>
      <c r="Z356" s="22">
        <v>297.89</v>
      </c>
      <c r="AA356" s="22">
        <v>-1.6186499999999999E-2</v>
      </c>
      <c r="AB356" s="22">
        <v>346</v>
      </c>
      <c r="AC356" s="22">
        <v>5.6884799999999999E-2</v>
      </c>
      <c r="AD356">
        <f t="shared" si="64"/>
        <v>16.186499999999999</v>
      </c>
      <c r="AE356">
        <f t="shared" si="65"/>
        <v>0.93360818429999992</v>
      </c>
      <c r="AF356" s="9"/>
      <c r="AG356" s="22">
        <v>1.6423000000000001</v>
      </c>
      <c r="AH356" s="22">
        <v>382.98500000000001</v>
      </c>
      <c r="AI356" s="22">
        <v>-1.19781E-2</v>
      </c>
      <c r="AJ356" s="22">
        <v>346</v>
      </c>
      <c r="AK356" s="22">
        <v>1.64154</v>
      </c>
      <c r="AL356">
        <f t="shared" si="66"/>
        <v>11.9781</v>
      </c>
      <c r="AM356">
        <f t="shared" si="67"/>
        <v>19.671633629999999</v>
      </c>
      <c r="AP356" s="9"/>
      <c r="AQ356" s="22">
        <v>5.7678199999999999E-2</v>
      </c>
      <c r="AR356" s="22">
        <v>466.38400000000001</v>
      </c>
      <c r="AS356" s="22">
        <v>-1.6216999999999999E-2</v>
      </c>
      <c r="AT356" s="22">
        <v>346</v>
      </c>
      <c r="AU356" s="22">
        <v>5.6945799999999998E-2</v>
      </c>
      <c r="AV356">
        <f t="shared" si="68"/>
        <v>16.216999999999999</v>
      </c>
      <c r="AW356">
        <f t="shared" si="69"/>
        <v>0.93536736939999987</v>
      </c>
      <c r="AX356" s="9"/>
      <c r="AY356" s="22">
        <v>1.6423000000000001</v>
      </c>
      <c r="AZ356" s="22">
        <v>588.31799999999998</v>
      </c>
      <c r="BA356" s="22">
        <v>-1.1483800000000001E-2</v>
      </c>
      <c r="BB356" s="22">
        <v>346</v>
      </c>
      <c r="BC356" s="22">
        <v>1.64124</v>
      </c>
      <c r="BD356">
        <f t="shared" si="70"/>
        <v>11.4838</v>
      </c>
      <c r="BE356">
        <f t="shared" si="71"/>
        <v>18.859844740000003</v>
      </c>
    </row>
    <row r="357" spans="6:57">
      <c r="F357" s="9"/>
      <c r="G357" s="22">
        <v>5.2642799999999997E-2</v>
      </c>
      <c r="H357" s="22">
        <v>108.191</v>
      </c>
      <c r="I357" s="22">
        <v>-1.6131599999999999E-2</v>
      </c>
      <c r="J357" s="22">
        <v>347</v>
      </c>
      <c r="K357" s="22">
        <v>5.1910400000000002E-2</v>
      </c>
      <c r="L357">
        <f t="shared" si="60"/>
        <v>16.131599999999999</v>
      </c>
      <c r="M357">
        <f t="shared" si="61"/>
        <v>0.84921259247999992</v>
      </c>
      <c r="N357" s="9"/>
      <c r="O357" s="22">
        <v>1.64734</v>
      </c>
      <c r="P357" s="22">
        <v>215.47800000000001</v>
      </c>
      <c r="Q357" s="22">
        <v>-1.1981199999999999E-2</v>
      </c>
      <c r="R357" s="22">
        <v>347</v>
      </c>
      <c r="S357" s="22">
        <v>1.64673</v>
      </c>
      <c r="T357">
        <f t="shared" si="62"/>
        <v>11.981199999999999</v>
      </c>
      <c r="U357">
        <f t="shared" si="63"/>
        <v>19.737110007999998</v>
      </c>
      <c r="X357" s="9"/>
      <c r="Y357" s="22">
        <v>5.2642799999999997E-2</v>
      </c>
      <c r="Z357" s="22">
        <v>297.99099999999999</v>
      </c>
      <c r="AA357" s="22">
        <v>-1.6186499999999999E-2</v>
      </c>
      <c r="AB357" s="22">
        <v>347</v>
      </c>
      <c r="AC357" s="22">
        <v>5.2123999999999997E-2</v>
      </c>
      <c r="AD357">
        <f t="shared" si="64"/>
        <v>16.186499999999999</v>
      </c>
      <c r="AE357">
        <f t="shared" si="65"/>
        <v>0.85210268219999985</v>
      </c>
      <c r="AF357" s="9"/>
      <c r="AG357" s="22">
        <v>1.64734</v>
      </c>
      <c r="AH357" s="22">
        <v>383.08499999999998</v>
      </c>
      <c r="AI357" s="22">
        <v>-1.18225E-2</v>
      </c>
      <c r="AJ357" s="22">
        <v>347</v>
      </c>
      <c r="AK357" s="22">
        <v>1.64642</v>
      </c>
      <c r="AL357">
        <f t="shared" si="66"/>
        <v>11.8225</v>
      </c>
      <c r="AM357">
        <f t="shared" si="67"/>
        <v>19.475677149999999</v>
      </c>
      <c r="AP357" s="9"/>
      <c r="AQ357" s="22">
        <v>5.2642799999999997E-2</v>
      </c>
      <c r="AR357" s="22">
        <v>466.48500000000001</v>
      </c>
      <c r="AS357" s="22">
        <v>-1.62109E-2</v>
      </c>
      <c r="AT357" s="22">
        <v>347</v>
      </c>
      <c r="AU357" s="22">
        <v>5.2123999999999997E-2</v>
      </c>
      <c r="AV357">
        <f t="shared" si="68"/>
        <v>16.210899999999999</v>
      </c>
      <c r="AW357">
        <f t="shared" si="69"/>
        <v>0.85338716651999991</v>
      </c>
      <c r="AX357" s="9"/>
      <c r="AY357" s="22">
        <v>1.64734</v>
      </c>
      <c r="AZ357" s="22">
        <v>588.41899999999998</v>
      </c>
      <c r="BA357" s="22">
        <v>-1.12946E-2</v>
      </c>
      <c r="BB357" s="22">
        <v>347</v>
      </c>
      <c r="BC357" s="22">
        <v>1.64642</v>
      </c>
      <c r="BD357">
        <f t="shared" si="70"/>
        <v>11.294600000000001</v>
      </c>
      <c r="BE357">
        <f t="shared" si="71"/>
        <v>18.606046364000001</v>
      </c>
    </row>
    <row r="358" spans="6:57">
      <c r="F358" s="9"/>
      <c r="G358" s="22">
        <v>4.7607400000000001E-2</v>
      </c>
      <c r="H358" s="22">
        <v>108.292</v>
      </c>
      <c r="I358" s="22">
        <v>-1.6134599999999999E-2</v>
      </c>
      <c r="J358" s="22">
        <v>348</v>
      </c>
      <c r="K358" s="22">
        <v>4.7540300000000001E-2</v>
      </c>
      <c r="L358">
        <f t="shared" si="60"/>
        <v>16.134599999999999</v>
      </c>
      <c r="M358">
        <f t="shared" si="61"/>
        <v>0.76812635604000001</v>
      </c>
      <c r="N358" s="9"/>
      <c r="O358" s="22">
        <v>1.6523699999999999</v>
      </c>
      <c r="P358" s="22">
        <v>215.578</v>
      </c>
      <c r="Q358" s="22">
        <v>-1.1831700000000001E-2</v>
      </c>
      <c r="R358" s="22">
        <v>348</v>
      </c>
      <c r="S358" s="22">
        <v>1.6513100000000001</v>
      </c>
      <c r="T358">
        <f t="shared" si="62"/>
        <v>11.831700000000001</v>
      </c>
      <c r="U358">
        <f t="shared" si="63"/>
        <v>19.550346129000001</v>
      </c>
      <c r="X358" s="9"/>
      <c r="Y358" s="22">
        <v>4.7607400000000001E-2</v>
      </c>
      <c r="Z358" s="22">
        <v>298.09199999999998</v>
      </c>
      <c r="AA358" s="22">
        <v>-1.6192600000000001E-2</v>
      </c>
      <c r="AB358" s="22">
        <v>348</v>
      </c>
      <c r="AC358" s="22">
        <v>4.7405999999999997E-2</v>
      </c>
      <c r="AD358">
        <f t="shared" si="64"/>
        <v>16.192600000000002</v>
      </c>
      <c r="AE358">
        <f t="shared" si="65"/>
        <v>0.77088758524000012</v>
      </c>
      <c r="AF358" s="9"/>
      <c r="AG358" s="22">
        <v>1.6523699999999999</v>
      </c>
      <c r="AH358" s="22">
        <v>383.18599999999998</v>
      </c>
      <c r="AI358" s="22">
        <v>-1.16547E-2</v>
      </c>
      <c r="AJ358" s="22">
        <v>348</v>
      </c>
      <c r="AK358" s="22">
        <v>1.6513100000000001</v>
      </c>
      <c r="AL358">
        <f t="shared" si="66"/>
        <v>11.6547</v>
      </c>
      <c r="AM358">
        <f t="shared" si="67"/>
        <v>19.257876638999999</v>
      </c>
      <c r="AP358" s="9"/>
      <c r="AQ358" s="22">
        <v>4.7607400000000001E-2</v>
      </c>
      <c r="AR358" s="22">
        <v>466.58600000000001</v>
      </c>
      <c r="AS358" s="22">
        <v>-1.62109E-2</v>
      </c>
      <c r="AT358" s="22">
        <v>348</v>
      </c>
      <c r="AU358" s="22">
        <v>4.7378499999999997E-2</v>
      </c>
      <c r="AV358">
        <f t="shared" si="68"/>
        <v>16.210899999999999</v>
      </c>
      <c r="AW358">
        <f t="shared" si="69"/>
        <v>0.77175880065999991</v>
      </c>
      <c r="AX358" s="9"/>
      <c r="AY358" s="22">
        <v>1.6523699999999999</v>
      </c>
      <c r="AZ358" s="22">
        <v>588.52</v>
      </c>
      <c r="BA358" s="22">
        <v>-1.1102300000000001E-2</v>
      </c>
      <c r="BB358" s="22">
        <v>348</v>
      </c>
      <c r="BC358" s="22">
        <v>1.6513100000000001</v>
      </c>
      <c r="BD358">
        <f t="shared" si="70"/>
        <v>11.102300000000001</v>
      </c>
      <c r="BE358">
        <f t="shared" si="71"/>
        <v>18.345107451000001</v>
      </c>
    </row>
    <row r="359" spans="6:57">
      <c r="F359" s="9"/>
      <c r="G359" s="22">
        <v>4.2571999999999999E-2</v>
      </c>
      <c r="H359" s="22">
        <v>108.392</v>
      </c>
      <c r="I359" s="22">
        <v>-1.6153000000000001E-2</v>
      </c>
      <c r="J359" s="22">
        <v>349</v>
      </c>
      <c r="K359" s="22">
        <v>4.2333999999999997E-2</v>
      </c>
      <c r="L359">
        <f t="shared" si="60"/>
        <v>16.153000000000002</v>
      </c>
      <c r="M359">
        <f t="shared" si="61"/>
        <v>0.68766551600000003</v>
      </c>
      <c r="N359" s="9"/>
      <c r="O359" s="22">
        <v>1.65741</v>
      </c>
      <c r="P359" s="22">
        <v>215.679</v>
      </c>
      <c r="Q359" s="22">
        <v>-1.16516E-2</v>
      </c>
      <c r="R359" s="22">
        <v>349</v>
      </c>
      <c r="S359" s="22">
        <v>1.6568000000000001</v>
      </c>
      <c r="T359">
        <f t="shared" si="62"/>
        <v>11.6516</v>
      </c>
      <c r="U359">
        <f t="shared" si="63"/>
        <v>19.311478356000002</v>
      </c>
      <c r="X359" s="9"/>
      <c r="Y359" s="22">
        <v>4.2571999999999999E-2</v>
      </c>
      <c r="Z359" s="22">
        <v>298.19200000000001</v>
      </c>
      <c r="AA359" s="22">
        <v>-1.61957E-2</v>
      </c>
      <c r="AB359" s="22">
        <v>349</v>
      </c>
      <c r="AC359" s="22">
        <v>4.2569000000000003E-2</v>
      </c>
      <c r="AD359">
        <f t="shared" si="64"/>
        <v>16.195699999999999</v>
      </c>
      <c r="AE359">
        <f t="shared" si="65"/>
        <v>0.68948334039999992</v>
      </c>
      <c r="AF359" s="9"/>
      <c r="AG359" s="22">
        <v>1.65741</v>
      </c>
      <c r="AH359" s="22">
        <v>383.28699999999998</v>
      </c>
      <c r="AI359" s="22">
        <v>-1.14685E-2</v>
      </c>
      <c r="AJ359" s="22">
        <v>349</v>
      </c>
      <c r="AK359" s="22">
        <v>1.6561900000000001</v>
      </c>
      <c r="AL359">
        <f t="shared" si="66"/>
        <v>11.468499999999999</v>
      </c>
      <c r="AM359">
        <f t="shared" si="67"/>
        <v>19.008006584999997</v>
      </c>
      <c r="AP359" s="9"/>
      <c r="AQ359" s="22">
        <v>4.2571999999999999E-2</v>
      </c>
      <c r="AR359" s="22">
        <v>466.68599999999998</v>
      </c>
      <c r="AS359" s="22">
        <v>-1.6207900000000001E-2</v>
      </c>
      <c r="AT359" s="22">
        <v>349</v>
      </c>
      <c r="AU359" s="22">
        <v>4.2642199999999998E-2</v>
      </c>
      <c r="AV359">
        <f t="shared" si="68"/>
        <v>16.207900000000002</v>
      </c>
      <c r="AW359">
        <f t="shared" si="69"/>
        <v>0.69000271880000008</v>
      </c>
      <c r="AX359" s="9"/>
      <c r="AY359" s="22">
        <v>1.65741</v>
      </c>
      <c r="AZ359" s="22">
        <v>588.62</v>
      </c>
      <c r="BA359" s="22">
        <v>-1.08398E-2</v>
      </c>
      <c r="BB359" s="22">
        <v>349</v>
      </c>
      <c r="BC359" s="22">
        <v>1.65649</v>
      </c>
      <c r="BD359">
        <f t="shared" si="70"/>
        <v>10.8398</v>
      </c>
      <c r="BE359">
        <f t="shared" si="71"/>
        <v>17.965992918000001</v>
      </c>
    </row>
    <row r="360" spans="6:57">
      <c r="F360" s="9"/>
      <c r="G360" s="22">
        <v>3.7536600000000003E-2</v>
      </c>
      <c r="H360" s="22">
        <v>108.49299999999999</v>
      </c>
      <c r="I360" s="22">
        <v>-1.6146899999999999E-2</v>
      </c>
      <c r="J360" s="22">
        <v>350</v>
      </c>
      <c r="K360" s="22">
        <v>3.7673999999999999E-2</v>
      </c>
      <c r="L360">
        <f t="shared" si="60"/>
        <v>16.146899999999999</v>
      </c>
      <c r="M360">
        <f t="shared" si="61"/>
        <v>0.60609972653999999</v>
      </c>
      <c r="N360" s="9"/>
      <c r="O360" s="22">
        <v>1.66245</v>
      </c>
      <c r="P360" s="22">
        <v>215.78</v>
      </c>
      <c r="Q360" s="22">
        <v>-1.14655E-2</v>
      </c>
      <c r="R360" s="22">
        <v>350</v>
      </c>
      <c r="S360" s="22">
        <v>1.6619900000000001</v>
      </c>
      <c r="T360">
        <f t="shared" si="62"/>
        <v>11.4655</v>
      </c>
      <c r="U360">
        <f t="shared" si="63"/>
        <v>19.060820475</v>
      </c>
      <c r="X360" s="9"/>
      <c r="Y360" s="22">
        <v>3.7536600000000003E-2</v>
      </c>
      <c r="Z360" s="22">
        <v>298.29300000000001</v>
      </c>
      <c r="AA360" s="22">
        <v>-1.6186499999999999E-2</v>
      </c>
      <c r="AB360" s="22">
        <v>350</v>
      </c>
      <c r="AC360" s="22">
        <v>3.7405399999999998E-2</v>
      </c>
      <c r="AD360">
        <f t="shared" si="64"/>
        <v>16.186499999999999</v>
      </c>
      <c r="AE360">
        <f t="shared" si="65"/>
        <v>0.60758617589999997</v>
      </c>
      <c r="AF360" s="9"/>
      <c r="AG360" s="22">
        <v>1.66245</v>
      </c>
      <c r="AH360" s="22">
        <v>383.38799999999998</v>
      </c>
      <c r="AI360" s="22">
        <v>-1.1273200000000001E-2</v>
      </c>
      <c r="AJ360" s="22">
        <v>350</v>
      </c>
      <c r="AK360" s="22">
        <v>1.6619900000000001</v>
      </c>
      <c r="AL360">
        <f t="shared" si="66"/>
        <v>11.273200000000001</v>
      </c>
      <c r="AM360">
        <f t="shared" si="67"/>
        <v>18.741131340000003</v>
      </c>
      <c r="AP360" s="9"/>
      <c r="AQ360" s="22">
        <v>3.7536600000000003E-2</v>
      </c>
      <c r="AR360" s="22">
        <v>466.78699999999998</v>
      </c>
      <c r="AS360" s="22">
        <v>-1.6207900000000001E-2</v>
      </c>
      <c r="AT360" s="22">
        <v>350</v>
      </c>
      <c r="AU360" s="22">
        <v>3.7439E-2</v>
      </c>
      <c r="AV360">
        <f t="shared" si="68"/>
        <v>16.207900000000002</v>
      </c>
      <c r="AW360">
        <f t="shared" si="69"/>
        <v>0.60838945914000009</v>
      </c>
      <c r="AX360" s="9"/>
      <c r="AY360" s="22">
        <v>1.66245</v>
      </c>
      <c r="AZ360" s="22">
        <v>588.721</v>
      </c>
      <c r="BA360" s="22">
        <v>-1.0623199999999999E-2</v>
      </c>
      <c r="BB360" s="22">
        <v>350</v>
      </c>
      <c r="BC360" s="22">
        <v>1.6613800000000001</v>
      </c>
      <c r="BD360">
        <f t="shared" si="70"/>
        <v>10.623199999999999</v>
      </c>
      <c r="BE360">
        <f t="shared" si="71"/>
        <v>17.660538839999997</v>
      </c>
    </row>
    <row r="361" spans="6:57">
      <c r="F361" s="9"/>
      <c r="G361" s="22">
        <v>3.2501200000000001E-2</v>
      </c>
      <c r="H361" s="22">
        <v>108.59399999999999</v>
      </c>
      <c r="I361" s="22">
        <v>-1.6156E-2</v>
      </c>
      <c r="J361" s="22">
        <v>351</v>
      </c>
      <c r="K361" s="22">
        <v>3.2308999999999997E-2</v>
      </c>
      <c r="L361">
        <f t="shared" si="60"/>
        <v>16.155999999999999</v>
      </c>
      <c r="M361">
        <f t="shared" si="61"/>
        <v>0.52508938719999998</v>
      </c>
      <c r="N361" s="9"/>
      <c r="O361" s="22">
        <v>1.6674800000000001</v>
      </c>
      <c r="P361" s="22">
        <v>215.881</v>
      </c>
      <c r="Q361" s="22">
        <v>-1.12671E-2</v>
      </c>
      <c r="R361" s="22">
        <v>351</v>
      </c>
      <c r="S361" s="22">
        <v>1.66656</v>
      </c>
      <c r="T361">
        <f t="shared" si="62"/>
        <v>11.267100000000001</v>
      </c>
      <c r="U361">
        <f t="shared" si="63"/>
        <v>18.787663908000003</v>
      </c>
      <c r="X361" s="9"/>
      <c r="Y361" s="22">
        <v>3.2501200000000001E-2</v>
      </c>
      <c r="Z361" s="22">
        <v>298.39400000000001</v>
      </c>
      <c r="AA361" s="22">
        <v>-1.6186499999999999E-2</v>
      </c>
      <c r="AB361" s="22">
        <v>351</v>
      </c>
      <c r="AC361" s="22">
        <v>3.2403599999999998E-2</v>
      </c>
      <c r="AD361">
        <f t="shared" si="64"/>
        <v>16.186499999999999</v>
      </c>
      <c r="AE361">
        <f t="shared" si="65"/>
        <v>0.52608067380000001</v>
      </c>
      <c r="AF361" s="9"/>
      <c r="AG361" s="22">
        <v>1.6674800000000001</v>
      </c>
      <c r="AH361" s="22">
        <v>383.488</v>
      </c>
      <c r="AI361" s="22">
        <v>-1.0992399999999999E-2</v>
      </c>
      <c r="AJ361" s="22">
        <v>351</v>
      </c>
      <c r="AK361" s="22">
        <v>1.66656</v>
      </c>
      <c r="AL361">
        <f t="shared" si="66"/>
        <v>10.9924</v>
      </c>
      <c r="AM361">
        <f t="shared" si="67"/>
        <v>18.329607152000001</v>
      </c>
      <c r="AP361" s="9"/>
      <c r="AQ361" s="22">
        <v>3.2501200000000001E-2</v>
      </c>
      <c r="AR361" s="22">
        <v>466.88799999999998</v>
      </c>
      <c r="AS361" s="22">
        <v>-1.6213999999999999E-2</v>
      </c>
      <c r="AT361" s="22">
        <v>351</v>
      </c>
      <c r="AU361" s="22">
        <v>3.23822E-2</v>
      </c>
      <c r="AV361">
        <f t="shared" si="68"/>
        <v>16.213999999999999</v>
      </c>
      <c r="AW361">
        <f t="shared" si="69"/>
        <v>0.52697445679999999</v>
      </c>
      <c r="AX361" s="9"/>
      <c r="AY361" s="22">
        <v>1.6674800000000001</v>
      </c>
      <c r="AZ361" s="22">
        <v>588.822</v>
      </c>
      <c r="BA361" s="22">
        <v>-1.03546E-2</v>
      </c>
      <c r="BB361" s="22">
        <v>351</v>
      </c>
      <c r="BC361" s="22">
        <v>1.66656</v>
      </c>
      <c r="BD361">
        <f t="shared" si="70"/>
        <v>10.3546</v>
      </c>
      <c r="BE361">
        <f t="shared" si="71"/>
        <v>17.266088408000002</v>
      </c>
    </row>
    <row r="362" spans="6:57">
      <c r="F362" s="9"/>
      <c r="G362" s="22">
        <v>2.7465799999999999E-2</v>
      </c>
      <c r="H362" s="22">
        <v>108.694</v>
      </c>
      <c r="I362" s="22">
        <v>-1.6156E-2</v>
      </c>
      <c r="J362" s="22">
        <v>352</v>
      </c>
      <c r="K362" s="22">
        <v>2.7346800000000001E-2</v>
      </c>
      <c r="L362">
        <f t="shared" si="60"/>
        <v>16.155999999999999</v>
      </c>
      <c r="M362">
        <f t="shared" si="61"/>
        <v>0.44373746479999993</v>
      </c>
      <c r="N362" s="9"/>
      <c r="O362" s="22">
        <v>1.67252</v>
      </c>
      <c r="P362" s="22">
        <v>215.98099999999999</v>
      </c>
      <c r="Q362" s="22">
        <v>-1.10718E-2</v>
      </c>
      <c r="R362" s="22">
        <v>352</v>
      </c>
      <c r="S362" s="22">
        <v>1.6717500000000001</v>
      </c>
      <c r="T362">
        <f t="shared" si="62"/>
        <v>11.0718</v>
      </c>
      <c r="U362">
        <f t="shared" si="63"/>
        <v>18.517806935999999</v>
      </c>
      <c r="X362" s="9"/>
      <c r="Y362" s="22">
        <v>2.7465799999999999E-2</v>
      </c>
      <c r="Z362" s="22">
        <v>298.495</v>
      </c>
      <c r="AA362" s="22">
        <v>-1.6189599999999998E-2</v>
      </c>
      <c r="AB362" s="22">
        <v>352</v>
      </c>
      <c r="AC362" s="22">
        <v>2.7590900000000002E-2</v>
      </c>
      <c r="AD362">
        <f t="shared" si="64"/>
        <v>16.189599999999999</v>
      </c>
      <c r="AE362">
        <f t="shared" si="65"/>
        <v>0.44466031567999992</v>
      </c>
      <c r="AF362" s="9"/>
      <c r="AG362" s="22">
        <v>1.67252</v>
      </c>
      <c r="AH362" s="22">
        <v>383.589</v>
      </c>
      <c r="AI362" s="22">
        <v>-1.0788000000000001E-2</v>
      </c>
      <c r="AJ362" s="22">
        <v>352</v>
      </c>
      <c r="AK362" s="22">
        <v>1.6717500000000001</v>
      </c>
      <c r="AL362">
        <f t="shared" si="66"/>
        <v>10.788</v>
      </c>
      <c r="AM362">
        <f t="shared" si="67"/>
        <v>18.043145760000002</v>
      </c>
      <c r="AP362" s="9"/>
      <c r="AQ362" s="22">
        <v>2.7465799999999999E-2</v>
      </c>
      <c r="AR362" s="22">
        <v>466.988</v>
      </c>
      <c r="AS362" s="22">
        <v>-1.6207900000000001E-2</v>
      </c>
      <c r="AT362" s="22">
        <v>352</v>
      </c>
      <c r="AU362" s="22">
        <v>2.7328499999999999E-2</v>
      </c>
      <c r="AV362">
        <f t="shared" si="68"/>
        <v>16.207900000000002</v>
      </c>
      <c r="AW362">
        <f t="shared" si="69"/>
        <v>0.44516293982000005</v>
      </c>
      <c r="AX362" s="9"/>
      <c r="AY362" s="22">
        <v>1.67252</v>
      </c>
      <c r="AZ362" s="22">
        <v>588.92200000000003</v>
      </c>
      <c r="BA362" s="22">
        <v>-1.00494E-2</v>
      </c>
      <c r="BB362" s="22">
        <v>352</v>
      </c>
      <c r="BC362" s="22">
        <v>1.6711400000000001</v>
      </c>
      <c r="BD362">
        <f t="shared" si="70"/>
        <v>10.0494</v>
      </c>
      <c r="BE362">
        <f t="shared" si="71"/>
        <v>16.807822487999999</v>
      </c>
    </row>
    <row r="363" spans="6:57">
      <c r="F363" s="9"/>
      <c r="G363" s="22">
        <v>2.24304E-2</v>
      </c>
      <c r="H363" s="22">
        <v>108.795</v>
      </c>
      <c r="I363" s="22">
        <v>-1.6159099999999999E-2</v>
      </c>
      <c r="J363" s="22">
        <v>353</v>
      </c>
      <c r="K363" s="22">
        <v>2.2418199999999999E-2</v>
      </c>
      <c r="L363">
        <f t="shared" si="60"/>
        <v>16.159099999999999</v>
      </c>
      <c r="M363">
        <f t="shared" si="61"/>
        <v>0.36245507663999998</v>
      </c>
      <c r="N363" s="9"/>
      <c r="O363" s="22">
        <v>1.6775500000000001</v>
      </c>
      <c r="P363" s="22">
        <v>216.08199999999999</v>
      </c>
      <c r="Q363" s="22">
        <v>-1.0791E-2</v>
      </c>
      <c r="R363" s="22">
        <v>353</v>
      </c>
      <c r="S363" s="22">
        <v>1.6763300000000001</v>
      </c>
      <c r="T363">
        <f t="shared" si="62"/>
        <v>10.791</v>
      </c>
      <c r="U363">
        <f t="shared" si="63"/>
        <v>18.102442050000001</v>
      </c>
      <c r="X363" s="9"/>
      <c r="Y363" s="22">
        <v>2.24304E-2</v>
      </c>
      <c r="Z363" s="22">
        <v>298.59500000000003</v>
      </c>
      <c r="AA363" s="22">
        <v>-1.6192600000000001E-2</v>
      </c>
      <c r="AB363" s="22">
        <v>353</v>
      </c>
      <c r="AC363" s="22">
        <v>2.2228999999999999E-2</v>
      </c>
      <c r="AD363">
        <f t="shared" si="64"/>
        <v>16.192600000000002</v>
      </c>
      <c r="AE363">
        <f t="shared" si="65"/>
        <v>0.36320649504000002</v>
      </c>
      <c r="AF363" s="9"/>
      <c r="AG363" s="22">
        <v>1.6775500000000001</v>
      </c>
      <c r="AH363" s="22">
        <v>383.69</v>
      </c>
      <c r="AI363" s="22">
        <v>-1.0540799999999999E-2</v>
      </c>
      <c r="AJ363" s="22">
        <v>353</v>
      </c>
      <c r="AK363" s="22">
        <v>1.6763300000000001</v>
      </c>
      <c r="AL363">
        <f t="shared" si="66"/>
        <v>10.540799999999999</v>
      </c>
      <c r="AM363">
        <f t="shared" si="67"/>
        <v>17.682719039999999</v>
      </c>
      <c r="AP363" s="9"/>
      <c r="AQ363" s="22">
        <v>2.24304E-2</v>
      </c>
      <c r="AR363" s="22">
        <v>467.089</v>
      </c>
      <c r="AS363" s="22">
        <v>-1.62109E-2</v>
      </c>
      <c r="AT363" s="22">
        <v>353</v>
      </c>
      <c r="AU363" s="22">
        <v>2.2503700000000001E-2</v>
      </c>
      <c r="AV363">
        <f t="shared" si="68"/>
        <v>16.210899999999999</v>
      </c>
      <c r="AW363">
        <f t="shared" si="69"/>
        <v>0.36361697135999999</v>
      </c>
      <c r="AX363" s="9"/>
      <c r="AY363" s="22">
        <v>1.6775500000000001</v>
      </c>
      <c r="AZ363" s="22">
        <v>589.02300000000002</v>
      </c>
      <c r="BA363" s="22">
        <v>-9.7167999999999994E-3</v>
      </c>
      <c r="BB363" s="22">
        <v>353</v>
      </c>
      <c r="BC363" s="22">
        <v>1.6769400000000001</v>
      </c>
      <c r="BD363">
        <f t="shared" si="70"/>
        <v>9.7167999999999992</v>
      </c>
      <c r="BE363">
        <f t="shared" si="71"/>
        <v>16.300417839999998</v>
      </c>
    </row>
    <row r="364" spans="6:57">
      <c r="F364" s="9"/>
      <c r="G364" s="22">
        <v>1.7395000000000001E-2</v>
      </c>
      <c r="H364" s="22">
        <v>108.896</v>
      </c>
      <c r="I364" s="22">
        <v>-1.6159099999999999E-2</v>
      </c>
      <c r="J364" s="22">
        <v>354</v>
      </c>
      <c r="K364" s="22">
        <v>1.7312600000000001E-2</v>
      </c>
      <c r="L364">
        <f t="shared" si="60"/>
        <v>16.159099999999999</v>
      </c>
      <c r="M364">
        <f t="shared" si="61"/>
        <v>0.28108754450000001</v>
      </c>
      <c r="N364" s="9"/>
      <c r="O364" s="22">
        <v>1.68259</v>
      </c>
      <c r="P364" s="22">
        <v>216.18299999999999</v>
      </c>
      <c r="Q364" s="22">
        <v>-1.0534699999999999E-2</v>
      </c>
      <c r="R364" s="22">
        <v>354</v>
      </c>
      <c r="S364" s="22">
        <v>1.6818200000000001</v>
      </c>
      <c r="T364">
        <f t="shared" si="62"/>
        <v>10.534699999999999</v>
      </c>
      <c r="U364">
        <f t="shared" si="63"/>
        <v>17.725580872999998</v>
      </c>
      <c r="X364" s="9"/>
      <c r="Y364" s="22">
        <v>1.7395000000000001E-2</v>
      </c>
      <c r="Z364" s="22">
        <v>298.69600000000003</v>
      </c>
      <c r="AA364" s="22">
        <v>-1.61957E-2</v>
      </c>
      <c r="AB364" s="22">
        <v>354</v>
      </c>
      <c r="AC364" s="22">
        <v>1.7312600000000001E-2</v>
      </c>
      <c r="AD364">
        <f t="shared" si="64"/>
        <v>16.195699999999999</v>
      </c>
      <c r="AE364">
        <f t="shared" si="65"/>
        <v>0.28172420149999999</v>
      </c>
      <c r="AF364" s="9"/>
      <c r="AG364" s="22">
        <v>1.68259</v>
      </c>
      <c r="AH364" s="22">
        <v>383.79</v>
      </c>
      <c r="AI364" s="22">
        <v>-1.02386E-2</v>
      </c>
      <c r="AJ364" s="22">
        <v>354</v>
      </c>
      <c r="AK364" s="22">
        <v>1.6818200000000001</v>
      </c>
      <c r="AL364">
        <f t="shared" si="66"/>
        <v>10.2386</v>
      </c>
      <c r="AM364">
        <f t="shared" si="67"/>
        <v>17.227365974000001</v>
      </c>
      <c r="AP364" s="9"/>
      <c r="AQ364" s="22">
        <v>1.7395000000000001E-2</v>
      </c>
      <c r="AR364" s="22">
        <v>467.19</v>
      </c>
      <c r="AS364" s="22">
        <v>-1.6213999999999999E-2</v>
      </c>
      <c r="AT364" s="22">
        <v>354</v>
      </c>
      <c r="AU364" s="22">
        <v>1.72333E-2</v>
      </c>
      <c r="AV364">
        <f t="shared" si="68"/>
        <v>16.213999999999999</v>
      </c>
      <c r="AW364">
        <f t="shared" si="69"/>
        <v>0.28204253000000001</v>
      </c>
      <c r="AX364" s="9"/>
      <c r="AY364" s="22">
        <v>1.68259</v>
      </c>
      <c r="AZ364" s="22">
        <v>589.12400000000002</v>
      </c>
      <c r="BA364" s="22">
        <v>-9.3719500000000004E-3</v>
      </c>
      <c r="BB364" s="22">
        <v>354</v>
      </c>
      <c r="BC364" s="22">
        <v>1.6815199999999999</v>
      </c>
      <c r="BD364">
        <f t="shared" si="70"/>
        <v>9.37195</v>
      </c>
      <c r="BE364">
        <f t="shared" si="71"/>
        <v>15.769149350500001</v>
      </c>
    </row>
    <row r="365" spans="6:57">
      <c r="F365" s="9"/>
      <c r="G365" s="22">
        <v>1.23596E-2</v>
      </c>
      <c r="H365" s="22">
        <v>108.997</v>
      </c>
      <c r="I365" s="22">
        <v>-1.6159099999999999E-2</v>
      </c>
      <c r="J365" s="22">
        <v>355</v>
      </c>
      <c r="K365" s="22">
        <v>1.2097200000000001E-2</v>
      </c>
      <c r="L365">
        <f t="shared" si="60"/>
        <v>16.159099999999999</v>
      </c>
      <c r="M365">
        <f t="shared" si="61"/>
        <v>0.19972001235999998</v>
      </c>
      <c r="N365" s="9"/>
      <c r="O365" s="22">
        <v>1.6876199999999999</v>
      </c>
      <c r="P365" s="22">
        <v>216.28299999999999</v>
      </c>
      <c r="Q365" s="22">
        <v>-1.026E-2</v>
      </c>
      <c r="R365" s="22">
        <v>355</v>
      </c>
      <c r="S365" s="22">
        <v>1.6860999999999999</v>
      </c>
      <c r="T365">
        <f t="shared" si="62"/>
        <v>10.26</v>
      </c>
      <c r="U365">
        <f t="shared" si="63"/>
        <v>17.314981199999998</v>
      </c>
      <c r="X365" s="9"/>
      <c r="Y365" s="22">
        <v>1.23596E-2</v>
      </c>
      <c r="Z365" s="22">
        <v>298.79700000000003</v>
      </c>
      <c r="AA365" s="22">
        <v>-1.6189599999999998E-2</v>
      </c>
      <c r="AB365" s="22">
        <v>355</v>
      </c>
      <c r="AC365" s="22">
        <v>1.2088E-2</v>
      </c>
      <c r="AD365">
        <f t="shared" si="64"/>
        <v>16.189599999999999</v>
      </c>
      <c r="AE365">
        <f t="shared" si="65"/>
        <v>0.20009698015999999</v>
      </c>
      <c r="AF365" s="9"/>
      <c r="AG365" s="22">
        <v>1.6876199999999999</v>
      </c>
      <c r="AH365" s="22">
        <v>383.89100000000002</v>
      </c>
      <c r="AI365" s="22">
        <v>-9.8754900000000007E-3</v>
      </c>
      <c r="AJ365" s="22">
        <v>355</v>
      </c>
      <c r="AK365" s="22">
        <v>1.6867099999999999</v>
      </c>
      <c r="AL365">
        <f t="shared" si="66"/>
        <v>9.875490000000001</v>
      </c>
      <c r="AM365">
        <f t="shared" si="67"/>
        <v>16.666074433800002</v>
      </c>
      <c r="AP365" s="9"/>
      <c r="AQ365" s="22">
        <v>1.23596E-2</v>
      </c>
      <c r="AR365" s="22">
        <v>467.29</v>
      </c>
      <c r="AS365" s="22">
        <v>-1.6216999999999999E-2</v>
      </c>
      <c r="AT365" s="22">
        <v>355</v>
      </c>
      <c r="AU365" s="22">
        <v>1.23138E-2</v>
      </c>
      <c r="AV365">
        <f t="shared" si="68"/>
        <v>16.216999999999999</v>
      </c>
      <c r="AW365">
        <f t="shared" si="69"/>
        <v>0.20043563319999999</v>
      </c>
      <c r="AX365" s="9"/>
      <c r="AY365" s="22">
        <v>1.6876199999999999</v>
      </c>
      <c r="AZ365" s="22">
        <v>589.22500000000002</v>
      </c>
      <c r="BA365" s="22">
        <v>-8.9660599999999997E-3</v>
      </c>
      <c r="BB365" s="22">
        <v>355</v>
      </c>
      <c r="BC365" s="22">
        <v>1.6867099999999999</v>
      </c>
      <c r="BD365">
        <f t="shared" si="70"/>
        <v>8.9660599999999988</v>
      </c>
      <c r="BE365">
        <f t="shared" si="71"/>
        <v>15.131302177199997</v>
      </c>
    </row>
    <row r="366" spans="6:57">
      <c r="F366" s="9"/>
      <c r="G366" s="22">
        <v>7.3242200000000002E-3</v>
      </c>
      <c r="H366" s="22">
        <v>109.09699999999999</v>
      </c>
      <c r="I366" s="22">
        <v>-1.6146899999999999E-2</v>
      </c>
      <c r="J366" s="22">
        <v>356</v>
      </c>
      <c r="K366" s="22">
        <v>7.0922900000000002E-3</v>
      </c>
      <c r="L366">
        <f t="shared" si="60"/>
        <v>16.146899999999999</v>
      </c>
      <c r="M366">
        <f t="shared" si="61"/>
        <v>0.11826344791799999</v>
      </c>
      <c r="N366" s="9"/>
      <c r="O366" s="22">
        <v>1.6926600000000001</v>
      </c>
      <c r="P366" s="22">
        <v>216.38399999999999</v>
      </c>
      <c r="Q366" s="22">
        <v>-9.9304200000000006E-3</v>
      </c>
      <c r="R366" s="22">
        <v>356</v>
      </c>
      <c r="S366" s="22">
        <v>1.6915899999999999</v>
      </c>
      <c r="T366">
        <f t="shared" si="62"/>
        <v>9.9304199999999998</v>
      </c>
      <c r="U366">
        <f t="shared" si="63"/>
        <v>16.8088247172</v>
      </c>
      <c r="X366" s="9"/>
      <c r="Y366" s="22">
        <v>7.3242200000000002E-3</v>
      </c>
      <c r="Z366" s="22">
        <v>298.89699999999999</v>
      </c>
      <c r="AA366" s="22">
        <v>-1.6201799999999999E-2</v>
      </c>
      <c r="AB366" s="22">
        <v>356</v>
      </c>
      <c r="AC366" s="22">
        <v>7.1075399999999999E-3</v>
      </c>
      <c r="AD366">
        <f t="shared" si="64"/>
        <v>16.201799999999999</v>
      </c>
      <c r="AE366">
        <f t="shared" si="65"/>
        <v>0.118665547596</v>
      </c>
      <c r="AF366" s="9"/>
      <c r="AG366" s="22">
        <v>1.6926600000000001</v>
      </c>
      <c r="AH366" s="22">
        <v>383.99200000000002</v>
      </c>
      <c r="AI366" s="22">
        <v>-9.5642100000000001E-3</v>
      </c>
      <c r="AJ366" s="22">
        <v>356</v>
      </c>
      <c r="AK366" s="22">
        <v>1.6915899999999999</v>
      </c>
      <c r="AL366">
        <f t="shared" si="66"/>
        <v>9.5642099999999992</v>
      </c>
      <c r="AM366">
        <f t="shared" si="67"/>
        <v>16.188955698600001</v>
      </c>
      <c r="AP366" s="9"/>
      <c r="AQ366" s="22">
        <v>7.3242200000000002E-3</v>
      </c>
      <c r="AR366" s="22">
        <v>467.39100000000002</v>
      </c>
      <c r="AS366" s="22">
        <v>-1.62109E-2</v>
      </c>
      <c r="AT366" s="22">
        <v>356</v>
      </c>
      <c r="AU366" s="22">
        <v>7.0220899999999999E-3</v>
      </c>
      <c r="AV366">
        <f t="shared" si="68"/>
        <v>16.210899999999999</v>
      </c>
      <c r="AW366">
        <f t="shared" si="69"/>
        <v>0.118732197998</v>
      </c>
      <c r="AX366" s="9"/>
      <c r="AY366" s="22">
        <v>1.6926600000000001</v>
      </c>
      <c r="AZ366" s="22">
        <v>589.32500000000005</v>
      </c>
      <c r="BA366" s="22">
        <v>-8.5235599999999995E-3</v>
      </c>
      <c r="BB366" s="22">
        <v>356</v>
      </c>
      <c r="BC366" s="22">
        <v>1.6921999999999999</v>
      </c>
      <c r="BD366">
        <f t="shared" si="70"/>
        <v>8.5235599999999998</v>
      </c>
      <c r="BE366">
        <f t="shared" si="71"/>
        <v>14.4274890696</v>
      </c>
    </row>
    <row r="367" spans="6:57">
      <c r="F367" s="9"/>
      <c r="G367" s="22">
        <v>2.28882E-3</v>
      </c>
      <c r="H367" s="22">
        <v>109.19799999999999</v>
      </c>
      <c r="I367" s="22">
        <v>-1.6162099999999999E-2</v>
      </c>
      <c r="J367" s="22">
        <v>357</v>
      </c>
      <c r="K367" s="22">
        <v>1.93176E-3</v>
      </c>
      <c r="L367">
        <f t="shared" si="60"/>
        <v>16.162099999999999</v>
      </c>
      <c r="M367">
        <f t="shared" si="61"/>
        <v>3.6992137721999996E-2</v>
      </c>
      <c r="N367" s="9"/>
      <c r="O367" s="22">
        <v>1.6976899999999999</v>
      </c>
      <c r="P367" s="22">
        <v>216.48500000000001</v>
      </c>
      <c r="Q367" s="22">
        <v>-9.5519999999999997E-3</v>
      </c>
      <c r="R367" s="22">
        <v>357</v>
      </c>
      <c r="S367" s="22">
        <v>1.69739</v>
      </c>
      <c r="T367">
        <f t="shared" si="62"/>
        <v>9.5519999999999996</v>
      </c>
      <c r="U367">
        <f t="shared" si="63"/>
        <v>16.216334879999998</v>
      </c>
      <c r="X367" s="9"/>
      <c r="Y367" s="22">
        <v>2.28882E-3</v>
      </c>
      <c r="Z367" s="22">
        <v>298.99799999999999</v>
      </c>
      <c r="AA367" s="22">
        <v>-1.61957E-2</v>
      </c>
      <c r="AB367" s="22">
        <v>357</v>
      </c>
      <c r="AC367" s="22">
        <v>2.1942099999999998E-3</v>
      </c>
      <c r="AD367">
        <f t="shared" si="64"/>
        <v>16.195699999999999</v>
      </c>
      <c r="AE367">
        <f t="shared" si="65"/>
        <v>3.7069042073999997E-2</v>
      </c>
      <c r="AF367" s="9"/>
      <c r="AG367" s="22">
        <v>1.6976899999999999</v>
      </c>
      <c r="AH367" s="22">
        <v>384.09300000000002</v>
      </c>
      <c r="AI367" s="22">
        <v>-9.1125500000000005E-3</v>
      </c>
      <c r="AJ367" s="22">
        <v>357</v>
      </c>
      <c r="AK367" s="22">
        <v>1.69678</v>
      </c>
      <c r="AL367">
        <f t="shared" si="66"/>
        <v>9.1125500000000006</v>
      </c>
      <c r="AM367">
        <f t="shared" si="67"/>
        <v>15.4702850095</v>
      </c>
      <c r="AP367" s="9"/>
      <c r="AQ367" s="22">
        <v>2.28882E-3</v>
      </c>
      <c r="AR367" s="22">
        <v>467.49200000000002</v>
      </c>
      <c r="AS367" s="22">
        <v>-1.62109E-2</v>
      </c>
      <c r="AT367" s="22">
        <v>357</v>
      </c>
      <c r="AU367" s="22">
        <v>2.04163E-3</v>
      </c>
      <c r="AV367">
        <f t="shared" si="68"/>
        <v>16.210899999999999</v>
      </c>
      <c r="AW367">
        <f t="shared" si="69"/>
        <v>3.7103832137999997E-2</v>
      </c>
      <c r="AX367" s="9"/>
      <c r="AY367" s="22">
        <v>1.6976899999999999</v>
      </c>
      <c r="AZ367" s="22">
        <v>589.42600000000004</v>
      </c>
      <c r="BA367" s="22">
        <v>-7.9650899999999993E-3</v>
      </c>
      <c r="BB367" s="22">
        <v>357</v>
      </c>
      <c r="BC367" s="22">
        <v>1.69678</v>
      </c>
      <c r="BD367">
        <f t="shared" si="70"/>
        <v>7.9650899999999991</v>
      </c>
      <c r="BE367">
        <f t="shared" si="71"/>
        <v>13.522253642099997</v>
      </c>
    </row>
    <row r="368" spans="6:57">
      <c r="F368" s="9"/>
      <c r="G368" s="22">
        <v>-2.7465800000000002E-3</v>
      </c>
      <c r="H368" s="22">
        <v>109.29900000000001</v>
      </c>
      <c r="I368" s="22">
        <v>-1.6146899999999999E-2</v>
      </c>
      <c r="J368" s="22">
        <v>358</v>
      </c>
      <c r="K368" s="22">
        <v>-2.8167700000000001E-3</v>
      </c>
      <c r="L368">
        <f t="shared" si="60"/>
        <v>16.146899999999999</v>
      </c>
      <c r="M368">
        <f t="shared" si="61"/>
        <v>-4.4348752601999997E-2</v>
      </c>
      <c r="N368" s="9"/>
      <c r="O368" s="22">
        <v>1.7027300000000001</v>
      </c>
      <c r="P368" s="22">
        <v>216.58500000000001</v>
      </c>
      <c r="Q368" s="22">
        <v>-9.0759299999999994E-3</v>
      </c>
      <c r="R368" s="22">
        <v>358</v>
      </c>
      <c r="S368" s="22">
        <v>1.70166</v>
      </c>
      <c r="T368">
        <f t="shared" si="62"/>
        <v>9.0759299999999996</v>
      </c>
      <c r="U368">
        <f t="shared" si="63"/>
        <v>15.453858288899999</v>
      </c>
      <c r="X368" s="9"/>
      <c r="Y368" s="22">
        <v>-2.7465800000000002E-3</v>
      </c>
      <c r="Z368" s="22">
        <v>299.09899999999999</v>
      </c>
      <c r="AA368" s="22">
        <v>-1.6192600000000001E-2</v>
      </c>
      <c r="AB368" s="22">
        <v>358</v>
      </c>
      <c r="AC368" s="22">
        <v>-2.9907200000000001E-3</v>
      </c>
      <c r="AD368">
        <f t="shared" si="64"/>
        <v>16.192600000000002</v>
      </c>
      <c r="AE368">
        <f t="shared" si="65"/>
        <v>-4.447427130800001E-2</v>
      </c>
      <c r="AF368" s="9"/>
      <c r="AG368" s="22">
        <v>1.7027300000000001</v>
      </c>
      <c r="AH368" s="22">
        <v>384.19299999999998</v>
      </c>
      <c r="AI368" s="22">
        <v>-8.6181599999999997E-3</v>
      </c>
      <c r="AJ368" s="22">
        <v>358</v>
      </c>
      <c r="AK368" s="22">
        <v>1.70197</v>
      </c>
      <c r="AL368">
        <f t="shared" si="66"/>
        <v>8.6181599999999996</v>
      </c>
      <c r="AM368">
        <f t="shared" si="67"/>
        <v>14.674399576800001</v>
      </c>
      <c r="AP368" s="9"/>
      <c r="AQ368" s="22">
        <v>-2.7465800000000002E-3</v>
      </c>
      <c r="AR368" s="22">
        <v>467.59300000000002</v>
      </c>
      <c r="AS368" s="22">
        <v>-1.62109E-2</v>
      </c>
      <c r="AT368" s="22">
        <v>358</v>
      </c>
      <c r="AU368" s="22">
        <v>-2.8778100000000002E-3</v>
      </c>
      <c r="AV368">
        <f t="shared" si="68"/>
        <v>16.210899999999999</v>
      </c>
      <c r="AW368">
        <f t="shared" si="69"/>
        <v>-4.4524533722E-2</v>
      </c>
      <c r="AX368" s="9"/>
      <c r="AY368" s="22">
        <v>1.7027300000000001</v>
      </c>
      <c r="AZ368" s="22">
        <v>589.52700000000004</v>
      </c>
      <c r="BA368" s="22">
        <v>-7.3638899999999997E-3</v>
      </c>
      <c r="BB368" s="22">
        <v>358</v>
      </c>
      <c r="BC368" s="22">
        <v>1.70166</v>
      </c>
      <c r="BD368">
        <f t="shared" si="70"/>
        <v>7.3638899999999996</v>
      </c>
      <c r="BE368">
        <f t="shared" si="71"/>
        <v>12.5387164197</v>
      </c>
    </row>
    <row r="369" spans="6:57">
      <c r="F369" s="9"/>
      <c r="G369" s="22">
        <v>-7.78198E-3</v>
      </c>
      <c r="H369" s="22">
        <v>109.399</v>
      </c>
      <c r="I369" s="22">
        <v>-1.6159099999999999E-2</v>
      </c>
      <c r="J369" s="22">
        <v>359</v>
      </c>
      <c r="K369" s="22">
        <v>-7.9589799999999992E-3</v>
      </c>
      <c r="L369">
        <f t="shared" si="60"/>
        <v>16.159099999999999</v>
      </c>
      <c r="M369">
        <f t="shared" si="61"/>
        <v>-0.12574979301799999</v>
      </c>
      <c r="N369" s="9"/>
      <c r="O369" s="22">
        <v>1.7077599999999999</v>
      </c>
      <c r="P369" s="22">
        <v>216.68600000000001</v>
      </c>
      <c r="Q369" s="22">
        <v>-8.6730999999999996E-3</v>
      </c>
      <c r="R369" s="22">
        <v>359</v>
      </c>
      <c r="S369" s="22">
        <v>1.7071499999999999</v>
      </c>
      <c r="T369">
        <f t="shared" si="62"/>
        <v>8.6730999999999998</v>
      </c>
      <c r="U369">
        <f t="shared" si="63"/>
        <v>14.811573255999999</v>
      </c>
      <c r="X369" s="9"/>
      <c r="Y369" s="22">
        <v>-7.78198E-3</v>
      </c>
      <c r="Z369" s="22">
        <v>299.2</v>
      </c>
      <c r="AA369" s="22">
        <v>-1.61957E-2</v>
      </c>
      <c r="AB369" s="22">
        <v>359</v>
      </c>
      <c r="AC369" s="22">
        <v>-8.0108599999999999E-3</v>
      </c>
      <c r="AD369">
        <f t="shared" si="64"/>
        <v>16.195699999999999</v>
      </c>
      <c r="AE369">
        <f t="shared" si="65"/>
        <v>-0.12603461348599998</v>
      </c>
      <c r="AF369" s="9"/>
      <c r="AG369" s="22">
        <v>1.7077599999999999</v>
      </c>
      <c r="AH369" s="22">
        <v>384.29399999999998</v>
      </c>
      <c r="AI369" s="22">
        <v>-8.0688500000000007E-3</v>
      </c>
      <c r="AJ369" s="22">
        <v>359</v>
      </c>
      <c r="AK369" s="22">
        <v>1.7071499999999999</v>
      </c>
      <c r="AL369">
        <f t="shared" si="66"/>
        <v>8.0688500000000012</v>
      </c>
      <c r="AM369">
        <f t="shared" si="67"/>
        <v>13.779659276000002</v>
      </c>
      <c r="AP369" s="9"/>
      <c r="AQ369" s="22">
        <v>-7.78198E-3</v>
      </c>
      <c r="AR369" s="22">
        <v>467.69299999999998</v>
      </c>
      <c r="AS369" s="22">
        <v>-1.6207900000000001E-2</v>
      </c>
      <c r="AT369" s="22">
        <v>359</v>
      </c>
      <c r="AU369" s="22">
        <v>-8.2519499999999992E-3</v>
      </c>
      <c r="AV369">
        <f t="shared" si="68"/>
        <v>16.207900000000002</v>
      </c>
      <c r="AW369">
        <f t="shared" si="69"/>
        <v>-0.12612955364200001</v>
      </c>
      <c r="AX369" s="9"/>
      <c r="AY369" s="22">
        <v>1.7077599999999999</v>
      </c>
      <c r="AZ369" s="22">
        <v>589.62699999999995</v>
      </c>
      <c r="BA369" s="22">
        <v>-6.7077600000000001E-3</v>
      </c>
      <c r="BB369" s="22">
        <v>359</v>
      </c>
      <c r="BC369" s="22">
        <v>1.7071499999999999</v>
      </c>
      <c r="BD369">
        <f t="shared" si="70"/>
        <v>6.7077600000000004</v>
      </c>
      <c r="BE369">
        <f t="shared" si="71"/>
        <v>11.455244217600001</v>
      </c>
    </row>
    <row r="370" spans="6:57">
      <c r="F370" s="9"/>
      <c r="G370" s="22">
        <v>-1.28174E-2</v>
      </c>
      <c r="H370" s="22">
        <v>109.5</v>
      </c>
      <c r="I370" s="22">
        <v>-1.6153000000000001E-2</v>
      </c>
      <c r="J370" s="22">
        <v>360</v>
      </c>
      <c r="K370" s="22">
        <v>-1.31409E-2</v>
      </c>
      <c r="L370">
        <f t="shared" si="60"/>
        <v>16.153000000000002</v>
      </c>
      <c r="M370">
        <f t="shared" si="61"/>
        <v>-0.20703946220000002</v>
      </c>
      <c r="N370" s="9"/>
      <c r="O370" s="22">
        <v>1.7128000000000001</v>
      </c>
      <c r="P370" s="22">
        <v>216.78700000000001</v>
      </c>
      <c r="Q370" s="22">
        <v>-8.0627400000000005E-3</v>
      </c>
      <c r="R370" s="22">
        <v>360</v>
      </c>
      <c r="S370" s="22">
        <v>1.71204</v>
      </c>
      <c r="T370">
        <f t="shared" si="62"/>
        <v>8.0627399999999998</v>
      </c>
      <c r="U370">
        <f t="shared" si="63"/>
        <v>13.809861072</v>
      </c>
      <c r="X370" s="9"/>
      <c r="Y370" s="22">
        <v>-1.28174E-2</v>
      </c>
      <c r="Z370" s="22">
        <v>299.3</v>
      </c>
      <c r="AA370" s="22">
        <v>-1.6189599999999998E-2</v>
      </c>
      <c r="AB370" s="22">
        <v>360</v>
      </c>
      <c r="AC370" s="22">
        <v>-1.31378E-2</v>
      </c>
      <c r="AD370">
        <f t="shared" si="64"/>
        <v>16.189599999999999</v>
      </c>
      <c r="AE370">
        <f t="shared" si="65"/>
        <v>-0.20750857903999997</v>
      </c>
      <c r="AF370" s="9"/>
      <c r="AG370" s="22">
        <v>1.7128000000000001</v>
      </c>
      <c r="AH370" s="22">
        <v>384.39499999999998</v>
      </c>
      <c r="AI370" s="22">
        <v>-7.5042700000000004E-3</v>
      </c>
      <c r="AJ370" s="22">
        <v>360</v>
      </c>
      <c r="AK370" s="22">
        <v>1.71204</v>
      </c>
      <c r="AL370">
        <f t="shared" si="66"/>
        <v>7.50427</v>
      </c>
      <c r="AM370">
        <f t="shared" si="67"/>
        <v>12.853313656000001</v>
      </c>
      <c r="AP370" s="9"/>
      <c r="AQ370" s="22">
        <v>-1.28174E-2</v>
      </c>
      <c r="AR370" s="22">
        <v>467.79399999999998</v>
      </c>
      <c r="AS370" s="22">
        <v>-1.6207900000000001E-2</v>
      </c>
      <c r="AT370" s="22">
        <v>360</v>
      </c>
      <c r="AU370" s="22">
        <v>-1.30402E-2</v>
      </c>
      <c r="AV370">
        <f t="shared" si="68"/>
        <v>16.207900000000002</v>
      </c>
      <c r="AW370">
        <f t="shared" si="69"/>
        <v>-0.20774313746000003</v>
      </c>
      <c r="AX370" s="9"/>
      <c r="AY370" s="22">
        <v>1.7128000000000001</v>
      </c>
      <c r="AZ370" s="22">
        <v>589.72799999999995</v>
      </c>
      <c r="BA370" s="22">
        <v>-5.8380100000000002E-3</v>
      </c>
      <c r="BB370" s="22">
        <v>360</v>
      </c>
      <c r="BC370" s="22">
        <v>1.71173</v>
      </c>
      <c r="BD370">
        <f t="shared" si="70"/>
        <v>5.8380100000000006</v>
      </c>
      <c r="BE370">
        <f t="shared" si="71"/>
        <v>9.9993435280000025</v>
      </c>
    </row>
    <row r="371" spans="6:57">
      <c r="F371" s="9"/>
      <c r="G371" s="22">
        <v>-1.7852799999999999E-2</v>
      </c>
      <c r="H371" s="22">
        <v>109.601</v>
      </c>
      <c r="I371" s="22">
        <v>-1.6156E-2</v>
      </c>
      <c r="J371" s="22">
        <v>361</v>
      </c>
      <c r="K371" s="22">
        <v>-1.8197600000000001E-2</v>
      </c>
      <c r="L371">
        <f t="shared" si="60"/>
        <v>16.155999999999999</v>
      </c>
      <c r="M371">
        <f t="shared" si="61"/>
        <v>-0.28842983679999995</v>
      </c>
      <c r="N371" s="9"/>
      <c r="O371" s="22">
        <v>1.71783</v>
      </c>
      <c r="P371" s="22">
        <v>216.88800000000001</v>
      </c>
      <c r="Q371" s="22">
        <v>-7.4279799999999998E-3</v>
      </c>
      <c r="R371" s="22">
        <v>361</v>
      </c>
      <c r="S371" s="22">
        <v>1.71722</v>
      </c>
      <c r="T371">
        <f t="shared" si="62"/>
        <v>7.4279799999999998</v>
      </c>
      <c r="U371">
        <f t="shared" si="63"/>
        <v>12.760006883399999</v>
      </c>
      <c r="X371" s="9"/>
      <c r="Y371" s="22">
        <v>-1.7852799999999999E-2</v>
      </c>
      <c r="Z371" s="22">
        <v>299.40100000000001</v>
      </c>
      <c r="AA371" s="22">
        <v>-1.6192600000000001E-2</v>
      </c>
      <c r="AB371" s="22">
        <v>361</v>
      </c>
      <c r="AC371" s="22">
        <v>-1.8161E-2</v>
      </c>
      <c r="AD371">
        <f t="shared" si="64"/>
        <v>16.192600000000002</v>
      </c>
      <c r="AE371">
        <f t="shared" si="65"/>
        <v>-0.28908324928000001</v>
      </c>
      <c r="AF371" s="9"/>
      <c r="AG371" s="22">
        <v>1.71783</v>
      </c>
      <c r="AH371" s="22">
        <v>384.495</v>
      </c>
      <c r="AI371" s="22">
        <v>-6.7535399999999997E-3</v>
      </c>
      <c r="AJ371" s="22">
        <v>361</v>
      </c>
      <c r="AK371" s="22">
        <v>1.71722</v>
      </c>
      <c r="AL371">
        <f t="shared" si="66"/>
        <v>6.7535400000000001</v>
      </c>
      <c r="AM371">
        <f t="shared" si="67"/>
        <v>11.6014336182</v>
      </c>
      <c r="AP371" s="9"/>
      <c r="AQ371" s="22">
        <v>-1.7852799999999999E-2</v>
      </c>
      <c r="AR371" s="22">
        <v>467.89499999999998</v>
      </c>
      <c r="AS371" s="22">
        <v>-1.62109E-2</v>
      </c>
      <c r="AT371" s="22">
        <v>361</v>
      </c>
      <c r="AU371" s="22">
        <v>-1.81458E-2</v>
      </c>
      <c r="AV371">
        <f t="shared" si="68"/>
        <v>16.210899999999999</v>
      </c>
      <c r="AW371">
        <f t="shared" si="69"/>
        <v>-0.28940995551999993</v>
      </c>
      <c r="AX371" s="9"/>
      <c r="AY371" s="22">
        <v>1.71783</v>
      </c>
      <c r="AZ371" s="22">
        <v>589.82899999999995</v>
      </c>
      <c r="BA371" s="22">
        <v>-4.8785399999999998E-3</v>
      </c>
      <c r="BB371" s="22">
        <v>361</v>
      </c>
      <c r="BC371" s="22">
        <v>1.71692</v>
      </c>
      <c r="BD371">
        <f t="shared" si="70"/>
        <v>4.8785400000000001</v>
      </c>
      <c r="BE371">
        <f t="shared" si="71"/>
        <v>8.3805023682000002</v>
      </c>
    </row>
    <row r="372" spans="6:57">
      <c r="F372" s="9"/>
      <c r="G372" s="22">
        <v>-2.2888200000000001E-2</v>
      </c>
      <c r="H372" s="22">
        <v>109.702</v>
      </c>
      <c r="I372" s="22">
        <v>-1.6149899999999998E-2</v>
      </c>
      <c r="J372" s="22">
        <v>362</v>
      </c>
      <c r="K372" s="22">
        <v>-2.3184199999999999E-2</v>
      </c>
      <c r="L372">
        <f t="shared" si="60"/>
        <v>16.149899999999999</v>
      </c>
      <c r="M372">
        <f t="shared" si="61"/>
        <v>-0.36964214117999999</v>
      </c>
      <c r="N372" s="9"/>
      <c r="O372" s="22">
        <v>1.7228699999999999</v>
      </c>
      <c r="P372" s="22">
        <v>216.988</v>
      </c>
      <c r="Q372" s="22">
        <v>-6.6558800000000003E-3</v>
      </c>
      <c r="R372" s="22">
        <v>362</v>
      </c>
      <c r="S372" s="22">
        <v>1.72272</v>
      </c>
      <c r="T372">
        <f t="shared" si="62"/>
        <v>6.6558800000000007</v>
      </c>
      <c r="U372">
        <f t="shared" si="63"/>
        <v>11.4672159756</v>
      </c>
      <c r="X372" s="9"/>
      <c r="Y372" s="22">
        <v>-2.2888200000000001E-2</v>
      </c>
      <c r="Z372" s="22">
        <v>299.50200000000001</v>
      </c>
      <c r="AA372" s="22">
        <v>-1.6192600000000001E-2</v>
      </c>
      <c r="AB372" s="22">
        <v>362</v>
      </c>
      <c r="AC372" s="22">
        <v>-2.3162800000000001E-2</v>
      </c>
      <c r="AD372">
        <f t="shared" si="64"/>
        <v>16.192600000000002</v>
      </c>
      <c r="AE372">
        <f t="shared" si="65"/>
        <v>-0.37061946732000006</v>
      </c>
      <c r="AF372" s="9"/>
      <c r="AG372" s="22">
        <v>1.7228699999999999</v>
      </c>
      <c r="AH372" s="22">
        <v>384.596</v>
      </c>
      <c r="AI372" s="22">
        <v>-5.6976300000000004E-3</v>
      </c>
      <c r="AJ372" s="22">
        <v>362</v>
      </c>
      <c r="AK372" s="22">
        <v>1.72211</v>
      </c>
      <c r="AL372">
        <f t="shared" si="66"/>
        <v>5.6976300000000002</v>
      </c>
      <c r="AM372">
        <f t="shared" si="67"/>
        <v>9.8162757980999995</v>
      </c>
      <c r="AP372" s="9"/>
      <c r="AQ372" s="22">
        <v>-2.2888200000000001E-2</v>
      </c>
      <c r="AR372" s="22">
        <v>467.995</v>
      </c>
      <c r="AS372" s="22">
        <v>-1.6216999999999999E-2</v>
      </c>
      <c r="AT372" s="22">
        <v>362</v>
      </c>
      <c r="AU372" s="22">
        <v>-2.3187300000000001E-2</v>
      </c>
      <c r="AV372">
        <f t="shared" si="68"/>
        <v>16.216999999999999</v>
      </c>
      <c r="AW372">
        <f t="shared" si="69"/>
        <v>-0.37117793939999999</v>
      </c>
      <c r="AX372" s="9"/>
      <c r="AY372" s="22">
        <v>1.7228699999999999</v>
      </c>
      <c r="AZ372" s="22">
        <v>589.92999999999995</v>
      </c>
      <c r="BA372" s="22">
        <v>-3.6444099999999998E-3</v>
      </c>
      <c r="BB372" s="22">
        <v>362</v>
      </c>
      <c r="BC372" s="22">
        <v>1.7218</v>
      </c>
      <c r="BD372">
        <f t="shared" si="70"/>
        <v>3.6444099999999997</v>
      </c>
      <c r="BE372">
        <f t="shared" si="71"/>
        <v>6.2788446566999987</v>
      </c>
    </row>
    <row r="373" spans="6:57">
      <c r="F373" s="9"/>
      <c r="G373" s="22">
        <v>-2.79236E-2</v>
      </c>
      <c r="H373" s="22">
        <v>109.80200000000001</v>
      </c>
      <c r="I373" s="22">
        <v>-1.6156E-2</v>
      </c>
      <c r="J373" s="22">
        <v>363</v>
      </c>
      <c r="K373" s="22">
        <v>-2.8183E-2</v>
      </c>
      <c r="L373">
        <f t="shared" si="60"/>
        <v>16.155999999999999</v>
      </c>
      <c r="M373">
        <f t="shared" si="61"/>
        <v>-0.45113368159999995</v>
      </c>
      <c r="N373" s="9"/>
      <c r="O373" s="22">
        <v>1.7279100000000001</v>
      </c>
      <c r="P373" s="22">
        <v>217.089</v>
      </c>
      <c r="Q373" s="22">
        <v>-5.6762699999999998E-3</v>
      </c>
      <c r="R373" s="22">
        <v>363</v>
      </c>
      <c r="S373" s="22">
        <v>1.72729</v>
      </c>
      <c r="T373">
        <f t="shared" si="62"/>
        <v>5.6762699999999997</v>
      </c>
      <c r="U373">
        <f t="shared" si="63"/>
        <v>9.8080836957000006</v>
      </c>
      <c r="X373" s="9"/>
      <c r="Y373" s="22">
        <v>-2.79236E-2</v>
      </c>
      <c r="Z373" s="22">
        <v>299.60199999999998</v>
      </c>
      <c r="AA373" s="22">
        <v>-1.61957E-2</v>
      </c>
      <c r="AB373" s="22">
        <v>363</v>
      </c>
      <c r="AC373" s="22">
        <v>-2.8213499999999999E-2</v>
      </c>
      <c r="AD373">
        <f t="shared" si="64"/>
        <v>16.195699999999999</v>
      </c>
      <c r="AE373">
        <f t="shared" si="65"/>
        <v>-0.45224224851999995</v>
      </c>
      <c r="AF373" s="9"/>
      <c r="AG373" s="22">
        <v>1.7279100000000001</v>
      </c>
      <c r="AH373" s="22">
        <v>384.697</v>
      </c>
      <c r="AI373" s="22">
        <v>-4.49615E-3</v>
      </c>
      <c r="AJ373" s="22">
        <v>363</v>
      </c>
      <c r="AK373" s="22">
        <v>1.72729</v>
      </c>
      <c r="AL373">
        <f t="shared" si="66"/>
        <v>4.4961500000000001</v>
      </c>
      <c r="AM373">
        <f t="shared" si="67"/>
        <v>7.7689425465000008</v>
      </c>
      <c r="AP373" s="9"/>
      <c r="AQ373" s="22">
        <v>-2.79236E-2</v>
      </c>
      <c r="AR373" s="22">
        <v>468.096</v>
      </c>
      <c r="AS373" s="22">
        <v>-1.6213999999999999E-2</v>
      </c>
      <c r="AT373" s="22">
        <v>363</v>
      </c>
      <c r="AU373" s="22">
        <v>-2.8231800000000001E-2</v>
      </c>
      <c r="AV373">
        <f t="shared" si="68"/>
        <v>16.213999999999999</v>
      </c>
      <c r="AW373">
        <f t="shared" si="69"/>
        <v>-0.45275325039999997</v>
      </c>
      <c r="AX373" s="9"/>
      <c r="AY373" s="22">
        <v>1.7279100000000001</v>
      </c>
      <c r="AZ373" s="22">
        <v>590.03</v>
      </c>
      <c r="BA373" s="22">
        <v>-2.1035799999999999E-3</v>
      </c>
      <c r="BB373" s="22">
        <v>363</v>
      </c>
      <c r="BC373" s="22">
        <v>1.72729</v>
      </c>
      <c r="BD373">
        <f t="shared" si="70"/>
        <v>2.10358</v>
      </c>
      <c r="BE373">
        <f t="shared" si="71"/>
        <v>3.6347969178000001</v>
      </c>
    </row>
    <row r="374" spans="6:57">
      <c r="F374" s="9"/>
      <c r="G374" s="22">
        <v>-3.2959000000000002E-2</v>
      </c>
      <c r="H374" s="22">
        <v>109.90300000000001</v>
      </c>
      <c r="I374" s="22">
        <v>-1.6153000000000001E-2</v>
      </c>
      <c r="J374" s="22">
        <v>364</v>
      </c>
      <c r="K374" s="22">
        <v>-3.3050499999999997E-2</v>
      </c>
      <c r="L374">
        <f t="shared" si="60"/>
        <v>16.153000000000002</v>
      </c>
      <c r="M374">
        <f t="shared" si="61"/>
        <v>-0.53238672700000012</v>
      </c>
      <c r="N374" s="9"/>
      <c r="O374" s="22">
        <v>1.7329399999999999</v>
      </c>
      <c r="P374" s="22">
        <v>217.19</v>
      </c>
      <c r="Q374" s="22">
        <v>-4.3499799999999998E-3</v>
      </c>
      <c r="R374" s="22">
        <v>364</v>
      </c>
      <c r="S374" s="22">
        <v>1.73248</v>
      </c>
      <c r="T374">
        <f t="shared" si="62"/>
        <v>4.3499799999999995</v>
      </c>
      <c r="U374">
        <f t="shared" si="63"/>
        <v>7.5382543411999992</v>
      </c>
      <c r="X374" s="9"/>
      <c r="Y374" s="22">
        <v>-3.2959000000000002E-2</v>
      </c>
      <c r="Z374" s="22">
        <v>299.70299999999997</v>
      </c>
      <c r="AA374" s="22">
        <v>-1.61957E-2</v>
      </c>
      <c r="AB374" s="22">
        <v>364</v>
      </c>
      <c r="AC374" s="22">
        <v>-3.32977E-2</v>
      </c>
      <c r="AD374">
        <f t="shared" si="64"/>
        <v>16.195699999999999</v>
      </c>
      <c r="AE374">
        <f t="shared" si="65"/>
        <v>-0.53379407629999998</v>
      </c>
      <c r="AF374" s="9"/>
      <c r="AG374" s="22">
        <v>1.7329399999999999</v>
      </c>
      <c r="AH374" s="22">
        <v>384.79700000000003</v>
      </c>
      <c r="AI374" s="22">
        <v>-2.8729200000000002E-3</v>
      </c>
      <c r="AJ374" s="22">
        <v>364</v>
      </c>
      <c r="AK374" s="22">
        <v>1.7321800000000001</v>
      </c>
      <c r="AL374">
        <f t="shared" si="66"/>
        <v>2.8729200000000001</v>
      </c>
      <c r="AM374">
        <f t="shared" si="67"/>
        <v>4.9785979848000004</v>
      </c>
      <c r="AP374" s="9"/>
      <c r="AQ374" s="22">
        <v>-3.2959000000000002E-2</v>
      </c>
      <c r="AR374" s="22">
        <v>468.197</v>
      </c>
      <c r="AS374" s="22">
        <v>-1.6223100000000001E-2</v>
      </c>
      <c r="AT374" s="22">
        <v>364</v>
      </c>
      <c r="AU374" s="22">
        <v>-3.3242800000000003E-2</v>
      </c>
      <c r="AV374">
        <f t="shared" si="68"/>
        <v>16.223100000000002</v>
      </c>
      <c r="AW374">
        <f t="shared" si="69"/>
        <v>-0.53469715290000008</v>
      </c>
      <c r="AX374" s="9"/>
      <c r="AY374" s="22">
        <v>1.7329399999999999</v>
      </c>
      <c r="AZ374" s="22">
        <v>590.13099999999997</v>
      </c>
      <c r="BA374" s="25">
        <v>-2.6123E-5</v>
      </c>
      <c r="BB374" s="22">
        <v>364</v>
      </c>
      <c r="BC374" s="22">
        <v>1.7327900000000001</v>
      </c>
      <c r="BD374">
        <f t="shared" si="70"/>
        <v>2.6123E-2</v>
      </c>
      <c r="BE374">
        <f t="shared" si="71"/>
        <v>4.5269591620000001E-2</v>
      </c>
    </row>
    <row r="375" spans="6:57">
      <c r="F375" s="9"/>
      <c r="G375" s="22">
        <v>-3.7994399999999998E-2</v>
      </c>
      <c r="H375" s="22">
        <v>110.004</v>
      </c>
      <c r="I375" s="22">
        <v>-1.6156E-2</v>
      </c>
      <c r="J375" s="22">
        <v>365</v>
      </c>
      <c r="K375" s="22">
        <v>-3.8330099999999999E-2</v>
      </c>
      <c r="L375">
        <f t="shared" si="60"/>
        <v>16.155999999999999</v>
      </c>
      <c r="M375">
        <f t="shared" si="61"/>
        <v>-0.61383752639999989</v>
      </c>
      <c r="N375" s="9"/>
      <c r="O375" s="22">
        <v>1.7379800000000001</v>
      </c>
      <c r="P375" s="22">
        <v>217.29</v>
      </c>
      <c r="Q375" s="22">
        <v>-2.73712E-3</v>
      </c>
      <c r="R375" s="22">
        <v>365</v>
      </c>
      <c r="S375" s="22">
        <v>1.73767</v>
      </c>
      <c r="T375">
        <f t="shared" si="62"/>
        <v>2.73712</v>
      </c>
      <c r="U375">
        <f t="shared" si="63"/>
        <v>4.7570598176000001</v>
      </c>
      <c r="X375" s="9"/>
      <c r="Y375" s="22">
        <v>-3.7994399999999998E-2</v>
      </c>
      <c r="Z375" s="22">
        <v>299.80399999999997</v>
      </c>
      <c r="AA375" s="22">
        <v>-1.6201799999999999E-2</v>
      </c>
      <c r="AB375" s="22">
        <v>365</v>
      </c>
      <c r="AC375" s="22">
        <v>-3.8073700000000002E-2</v>
      </c>
      <c r="AD375">
        <f t="shared" si="64"/>
        <v>16.201799999999999</v>
      </c>
      <c r="AE375">
        <f t="shared" si="65"/>
        <v>-0.61557766991999996</v>
      </c>
      <c r="AF375" s="9"/>
      <c r="AG375" s="22">
        <v>1.7379800000000001</v>
      </c>
      <c r="AH375" s="22">
        <v>384.89800000000002</v>
      </c>
      <c r="AI375" s="22">
        <v>-1.0726900000000001E-3</v>
      </c>
      <c r="AJ375" s="22">
        <v>365</v>
      </c>
      <c r="AK375" s="22">
        <v>1.7373700000000001</v>
      </c>
      <c r="AL375">
        <f t="shared" si="66"/>
        <v>1.0726900000000001</v>
      </c>
      <c r="AM375">
        <f t="shared" si="67"/>
        <v>1.8643137662000004</v>
      </c>
      <c r="AP375" s="9"/>
      <c r="AQ375" s="22">
        <v>-3.7994399999999998E-2</v>
      </c>
      <c r="AR375" s="22">
        <v>468.298</v>
      </c>
      <c r="AS375" s="22">
        <v>-1.6213999999999999E-2</v>
      </c>
      <c r="AT375" s="22">
        <v>365</v>
      </c>
      <c r="AU375" s="22">
        <v>-3.8333100000000002E-2</v>
      </c>
      <c r="AV375">
        <f t="shared" si="68"/>
        <v>16.213999999999999</v>
      </c>
      <c r="AW375">
        <f t="shared" si="69"/>
        <v>-0.61604120159999987</v>
      </c>
      <c r="AX375" s="9"/>
      <c r="AY375" s="22">
        <v>1.7379800000000001</v>
      </c>
      <c r="AZ375" s="22">
        <v>590.23199999999997</v>
      </c>
      <c r="BA375" s="22">
        <v>3.0584700000000002E-3</v>
      </c>
      <c r="BB375" s="22">
        <v>365</v>
      </c>
      <c r="BC375" s="22">
        <v>1.73767</v>
      </c>
      <c r="BD375">
        <f t="shared" si="70"/>
        <v>-3.0584700000000002</v>
      </c>
      <c r="BE375">
        <f t="shared" si="71"/>
        <v>-5.3155596906000007</v>
      </c>
    </row>
    <row r="376" spans="6:57">
      <c r="F376" s="9"/>
      <c r="G376" s="22">
        <v>-4.30298E-2</v>
      </c>
      <c r="H376" s="22">
        <v>110.104</v>
      </c>
      <c r="I376" s="22">
        <v>-1.6149899999999998E-2</v>
      </c>
      <c r="J376" s="22">
        <v>366</v>
      </c>
      <c r="K376" s="22">
        <v>-4.3402099999999999E-2</v>
      </c>
      <c r="L376">
        <f t="shared" si="60"/>
        <v>16.149899999999999</v>
      </c>
      <c r="M376">
        <f t="shared" si="61"/>
        <v>-0.6949269670199999</v>
      </c>
      <c r="N376" s="9"/>
      <c r="O376" s="22">
        <v>1.7430099999999999</v>
      </c>
      <c r="P376" s="22">
        <v>217.39099999999999</v>
      </c>
      <c r="Q376" s="22">
        <v>-5.3253199999999995E-4</v>
      </c>
      <c r="R376" s="22">
        <v>366</v>
      </c>
      <c r="S376" s="22">
        <v>1.7422500000000001</v>
      </c>
      <c r="T376">
        <f t="shared" si="62"/>
        <v>0.53253199999999989</v>
      </c>
      <c r="U376">
        <f t="shared" si="63"/>
        <v>0.92820860131999983</v>
      </c>
      <c r="X376" s="9"/>
      <c r="Y376" s="22">
        <v>-4.30298E-2</v>
      </c>
      <c r="Z376" s="22">
        <v>299.904</v>
      </c>
      <c r="AA376" s="22">
        <v>-1.61957E-2</v>
      </c>
      <c r="AB376" s="22">
        <v>366</v>
      </c>
      <c r="AC376" s="22">
        <v>-4.36157E-2</v>
      </c>
      <c r="AD376">
        <f t="shared" si="64"/>
        <v>16.195699999999999</v>
      </c>
      <c r="AE376">
        <f t="shared" si="65"/>
        <v>-0.69689773185999992</v>
      </c>
      <c r="AF376" s="9"/>
      <c r="AG376" s="22">
        <v>1.7430099999999999</v>
      </c>
      <c r="AH376" s="22">
        <v>384.99900000000002</v>
      </c>
      <c r="AI376" s="22">
        <v>1.7935200000000001E-3</v>
      </c>
      <c r="AJ376" s="22">
        <v>366</v>
      </c>
      <c r="AK376" s="22">
        <v>1.74194</v>
      </c>
      <c r="AL376">
        <f t="shared" si="66"/>
        <v>-1.79352</v>
      </c>
      <c r="AM376">
        <f t="shared" si="67"/>
        <v>-3.1261232951999998</v>
      </c>
      <c r="AP376" s="9"/>
      <c r="AQ376" s="22">
        <v>-4.30298E-2</v>
      </c>
      <c r="AR376" s="22">
        <v>468.39800000000002</v>
      </c>
      <c r="AS376" s="22">
        <v>-1.6213999999999999E-2</v>
      </c>
      <c r="AT376" s="22">
        <v>366</v>
      </c>
      <c r="AU376" s="22">
        <v>-4.3475300000000001E-2</v>
      </c>
      <c r="AV376">
        <f t="shared" si="68"/>
        <v>16.213999999999999</v>
      </c>
      <c r="AW376">
        <f t="shared" si="69"/>
        <v>-0.6976851771999999</v>
      </c>
      <c r="AX376" s="9"/>
      <c r="AY376" s="22">
        <v>1.7430099999999999</v>
      </c>
      <c r="AZ376" s="22">
        <v>590.33199999999999</v>
      </c>
      <c r="BA376" s="22">
        <v>7.3089599999999998E-3</v>
      </c>
      <c r="BB376" s="22">
        <v>366</v>
      </c>
      <c r="BC376" s="22">
        <v>1.74255</v>
      </c>
      <c r="BD376">
        <f t="shared" si="70"/>
        <v>-7.3089599999999999</v>
      </c>
      <c r="BE376">
        <f t="shared" si="71"/>
        <v>-12.7395903696</v>
      </c>
    </row>
    <row r="377" spans="6:57">
      <c r="F377" s="9"/>
      <c r="G377" s="22">
        <v>-4.8065200000000002E-2</v>
      </c>
      <c r="H377" s="22">
        <v>110.205</v>
      </c>
      <c r="I377" s="22">
        <v>-1.6156E-2</v>
      </c>
      <c r="J377" s="22">
        <v>367</v>
      </c>
      <c r="K377" s="22">
        <v>-4.84406E-2</v>
      </c>
      <c r="L377">
        <f t="shared" si="60"/>
        <v>16.155999999999999</v>
      </c>
      <c r="M377">
        <f t="shared" si="61"/>
        <v>-0.7765413712</v>
      </c>
      <c r="N377" s="9"/>
      <c r="O377" s="22">
        <v>1.7480500000000001</v>
      </c>
      <c r="P377" s="22">
        <v>217.49199999999999</v>
      </c>
      <c r="Q377" s="22">
        <v>2.49847E-3</v>
      </c>
      <c r="R377" s="22">
        <v>367</v>
      </c>
      <c r="S377" s="22">
        <v>1.7465200000000001</v>
      </c>
      <c r="T377">
        <f t="shared" si="62"/>
        <v>-2.4984700000000002</v>
      </c>
      <c r="U377">
        <f t="shared" si="63"/>
        <v>-4.3674504835000008</v>
      </c>
      <c r="X377" s="9"/>
      <c r="Y377" s="22">
        <v>-4.8065200000000002E-2</v>
      </c>
      <c r="Z377" s="22">
        <v>300.005</v>
      </c>
      <c r="AA377" s="22">
        <v>-1.61957E-2</v>
      </c>
      <c r="AB377" s="22">
        <v>367</v>
      </c>
      <c r="AC377" s="22">
        <v>-4.8419200000000003E-2</v>
      </c>
      <c r="AD377">
        <f t="shared" si="64"/>
        <v>16.195699999999999</v>
      </c>
      <c r="AE377">
        <f t="shared" si="65"/>
        <v>-0.77844955963999996</v>
      </c>
      <c r="AF377" s="9"/>
      <c r="AG377" s="22">
        <v>1.7480500000000001</v>
      </c>
      <c r="AH377" s="22">
        <v>385.1</v>
      </c>
      <c r="AI377" s="22">
        <v>5.7342499999999998E-3</v>
      </c>
      <c r="AJ377" s="22">
        <v>367</v>
      </c>
      <c r="AK377" s="22">
        <v>1.7471300000000001</v>
      </c>
      <c r="AL377">
        <f t="shared" si="66"/>
        <v>-5.7342499999999994</v>
      </c>
      <c r="AM377">
        <f t="shared" si="67"/>
        <v>-10.0237557125</v>
      </c>
      <c r="AP377" s="9"/>
      <c r="AQ377" s="22">
        <v>-4.8065200000000002E-2</v>
      </c>
      <c r="AR377" s="22">
        <v>468.49900000000002</v>
      </c>
      <c r="AS377" s="22">
        <v>-1.62109E-2</v>
      </c>
      <c r="AT377" s="22">
        <v>367</v>
      </c>
      <c r="AU377" s="22">
        <v>-4.8443600000000003E-2</v>
      </c>
      <c r="AV377">
        <f t="shared" si="68"/>
        <v>16.210899999999999</v>
      </c>
      <c r="AW377">
        <f t="shared" si="69"/>
        <v>-0.77918015068000002</v>
      </c>
      <c r="AX377" s="9"/>
      <c r="AY377" s="22">
        <v>1.7480500000000001</v>
      </c>
      <c r="AZ377" s="22">
        <v>590.43299999999999</v>
      </c>
      <c r="BA377" s="22">
        <v>1.16852E-2</v>
      </c>
      <c r="BB377" s="22">
        <v>367</v>
      </c>
      <c r="BC377" s="22">
        <v>1.7474400000000001</v>
      </c>
      <c r="BD377">
        <f t="shared" si="70"/>
        <v>-11.6852</v>
      </c>
      <c r="BE377">
        <f t="shared" si="71"/>
        <v>-20.42631386</v>
      </c>
    </row>
    <row r="378" spans="6:57">
      <c r="F378" s="9"/>
      <c r="G378" s="22">
        <v>-5.3100599999999998E-2</v>
      </c>
      <c r="H378" s="22">
        <v>110.306</v>
      </c>
      <c r="I378" s="22">
        <v>-1.6156E-2</v>
      </c>
      <c r="J378" s="22">
        <v>368</v>
      </c>
      <c r="K378" s="22">
        <v>-5.3588900000000002E-2</v>
      </c>
      <c r="L378">
        <f t="shared" si="60"/>
        <v>16.155999999999999</v>
      </c>
      <c r="M378">
        <f t="shared" si="61"/>
        <v>-0.85789329359999988</v>
      </c>
      <c r="N378" s="9"/>
      <c r="O378" s="22">
        <v>1.75308</v>
      </c>
      <c r="P378" s="22">
        <v>217.59299999999999</v>
      </c>
      <c r="Q378" s="22">
        <v>6.4910899999999997E-3</v>
      </c>
      <c r="R378" s="22">
        <v>368</v>
      </c>
      <c r="S378" s="22">
        <v>1.7526200000000001</v>
      </c>
      <c r="T378">
        <f t="shared" si="62"/>
        <v>-6.4910899999999998</v>
      </c>
      <c r="U378">
        <f t="shared" si="63"/>
        <v>-11.3794000572</v>
      </c>
      <c r="X378" s="9"/>
      <c r="Y378" s="22">
        <v>-5.3100599999999998E-2</v>
      </c>
      <c r="Z378" s="22">
        <v>300.10599999999999</v>
      </c>
      <c r="AA378" s="22">
        <v>-1.6207900000000001E-2</v>
      </c>
      <c r="AB378" s="22">
        <v>368</v>
      </c>
      <c r="AC378" s="22">
        <v>-5.35278E-2</v>
      </c>
      <c r="AD378">
        <f t="shared" si="64"/>
        <v>16.207900000000002</v>
      </c>
      <c r="AE378">
        <f t="shared" si="65"/>
        <v>-0.86064921474000011</v>
      </c>
      <c r="AF378" s="9"/>
      <c r="AG378" s="22">
        <v>1.75308</v>
      </c>
      <c r="AH378" s="22">
        <v>385.2</v>
      </c>
      <c r="AI378" s="22">
        <v>1.0351600000000001E-2</v>
      </c>
      <c r="AJ378" s="22">
        <v>368</v>
      </c>
      <c r="AK378" s="22">
        <v>1.7517100000000001</v>
      </c>
      <c r="AL378">
        <f t="shared" si="66"/>
        <v>-10.351600000000001</v>
      </c>
      <c r="AM378">
        <f t="shared" si="67"/>
        <v>-18.147182928000003</v>
      </c>
      <c r="AP378" s="9"/>
      <c r="AQ378" s="22">
        <v>-5.3100599999999998E-2</v>
      </c>
      <c r="AR378" s="22">
        <v>468.6</v>
      </c>
      <c r="AS378" s="22">
        <v>-1.6207900000000001E-2</v>
      </c>
      <c r="AT378" s="22">
        <v>368</v>
      </c>
      <c r="AU378" s="22">
        <v>-5.3680400000000003E-2</v>
      </c>
      <c r="AV378">
        <f t="shared" si="68"/>
        <v>16.207900000000002</v>
      </c>
      <c r="AW378">
        <f t="shared" si="69"/>
        <v>-0.86064921474000011</v>
      </c>
      <c r="AX378" s="9"/>
      <c r="AY378" s="22">
        <v>1.75308</v>
      </c>
      <c r="AZ378" s="22">
        <v>590.53399999999999</v>
      </c>
      <c r="BA378" s="22">
        <v>1.6677899999999999E-2</v>
      </c>
      <c r="BB378" s="22">
        <v>368</v>
      </c>
      <c r="BC378" s="22">
        <v>1.7523200000000001</v>
      </c>
      <c r="BD378">
        <f t="shared" si="70"/>
        <v>-16.677899999999998</v>
      </c>
      <c r="BE378">
        <f t="shared" si="71"/>
        <v>-29.237692931999995</v>
      </c>
    </row>
    <row r="379" spans="6:57">
      <c r="F379" s="9"/>
      <c r="G379" s="22">
        <v>-5.8136E-2</v>
      </c>
      <c r="H379" s="22">
        <v>110.40600000000001</v>
      </c>
      <c r="I379" s="22">
        <v>-1.6153000000000001E-2</v>
      </c>
      <c r="J379" s="22">
        <v>369</v>
      </c>
      <c r="K379" s="22">
        <v>-5.8746300000000001E-2</v>
      </c>
      <c r="L379">
        <f t="shared" si="60"/>
        <v>16.153000000000002</v>
      </c>
      <c r="M379">
        <f t="shared" si="61"/>
        <v>-0.93907080800000009</v>
      </c>
      <c r="N379" s="9"/>
      <c r="O379" s="22">
        <v>1.7581199999999999</v>
      </c>
      <c r="P379" s="22">
        <v>217.69300000000001</v>
      </c>
      <c r="Q379" s="22">
        <v>1.13312E-2</v>
      </c>
      <c r="R379" s="22">
        <v>369</v>
      </c>
      <c r="S379" s="22">
        <v>1.7575099999999999</v>
      </c>
      <c r="T379">
        <f t="shared" si="62"/>
        <v>-11.331199999999999</v>
      </c>
      <c r="U379">
        <f t="shared" si="63"/>
        <v>-19.921609343999997</v>
      </c>
      <c r="X379" s="9"/>
      <c r="Y379" s="22">
        <v>-5.8136E-2</v>
      </c>
      <c r="Z379" s="22">
        <v>300.20699999999999</v>
      </c>
      <c r="AA379" s="22">
        <v>-1.61987E-2</v>
      </c>
      <c r="AB379" s="22">
        <v>369</v>
      </c>
      <c r="AC379" s="22">
        <v>-5.8807400000000003E-2</v>
      </c>
      <c r="AD379">
        <f t="shared" si="64"/>
        <v>16.198699999999999</v>
      </c>
      <c r="AE379">
        <f t="shared" si="65"/>
        <v>-0.94172762319999992</v>
      </c>
      <c r="AF379" s="9"/>
      <c r="AG379" s="22">
        <v>1.7581199999999999</v>
      </c>
      <c r="AH379" s="22">
        <v>385.30099999999999</v>
      </c>
      <c r="AI379" s="22">
        <v>1.5478499999999999E-2</v>
      </c>
      <c r="AJ379" s="22">
        <v>369</v>
      </c>
      <c r="AK379" s="22">
        <v>1.7581199999999999</v>
      </c>
      <c r="AL379">
        <f t="shared" si="66"/>
        <v>-15.478499999999999</v>
      </c>
      <c r="AM379">
        <f t="shared" si="67"/>
        <v>-27.213060419999994</v>
      </c>
      <c r="AP379" s="9"/>
      <c r="AQ379" s="22">
        <v>-5.8136E-2</v>
      </c>
      <c r="AR379" s="22">
        <v>468.7</v>
      </c>
      <c r="AS379" s="22">
        <v>-1.6213999999999999E-2</v>
      </c>
      <c r="AT379" s="22">
        <v>369</v>
      </c>
      <c r="AU379" s="22">
        <v>-5.87769E-2</v>
      </c>
      <c r="AV379">
        <f t="shared" si="68"/>
        <v>16.213999999999999</v>
      </c>
      <c r="AW379">
        <f t="shared" si="69"/>
        <v>-0.94261710399999987</v>
      </c>
      <c r="AX379" s="9"/>
      <c r="AY379" s="22">
        <v>1.7581199999999999</v>
      </c>
      <c r="AZ379" s="22">
        <v>590.63400000000001</v>
      </c>
      <c r="BA379" s="22">
        <v>2.2030600000000001E-2</v>
      </c>
      <c r="BB379" s="22">
        <v>369</v>
      </c>
      <c r="BC379" s="22">
        <v>1.7575099999999999</v>
      </c>
      <c r="BD379">
        <f t="shared" si="70"/>
        <v>-22.0306</v>
      </c>
      <c r="BE379">
        <f t="shared" si="71"/>
        <v>-38.732438471999998</v>
      </c>
    </row>
    <row r="380" spans="6:57">
      <c r="F380" s="9"/>
      <c r="G380" s="22">
        <v>-6.3171400000000003E-2</v>
      </c>
      <c r="H380" s="22">
        <v>110.50700000000001</v>
      </c>
      <c r="I380" s="22">
        <v>-1.6159099999999999E-2</v>
      </c>
      <c r="J380" s="22">
        <v>370</v>
      </c>
      <c r="K380" s="22">
        <v>-6.3720700000000005E-2</v>
      </c>
      <c r="L380">
        <f t="shared" si="60"/>
        <v>16.159099999999999</v>
      </c>
      <c r="M380">
        <f t="shared" si="61"/>
        <v>-1.02079296974</v>
      </c>
      <c r="N380" s="9"/>
      <c r="O380" s="22">
        <v>1.76315</v>
      </c>
      <c r="P380" s="22">
        <v>217.79400000000001</v>
      </c>
      <c r="Q380" s="22">
        <v>1.65375E-2</v>
      </c>
      <c r="R380" s="22">
        <v>370</v>
      </c>
      <c r="S380" s="22">
        <v>1.7620800000000001</v>
      </c>
      <c r="T380">
        <f t="shared" si="62"/>
        <v>-16.537500000000001</v>
      </c>
      <c r="U380">
        <f t="shared" si="63"/>
        <v>-29.158093125000004</v>
      </c>
      <c r="X380" s="9"/>
      <c r="Y380" s="22">
        <v>-6.3171400000000003E-2</v>
      </c>
      <c r="Z380" s="22">
        <v>300.30700000000002</v>
      </c>
      <c r="AA380" s="22">
        <v>-1.6201799999999999E-2</v>
      </c>
      <c r="AB380" s="22">
        <v>370</v>
      </c>
      <c r="AC380" s="22">
        <v>-6.3720700000000005E-2</v>
      </c>
      <c r="AD380">
        <f t="shared" si="64"/>
        <v>16.201799999999999</v>
      </c>
      <c r="AE380">
        <f t="shared" si="65"/>
        <v>-1.02349038852</v>
      </c>
      <c r="AF380" s="9"/>
      <c r="AG380" s="22">
        <v>1.76315</v>
      </c>
      <c r="AH380" s="22">
        <v>385.40199999999999</v>
      </c>
      <c r="AI380" s="22">
        <v>2.0785499999999998E-2</v>
      </c>
      <c r="AJ380" s="22">
        <v>370</v>
      </c>
      <c r="AK380" s="22">
        <v>1.7626999999999999</v>
      </c>
      <c r="AL380">
        <f t="shared" si="66"/>
        <v>-20.785499999999999</v>
      </c>
      <c r="AM380">
        <f t="shared" si="67"/>
        <v>-36.647954325000001</v>
      </c>
      <c r="AP380" s="9"/>
      <c r="AQ380" s="22">
        <v>-6.3171400000000003E-2</v>
      </c>
      <c r="AR380" s="22">
        <v>468.80099999999999</v>
      </c>
      <c r="AS380" s="22">
        <v>-1.6213999999999999E-2</v>
      </c>
      <c r="AT380" s="22">
        <v>370</v>
      </c>
      <c r="AU380" s="22">
        <v>-6.3568100000000002E-2</v>
      </c>
      <c r="AV380">
        <f t="shared" si="68"/>
        <v>16.213999999999999</v>
      </c>
      <c r="AW380">
        <f t="shared" si="69"/>
        <v>-1.0242610796</v>
      </c>
      <c r="AX380" s="9"/>
      <c r="AY380" s="22">
        <v>1.76315</v>
      </c>
      <c r="AZ380" s="22">
        <v>590.73500000000001</v>
      </c>
      <c r="BA380" s="22">
        <v>2.74597E-2</v>
      </c>
      <c r="BB380" s="22">
        <v>370</v>
      </c>
      <c r="BC380" s="22">
        <v>1.7629999999999999</v>
      </c>
      <c r="BD380">
        <f t="shared" si="70"/>
        <v>-27.459700000000002</v>
      </c>
      <c r="BE380">
        <f t="shared" si="71"/>
        <v>-48.415570055000003</v>
      </c>
    </row>
    <row r="381" spans="6:57">
      <c r="F381" s="9"/>
      <c r="G381" s="22">
        <v>-6.8206799999999998E-2</v>
      </c>
      <c r="H381" s="22">
        <v>110.608</v>
      </c>
      <c r="I381" s="22">
        <v>-1.6156E-2</v>
      </c>
      <c r="J381" s="22">
        <v>371</v>
      </c>
      <c r="K381" s="22">
        <v>-6.8664600000000006E-2</v>
      </c>
      <c r="L381">
        <f t="shared" si="60"/>
        <v>16.155999999999999</v>
      </c>
      <c r="M381">
        <f t="shared" si="61"/>
        <v>-1.1019490608</v>
      </c>
      <c r="N381" s="9"/>
      <c r="O381" s="22">
        <v>1.7681899999999999</v>
      </c>
      <c r="P381" s="22">
        <v>217.89500000000001</v>
      </c>
      <c r="Q381" s="22">
        <v>2.2244300000000002E-2</v>
      </c>
      <c r="R381" s="22">
        <v>371</v>
      </c>
      <c r="S381" s="22">
        <v>1.7672699999999999</v>
      </c>
      <c r="T381">
        <f t="shared" si="62"/>
        <v>-22.244300000000003</v>
      </c>
      <c r="U381">
        <f t="shared" si="63"/>
        <v>-39.332148817000004</v>
      </c>
      <c r="X381" s="9"/>
      <c r="Y381" s="22">
        <v>-6.8206799999999998E-2</v>
      </c>
      <c r="Z381" s="22">
        <v>300.40800000000002</v>
      </c>
      <c r="AA381" s="22">
        <v>-1.6204799999999998E-2</v>
      </c>
      <c r="AB381" s="22">
        <v>371</v>
      </c>
      <c r="AC381" s="22">
        <v>-6.8908700000000003E-2</v>
      </c>
      <c r="AD381">
        <f t="shared" si="64"/>
        <v>16.204799999999999</v>
      </c>
      <c r="AE381">
        <f t="shared" si="65"/>
        <v>-1.1052775526399998</v>
      </c>
      <c r="AF381" s="9"/>
      <c r="AG381" s="22">
        <v>1.7681899999999999</v>
      </c>
      <c r="AH381" s="22">
        <v>385.50200000000001</v>
      </c>
      <c r="AI381" s="22">
        <v>2.6507599999999999E-2</v>
      </c>
      <c r="AJ381" s="22">
        <v>371</v>
      </c>
      <c r="AK381" s="22">
        <v>1.7672699999999999</v>
      </c>
      <c r="AL381">
        <f t="shared" si="66"/>
        <v>-26.5076</v>
      </c>
      <c r="AM381">
        <f t="shared" si="67"/>
        <v>-46.870473243999996</v>
      </c>
      <c r="AP381" s="9"/>
      <c r="AQ381" s="22">
        <v>-6.8206799999999998E-2</v>
      </c>
      <c r="AR381" s="22">
        <v>468.90199999999999</v>
      </c>
      <c r="AS381" s="22">
        <v>-1.6216999999999999E-2</v>
      </c>
      <c r="AT381" s="22">
        <v>371</v>
      </c>
      <c r="AU381" s="22">
        <v>-6.8817100000000006E-2</v>
      </c>
      <c r="AV381">
        <f t="shared" si="68"/>
        <v>16.216999999999999</v>
      </c>
      <c r="AW381">
        <f t="shared" si="69"/>
        <v>-1.1061096756</v>
      </c>
      <c r="AX381" s="9"/>
      <c r="AY381" s="22">
        <v>1.7681899999999999</v>
      </c>
      <c r="AZ381" s="22">
        <v>590.83600000000001</v>
      </c>
      <c r="BA381" s="22">
        <v>3.3200100000000003E-2</v>
      </c>
      <c r="BB381" s="22">
        <v>371</v>
      </c>
      <c r="BC381" s="22">
        <v>1.7672699999999999</v>
      </c>
      <c r="BD381">
        <f t="shared" si="70"/>
        <v>-33.200100000000006</v>
      </c>
      <c r="BE381">
        <f t="shared" si="71"/>
        <v>-58.704084819000009</v>
      </c>
    </row>
    <row r="382" spans="6:57">
      <c r="F382" s="9"/>
      <c r="G382" s="22">
        <v>-7.3242199999999993E-2</v>
      </c>
      <c r="H382" s="22">
        <v>110.709</v>
      </c>
      <c r="I382" s="22">
        <v>-1.6156E-2</v>
      </c>
      <c r="J382" s="22">
        <v>372</v>
      </c>
      <c r="K382" s="22">
        <v>-7.3791499999999996E-2</v>
      </c>
      <c r="L382">
        <f t="shared" si="60"/>
        <v>16.155999999999999</v>
      </c>
      <c r="M382">
        <f t="shared" si="61"/>
        <v>-1.1833009831999999</v>
      </c>
      <c r="N382" s="9"/>
      <c r="O382" s="22">
        <v>1.77322</v>
      </c>
      <c r="P382" s="22">
        <v>217.995</v>
      </c>
      <c r="Q382" s="22">
        <v>2.8183E-2</v>
      </c>
      <c r="R382" s="22">
        <v>372</v>
      </c>
      <c r="S382" s="22">
        <v>1.77277</v>
      </c>
      <c r="T382">
        <f t="shared" si="62"/>
        <v>-28.183</v>
      </c>
      <c r="U382">
        <f t="shared" si="63"/>
        <v>-49.974659260000003</v>
      </c>
      <c r="X382" s="9"/>
      <c r="Y382" s="22">
        <v>-7.3242199999999993E-2</v>
      </c>
      <c r="Z382" s="22">
        <v>300.50900000000001</v>
      </c>
      <c r="AA382" s="22">
        <v>-1.6201799999999999E-2</v>
      </c>
      <c r="AB382" s="22">
        <v>372</v>
      </c>
      <c r="AC382" s="22">
        <v>-7.3638899999999993E-2</v>
      </c>
      <c r="AD382">
        <f t="shared" si="64"/>
        <v>16.201799999999999</v>
      </c>
      <c r="AE382">
        <f t="shared" si="65"/>
        <v>-1.1866554759599999</v>
      </c>
      <c r="AF382" s="9"/>
      <c r="AG382" s="22">
        <v>1.77322</v>
      </c>
      <c r="AH382" s="22">
        <v>385.60300000000001</v>
      </c>
      <c r="AI382" s="22">
        <v>3.2443199999999998E-2</v>
      </c>
      <c r="AJ382" s="22">
        <v>372</v>
      </c>
      <c r="AK382" s="22">
        <v>1.77277</v>
      </c>
      <c r="AL382">
        <f t="shared" si="66"/>
        <v>-32.443199999999997</v>
      </c>
      <c r="AM382">
        <f t="shared" si="67"/>
        <v>-57.528931103999994</v>
      </c>
      <c r="AP382" s="9"/>
      <c r="AQ382" s="22">
        <v>-7.3242199999999993E-2</v>
      </c>
      <c r="AR382" s="22">
        <v>469.00299999999999</v>
      </c>
      <c r="AS382" s="22">
        <v>-1.6213999999999999E-2</v>
      </c>
      <c r="AT382" s="22">
        <v>372</v>
      </c>
      <c r="AU382" s="22">
        <v>-7.3760999999999993E-2</v>
      </c>
      <c r="AV382">
        <f t="shared" si="68"/>
        <v>16.213999999999999</v>
      </c>
      <c r="AW382">
        <f t="shared" si="69"/>
        <v>-1.1875490307999998</v>
      </c>
      <c r="AX382" s="9"/>
      <c r="AY382" s="22">
        <v>1.77322</v>
      </c>
      <c r="AZ382" s="22">
        <v>590.93700000000001</v>
      </c>
      <c r="BA382" s="22">
        <v>3.9028899999999998E-2</v>
      </c>
      <c r="BB382" s="22">
        <v>372</v>
      </c>
      <c r="BC382" s="22">
        <v>1.77277</v>
      </c>
      <c r="BD382">
        <f t="shared" si="70"/>
        <v>-39.0289</v>
      </c>
      <c r="BE382">
        <f t="shared" si="71"/>
        <v>-69.206826058000004</v>
      </c>
    </row>
    <row r="383" spans="6:57">
      <c r="F383" s="9"/>
      <c r="G383" s="22">
        <v>-7.8277600000000003E-2</v>
      </c>
      <c r="H383" s="22">
        <v>110.809</v>
      </c>
      <c r="I383" s="22">
        <v>-1.6153000000000001E-2</v>
      </c>
      <c r="J383" s="22">
        <v>373</v>
      </c>
      <c r="K383" s="22">
        <v>-7.8857399999999994E-2</v>
      </c>
      <c r="L383">
        <f t="shared" si="60"/>
        <v>16.153000000000002</v>
      </c>
      <c r="M383">
        <f t="shared" si="61"/>
        <v>-1.2644180728000003</v>
      </c>
      <c r="N383" s="9"/>
      <c r="O383" s="22">
        <v>1.77826</v>
      </c>
      <c r="P383" s="22">
        <v>218.096</v>
      </c>
      <c r="Q383" s="22">
        <v>3.4289600000000003E-2</v>
      </c>
      <c r="R383" s="22">
        <v>373</v>
      </c>
      <c r="S383" s="22">
        <v>1.77765</v>
      </c>
      <c r="T383">
        <f t="shared" si="62"/>
        <v>-34.2896</v>
      </c>
      <c r="U383">
        <f t="shared" si="63"/>
        <v>-60.975824095999997</v>
      </c>
      <c r="X383" s="9"/>
      <c r="Y383" s="22">
        <v>-7.8277600000000003E-2</v>
      </c>
      <c r="Z383" s="22">
        <v>300.60899999999998</v>
      </c>
      <c r="AA383" s="22">
        <v>-1.61957E-2</v>
      </c>
      <c r="AB383" s="22">
        <v>373</v>
      </c>
      <c r="AC383" s="22">
        <v>-7.8949000000000005E-2</v>
      </c>
      <c r="AD383">
        <f t="shared" si="64"/>
        <v>16.195699999999999</v>
      </c>
      <c r="AE383">
        <f t="shared" si="65"/>
        <v>-1.26776052632</v>
      </c>
      <c r="AF383" s="9"/>
      <c r="AG383" s="22">
        <v>1.77826</v>
      </c>
      <c r="AH383" s="22">
        <v>385.70400000000001</v>
      </c>
      <c r="AI383" s="22">
        <v>3.7954700000000001E-2</v>
      </c>
      <c r="AJ383" s="22">
        <v>373</v>
      </c>
      <c r="AK383" s="22">
        <v>1.77765</v>
      </c>
      <c r="AL383">
        <f t="shared" si="66"/>
        <v>-37.954700000000003</v>
      </c>
      <c r="AM383">
        <f t="shared" si="67"/>
        <v>-67.493324822000005</v>
      </c>
      <c r="AP383" s="9"/>
      <c r="AQ383" s="22">
        <v>-7.8277600000000003E-2</v>
      </c>
      <c r="AR383" s="22">
        <v>469.10300000000001</v>
      </c>
      <c r="AS383" s="22">
        <v>-1.6207900000000001E-2</v>
      </c>
      <c r="AT383" s="22">
        <v>373</v>
      </c>
      <c r="AU383" s="22">
        <v>-7.87659E-2</v>
      </c>
      <c r="AV383">
        <f t="shared" si="68"/>
        <v>16.207900000000002</v>
      </c>
      <c r="AW383">
        <f t="shared" si="69"/>
        <v>-1.2687155130400003</v>
      </c>
      <c r="AX383" s="9"/>
      <c r="AY383" s="22">
        <v>1.77826</v>
      </c>
      <c r="AZ383" s="22">
        <v>591.03700000000003</v>
      </c>
      <c r="BA383" s="22">
        <v>4.5144700000000003E-2</v>
      </c>
      <c r="BB383" s="22">
        <v>373</v>
      </c>
      <c r="BC383" s="22">
        <v>1.77765</v>
      </c>
      <c r="BD383">
        <f t="shared" si="70"/>
        <v>-45.1447</v>
      </c>
      <c r="BE383">
        <f t="shared" si="71"/>
        <v>-80.279014222000001</v>
      </c>
    </row>
    <row r="384" spans="6:57">
      <c r="F384" s="9"/>
      <c r="G384" s="22">
        <v>-8.3312999999999998E-2</v>
      </c>
      <c r="H384" s="22">
        <v>110.91</v>
      </c>
      <c r="I384" s="22">
        <v>-1.6159099999999999E-2</v>
      </c>
      <c r="J384" s="22">
        <v>374</v>
      </c>
      <c r="K384" s="22">
        <v>-8.3801299999999995E-2</v>
      </c>
      <c r="L384">
        <f t="shared" si="60"/>
        <v>16.159099999999999</v>
      </c>
      <c r="M384">
        <f t="shared" si="61"/>
        <v>-1.3462630982999999</v>
      </c>
      <c r="N384" s="9"/>
      <c r="O384" s="22">
        <v>1.78329</v>
      </c>
      <c r="P384" s="22">
        <v>218.197</v>
      </c>
      <c r="Q384" s="22">
        <v>4.0612799999999998E-2</v>
      </c>
      <c r="R384" s="22">
        <v>374</v>
      </c>
      <c r="S384" s="22">
        <v>1.78284</v>
      </c>
      <c r="T384">
        <f t="shared" si="62"/>
        <v>-40.6128</v>
      </c>
      <c r="U384">
        <f t="shared" si="63"/>
        <v>-72.424400112000001</v>
      </c>
      <c r="X384" s="9"/>
      <c r="Y384" s="22">
        <v>-8.3312999999999998E-2</v>
      </c>
      <c r="Z384" s="22">
        <v>300.70999999999998</v>
      </c>
      <c r="AA384" s="22">
        <v>-1.62109E-2</v>
      </c>
      <c r="AB384" s="22">
        <v>374</v>
      </c>
      <c r="AC384" s="22">
        <v>-8.4045400000000006E-2</v>
      </c>
      <c r="AD384">
        <f t="shared" si="64"/>
        <v>16.210899999999999</v>
      </c>
      <c r="AE384">
        <f t="shared" si="65"/>
        <v>-1.3505787116999999</v>
      </c>
      <c r="AF384" s="9"/>
      <c r="AG384" s="22">
        <v>1.78329</v>
      </c>
      <c r="AH384" s="22">
        <v>385.80500000000001</v>
      </c>
      <c r="AI384" s="22">
        <v>4.3868999999999998E-2</v>
      </c>
      <c r="AJ384" s="22">
        <v>374</v>
      </c>
      <c r="AK384" s="22">
        <v>1.78284</v>
      </c>
      <c r="AL384">
        <f t="shared" si="66"/>
        <v>-43.869</v>
      </c>
      <c r="AM384">
        <f t="shared" si="67"/>
        <v>-78.231149009999996</v>
      </c>
      <c r="AP384" s="9"/>
      <c r="AQ384" s="22">
        <v>-8.3312999999999998E-2</v>
      </c>
      <c r="AR384" s="22">
        <v>469.20400000000001</v>
      </c>
      <c r="AS384" s="22">
        <v>-1.6213999999999999E-2</v>
      </c>
      <c r="AT384" s="22">
        <v>374</v>
      </c>
      <c r="AU384" s="22">
        <v>-8.3984400000000001E-2</v>
      </c>
      <c r="AV384">
        <f t="shared" si="68"/>
        <v>16.213999999999999</v>
      </c>
      <c r="AW384">
        <f t="shared" si="69"/>
        <v>-1.3508369819999999</v>
      </c>
      <c r="AX384" s="9"/>
      <c r="AY384" s="22">
        <v>1.78329</v>
      </c>
      <c r="AZ384" s="22">
        <v>591.13800000000003</v>
      </c>
      <c r="BA384" s="22">
        <v>5.0988800000000001E-2</v>
      </c>
      <c r="BB384" s="22">
        <v>374</v>
      </c>
      <c r="BC384" s="22">
        <v>1.78284</v>
      </c>
      <c r="BD384">
        <f t="shared" si="70"/>
        <v>-50.988799999999998</v>
      </c>
      <c r="BE384">
        <f t="shared" si="71"/>
        <v>-90.927817152000003</v>
      </c>
    </row>
    <row r="385" spans="6:57">
      <c r="F385" s="9"/>
      <c r="G385" s="22">
        <v>-8.8348399999999994E-2</v>
      </c>
      <c r="H385" s="22">
        <v>111.011</v>
      </c>
      <c r="I385" s="22">
        <v>-1.6153000000000001E-2</v>
      </c>
      <c r="J385" s="22">
        <v>375</v>
      </c>
      <c r="K385" s="22">
        <v>-8.8897699999999996E-2</v>
      </c>
      <c r="L385">
        <f t="shared" si="60"/>
        <v>16.153000000000002</v>
      </c>
      <c r="M385">
        <f t="shared" si="61"/>
        <v>-1.4270917052000001</v>
      </c>
      <c r="N385" s="9"/>
      <c r="O385" s="22">
        <v>1.78833</v>
      </c>
      <c r="P385" s="22">
        <v>218.298</v>
      </c>
      <c r="Q385" s="22">
        <v>4.73236E-2</v>
      </c>
      <c r="R385" s="22">
        <v>375</v>
      </c>
      <c r="S385" s="22">
        <v>1.7880199999999999</v>
      </c>
      <c r="T385">
        <f t="shared" si="62"/>
        <v>-47.323599999999999</v>
      </c>
      <c r="U385">
        <f t="shared" si="63"/>
        <v>-84.630213588000004</v>
      </c>
      <c r="X385" s="9"/>
      <c r="Y385" s="22">
        <v>-8.8348399999999994E-2</v>
      </c>
      <c r="Z385" s="22">
        <v>300.81099999999998</v>
      </c>
      <c r="AA385" s="22">
        <v>-1.62109E-2</v>
      </c>
      <c r="AB385" s="22">
        <v>375</v>
      </c>
      <c r="AC385" s="22">
        <v>-8.8989299999999993E-2</v>
      </c>
      <c r="AD385">
        <f t="shared" si="64"/>
        <v>16.210899999999999</v>
      </c>
      <c r="AE385">
        <f t="shared" si="65"/>
        <v>-1.4322070775599998</v>
      </c>
      <c r="AF385" s="9"/>
      <c r="AG385" s="22">
        <v>1.78833</v>
      </c>
      <c r="AH385" s="22">
        <v>385.90499999999997</v>
      </c>
      <c r="AI385" s="22">
        <v>5.0195299999999998E-2</v>
      </c>
      <c r="AJ385" s="22">
        <v>375</v>
      </c>
      <c r="AK385" s="22">
        <v>1.78772</v>
      </c>
      <c r="AL385">
        <f t="shared" si="66"/>
        <v>-50.195299999999996</v>
      </c>
      <c r="AM385">
        <f t="shared" si="67"/>
        <v>-89.765760848999989</v>
      </c>
      <c r="AP385" s="9"/>
      <c r="AQ385" s="22">
        <v>-8.8348399999999994E-2</v>
      </c>
      <c r="AR385" s="22">
        <v>469.30500000000001</v>
      </c>
      <c r="AS385" s="22">
        <v>-1.6223100000000001E-2</v>
      </c>
      <c r="AT385" s="22">
        <v>375</v>
      </c>
      <c r="AU385" s="22">
        <v>-8.8836700000000005E-2</v>
      </c>
      <c r="AV385">
        <f t="shared" si="68"/>
        <v>16.223100000000002</v>
      </c>
      <c r="AW385">
        <f t="shared" si="69"/>
        <v>-1.4332849280400002</v>
      </c>
      <c r="AX385" s="9"/>
      <c r="AY385" s="22">
        <v>1.78833</v>
      </c>
      <c r="AZ385" s="22">
        <v>591.23900000000003</v>
      </c>
      <c r="BA385" s="22">
        <v>5.7388300000000003E-2</v>
      </c>
      <c r="BB385" s="22">
        <v>375</v>
      </c>
      <c r="BC385" s="22">
        <v>1.78772</v>
      </c>
      <c r="BD385">
        <f t="shared" si="70"/>
        <v>-57.388300000000001</v>
      </c>
      <c r="BE385">
        <f t="shared" si="71"/>
        <v>-102.62921853900001</v>
      </c>
    </row>
    <row r="386" spans="6:57">
      <c r="F386" s="9"/>
      <c r="G386" s="22">
        <v>-9.3383800000000003E-2</v>
      </c>
      <c r="H386" s="22">
        <v>111.111</v>
      </c>
      <c r="I386" s="22">
        <v>-1.6153000000000001E-2</v>
      </c>
      <c r="J386" s="22">
        <v>376</v>
      </c>
      <c r="K386" s="22">
        <v>-9.3902600000000003E-2</v>
      </c>
      <c r="L386">
        <f t="shared" si="60"/>
        <v>16.153000000000002</v>
      </c>
      <c r="M386">
        <f t="shared" si="61"/>
        <v>-1.5084285214000002</v>
      </c>
      <c r="N386" s="9"/>
      <c r="O386" s="22">
        <v>1.7933699999999999</v>
      </c>
      <c r="P386" s="22">
        <v>218.398</v>
      </c>
      <c r="Q386" s="22">
        <v>5.36255E-2</v>
      </c>
      <c r="R386" s="22">
        <v>376</v>
      </c>
      <c r="S386" s="22">
        <v>1.7923</v>
      </c>
      <c r="T386">
        <f t="shared" si="62"/>
        <v>-53.625500000000002</v>
      </c>
      <c r="U386">
        <f t="shared" si="63"/>
        <v>-96.170362935</v>
      </c>
      <c r="X386" s="9"/>
      <c r="Y386" s="22">
        <v>-9.3383800000000003E-2</v>
      </c>
      <c r="Z386" s="22">
        <v>300.91199999999998</v>
      </c>
      <c r="AA386" s="22">
        <v>-1.62109E-2</v>
      </c>
      <c r="AB386" s="22">
        <v>376</v>
      </c>
      <c r="AC386" s="22">
        <v>-9.375E-2</v>
      </c>
      <c r="AD386">
        <f t="shared" si="64"/>
        <v>16.210899999999999</v>
      </c>
      <c r="AE386">
        <f t="shared" si="65"/>
        <v>-1.5138354434199999</v>
      </c>
      <c r="AF386" s="9"/>
      <c r="AG386" s="22">
        <v>1.7933699999999999</v>
      </c>
      <c r="AH386" s="22">
        <v>386.00599999999997</v>
      </c>
      <c r="AI386" s="22">
        <v>5.6387300000000001E-2</v>
      </c>
      <c r="AJ386" s="22">
        <v>376</v>
      </c>
      <c r="AK386" s="22">
        <v>1.79291</v>
      </c>
      <c r="AL386">
        <f t="shared" si="66"/>
        <v>-56.387300000000003</v>
      </c>
      <c r="AM386">
        <f t="shared" si="67"/>
        <v>-101.123292201</v>
      </c>
      <c r="AP386" s="9"/>
      <c r="AQ386" s="22">
        <v>-9.3383800000000003E-2</v>
      </c>
      <c r="AR386" s="22">
        <v>469.40499999999997</v>
      </c>
      <c r="AS386" s="22">
        <v>-1.6220100000000001E-2</v>
      </c>
      <c r="AT386" s="22">
        <v>376</v>
      </c>
      <c r="AU386" s="22">
        <v>-9.3933100000000005E-2</v>
      </c>
      <c r="AV386">
        <f t="shared" si="68"/>
        <v>16.220100000000002</v>
      </c>
      <c r="AW386">
        <f t="shared" si="69"/>
        <v>-1.5146945743800002</v>
      </c>
      <c r="AX386" s="9"/>
      <c r="AY386" s="22">
        <v>1.7933699999999999</v>
      </c>
      <c r="AZ386" s="22">
        <v>591.33900000000006</v>
      </c>
      <c r="BA386" s="22">
        <v>6.3916000000000001E-2</v>
      </c>
      <c r="BB386" s="22">
        <v>376</v>
      </c>
      <c r="BC386" s="22">
        <v>1.79352</v>
      </c>
      <c r="BD386">
        <f t="shared" si="70"/>
        <v>-63.916000000000004</v>
      </c>
      <c r="BE386">
        <f t="shared" si="71"/>
        <v>-114.62503692</v>
      </c>
    </row>
    <row r="387" spans="6:57">
      <c r="F387" s="9"/>
      <c r="G387" s="22">
        <v>-9.8419199999999998E-2</v>
      </c>
      <c r="H387" s="22">
        <v>111.212</v>
      </c>
      <c r="I387" s="22">
        <v>-1.6168200000000001E-2</v>
      </c>
      <c r="J387" s="22">
        <v>377</v>
      </c>
      <c r="K387" s="22">
        <v>-9.8968500000000001E-2</v>
      </c>
      <c r="L387">
        <f t="shared" si="60"/>
        <v>16.168200000000002</v>
      </c>
      <c r="M387">
        <f t="shared" si="61"/>
        <v>-1.5912613094400001</v>
      </c>
      <c r="N387" s="9"/>
      <c r="O387" s="22">
        <v>1.7984</v>
      </c>
      <c r="P387" s="22">
        <v>218.499</v>
      </c>
      <c r="Q387" s="22">
        <v>6.0156300000000003E-2</v>
      </c>
      <c r="R387" s="22">
        <v>377</v>
      </c>
      <c r="S387" s="22">
        <v>1.79749</v>
      </c>
      <c r="T387">
        <f t="shared" si="62"/>
        <v>-60.156300000000002</v>
      </c>
      <c r="U387">
        <f t="shared" si="63"/>
        <v>-108.18508992</v>
      </c>
      <c r="X387" s="9"/>
      <c r="Y387" s="22">
        <v>-9.8419199999999998E-2</v>
      </c>
      <c r="Z387" s="22">
        <v>301.012</v>
      </c>
      <c r="AA387" s="22">
        <v>-1.6213999999999999E-2</v>
      </c>
      <c r="AB387" s="22">
        <v>377</v>
      </c>
      <c r="AC387" s="22">
        <v>-9.8937999999999998E-2</v>
      </c>
      <c r="AD387">
        <f t="shared" si="64"/>
        <v>16.213999999999999</v>
      </c>
      <c r="AE387">
        <f t="shared" si="65"/>
        <v>-1.5957689087999998</v>
      </c>
      <c r="AF387" s="9"/>
      <c r="AG387" s="22">
        <v>1.7984</v>
      </c>
      <c r="AH387" s="22">
        <v>386.10700000000003</v>
      </c>
      <c r="AI387" s="22">
        <v>6.2558000000000002E-2</v>
      </c>
      <c r="AJ387" s="22">
        <v>377</v>
      </c>
      <c r="AK387" s="22">
        <v>1.79779</v>
      </c>
      <c r="AL387">
        <f t="shared" si="66"/>
        <v>-62.558</v>
      </c>
      <c r="AM387">
        <f t="shared" si="67"/>
        <v>-112.5043072</v>
      </c>
      <c r="AP387" s="9"/>
      <c r="AQ387" s="22">
        <v>-9.8419199999999998E-2</v>
      </c>
      <c r="AR387" s="22">
        <v>469.50599999999997</v>
      </c>
      <c r="AS387" s="22">
        <v>-1.6229199999999999E-2</v>
      </c>
      <c r="AT387" s="22">
        <v>377</v>
      </c>
      <c r="AU387" s="22">
        <v>-9.8846400000000001E-2</v>
      </c>
      <c r="AV387">
        <f t="shared" si="68"/>
        <v>16.229199999999999</v>
      </c>
      <c r="AW387">
        <f t="shared" si="69"/>
        <v>-1.5972648806399998</v>
      </c>
      <c r="AX387" s="9"/>
      <c r="AY387" s="22">
        <v>1.7984</v>
      </c>
      <c r="AZ387" s="22">
        <v>591.44000000000005</v>
      </c>
      <c r="BA387" s="22">
        <v>7.0495600000000005E-2</v>
      </c>
      <c r="BB387" s="22">
        <v>377</v>
      </c>
      <c r="BC387" s="22">
        <v>1.79749</v>
      </c>
      <c r="BD387">
        <f t="shared" si="70"/>
        <v>-70.49560000000001</v>
      </c>
      <c r="BE387">
        <f t="shared" si="71"/>
        <v>-126.77928704000001</v>
      </c>
    </row>
    <row r="388" spans="6:57">
      <c r="F388" s="9"/>
      <c r="G388" s="22">
        <v>-0.10345500000000001</v>
      </c>
      <c r="H388" s="22">
        <v>111.313</v>
      </c>
      <c r="I388" s="22">
        <v>-1.6165200000000001E-2</v>
      </c>
      <c r="J388" s="22">
        <v>378</v>
      </c>
      <c r="K388" s="22">
        <v>-0.104126</v>
      </c>
      <c r="L388">
        <f t="shared" si="60"/>
        <v>16.165200000000002</v>
      </c>
      <c r="M388">
        <f t="shared" si="61"/>
        <v>-1.6723707660000002</v>
      </c>
      <c r="N388" s="9"/>
      <c r="O388" s="22">
        <v>1.8034399999999999</v>
      </c>
      <c r="P388" s="22">
        <v>218.6</v>
      </c>
      <c r="Q388" s="22">
        <v>6.7108200000000007E-2</v>
      </c>
      <c r="R388" s="22">
        <v>378</v>
      </c>
      <c r="S388" s="22">
        <v>1.80267</v>
      </c>
      <c r="T388">
        <f t="shared" si="62"/>
        <v>-67.108200000000011</v>
      </c>
      <c r="U388">
        <f t="shared" si="63"/>
        <v>-121.02561220800001</v>
      </c>
      <c r="X388" s="9"/>
      <c r="Y388" s="22">
        <v>-0.10345500000000001</v>
      </c>
      <c r="Z388" s="22">
        <v>301.113</v>
      </c>
      <c r="AA388" s="22">
        <v>-1.61987E-2</v>
      </c>
      <c r="AB388" s="22">
        <v>378</v>
      </c>
      <c r="AC388" s="22">
        <v>-0.103912</v>
      </c>
      <c r="AD388">
        <f t="shared" si="64"/>
        <v>16.198699999999999</v>
      </c>
      <c r="AE388">
        <f t="shared" si="65"/>
        <v>-1.6758365085</v>
      </c>
      <c r="AF388" s="9"/>
      <c r="AG388" s="22">
        <v>1.8034399999999999</v>
      </c>
      <c r="AH388" s="22">
        <v>386.20699999999999</v>
      </c>
      <c r="AI388" s="22">
        <v>6.9030800000000003E-2</v>
      </c>
      <c r="AJ388" s="22">
        <v>378</v>
      </c>
      <c r="AK388" s="22">
        <v>1.80328</v>
      </c>
      <c r="AL388">
        <f t="shared" si="66"/>
        <v>-69.030799999999999</v>
      </c>
      <c r="AM388">
        <f t="shared" si="67"/>
        <v>-124.492905952</v>
      </c>
      <c r="AP388" s="9"/>
      <c r="AQ388" s="22">
        <v>-0.10345500000000001</v>
      </c>
      <c r="AR388" s="22">
        <v>469.60700000000003</v>
      </c>
      <c r="AS388" s="22">
        <v>-1.6223100000000001E-2</v>
      </c>
      <c r="AT388" s="22">
        <v>378</v>
      </c>
      <c r="AU388" s="22">
        <v>-0.10394299999999999</v>
      </c>
      <c r="AV388">
        <f t="shared" si="68"/>
        <v>16.223100000000002</v>
      </c>
      <c r="AW388">
        <f t="shared" si="69"/>
        <v>-1.6783608105000003</v>
      </c>
      <c r="AX388" s="9"/>
      <c r="AY388" s="22">
        <v>1.8034399999999999</v>
      </c>
      <c r="AZ388" s="22">
        <v>591.54100000000005</v>
      </c>
      <c r="BA388" s="22">
        <v>7.6812699999999998E-2</v>
      </c>
      <c r="BB388" s="22">
        <v>378</v>
      </c>
      <c r="BC388" s="22">
        <v>1.80298</v>
      </c>
      <c r="BD388">
        <f t="shared" si="70"/>
        <v>-76.812699999999992</v>
      </c>
      <c r="BE388">
        <f t="shared" si="71"/>
        <v>-138.52709568799997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4"/>
  <sheetViews>
    <sheetView tabSelected="1" workbookViewId="0">
      <selection activeCell="I4" sqref="I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20230201T210000</v>
      </c>
      <c r="B3">
        <f ca="1">INDEX(INDIRECT(A3&amp;"!A11"):INDIRECT(A3&amp;"!A21"),MATCH(E3,INDIRECT(A3&amp;"!D11"):INDIRECT(A3&amp;"!D21"),0))</f>
        <v>1.7075388546310233</v>
      </c>
      <c r="C3">
        <f ca="1">INDEX(INDIRECT(A3&amp;"!B11"):INDIRECT(A3&amp;"!B21"),MATCH(E3,INDIRECT(A3&amp;"!D11"):INDIRECT(A3&amp;"!D21"),0))</f>
        <v>16.863524761172329</v>
      </c>
      <c r="D3">
        <f ca="1">INDEX(INDIRECT(A3&amp;"!C11"):INDIRECT(A3&amp;"!C21"),MATCH(E3,INDIRECT(A3&amp;"!D11"):INDIRECT(A3&amp;"!D21"),0))</f>
        <v>0.79568396025516197</v>
      </c>
      <c r="E3">
        <f t="shared" ref="E3" ca="1" si="0">MAX(INDIRECT(A3&amp; "!D11"),INDIRECT(A3 &amp; "!D13"),INDIRECT(A3 &amp; "!D15"),INDIRECT(A3 &amp; "!D17"),INDIRECT(A3 &amp; "!D19"),INDIRECT(A3 &amp; "!D21"))</f>
        <v>22.911818106000002</v>
      </c>
      <c r="G3">
        <f ca="1">INDEX(INDIRECT(A3&amp;"!A12"):INDIRECT(A3&amp;"!A22"),MATCH(J3,INDIRECT(A3&amp;"!D12"):INDIRECT(A3&amp;"!D22"),0))</f>
        <v>1.716856326019903</v>
      </c>
      <c r="H3">
        <f ca="1">INDEX(INDIRECT(A3&amp;"!B12"):INDIRECT(A3&amp;"!B22"),MATCH(J3,INDIRECT(A3&amp;"!D12"):INDIRECT(A3&amp;"!D22"),0))</f>
        <v>16.98071093097942</v>
      </c>
      <c r="I3">
        <f ca="1">INDEX(INDIRECT(A3&amp;"!C12"):INDIRECT(A3&amp;"!C22"),MATCH(J3,INDIRECT(A3&amp;"!D12"):INDIRECT(A3&amp;"!D22"),0))</f>
        <v>0.74806320318551645</v>
      </c>
      <c r="J3">
        <f t="shared" ref="J3" ca="1" si="1">MAX(INDIRECT(A3&amp; "!D12"),INDIRECT(A3 &amp; "!D14"),INDIRECT(A3 &amp; "!D16"),INDIRECT(A3 &amp; "!D18"),INDIRECT(A3 &amp; "!D20"),,INDIRECT(A3 &amp; "!D22"))</f>
        <v>21.808616445000006</v>
      </c>
      <c r="L3">
        <f ca="1">INDEX(INDIRECT(A3&amp;"!E11"):INDIRECT(A3&amp;"!E21"),MATCH(E3,INDIRECT(A3&amp;"!D11"):INDIRECT(A3&amp;"!D21"),0))</f>
        <v>4.8149896088390163</v>
      </c>
    </row>
    <row r="4" spans="1:12">
      <c r="A4" t="str" cm="1">
        <f t="array" aca="1" ref="A4" ca="1">IFERROR(INDEX(MID(sheetnames,FIND("]",sheetnames)+1,255),ROWS($A$2:A4)),"")</f>
        <v>20230202t210000</v>
      </c>
      <c r="B4">
        <f ca="1">INDEX(INDIRECT(A4&amp;"!A11"):INDIRECT(A4&amp;"!A21"),MATCH(E4,INDIRECT(A4&amp;"!D11"):INDIRECT(A4&amp;"!D21"),0))</f>
        <v>1.7449543766024687</v>
      </c>
      <c r="C4">
        <f ca="1">INDEX(INDIRECT(A4&amp;"!B11"):INDIRECT(A4&amp;"!B21"),MATCH(E4,INDIRECT(A4&amp;"!D11"):INDIRECT(A4&amp;"!D21"),0))</f>
        <v>16.182517215544227</v>
      </c>
      <c r="D4">
        <f ca="1">INDEX(INDIRECT(A4&amp;"!C11"):INDIRECT(A4&amp;"!C21"),MATCH(E4,INDIRECT(A4&amp;"!D11"):INDIRECT(A4&amp;"!D21"),0))</f>
        <v>0.82042531184799328</v>
      </c>
      <c r="E4">
        <f t="shared" ref="E4" ca="1" si="2">MAX(INDIRECT(A4&amp; "!D11"),INDIRECT(A4 &amp; "!D13"),INDIRECT(A4 &amp; "!D15"),INDIRECT(A4 &amp; "!D17"),INDIRECT(A4 &amp; "!D19"),INDIRECT(A4 &amp; "!D21"))</f>
        <v>23.166968327999999</v>
      </c>
      <c r="G4">
        <f ca="1">INDEX(INDIRECT(A4&amp;"!A12"):INDIRECT(A4&amp;"!A22"),MATCH(J4,INDIRECT(A4&amp;"!D12"):INDIRECT(A4&amp;"!D22"),0))</f>
        <v>1.7430002177959634</v>
      </c>
      <c r="H4">
        <f ca="1">INDEX(INDIRECT(A4&amp;"!B12"):INDIRECT(A4&amp;"!B22"),MATCH(J4,INDIRECT(A4&amp;"!D12"):INDIRECT(A4&amp;"!D22"),0))</f>
        <v>16.125231848696373</v>
      </c>
      <c r="I4">
        <f ca="1">INDEX(INDIRECT(A4&amp;"!C12"):INDIRECT(A4&amp;"!C22"),MATCH(J4,INDIRECT(A4&amp;"!D12"):INDIRECT(A4&amp;"!D22"),0))</f>
        <v>0.77804612272356044</v>
      </c>
      <c r="J4">
        <f t="shared" ref="J4" ca="1" si="3">MAX(INDIRECT(A4&amp; "!D12"),INDIRECT(A4 &amp; "!D14"),INDIRECT(A4 &amp; "!D16"),INDIRECT(A4 &amp; "!D18"),INDIRECT(A4 &amp; "!D20"),,INDIRECT(A4 &amp; "!D22"))</f>
        <v>21.867984219999997</v>
      </c>
      <c r="L4">
        <f ca="1">INDEX(INDIRECT(A4&amp;"!E11"):INDIRECT(A4&amp;"!E21"),MATCH(E4,INDIRECT(A4&amp;"!D11"):INDIRECT(A4&amp;"!D21"),0))</f>
        <v>5.8240713454477202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</vt:lpstr>
      <vt:lpstr>20230201T210000</vt:lpstr>
      <vt:lpstr>20230202t210000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2023-02-02T09:31:04Z</dcterms:modified>
</cp:coreProperties>
</file>