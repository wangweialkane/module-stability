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2"/>
  </bookViews>
  <sheets>
    <sheet name="NEW" sheetId="64" r:id="rId1"/>
    <sheet name="20230210T210000" sheetId="65" r:id="rId2"/>
    <sheet name="Sheet2" sheetId="63" r:id="rId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5" l="1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 s="1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/>
  <c r="BD138" i="65"/>
  <c r="BE138" i="65"/>
  <c r="BD139" i="65"/>
  <c r="BE139" i="65" s="1"/>
  <c r="BD140" i="65"/>
  <c r="BE140" i="65"/>
  <c r="BD141" i="65"/>
  <c r="BE141" i="65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/>
  <c r="AL183" i="65"/>
  <c r="AM183" i="65" s="1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 s="1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 s="1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 s="1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M359" i="65" l="1"/>
  <c r="L7" i="65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K7" i="65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BI2" i="65" l="1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I6" i="65" l="1"/>
  <c r="A14" i="65" s="1"/>
  <c r="AA6" i="65"/>
  <c r="A13" i="65" s="1"/>
  <c r="I6" i="65"/>
  <c r="A11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EX6" i="64"/>
  <c r="EY9" i="64" s="1"/>
  <c r="EG6" i="64"/>
  <c r="EH9" i="64" s="1"/>
  <c r="DO6" i="64"/>
  <c r="DP9" i="64" s="1"/>
  <c r="A3" i="63"/>
  <c r="BA6" i="65" l="1"/>
  <c r="A16" i="65" s="1"/>
  <c r="AD4" i="65"/>
  <c r="AD2" i="65" s="1"/>
  <c r="T4" i="65"/>
  <c r="T2" i="65" s="1"/>
  <c r="D12" i="65" s="1"/>
  <c r="L4" i="65"/>
  <c r="C11" i="65" s="1"/>
  <c r="CI4" i="65"/>
  <c r="O4" i="65"/>
  <c r="CX4" i="65"/>
  <c r="C21" i="65" s="1"/>
  <c r="CS4" i="65"/>
  <c r="C13" i="65"/>
  <c r="CX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L2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H2" i="63"/>
  <c r="G2" i="63"/>
  <c r="G3" i="63"/>
  <c r="L3" i="63"/>
  <c r="L2" i="63"/>
  <c r="D2" i="63"/>
  <c r="I2" i="63"/>
  <c r="I3" i="63"/>
  <c r="H3" i="63"/>
  <c r="C3" i="63"/>
  <c r="D3" i="63"/>
  <c r="B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<sst xmlns="http://schemas.openxmlformats.org/spreadsheetml/2006/main" count="832" uniqueCount="46">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</sst>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2" t="e">
        <f>(Q3-Q4)/(S3-S4)*(-S4)+Q4</f>
        <v>#N/A</v>
      </c>
      <c r="R6" s="3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U1" workbookViewId="0">
      <selection activeCell="BD11" sqref="BD11:BE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8601.1721311475503</v>
      </c>
      <c r="H2" s="2"/>
      <c r="I2" s="6" t="s">
        <v>12</v>
      </c>
      <c r="J2" s="2"/>
      <c r="K2" s="7" t="s">
        <v>13</v>
      </c>
      <c r="L2" s="3">
        <f>L4*I6*L9/100*100</f>
        <v>6.4612896695999993</v>
      </c>
      <c r="M2" s="8" t="s">
        <v>14</v>
      </c>
      <c r="N2" s="9"/>
      <c r="O2" s="2">
        <f>ABS(S7-S6)/ABS(T7-T6)*1000</f>
        <v>788.46065573770579</v>
      </c>
      <c r="P2" s="2"/>
      <c r="Q2" s="6" t="s">
        <v>15</v>
      </c>
      <c r="R2" s="2"/>
      <c r="S2" s="7" t="s">
        <v>13</v>
      </c>
      <c r="T2" s="3">
        <f>T4*Q6*T9/100*100</f>
        <v>19.751807846000002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27.270475740999998</v>
      </c>
      <c r="AE2" s="8" t="s">
        <v>14</v>
      </c>
      <c r="AF2" s="9"/>
      <c r="AG2" s="2">
        <f>ABS(AK7-AK6)/ABS(AL7-AL6)*1000</f>
        <v>10257.973999999611</v>
      </c>
      <c r="AH2" s="2"/>
      <c r="AI2" s="6" t="s">
        <v>15</v>
      </c>
      <c r="AJ2" s="2"/>
      <c r="AK2" s="7" t="s">
        <v>13</v>
      </c>
      <c r="AL2" s="3">
        <f>AL4*AI6*AL9/100*100</f>
        <v>27.161782079999995</v>
      </c>
      <c r="AM2" s="8" t="s">
        <v>14</v>
      </c>
      <c r="AP2" s="9"/>
      <c r="AQ2" s="2">
        <f>ABS(AU7-AU6)/ABS(AV7-AV6)*1000</f>
        <v>2587.985245900134</v>
      </c>
      <c r="AR2" s="2"/>
      <c r="AS2" s="6" t="s">
        <v>12</v>
      </c>
      <c r="AT2" s="2"/>
      <c r="AU2" s="7" t="s">
        <v>13</v>
      </c>
      <c r="AV2" s="3">
        <f>AV4*AS6*AV9/100*100</f>
        <v>6.9346701736000025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0.34832800000000003</v>
      </c>
      <c r="J3" s="2"/>
      <c r="K3" s="10">
        <f>INDEX(L11:L1056,MATCH(I3,K11:K1056,0))</f>
        <v>-36.734000000000002</v>
      </c>
      <c r="L3" s="31" t="s">
        <v>16</v>
      </c>
      <c r="M3" s="11">
        <f>M9</f>
        <v>6.4612896695999993</v>
      </c>
      <c r="N3" s="9"/>
      <c r="O3" s="2" t="s">
        <v>44</v>
      </c>
      <c r="P3" s="2"/>
      <c r="Q3" s="2">
        <f>INDEX(S11:S1056,MATCH(0,T11:T1056,-1))</f>
        <v>1.3085899999999999</v>
      </c>
      <c r="R3" s="2"/>
      <c r="S3" s="10">
        <f>INDEX(T11:T1056,MATCH(Q3,S11:S1056,0))</f>
        <v>0.44158900000000001</v>
      </c>
      <c r="T3" s="31" t="s">
        <v>16</v>
      </c>
      <c r="U3" s="11">
        <f>U9</f>
        <v>19.751807846000002</v>
      </c>
      <c r="X3" s="9"/>
      <c r="Y3" s="2" t="s">
        <v>44</v>
      </c>
      <c r="Z3" s="2"/>
      <c r="AA3" s="2">
        <f>INDEX(AC11:AC856,MATCH(0,AD11:AD856,1))</f>
        <v>1.7089799999999999</v>
      </c>
      <c r="AB3" s="2"/>
      <c r="AC3" s="10">
        <f>INDEX(AD11:AD1056,MATCH(AA3,AC11:AC1056,0))</f>
        <v>-1.2872300000000001</v>
      </c>
      <c r="AD3" s="31" t="s">
        <v>16</v>
      </c>
      <c r="AE3" s="11">
        <f>AE9</f>
        <v>27.270475740999998</v>
      </c>
      <c r="AF3" s="9"/>
      <c r="AG3" s="2" t="s">
        <v>44</v>
      </c>
      <c r="AH3" s="2"/>
      <c r="AI3" s="2">
        <f>INDEX(AK11:AK1056,MATCH(0,AL11:AL1056,-1))</f>
        <v>1.6909799999999999</v>
      </c>
      <c r="AJ3" s="2"/>
      <c r="AK3" s="10">
        <f>INDEX(AL11:AL1056,MATCH(AI3,AK11:AK1056,0))</f>
        <v>0.98358199999999996</v>
      </c>
      <c r="AL3" s="31" t="s">
        <v>16</v>
      </c>
      <c r="AM3" s="11">
        <f>AM9</f>
        <v>27.161782079999998</v>
      </c>
      <c r="AP3" s="9"/>
      <c r="AQ3" s="2" t="s">
        <v>44</v>
      </c>
      <c r="AR3" s="2"/>
      <c r="AS3" s="2">
        <f>INDEX(AU11:AU856,MATCH(0,AV11:AV856,1))</f>
        <v>0.38626100000000002</v>
      </c>
      <c r="AT3" s="2"/>
      <c r="AU3" s="10">
        <f>INDEX(AV11:AV1056,MATCH(AS3,AU11:AU1056,0))</f>
        <v>-45.605499999999999</v>
      </c>
      <c r="AV3" s="31" t="s">
        <v>16</v>
      </c>
      <c r="AW3" s="11">
        <f>AW9</f>
        <v>6.9346701736000007</v>
      </c>
      <c r="AX3" s="9"/>
      <c r="AY3" s="2" t="s">
        <v>44</v>
      </c>
      <c r="AZ3" s="2"/>
      <c r="BA3" s="2">
        <f>INDEX(BC11:BC1056,MATCH(0,BD11:BD1056,-1))</f>
        <v>0.85479700000000003</v>
      </c>
      <c r="BB3" s="2"/>
      <c r="BC3" s="10">
        <f>INDEX(BD11:BD1056,MATCH(BA3,BC11:BC1056,0))</f>
        <v>10.263100000000001</v>
      </c>
      <c r="BD3" s="31" t="s">
        <v>16</v>
      </c>
      <c r="BE3" s="11">
        <f>BE9</f>
        <v>27.661702808000005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0.64997703261368811</v>
      </c>
      <c r="H4" s="2"/>
      <c r="I4" s="2">
        <f>INDEX(K11:K1000,1+MATCH(0,L11:L856,1))</f>
        <v>0.384552</v>
      </c>
      <c r="J4" s="2"/>
      <c r="K4" s="10">
        <f>INDEX(L11:L1056,MATCH(I4,K11:K1056,0))</f>
        <v>18.997199999999999</v>
      </c>
      <c r="L4" s="30">
        <f>M3/(I6*L9)</f>
        <v>0.9274372256616491</v>
      </c>
      <c r="M4" s="8" t="s">
        <v>17</v>
      </c>
      <c r="N4" s="9"/>
      <c r="O4" s="2">
        <f>ABS(Q3-Q4)/ABS(S3-S4)*1000</f>
        <v>8.1856505545778617</v>
      </c>
      <c r="P4" s="2"/>
      <c r="Q4" s="2">
        <f>INDEX(S11:S856,1+MATCH(0,T11:T856,-1))</f>
        <v>1.3143899999999999</v>
      </c>
      <c r="R4" s="2"/>
      <c r="S4" s="10">
        <f>INDEX(T11:T856,MATCH(Q4,S11:S856,0))</f>
        <v>-0.26696800000000004</v>
      </c>
      <c r="T4" s="30">
        <f>U3/(Q6*T9)</f>
        <v>0.81415890830689774</v>
      </c>
      <c r="U4" s="8" t="s">
        <v>17</v>
      </c>
      <c r="X4" s="9"/>
      <c r="Y4" s="2">
        <f>ABS(AA3-AA4)/ABS(AC3-AC4)*1000</f>
        <v>1.120252699625357</v>
      </c>
      <c r="Z4" s="2"/>
      <c r="AA4" s="2">
        <f>INDEX(AC11:AC1000,1+MATCH(0,AD11:AD856,1))</f>
        <v>1.7047099999999999</v>
      </c>
      <c r="AB4" s="2"/>
      <c r="AC4" s="10">
        <f>INDEX(AD11:AD1056,MATCH(AA4,AC11:AC1056,0))</f>
        <v>2.52441</v>
      </c>
      <c r="AD4" s="30">
        <f>AE3/(AA6*AD9)</f>
        <v>0.8531553103904157</v>
      </c>
      <c r="AE4" s="8" t="s">
        <v>17</v>
      </c>
      <c r="AF4" s="9"/>
      <c r="AG4" s="2">
        <f>ABS(AI3-AI4)/ABS(AK3-AK4)*1000</f>
        <v>0.96382661895515065</v>
      </c>
      <c r="AH4" s="2"/>
      <c r="AI4" s="2">
        <f>INDEX(AK11:AK856,1+MATCH(0,AL11:AL856,-1))</f>
        <v>1.69556</v>
      </c>
      <c r="AJ4" s="2"/>
      <c r="AK4" s="10">
        <f>INDEX(AL11:AL856,MATCH(AI4,AK11:AK856,0))</f>
        <v>-3.76831</v>
      </c>
      <c r="AL4" s="30">
        <f>AM3/(AI6*AL9)</f>
        <v>0.8598330227043508</v>
      </c>
      <c r="AM4" s="8" t="s">
        <v>17</v>
      </c>
      <c r="AP4" s="9"/>
      <c r="AQ4" s="2">
        <f>ABS(AS3-AS4)/ABS(AU3-AU4)*1000</f>
        <v>0.49272721136647402</v>
      </c>
      <c r="AR4" s="2"/>
      <c r="AS4" s="2">
        <f>INDEX(AU11:AU1000,1+MATCH(0,AV11:AV856,1))</f>
        <v>0.41400100000000001</v>
      </c>
      <c r="AT4" s="2"/>
      <c r="AU4" s="10">
        <f>INDEX(AV11:AV1056,MATCH(AS4,AU11:AU1056,0))</f>
        <v>10.6934</v>
      </c>
      <c r="AV4" s="30">
        <f>AW3/(AS6*AV9)</f>
        <v>0.89837638198098535</v>
      </c>
      <c r="AW4" s="8" t="s">
        <v>17</v>
      </c>
      <c r="AX4" s="9"/>
      <c r="AY4" s="2">
        <f>ABS(BA3-BA4)/ABS(BC3-BC4)*1000</f>
        <v>0.25644203741906918</v>
      </c>
      <c r="AZ4" s="2"/>
      <c r="BA4" s="2">
        <f>INDEX(BC11:BC856,1+MATCH(0,BD11:BD856,-1))</f>
        <v>0.84258999999999995</v>
      </c>
      <c r="BB4" s="2"/>
      <c r="BC4" s="10">
        <f>INDEX(BD11:BD856,MATCH(BA4,BC11:BC856,0))</f>
        <v>-37.338299999999997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18.997199999999999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17.578099999999999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17.3279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17.391999999999999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18.7256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17.486600000000003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0.37220425631603127</v>
      </c>
      <c r="J6" s="30"/>
      <c r="K6" s="13">
        <f>INDEX(K11:K1056,MATCH(L6,L11:L1056,0))</f>
        <v>0.14224200000000001</v>
      </c>
      <c r="L6" s="10">
        <f>INDEX(L11:L1056,MATCH(0,K11:K1056,-1))</f>
        <v>18.7012</v>
      </c>
      <c r="M6" s="8" t="s">
        <v>22</v>
      </c>
      <c r="N6" s="9"/>
      <c r="O6" s="2"/>
      <c r="P6" s="2"/>
      <c r="Q6" s="32">
        <f>(Q3-Q4)/(S3-S4)*(-S4)+Q4</f>
        <v>1.3122046932427454</v>
      </c>
      <c r="R6" s="32"/>
      <c r="S6" s="13">
        <f>INDEX(S11:S1056,MATCH(T6,T11:T1056,0))</f>
        <v>-1.39069E-2</v>
      </c>
      <c r="T6" s="10">
        <f>INDEX(T11:T1056,MATCH(0,S11:S1056,1))</f>
        <v>18.5059</v>
      </c>
      <c r="U6" s="8" t="s">
        <v>22</v>
      </c>
      <c r="X6" s="9"/>
      <c r="Y6" s="2"/>
      <c r="Z6" s="2"/>
      <c r="AA6" s="30">
        <f>(AA3-AA4)/(AC3-AC4)*(-AC4)+AA4</f>
        <v>1.7075379771174612</v>
      </c>
      <c r="AB6" s="30"/>
      <c r="AC6" s="13">
        <f>INDEX(AC11:AC1056,MATCH(AD6,AD11:AD1056,0))</f>
        <v>3.10364E-3</v>
      </c>
      <c r="AD6" s="10">
        <f>INDEX(AD11:AD1056,MATCH(0,AC11:AC1056,-1))</f>
        <v>18.7195</v>
      </c>
      <c r="AE6" s="8" t="s">
        <v>22</v>
      </c>
      <c r="AF6" s="9"/>
      <c r="AG6" s="2"/>
      <c r="AH6" s="2"/>
      <c r="AI6" s="32">
        <f>(AI3-AI4)/(AK3-AK4)*(-AK4)+AI4</f>
        <v>1.691928002513525</v>
      </c>
      <c r="AJ6" s="32"/>
      <c r="AK6" s="13">
        <f>INDEX(AK11:AK1056,MATCH(AL6,AL11:AL1056,0))</f>
        <v>-3.0041499999999999E-2</v>
      </c>
      <c r="AL6" s="10">
        <f>INDEX(AL11:AL1056,MATCH(0,AK11:AK1056,1))</f>
        <v>18.6737</v>
      </c>
      <c r="AM6" s="8" t="s">
        <v>22</v>
      </c>
      <c r="AP6" s="9"/>
      <c r="AQ6" s="2"/>
      <c r="AR6" s="2"/>
      <c r="AS6" s="30">
        <f>(AS3-AS4)/(AU3-AU4)*(-AU4)+AS4</f>
        <v>0.40873207083797375</v>
      </c>
      <c r="AT6" s="30"/>
      <c r="AU6" s="13">
        <f>INDEX(AU11:AU1056,MATCH(AV6,AV11:AV1056,0))</f>
        <v>3.1372100000000001E-3</v>
      </c>
      <c r="AV6" s="10">
        <f>INDEX(AV11:AV1056,MATCH(0,AU11:AU1056,-1))</f>
        <v>18.8843</v>
      </c>
      <c r="AW6" s="8" t="s">
        <v>22</v>
      </c>
      <c r="AX6" s="9"/>
      <c r="AY6" s="2"/>
      <c r="AZ6" s="2"/>
      <c r="BA6" s="32">
        <f>(BA3-BA4)/(BC3-BC4)*(-BC4)+BA4</f>
        <v>0.85216510972576442</v>
      </c>
      <c r="BB6" s="32"/>
      <c r="BC6" s="13">
        <f>INDEX(BC11:BC1056,MATCH(BD6,BD11:BD1056,0))</f>
        <v>-9.5092800000000002E-3</v>
      </c>
      <c r="BD6" s="10">
        <f>INDEX(BD11:BD1056,MATCH(0,BC11:BC1056,1))</f>
        <v>18.255600000000001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3.7307699999999999E-2</v>
      </c>
      <c r="L7" s="10">
        <f>INDEX(L11:L856,2+MATCH(0,K11:K856,-1))</f>
        <v>18.7134</v>
      </c>
      <c r="M7" s="12">
        <f>INDEX(K11:K1056,MATCH(M9,M11:M1056,0))</f>
        <v>0.384552</v>
      </c>
      <c r="N7" s="9"/>
      <c r="O7" s="2"/>
      <c r="P7" s="2"/>
      <c r="Q7" s="2"/>
      <c r="R7" s="2"/>
      <c r="S7" s="13">
        <f>INDEX(S11:S1056,MATCH(T7,T11:T1056,0))</f>
        <v>-9.0972899999999992E-3</v>
      </c>
      <c r="T7" s="10">
        <f>INDEX(T11:T1056,1+MATCH(0,S11:S1056,1))</f>
        <v>18.4998</v>
      </c>
      <c r="U7" s="12">
        <f>INDEX(S11:S1056,MATCH(U9,U11:U1056,0))</f>
        <v>1.1227400000000001</v>
      </c>
      <c r="X7" s="9"/>
      <c r="Y7" s="2"/>
      <c r="Z7" s="2"/>
      <c r="AA7" s="2"/>
      <c r="AB7" s="2"/>
      <c r="AC7" s="13">
        <f>INDEX(AC11:AC856,MATCH(AD7,AD11:AD856,1))</f>
        <v>-2.2674599999999998E-3</v>
      </c>
      <c r="AD7" s="10">
        <f>INDEX(AD11:AD856,1+MATCH(0,AC11:AC856,-1))</f>
        <v>18.7195</v>
      </c>
      <c r="AE7" s="12">
        <f>INDEX(AC11:AC1056,MATCH(AE9,AE11:AE1056,0))</f>
        <v>1.57257</v>
      </c>
      <c r="AF7" s="9"/>
      <c r="AG7" s="2"/>
      <c r="AH7" s="2"/>
      <c r="AI7" s="2"/>
      <c r="AJ7" s="2"/>
      <c r="AK7" s="13">
        <f>INDEX(AK11:AK1056,MATCH(AL7,AL11:AL1056,0))</f>
        <v>7.3242200000000004E-4</v>
      </c>
      <c r="AL7" s="10">
        <f>INDEX(AL11:AL1056,1+MATCH(0,AK11:AK1056,1))</f>
        <v>18.6707</v>
      </c>
      <c r="AM7" s="12">
        <f>INDEX(AK11:AK1056,MATCH(AM9,AM11:AM1056,0))</f>
        <v>1.56158</v>
      </c>
      <c r="AP7" s="9"/>
      <c r="AQ7" s="2"/>
      <c r="AR7" s="2"/>
      <c r="AS7" s="2"/>
      <c r="AT7" s="2"/>
      <c r="AU7" s="13">
        <f>INDEX(AU11:AU856,MATCH(AV7,AV11:AV856,1))</f>
        <v>-1.2649499999999999E-2</v>
      </c>
      <c r="AV7" s="10">
        <f>INDEX(AV11:AV856,1+MATCH(0,AU11:AU856,-1))</f>
        <v>18.890400000000003</v>
      </c>
      <c r="AW7" s="12">
        <f>INDEX(AU11:AU1056,MATCH(AW9,AW11:AW1056,0))</f>
        <v>0.36959799999999998</v>
      </c>
      <c r="AX7" s="9"/>
      <c r="AY7" s="2"/>
      <c r="AZ7" s="2"/>
      <c r="BA7" s="2"/>
      <c r="BB7" s="2"/>
      <c r="BC7" s="13">
        <f>INDEX(BC11:BC1056,MATCH(BD7,BD11:BD1056,0))</f>
        <v>-9.5092800000000002E-3</v>
      </c>
      <c r="BD7" s="10">
        <f>INDEX(BD11:BD1056,1+MATCH(0,BC11:BC1056,1))</f>
        <v>18.255600000000001</v>
      </c>
      <c r="BE7" s="12">
        <f>INDEX(BC11:BC1056,MATCH(BE9,BE11:BE1056,0))</f>
        <v>1.58142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67.287603646323973</v>
      </c>
      <c r="J9" s="2"/>
      <c r="K9" s="2"/>
      <c r="L9" s="3">
        <f>(L6-L7)/(K6-K7)*(-K7)+L7</f>
        <v>18.717737513472716</v>
      </c>
      <c r="M9" s="16">
        <f>MAX(M11:M1056)</f>
        <v>6.4612896695999993</v>
      </c>
      <c r="N9" s="9"/>
      <c r="O9" s="2"/>
      <c r="P9" s="2"/>
      <c r="Q9" s="2"/>
      <c r="R9" s="2"/>
      <c r="S9" s="2"/>
      <c r="T9" s="3">
        <f>(T6-T7)/(S6-S7)*(-S7)+T7</f>
        <v>18.488261960741099</v>
      </c>
      <c r="U9" s="16">
        <f>MAX(U11:U1056)</f>
        <v>19.751807846000002</v>
      </c>
      <c r="X9" s="9"/>
      <c r="Y9" s="2"/>
      <c r="Z9" s="2"/>
      <c r="AA9" s="15">
        <f>(MAX(AD2,AL2)-MIN(AD2,AL2))/MAX(AD2,AL2)%</f>
        <v>0.39857632859916514</v>
      </c>
      <c r="AB9" s="2"/>
      <c r="AC9" s="2"/>
      <c r="AD9" s="3">
        <f>(AD6-AD7)/(AC6-AC7)*(-AC7)+AD7</f>
        <v>18.7195</v>
      </c>
      <c r="AE9" s="16">
        <f>MAX(AE11:AE1056)</f>
        <v>27.270475740999998</v>
      </c>
      <c r="AF9" s="9"/>
      <c r="AG9" s="2"/>
      <c r="AH9" s="2"/>
      <c r="AI9" s="2"/>
      <c r="AJ9" s="2"/>
      <c r="AK9" s="2"/>
      <c r="AL9" s="3">
        <f>(AL6-AL7)/(AK6-AK7)*(-AK7)+AL7</f>
        <v>18.67077140025896</v>
      </c>
      <c r="AM9" s="16">
        <f>MAX(AM11:AM1056)</f>
        <v>27.161782079999998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18.885512220975745</v>
      </c>
      <c r="AW9" s="16">
        <f>MAX(AW11:AW1056)</f>
        <v>6.9346701736000007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27.661702808000005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0.37220425631603127</v>
      </c>
      <c r="B11" s="19">
        <f>IFERROR(L9,0)</f>
        <v>18.717737513472716</v>
      </c>
      <c r="C11" s="20">
        <f>IFERROR(L4,0)</f>
        <v>0.9274372256616491</v>
      </c>
      <c r="D11" s="21">
        <f>IFERROR(L2,0)</f>
        <v>6.4612896695999993</v>
      </c>
      <c r="E11" s="21">
        <f>IFERROR(I9,0)</f>
        <v>67.287603646323973</v>
      </c>
      <c r="F11" s="9"/>
      <c r="G11" s="22">
        <v>1.7450000000000001</v>
      </c>
      <c r="H11" s="22">
        <v>34.254899999999999</v>
      </c>
      <c r="I11" s="22">
        <v>4.5800800000000003E-2</v>
      </c>
      <c r="J11" s="22">
        <v>1</v>
      </c>
      <c r="K11" s="22">
        <v>0.36312899999999998</v>
      </c>
      <c r="L11">
        <f>-I11/$F$2*1000</f>
        <v>-45.800800000000002</v>
      </c>
      <c r="M11">
        <f>L11*G11</f>
        <v>-79.922396000000006</v>
      </c>
      <c r="N11" s="9"/>
      <c r="O11" s="22">
        <v>-9.49097E-2</v>
      </c>
      <c r="P11" s="22">
        <v>68.564099999999996</v>
      </c>
      <c r="Q11" s="22">
        <v>-1.8612699999999999E-2</v>
      </c>
      <c r="R11" s="22">
        <v>1</v>
      </c>
      <c r="S11" s="22">
        <v>-9.41467E-2</v>
      </c>
      <c r="T11">
        <f>-Q11/$F$2*1000</f>
        <v>18.6127</v>
      </c>
      <c r="U11">
        <f>T11*O11</f>
        <v>-1.7665257731899999</v>
      </c>
      <c r="V11" s="23"/>
      <c r="W11" s="24"/>
      <c r="X11" s="9"/>
      <c r="Y11" s="22">
        <v>1.7450000000000001</v>
      </c>
      <c r="Z11" s="22">
        <v>102.77</v>
      </c>
      <c r="AA11" s="22">
        <v>3.0575600000000001E-2</v>
      </c>
      <c r="AB11" s="22">
        <v>1</v>
      </c>
      <c r="AC11" s="22">
        <v>1.74438</v>
      </c>
      <c r="AD11">
        <f>-AA11/$F$2*1000</f>
        <v>-30.575600000000001</v>
      </c>
      <c r="AE11">
        <f>AD11*Y11</f>
        <v>-53.354422000000007</v>
      </c>
      <c r="AF11" s="9"/>
      <c r="AG11" s="22">
        <v>-9.49097E-2</v>
      </c>
      <c r="AH11" s="22">
        <v>120.59099999999999</v>
      </c>
      <c r="AI11" s="22">
        <v>-1.8692E-2</v>
      </c>
      <c r="AJ11" s="22">
        <v>1</v>
      </c>
      <c r="AK11" s="22">
        <v>-9.5459000000000002E-2</v>
      </c>
      <c r="AL11">
        <f>-AI11/$F$2*1000</f>
        <v>18.692</v>
      </c>
      <c r="AM11">
        <f>AL11*AG11</f>
        <v>-1.7740521123999999</v>
      </c>
      <c r="AP11" s="9"/>
      <c r="AQ11" s="22">
        <v>1.7450000000000001</v>
      </c>
      <c r="AR11" s="22">
        <v>154.86000000000001</v>
      </c>
      <c r="AS11" s="22">
        <v>0.1</v>
      </c>
      <c r="AT11" s="22">
        <v>1</v>
      </c>
      <c r="AU11" s="22">
        <v>1.7462200000000001</v>
      </c>
      <c r="AV11">
        <f>-AS11/$F$2*1000</f>
        <v>-100</v>
      </c>
      <c r="AW11">
        <f>AV11*AQ11</f>
        <v>-174.5</v>
      </c>
      <c r="AX11" s="9"/>
      <c r="AY11" s="22">
        <v>-9.49097E-2</v>
      </c>
      <c r="AZ11" s="22">
        <v>189.24700000000001</v>
      </c>
      <c r="BA11" s="22">
        <v>-1.8292200000000002E-2</v>
      </c>
      <c r="BB11" s="22">
        <v>1</v>
      </c>
      <c r="BC11" s="22">
        <v>-9.47876E-2</v>
      </c>
      <c r="BD11">
        <f>-BA11/$F$2*1000</f>
        <v>18.292200000000001</v>
      </c>
      <c r="BE11">
        <f>BD11*AY11</f>
        <v>-1.73610721434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1.3122046932427454</v>
      </c>
      <c r="B12" s="19">
        <f>IFERROR(T9,0)</f>
        <v>18.488261960741099</v>
      </c>
      <c r="C12" s="20">
        <f>IFERROR(T4,0)</f>
        <v>0.81415890830689774</v>
      </c>
      <c r="D12" s="21">
        <f>IFERROR(T2,0)</f>
        <v>19.751807846000002</v>
      </c>
      <c r="E12" s="21"/>
      <c r="F12" s="9"/>
      <c r="G12" s="22">
        <v>1.73996</v>
      </c>
      <c r="H12" s="22">
        <v>34.265000000000001</v>
      </c>
      <c r="I12" s="22">
        <v>4.57855E-2</v>
      </c>
      <c r="J12" s="22">
        <v>2</v>
      </c>
      <c r="K12" s="22">
        <v>0.34799200000000002</v>
      </c>
      <c r="L12">
        <f t="shared" ref="L12:L75" si="0">-I12/$F$2*1000</f>
        <v>-45.785499999999999</v>
      </c>
      <c r="M12">
        <f t="shared" ref="M12:M75" si="1">L12*G12</f>
        <v>-79.664938579999998</v>
      </c>
      <c r="N12" s="9"/>
      <c r="O12" s="22">
        <v>-8.9874300000000004E-2</v>
      </c>
      <c r="P12" s="22">
        <v>68.574200000000005</v>
      </c>
      <c r="Q12" s="22">
        <v>-1.8579100000000001E-2</v>
      </c>
      <c r="R12" s="22">
        <v>2</v>
      </c>
      <c r="S12" s="22">
        <v>-8.9294399999999996E-2</v>
      </c>
      <c r="T12">
        <f t="shared" ref="T12:T75" si="2">-Q12/$F$2*1000</f>
        <v>18.5791</v>
      </c>
      <c r="U12">
        <f t="shared" ref="U12:U75" si="3">T12*O12</f>
        <v>-1.6697836071300001</v>
      </c>
      <c r="V12" s="23"/>
      <c r="W12" s="24"/>
      <c r="X12" s="9"/>
      <c r="Y12" s="22">
        <v>1.73996</v>
      </c>
      <c r="Z12" s="22">
        <v>102.78</v>
      </c>
      <c r="AA12" s="22">
        <v>2.6345799999999999E-2</v>
      </c>
      <c r="AB12" s="22">
        <v>2</v>
      </c>
      <c r="AC12" s="22">
        <v>1.7398100000000001</v>
      </c>
      <c r="AD12">
        <f t="shared" ref="AD12:AD75" si="4">-AA12/$F$2*1000</f>
        <v>-26.345800000000001</v>
      </c>
      <c r="AE12">
        <f t="shared" ref="AE12:AE75" si="5">AD12*Y12</f>
        <v>-45.840638167999998</v>
      </c>
      <c r="AF12" s="9"/>
      <c r="AG12" s="22">
        <v>-8.9874300000000004E-2</v>
      </c>
      <c r="AH12" s="22">
        <v>120.601</v>
      </c>
      <c r="AI12" s="22">
        <v>-1.8689000000000001E-2</v>
      </c>
      <c r="AJ12" s="22">
        <v>2</v>
      </c>
      <c r="AK12" s="22">
        <v>-9.0759300000000001E-2</v>
      </c>
      <c r="AL12">
        <f t="shared" ref="AL12:AL75" si="6">-AI12/$F$2*1000</f>
        <v>18.689</v>
      </c>
      <c r="AM12">
        <f t="shared" ref="AM12:AM75" si="7">AL12*AG12</f>
        <v>-1.6796607927</v>
      </c>
      <c r="AP12" s="9"/>
      <c r="AQ12" s="22">
        <v>1.73996</v>
      </c>
      <c r="AR12" s="22">
        <v>154.87</v>
      </c>
      <c r="AS12" s="22">
        <v>9.9508700000000005E-2</v>
      </c>
      <c r="AT12" s="22">
        <v>2</v>
      </c>
      <c r="AU12" s="22">
        <v>1.7404200000000001</v>
      </c>
      <c r="AV12">
        <f t="shared" ref="AV12:AV75" si="8">-AS12/$F$2*1000</f>
        <v>-99.508700000000005</v>
      </c>
      <c r="AW12">
        <f t="shared" ref="AW12:AW75" si="9">AV12*AQ12</f>
        <v>-173.141157652</v>
      </c>
      <c r="AX12" s="9"/>
      <c r="AY12" s="22">
        <v>-8.9874300000000004E-2</v>
      </c>
      <c r="AZ12" s="22">
        <v>189.25700000000001</v>
      </c>
      <c r="BA12" s="22">
        <v>-1.8289199999999999E-2</v>
      </c>
      <c r="BB12" s="22">
        <v>2</v>
      </c>
      <c r="BC12" s="22">
        <v>-9.0576199999999996E-2</v>
      </c>
      <c r="BD12">
        <f t="shared" ref="BD12:BD75" si="10">-BA12/$F$2*1000</f>
        <v>18.289199999999997</v>
      </c>
      <c r="BE12">
        <f t="shared" ref="BE12:BE75" si="11">BD12*AY12</f>
        <v>-1.6437290475599999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1.7075379771174612</v>
      </c>
      <c r="B13" s="19">
        <f>IFERROR(AD9,0)</f>
        <v>18.7195</v>
      </c>
      <c r="C13" s="20">
        <f>IFERROR(AD4,0)</f>
        <v>0.8531553103904157</v>
      </c>
      <c r="D13" s="21">
        <f>IFERROR(AD2,0)</f>
        <v>27.270475740999998</v>
      </c>
      <c r="E13" s="21">
        <f>IFERROR(AA9,0)</f>
        <v>0.39857632859916514</v>
      </c>
      <c r="F13" s="9"/>
      <c r="G13" s="22">
        <v>1.73492</v>
      </c>
      <c r="H13" s="22">
        <v>34.275100000000002</v>
      </c>
      <c r="I13" s="22">
        <v>4.5767200000000001E-2</v>
      </c>
      <c r="J13" s="22">
        <v>3</v>
      </c>
      <c r="K13" s="22">
        <v>0.38705400000000001</v>
      </c>
      <c r="L13">
        <f t="shared" si="0"/>
        <v>-45.767200000000003</v>
      </c>
      <c r="M13">
        <f t="shared" si="1"/>
        <v>-79.402430624000004</v>
      </c>
      <c r="N13" s="9"/>
      <c r="O13" s="22">
        <v>-8.4838899999999995E-2</v>
      </c>
      <c r="P13" s="22">
        <v>68.584199999999996</v>
      </c>
      <c r="Q13" s="22">
        <v>-1.8615699999999999E-2</v>
      </c>
      <c r="R13" s="22">
        <v>3</v>
      </c>
      <c r="S13" s="22">
        <v>-8.6120600000000005E-2</v>
      </c>
      <c r="T13">
        <f t="shared" si="2"/>
        <v>18.6157</v>
      </c>
      <c r="U13">
        <f t="shared" si="3"/>
        <v>-1.57933551073</v>
      </c>
      <c r="V13" s="23"/>
      <c r="W13" s="24"/>
      <c r="X13" s="9"/>
      <c r="Y13" s="22">
        <v>1.73492</v>
      </c>
      <c r="Z13" s="22">
        <v>102.79</v>
      </c>
      <c r="AA13" s="22">
        <v>2.2146599999999999E-2</v>
      </c>
      <c r="AB13" s="22">
        <v>3</v>
      </c>
      <c r="AC13" s="22">
        <v>1.7337</v>
      </c>
      <c r="AD13">
        <f t="shared" si="4"/>
        <v>-22.146599999999999</v>
      </c>
      <c r="AE13">
        <f t="shared" si="5"/>
        <v>-38.422579272</v>
      </c>
      <c r="AF13" s="9"/>
      <c r="AG13" s="22">
        <v>-8.4838899999999995E-2</v>
      </c>
      <c r="AH13" s="22">
        <v>120.611</v>
      </c>
      <c r="AI13" s="22">
        <v>-1.8689000000000001E-2</v>
      </c>
      <c r="AJ13" s="22">
        <v>3</v>
      </c>
      <c r="AK13" s="22">
        <v>-8.5449200000000003E-2</v>
      </c>
      <c r="AL13">
        <f t="shared" si="6"/>
        <v>18.689</v>
      </c>
      <c r="AM13">
        <f t="shared" si="7"/>
        <v>-1.5855542021</v>
      </c>
      <c r="AP13" s="9"/>
      <c r="AQ13" s="22">
        <v>1.73492</v>
      </c>
      <c r="AR13" s="22">
        <v>154.88</v>
      </c>
      <c r="AS13" s="22">
        <v>4.7225999999999997E-2</v>
      </c>
      <c r="AT13" s="22">
        <v>3</v>
      </c>
      <c r="AU13" s="22">
        <v>0.170074</v>
      </c>
      <c r="AV13">
        <f t="shared" si="8"/>
        <v>-47.225999999999999</v>
      </c>
      <c r="AW13">
        <f t="shared" si="9"/>
        <v>-81.933331920000001</v>
      </c>
      <c r="AX13" s="9"/>
      <c r="AY13" s="22">
        <v>-8.4838899999999995E-2</v>
      </c>
      <c r="AZ13" s="22">
        <v>189.268</v>
      </c>
      <c r="BA13" s="22">
        <v>-1.8289199999999999E-2</v>
      </c>
      <c r="BB13" s="22">
        <v>3</v>
      </c>
      <c r="BC13" s="22">
        <v>-8.6486800000000003E-2</v>
      </c>
      <c r="BD13">
        <f t="shared" si="10"/>
        <v>18.289199999999997</v>
      </c>
      <c r="BE13">
        <f t="shared" si="11"/>
        <v>-1.5516356098799997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1.691928002513525</v>
      </c>
      <c r="B14" s="19">
        <f>IFERROR(AL9,0)</f>
        <v>18.67077140025896</v>
      </c>
      <c r="C14" s="20">
        <f>IFERROR(AL4,0)</f>
        <v>0.8598330227043508</v>
      </c>
      <c r="D14" s="21">
        <f>IFERROR(AL2,0)</f>
        <v>27.161782079999995</v>
      </c>
      <c r="E14" s="21"/>
      <c r="F14" s="9"/>
      <c r="G14" s="22">
        <v>1.7298899999999999</v>
      </c>
      <c r="H14" s="22">
        <v>34.2851</v>
      </c>
      <c r="I14" s="22">
        <v>4.5761099999999999E-2</v>
      </c>
      <c r="J14" s="22">
        <v>4</v>
      </c>
      <c r="K14" s="22">
        <v>0.383575</v>
      </c>
      <c r="L14">
        <f t="shared" si="0"/>
        <v>-45.761099999999999</v>
      </c>
      <c r="M14">
        <f t="shared" si="1"/>
        <v>-79.161669278999995</v>
      </c>
      <c r="N14" s="9"/>
      <c r="O14" s="22">
        <v>-7.9803499999999999E-2</v>
      </c>
      <c r="P14" s="22">
        <v>68.594300000000004</v>
      </c>
      <c r="Q14" s="22">
        <v>-1.8566900000000001E-2</v>
      </c>
      <c r="R14" s="22">
        <v>4</v>
      </c>
      <c r="S14" s="22">
        <v>-8.1085199999999996E-2</v>
      </c>
      <c r="T14">
        <f t="shared" si="2"/>
        <v>18.5669</v>
      </c>
      <c r="U14">
        <f t="shared" si="3"/>
        <v>-1.48170360415</v>
      </c>
      <c r="V14" s="23"/>
      <c r="W14" s="24"/>
      <c r="X14" s="9"/>
      <c r="Y14" s="22">
        <v>1.7298899999999999</v>
      </c>
      <c r="Z14" s="22">
        <v>102.8</v>
      </c>
      <c r="AA14" s="22">
        <v>1.7852799999999999E-2</v>
      </c>
      <c r="AB14" s="22">
        <v>4</v>
      </c>
      <c r="AC14" s="22">
        <v>1.72821</v>
      </c>
      <c r="AD14">
        <f t="shared" si="4"/>
        <v>-17.852799999999998</v>
      </c>
      <c r="AE14">
        <f t="shared" si="5"/>
        <v>-30.883380191999997</v>
      </c>
      <c r="AF14" s="9"/>
      <c r="AG14" s="22">
        <v>-7.9803499999999999E-2</v>
      </c>
      <c r="AH14" s="22">
        <v>120.621</v>
      </c>
      <c r="AI14" s="22">
        <v>-1.8685899999999998E-2</v>
      </c>
      <c r="AJ14" s="22">
        <v>4</v>
      </c>
      <c r="AK14" s="22">
        <v>-8.0139199999999994E-2</v>
      </c>
      <c r="AL14">
        <f t="shared" si="6"/>
        <v>18.685899999999997</v>
      </c>
      <c r="AM14">
        <f t="shared" si="7"/>
        <v>-1.4912002206499997</v>
      </c>
      <c r="AP14" s="9"/>
      <c r="AQ14" s="22">
        <v>1.7298899999999999</v>
      </c>
      <c r="AR14" s="22">
        <v>154.88999999999999</v>
      </c>
      <c r="AS14" s="22">
        <v>4.7170999999999998E-2</v>
      </c>
      <c r="AT14" s="22">
        <v>4</v>
      </c>
      <c r="AU14" s="22">
        <v>0.365479</v>
      </c>
      <c r="AV14">
        <f t="shared" si="8"/>
        <v>-47.170999999999999</v>
      </c>
      <c r="AW14">
        <f t="shared" si="9"/>
        <v>-81.60064118999999</v>
      </c>
      <c r="AX14" s="9"/>
      <c r="AY14" s="22">
        <v>-7.9803499999999999E-2</v>
      </c>
      <c r="AZ14" s="22">
        <v>189.27799999999999</v>
      </c>
      <c r="BA14" s="22">
        <v>-1.82861E-2</v>
      </c>
      <c r="BB14" s="22">
        <v>4</v>
      </c>
      <c r="BC14" s="22">
        <v>-7.9864500000000005E-2</v>
      </c>
      <c r="BD14">
        <f t="shared" si="10"/>
        <v>18.286100000000001</v>
      </c>
      <c r="BE14">
        <f t="shared" si="11"/>
        <v>-1.4592947813500001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0.40873207083797375</v>
      </c>
      <c r="B15" s="19">
        <f>IFERROR(AV9,0)</f>
        <v>18.885512220975745</v>
      </c>
      <c r="C15" s="20">
        <f>IFERROR(AV4,0)</f>
        <v>0.89837638198098535</v>
      </c>
      <c r="D15" s="21">
        <f>IFERROR(AV2,0)</f>
        <v>6.9346701736000025</v>
      </c>
      <c r="E15" s="21">
        <f>IFERROR(AS9,0)</f>
        <v>0</v>
      </c>
      <c r="F15" s="9"/>
      <c r="G15" s="22">
        <v>1.72485</v>
      </c>
      <c r="H15" s="22">
        <v>34.295200000000001</v>
      </c>
      <c r="I15" s="22">
        <v>4.5761099999999999E-2</v>
      </c>
      <c r="J15" s="22">
        <v>5</v>
      </c>
      <c r="K15" s="22">
        <v>0.37585400000000002</v>
      </c>
      <c r="L15">
        <f t="shared" si="0"/>
        <v>-45.761099999999999</v>
      </c>
      <c r="M15">
        <f t="shared" si="1"/>
        <v>-78.931033334999995</v>
      </c>
      <c r="N15" s="9"/>
      <c r="O15" s="22">
        <v>-7.4768100000000004E-2</v>
      </c>
      <c r="P15" s="22">
        <v>68.604399999999998</v>
      </c>
      <c r="Q15" s="22">
        <v>-1.8560799999999999E-2</v>
      </c>
      <c r="R15" s="22">
        <v>5</v>
      </c>
      <c r="S15" s="22">
        <v>-7.5592000000000006E-2</v>
      </c>
      <c r="T15">
        <f t="shared" si="2"/>
        <v>18.5608</v>
      </c>
      <c r="U15">
        <f t="shared" si="3"/>
        <v>-1.38775575048</v>
      </c>
      <c r="V15" s="23"/>
      <c r="W15" s="24"/>
      <c r="X15" s="9"/>
      <c r="Y15" s="22">
        <v>1.72485</v>
      </c>
      <c r="Z15" s="22">
        <v>102.81100000000001</v>
      </c>
      <c r="AA15" s="22">
        <v>1.36078E-2</v>
      </c>
      <c r="AB15" s="22">
        <v>5</v>
      </c>
      <c r="AC15" s="22">
        <v>1.72455</v>
      </c>
      <c r="AD15">
        <f t="shared" si="4"/>
        <v>-13.607799999999999</v>
      </c>
      <c r="AE15">
        <f t="shared" si="5"/>
        <v>-23.471413829999999</v>
      </c>
      <c r="AF15" s="9"/>
      <c r="AG15" s="22">
        <v>-7.4768100000000004E-2</v>
      </c>
      <c r="AH15" s="22">
        <v>120.631</v>
      </c>
      <c r="AI15" s="22">
        <v>-1.8685899999999998E-2</v>
      </c>
      <c r="AJ15" s="22">
        <v>5</v>
      </c>
      <c r="AK15" s="22">
        <v>-7.4798600000000007E-2</v>
      </c>
      <c r="AL15">
        <f t="shared" si="6"/>
        <v>18.685899999999997</v>
      </c>
      <c r="AM15">
        <f t="shared" si="7"/>
        <v>-1.3971092397899998</v>
      </c>
      <c r="AP15" s="9"/>
      <c r="AQ15" s="22">
        <v>1.72485</v>
      </c>
      <c r="AR15" s="22">
        <v>154.90100000000001</v>
      </c>
      <c r="AS15" s="22">
        <v>4.71344E-2</v>
      </c>
      <c r="AT15" s="22">
        <v>5</v>
      </c>
      <c r="AU15" s="22">
        <v>0.38424700000000001</v>
      </c>
      <c r="AV15">
        <f t="shared" si="8"/>
        <v>-47.134399999999999</v>
      </c>
      <c r="AW15">
        <f t="shared" si="9"/>
        <v>-81.299769839999996</v>
      </c>
      <c r="AX15" s="9"/>
      <c r="AY15" s="22">
        <v>-7.4768100000000004E-2</v>
      </c>
      <c r="AZ15" s="22">
        <v>189.28800000000001</v>
      </c>
      <c r="BA15" s="22">
        <v>-1.82831E-2</v>
      </c>
      <c r="BB15" s="22">
        <v>5</v>
      </c>
      <c r="BC15" s="22">
        <v>-7.5408900000000001E-2</v>
      </c>
      <c r="BD15">
        <f t="shared" si="10"/>
        <v>18.283100000000001</v>
      </c>
      <c r="BE15">
        <f t="shared" si="11"/>
        <v>-1.3669926491100002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0.85216510972576442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1.7198199999999999</v>
      </c>
      <c r="H16" s="22">
        <v>34.305300000000003</v>
      </c>
      <c r="I16" s="22">
        <v>4.6759000000000002E-2</v>
      </c>
      <c r="J16" s="22">
        <v>6</v>
      </c>
      <c r="K16" s="22">
        <v>0.37826500000000002</v>
      </c>
      <c r="L16">
        <f t="shared" si="0"/>
        <v>-46.759</v>
      </c>
      <c r="M16">
        <f t="shared" si="1"/>
        <v>-80.417063380000002</v>
      </c>
      <c r="N16" s="9"/>
      <c r="O16" s="22">
        <v>-6.9732699999999995E-2</v>
      </c>
      <c r="P16" s="22">
        <v>68.614400000000003</v>
      </c>
      <c r="Q16" s="22">
        <v>-1.8545499999999999E-2</v>
      </c>
      <c r="R16" s="22">
        <v>6</v>
      </c>
      <c r="S16" s="22">
        <v>-7.04346E-2</v>
      </c>
      <c r="T16">
        <f t="shared" si="2"/>
        <v>18.545500000000001</v>
      </c>
      <c r="U16">
        <f t="shared" si="3"/>
        <v>-1.29322778785</v>
      </c>
      <c r="V16" s="23"/>
      <c r="W16" s="24"/>
      <c r="X16" s="9"/>
      <c r="Y16" s="22">
        <v>1.7198199999999999</v>
      </c>
      <c r="Z16" s="22">
        <v>102.821</v>
      </c>
      <c r="AA16" s="22">
        <v>9.4665500000000007E-3</v>
      </c>
      <c r="AB16" s="22">
        <v>6</v>
      </c>
      <c r="AC16" s="22">
        <v>1.71906</v>
      </c>
      <c r="AD16">
        <f t="shared" si="4"/>
        <v>-9.4665499999999998</v>
      </c>
      <c r="AE16">
        <f t="shared" si="5"/>
        <v>-16.280762020999997</v>
      </c>
      <c r="AF16" s="9"/>
      <c r="AG16" s="22">
        <v>-6.9732699999999995E-2</v>
      </c>
      <c r="AH16" s="22">
        <v>120.64100000000001</v>
      </c>
      <c r="AI16" s="22">
        <v>-1.8685899999999998E-2</v>
      </c>
      <c r="AJ16" s="22">
        <v>6</v>
      </c>
      <c r="AK16" s="22">
        <v>-7.0251499999999995E-2</v>
      </c>
      <c r="AL16">
        <f t="shared" si="6"/>
        <v>18.685899999999997</v>
      </c>
      <c r="AM16">
        <f t="shared" si="7"/>
        <v>-1.3030182589299997</v>
      </c>
      <c r="AP16" s="9"/>
      <c r="AQ16" s="22">
        <v>1.7198199999999999</v>
      </c>
      <c r="AR16" s="22">
        <v>154.911</v>
      </c>
      <c r="AS16" s="22">
        <v>4.7125199999999999E-2</v>
      </c>
      <c r="AT16" s="22">
        <v>6</v>
      </c>
      <c r="AU16" s="22">
        <v>0.37847900000000001</v>
      </c>
      <c r="AV16">
        <f t="shared" si="8"/>
        <v>-47.1252</v>
      </c>
      <c r="AW16">
        <f t="shared" si="9"/>
        <v>-81.046861463999988</v>
      </c>
      <c r="AX16" s="9"/>
      <c r="AY16" s="22">
        <v>-6.9732699999999995E-2</v>
      </c>
      <c r="AZ16" s="22">
        <v>189.298</v>
      </c>
      <c r="BA16" s="22">
        <v>-1.82831E-2</v>
      </c>
      <c r="BB16" s="22">
        <v>6</v>
      </c>
      <c r="BC16" s="22">
        <v>-7.0068400000000003E-2</v>
      </c>
      <c r="BD16">
        <f t="shared" si="10"/>
        <v>18.283100000000001</v>
      </c>
      <c r="BE16">
        <f t="shared" si="11"/>
        <v>-1.2749299273699999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34.315399999999997</v>
      </c>
      <c r="I17" s="22">
        <v>4.6743800000000002E-2</v>
      </c>
      <c r="J17" s="22">
        <v>7</v>
      </c>
      <c r="K17" s="22">
        <v>0.36718800000000001</v>
      </c>
      <c r="L17">
        <f t="shared" si="0"/>
        <v>-46.7438</v>
      </c>
      <c r="M17">
        <f t="shared" si="1"/>
        <v>-80.155333364000001</v>
      </c>
      <c r="N17" s="9"/>
      <c r="O17" s="22">
        <v>-6.4697299999999999E-2</v>
      </c>
      <c r="P17" s="22">
        <v>68.624499999999998</v>
      </c>
      <c r="Q17" s="22">
        <v>-1.8521099999999999E-2</v>
      </c>
      <c r="R17" s="22">
        <v>7</v>
      </c>
      <c r="S17" s="22">
        <v>-6.4605700000000002E-2</v>
      </c>
      <c r="T17">
        <f t="shared" si="2"/>
        <v>18.521099999999997</v>
      </c>
      <c r="U17">
        <f t="shared" si="3"/>
        <v>-1.1982651630299999</v>
      </c>
      <c r="V17" s="23"/>
      <c r="W17" s="24"/>
      <c r="X17" s="9"/>
      <c r="Y17" s="22">
        <v>1.71478</v>
      </c>
      <c r="Z17" s="22">
        <v>102.831</v>
      </c>
      <c r="AA17" s="22">
        <v>5.3100600000000001E-3</v>
      </c>
      <c r="AB17" s="22">
        <v>7</v>
      </c>
      <c r="AC17" s="22">
        <v>1.71356</v>
      </c>
      <c r="AD17">
        <f t="shared" si="4"/>
        <v>-5.31006</v>
      </c>
      <c r="AE17">
        <f t="shared" si="5"/>
        <v>-9.1055846868000003</v>
      </c>
      <c r="AF17" s="9"/>
      <c r="AG17" s="22">
        <v>-6.4697299999999999E-2</v>
      </c>
      <c r="AH17" s="22">
        <v>120.652</v>
      </c>
      <c r="AI17" s="22">
        <v>-1.8685899999999998E-2</v>
      </c>
      <c r="AJ17" s="22">
        <v>7</v>
      </c>
      <c r="AK17" s="22">
        <v>-6.4819299999999996E-2</v>
      </c>
      <c r="AL17">
        <f t="shared" si="6"/>
        <v>18.685899999999997</v>
      </c>
      <c r="AM17">
        <f t="shared" si="7"/>
        <v>-1.2089272780699998</v>
      </c>
      <c r="AP17" s="9"/>
      <c r="AQ17" s="22">
        <v>1.71478</v>
      </c>
      <c r="AR17" s="22">
        <v>154.92099999999999</v>
      </c>
      <c r="AS17" s="22">
        <v>4.7109999999999999E-2</v>
      </c>
      <c r="AT17" s="22">
        <v>7</v>
      </c>
      <c r="AU17" s="22">
        <v>0.38958700000000002</v>
      </c>
      <c r="AV17">
        <f t="shared" si="8"/>
        <v>-47.11</v>
      </c>
      <c r="AW17">
        <f t="shared" si="9"/>
        <v>-80.783285800000002</v>
      </c>
      <c r="AX17" s="9"/>
      <c r="AY17" s="22">
        <v>-6.4697299999999999E-2</v>
      </c>
      <c r="AZ17" s="22">
        <v>189.30799999999999</v>
      </c>
      <c r="BA17" s="22">
        <v>-1.8277000000000002E-2</v>
      </c>
      <c r="BB17" s="22">
        <v>7</v>
      </c>
      <c r="BC17" s="22">
        <v>-6.5307599999999993E-2</v>
      </c>
      <c r="BD17">
        <f t="shared" si="10"/>
        <v>18.277000000000001</v>
      </c>
      <c r="BE17">
        <f t="shared" si="11"/>
        <v>-1.1824725521000001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34.325400000000002</v>
      </c>
      <c r="I18" s="22">
        <v>4.5498700000000003E-2</v>
      </c>
      <c r="J18" s="22">
        <v>8</v>
      </c>
      <c r="K18" s="22">
        <v>0.367676</v>
      </c>
      <c r="L18">
        <f t="shared" si="0"/>
        <v>-45.498699999999999</v>
      </c>
      <c r="M18">
        <f t="shared" si="1"/>
        <v>-77.791402325000007</v>
      </c>
      <c r="N18" s="9"/>
      <c r="O18" s="22">
        <v>-5.9661899999999997E-2</v>
      </c>
      <c r="P18" s="22">
        <v>68.634600000000006</v>
      </c>
      <c r="Q18" s="22">
        <v>-1.8539400000000001E-2</v>
      </c>
      <c r="R18" s="22">
        <v>8</v>
      </c>
      <c r="S18" s="22">
        <v>-5.98145E-2</v>
      </c>
      <c r="T18">
        <f t="shared" si="2"/>
        <v>18.539400000000001</v>
      </c>
      <c r="U18">
        <f t="shared" si="3"/>
        <v>-1.10609582886</v>
      </c>
      <c r="V18" s="23"/>
      <c r="W18" s="24"/>
      <c r="X18" s="9"/>
      <c r="Y18" s="22">
        <v>1.7097500000000001</v>
      </c>
      <c r="Z18" s="22">
        <v>102.84099999999999</v>
      </c>
      <c r="AA18" s="22">
        <v>1.2872300000000001E-3</v>
      </c>
      <c r="AB18" s="22">
        <v>8</v>
      </c>
      <c r="AC18" s="22">
        <v>1.7089799999999999</v>
      </c>
      <c r="AD18">
        <f t="shared" si="4"/>
        <v>-1.2872300000000001</v>
      </c>
      <c r="AE18">
        <f t="shared" si="5"/>
        <v>-2.2008414925000004</v>
      </c>
      <c r="AF18" s="9"/>
      <c r="AG18" s="22">
        <v>-5.9661899999999997E-2</v>
      </c>
      <c r="AH18" s="22">
        <v>120.66200000000001</v>
      </c>
      <c r="AI18" s="22">
        <v>-1.8685899999999998E-2</v>
      </c>
      <c r="AJ18" s="22">
        <v>8</v>
      </c>
      <c r="AK18" s="22">
        <v>-6.0882600000000002E-2</v>
      </c>
      <c r="AL18">
        <f t="shared" si="6"/>
        <v>18.685899999999997</v>
      </c>
      <c r="AM18">
        <f t="shared" si="7"/>
        <v>-1.1148362972099997</v>
      </c>
      <c r="AP18" s="9"/>
      <c r="AQ18" s="22">
        <v>1.7097500000000001</v>
      </c>
      <c r="AR18" s="22">
        <v>154.93100000000001</v>
      </c>
      <c r="AS18" s="22">
        <v>4.70917E-2</v>
      </c>
      <c r="AT18" s="22">
        <v>8</v>
      </c>
      <c r="AU18" s="22">
        <v>0.40075699999999997</v>
      </c>
      <c r="AV18">
        <f t="shared" si="8"/>
        <v>-47.091700000000003</v>
      </c>
      <c r="AW18">
        <f t="shared" si="9"/>
        <v>-80.515034075000017</v>
      </c>
      <c r="AX18" s="9"/>
      <c r="AY18" s="22">
        <v>-5.9661899999999997E-2</v>
      </c>
      <c r="AZ18" s="22">
        <v>189.31800000000001</v>
      </c>
      <c r="BA18" s="22">
        <v>-1.8277000000000002E-2</v>
      </c>
      <c r="BB18" s="22">
        <v>8</v>
      </c>
      <c r="BC18" s="22">
        <v>-6.0302700000000001E-2</v>
      </c>
      <c r="BD18">
        <f t="shared" si="10"/>
        <v>18.277000000000001</v>
      </c>
      <c r="BE18">
        <f t="shared" si="11"/>
        <v>-1.0904405463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34.335500000000003</v>
      </c>
      <c r="I19" s="22">
        <v>4.5550500000000001E-2</v>
      </c>
      <c r="J19" s="22">
        <v>9</v>
      </c>
      <c r="K19" s="22">
        <v>0.36938500000000002</v>
      </c>
      <c r="L19">
        <f t="shared" si="0"/>
        <v>-45.5505</v>
      </c>
      <c r="M19">
        <f t="shared" si="1"/>
        <v>-77.650392854999993</v>
      </c>
      <c r="N19" s="9"/>
      <c r="O19" s="22">
        <v>-5.4626500000000001E-2</v>
      </c>
      <c r="P19" s="22">
        <v>68.644599999999997</v>
      </c>
      <c r="Q19" s="22">
        <v>-1.8545499999999999E-2</v>
      </c>
      <c r="R19" s="22">
        <v>9</v>
      </c>
      <c r="S19" s="22">
        <v>-5.4870599999999999E-2</v>
      </c>
      <c r="T19">
        <f t="shared" si="2"/>
        <v>18.545500000000001</v>
      </c>
      <c r="U19">
        <f t="shared" si="3"/>
        <v>-1.0130757557500001</v>
      </c>
      <c r="V19" s="23"/>
      <c r="W19" s="24"/>
      <c r="X19" s="9"/>
      <c r="Y19" s="22">
        <v>1.7047099999999999</v>
      </c>
      <c r="Z19" s="22">
        <v>102.851</v>
      </c>
      <c r="AA19" s="22">
        <v>-2.5244099999999999E-3</v>
      </c>
      <c r="AB19" s="22">
        <v>9</v>
      </c>
      <c r="AC19" s="22">
        <v>1.7047099999999999</v>
      </c>
      <c r="AD19">
        <f t="shared" si="4"/>
        <v>2.52441</v>
      </c>
      <c r="AE19">
        <f t="shared" si="5"/>
        <v>4.3033869711000001</v>
      </c>
      <c r="AF19" s="9"/>
      <c r="AG19" s="22">
        <v>-5.4626500000000001E-2</v>
      </c>
      <c r="AH19" s="22">
        <v>120.672</v>
      </c>
      <c r="AI19" s="22">
        <v>-1.8682899999999999E-2</v>
      </c>
      <c r="AJ19" s="22">
        <v>9</v>
      </c>
      <c r="AK19" s="22">
        <v>-5.5389399999999998E-2</v>
      </c>
      <c r="AL19">
        <f t="shared" si="6"/>
        <v>18.6829</v>
      </c>
      <c r="AM19">
        <f t="shared" si="7"/>
        <v>-1.0205814368500001</v>
      </c>
      <c r="AP19" s="9"/>
      <c r="AQ19" s="22">
        <v>1.7047099999999999</v>
      </c>
      <c r="AR19" s="22">
        <v>154.941</v>
      </c>
      <c r="AS19" s="22">
        <v>4.7076399999999997E-2</v>
      </c>
      <c r="AT19" s="22">
        <v>9</v>
      </c>
      <c r="AU19" s="22">
        <v>0.39816299999999999</v>
      </c>
      <c r="AV19">
        <f t="shared" si="8"/>
        <v>-47.0764</v>
      </c>
      <c r="AW19">
        <f t="shared" si="9"/>
        <v>-80.251609844000001</v>
      </c>
      <c r="AX19" s="9"/>
      <c r="AY19" s="22">
        <v>-5.4626500000000001E-2</v>
      </c>
      <c r="AZ19" s="22">
        <v>189.328</v>
      </c>
      <c r="BA19" s="22">
        <v>-1.82709E-2</v>
      </c>
      <c r="BB19" s="22">
        <v>9</v>
      </c>
      <c r="BC19" s="22">
        <v>-5.5175799999999997E-2</v>
      </c>
      <c r="BD19">
        <f t="shared" si="10"/>
        <v>18.270900000000001</v>
      </c>
      <c r="BE19">
        <f t="shared" si="11"/>
        <v>-0.99807531885000011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34.345599999999997</v>
      </c>
      <c r="I20" s="22">
        <v>4.5562699999999998E-2</v>
      </c>
      <c r="J20" s="22">
        <v>10</v>
      </c>
      <c r="K20" s="22">
        <v>0.37325999999999998</v>
      </c>
      <c r="L20">
        <f t="shared" si="0"/>
        <v>-45.5627</v>
      </c>
      <c r="M20">
        <f t="shared" si="1"/>
        <v>-77.442009936000005</v>
      </c>
      <c r="N20" s="9"/>
      <c r="O20" s="22">
        <v>-4.9591099999999999E-2</v>
      </c>
      <c r="P20" s="22">
        <v>68.654700000000005</v>
      </c>
      <c r="Q20" s="22">
        <v>-1.8536400000000001E-2</v>
      </c>
      <c r="R20" s="22">
        <v>10</v>
      </c>
      <c r="S20" s="22">
        <v>-4.9468999999999999E-2</v>
      </c>
      <c r="T20">
        <f t="shared" si="2"/>
        <v>18.5364</v>
      </c>
      <c r="U20">
        <f t="shared" si="3"/>
        <v>-0.91924046603999998</v>
      </c>
      <c r="V20" s="23"/>
      <c r="W20" s="24"/>
      <c r="X20" s="9"/>
      <c r="Y20" s="22">
        <v>1.6996800000000001</v>
      </c>
      <c r="Z20" s="22">
        <v>102.861</v>
      </c>
      <c r="AA20" s="22">
        <v>-6.1309800000000003E-3</v>
      </c>
      <c r="AB20" s="22">
        <v>10</v>
      </c>
      <c r="AC20" s="22">
        <v>1.69922</v>
      </c>
      <c r="AD20">
        <f t="shared" si="4"/>
        <v>6.1309800000000001</v>
      </c>
      <c r="AE20">
        <f t="shared" si="5"/>
        <v>10.420704086400001</v>
      </c>
      <c r="AF20" s="9"/>
      <c r="AG20" s="22">
        <v>-4.9591099999999999E-2</v>
      </c>
      <c r="AH20" s="22">
        <v>120.682</v>
      </c>
      <c r="AI20" s="22">
        <v>-1.86798E-2</v>
      </c>
      <c r="AJ20" s="22">
        <v>10</v>
      </c>
      <c r="AK20" s="22">
        <v>-5.0506599999999999E-2</v>
      </c>
      <c r="AL20">
        <f t="shared" si="6"/>
        <v>18.6798</v>
      </c>
      <c r="AM20">
        <f t="shared" si="7"/>
        <v>-0.92635182977999997</v>
      </c>
      <c r="AP20" s="9"/>
      <c r="AQ20" s="22">
        <v>1.6996800000000001</v>
      </c>
      <c r="AR20" s="22">
        <v>154.95099999999999</v>
      </c>
      <c r="AS20" s="22">
        <v>4.7076399999999997E-2</v>
      </c>
      <c r="AT20" s="22">
        <v>10</v>
      </c>
      <c r="AU20" s="22">
        <v>0.37252800000000003</v>
      </c>
      <c r="AV20">
        <f t="shared" si="8"/>
        <v>-47.0764</v>
      </c>
      <c r="AW20">
        <f t="shared" si="9"/>
        <v>-80.014815552000002</v>
      </c>
      <c r="AX20" s="9"/>
      <c r="AY20" s="22">
        <v>-4.9591099999999999E-2</v>
      </c>
      <c r="AZ20" s="22">
        <v>189.33799999999999</v>
      </c>
      <c r="BA20" s="22">
        <v>-1.8267800000000001E-2</v>
      </c>
      <c r="BB20" s="22">
        <v>10</v>
      </c>
      <c r="BC20" s="22">
        <v>-5.0567599999999997E-2</v>
      </c>
      <c r="BD20">
        <f t="shared" si="10"/>
        <v>18.267800000000001</v>
      </c>
      <c r="BE20">
        <f t="shared" si="11"/>
        <v>-0.90592029658000006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34.355600000000003</v>
      </c>
      <c r="I21" s="22">
        <v>4.5504799999999998E-2</v>
      </c>
      <c r="J21" s="22">
        <v>11</v>
      </c>
      <c r="K21" s="22">
        <v>0.36614999999999998</v>
      </c>
      <c r="L21">
        <f t="shared" si="0"/>
        <v>-45.504799999999996</v>
      </c>
      <c r="M21">
        <f t="shared" si="1"/>
        <v>-77.114254271999997</v>
      </c>
      <c r="N21" s="9"/>
      <c r="O21" s="22">
        <v>-4.4555699999999997E-2</v>
      </c>
      <c r="P21" s="22">
        <v>68.6648</v>
      </c>
      <c r="Q21" s="22">
        <v>-1.85303E-2</v>
      </c>
      <c r="R21" s="22">
        <v>11</v>
      </c>
      <c r="S21" s="22">
        <v>-4.4509899999999998E-2</v>
      </c>
      <c r="T21">
        <f t="shared" si="2"/>
        <v>18.5303</v>
      </c>
      <c r="U21">
        <f t="shared" si="3"/>
        <v>-0.82563048770999992</v>
      </c>
      <c r="V21" s="23"/>
      <c r="W21" s="24"/>
      <c r="X21" s="9"/>
      <c r="Y21" s="22">
        <v>1.6946399999999999</v>
      </c>
      <c r="Z21" s="22">
        <v>102.871</v>
      </c>
      <c r="AA21" s="22">
        <v>-8.9141800000000007E-3</v>
      </c>
      <c r="AB21" s="22">
        <v>11</v>
      </c>
      <c r="AC21" s="22">
        <v>1.6940299999999999</v>
      </c>
      <c r="AD21">
        <f t="shared" si="4"/>
        <v>8.91418</v>
      </c>
      <c r="AE21">
        <f t="shared" si="5"/>
        <v>15.106325995199999</v>
      </c>
      <c r="AF21" s="9"/>
      <c r="AG21" s="22">
        <v>-4.4555699999999997E-2</v>
      </c>
      <c r="AH21" s="22">
        <v>120.69199999999999</v>
      </c>
      <c r="AI21" s="22">
        <v>-1.86768E-2</v>
      </c>
      <c r="AJ21" s="22">
        <v>11</v>
      </c>
      <c r="AK21" s="22">
        <v>-4.41193E-2</v>
      </c>
      <c r="AL21">
        <f t="shared" si="6"/>
        <v>18.6768</v>
      </c>
      <c r="AM21">
        <f t="shared" si="7"/>
        <v>-0.83215789775999993</v>
      </c>
      <c r="AP21" s="9"/>
      <c r="AQ21" s="22">
        <v>1.6946399999999999</v>
      </c>
      <c r="AR21" s="22">
        <v>154.96100000000001</v>
      </c>
      <c r="AS21" s="22">
        <v>4.7061199999999997E-2</v>
      </c>
      <c r="AT21" s="22">
        <v>11</v>
      </c>
      <c r="AU21" s="22">
        <v>0.36981199999999997</v>
      </c>
      <c r="AV21">
        <f t="shared" si="8"/>
        <v>-47.061199999999999</v>
      </c>
      <c r="AW21">
        <f t="shared" si="9"/>
        <v>-79.751791967999992</v>
      </c>
      <c r="AX21" s="9"/>
      <c r="AY21" s="22">
        <v>-4.4555699999999997E-2</v>
      </c>
      <c r="AZ21" s="22">
        <v>189.34800000000001</v>
      </c>
      <c r="BA21" s="22">
        <v>-1.8267800000000001E-2</v>
      </c>
      <c r="BB21" s="22">
        <v>11</v>
      </c>
      <c r="BC21" s="22">
        <v>-4.5178200000000002E-2</v>
      </c>
      <c r="BD21">
        <f t="shared" si="10"/>
        <v>18.267800000000001</v>
      </c>
      <c r="BE21">
        <f t="shared" si="11"/>
        <v>-0.81393461645999998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34.365699999999997</v>
      </c>
      <c r="I22" s="22">
        <v>4.5608500000000003E-2</v>
      </c>
      <c r="J22" s="22">
        <v>12</v>
      </c>
      <c r="K22" s="22">
        <v>0.36575299999999999</v>
      </c>
      <c r="L22">
        <f t="shared" si="0"/>
        <v>-45.608500000000006</v>
      </c>
      <c r="M22">
        <f t="shared" si="1"/>
        <v>-77.060577685000013</v>
      </c>
      <c r="N22" s="9"/>
      <c r="O22" s="22">
        <v>-3.9520300000000001E-2</v>
      </c>
      <c r="P22" s="22">
        <v>68.674899999999994</v>
      </c>
      <c r="Q22" s="22">
        <v>-1.85303E-2</v>
      </c>
      <c r="R22" s="22">
        <v>12</v>
      </c>
      <c r="S22" s="22">
        <v>-3.9178499999999998E-2</v>
      </c>
      <c r="T22">
        <f t="shared" si="2"/>
        <v>18.5303</v>
      </c>
      <c r="U22">
        <f t="shared" si="3"/>
        <v>-0.73232301509000008</v>
      </c>
      <c r="V22" s="23"/>
      <c r="W22" s="24"/>
      <c r="X22" s="9"/>
      <c r="Y22" s="22">
        <v>1.6896100000000001</v>
      </c>
      <c r="Z22" s="22">
        <v>102.881</v>
      </c>
      <c r="AA22" s="22">
        <v>-1.06873E-2</v>
      </c>
      <c r="AB22" s="22">
        <v>12</v>
      </c>
      <c r="AC22" s="22">
        <v>1.6888399999999999</v>
      </c>
      <c r="AD22">
        <f t="shared" si="4"/>
        <v>10.6873</v>
      </c>
      <c r="AE22">
        <f t="shared" si="5"/>
        <v>18.057368953000001</v>
      </c>
      <c r="AF22" s="9"/>
      <c r="AG22" s="22">
        <v>-3.9520300000000001E-2</v>
      </c>
      <c r="AH22" s="22">
        <v>120.702</v>
      </c>
      <c r="AI22" s="22">
        <v>-1.86768E-2</v>
      </c>
      <c r="AJ22" s="22">
        <v>12</v>
      </c>
      <c r="AK22" s="22">
        <v>-3.9306599999999997E-2</v>
      </c>
      <c r="AL22">
        <f t="shared" si="6"/>
        <v>18.6768</v>
      </c>
      <c r="AM22">
        <f t="shared" si="7"/>
        <v>-0.73811273904000008</v>
      </c>
      <c r="AP22" s="9"/>
      <c r="AQ22" s="22">
        <v>1.6896100000000001</v>
      </c>
      <c r="AR22" s="22">
        <v>154.971</v>
      </c>
      <c r="AS22" s="22">
        <v>4.7042800000000003E-2</v>
      </c>
      <c r="AT22" s="22">
        <v>12</v>
      </c>
      <c r="AU22" s="22">
        <v>0.377106</v>
      </c>
      <c r="AV22">
        <f t="shared" si="8"/>
        <v>-47.0428</v>
      </c>
      <c r="AW22">
        <f t="shared" si="9"/>
        <v>-79.483985308000001</v>
      </c>
      <c r="AX22" s="9"/>
      <c r="AY22" s="22">
        <v>-3.9520300000000001E-2</v>
      </c>
      <c r="AZ22" s="22">
        <v>189.358</v>
      </c>
      <c r="BA22" s="22">
        <v>-1.8264800000000001E-2</v>
      </c>
      <c r="BB22" s="22">
        <v>12</v>
      </c>
      <c r="BC22" s="22">
        <v>-3.9712499999999998E-2</v>
      </c>
      <c r="BD22">
        <f t="shared" si="10"/>
        <v>18.264800000000001</v>
      </c>
      <c r="BE22">
        <f t="shared" si="11"/>
        <v>-0.72183037544000006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34.375799999999998</v>
      </c>
      <c r="I23" s="22">
        <v>4.5489500000000002E-2</v>
      </c>
      <c r="J23" s="22">
        <v>13</v>
      </c>
      <c r="K23" s="22">
        <v>0.37051400000000001</v>
      </c>
      <c r="L23">
        <f t="shared" si="0"/>
        <v>-45.4895</v>
      </c>
      <c r="M23">
        <f t="shared" si="1"/>
        <v>-76.630247014999995</v>
      </c>
      <c r="N23" s="9"/>
      <c r="O23" s="22">
        <v>-3.4484899999999999E-2</v>
      </c>
      <c r="P23" s="22">
        <v>68.684899999999999</v>
      </c>
      <c r="Q23" s="22">
        <v>-1.8524200000000001E-2</v>
      </c>
      <c r="R23" s="22">
        <v>13</v>
      </c>
      <c r="S23" s="22">
        <v>-3.4420800000000001E-2</v>
      </c>
      <c r="T23">
        <f t="shared" si="2"/>
        <v>18.5242</v>
      </c>
      <c r="U23">
        <f t="shared" si="3"/>
        <v>-0.63880518458000002</v>
      </c>
      <c r="V23" s="23"/>
      <c r="W23" s="24"/>
      <c r="X23" s="9"/>
      <c r="Y23" s="22">
        <v>1.6845699999999999</v>
      </c>
      <c r="Z23" s="22">
        <v>102.89100000000001</v>
      </c>
      <c r="AA23" s="22">
        <v>-1.1892700000000001E-2</v>
      </c>
      <c r="AB23" s="22">
        <v>13</v>
      </c>
      <c r="AC23" s="22">
        <v>1.6839599999999999</v>
      </c>
      <c r="AD23">
        <f t="shared" si="4"/>
        <v>11.892700000000001</v>
      </c>
      <c r="AE23">
        <f t="shared" si="5"/>
        <v>20.034085639000001</v>
      </c>
      <c r="AF23" s="9"/>
      <c r="AG23" s="22">
        <v>-3.4484899999999999E-2</v>
      </c>
      <c r="AH23" s="22">
        <v>120.712</v>
      </c>
      <c r="AI23" s="22">
        <v>-1.86768E-2</v>
      </c>
      <c r="AJ23" s="22">
        <v>13</v>
      </c>
      <c r="AK23" s="22">
        <v>-3.4588599999999997E-2</v>
      </c>
      <c r="AL23">
        <f t="shared" si="6"/>
        <v>18.6768</v>
      </c>
      <c r="AM23">
        <f t="shared" si="7"/>
        <v>-0.64406758032</v>
      </c>
      <c r="AP23" s="9"/>
      <c r="AQ23" s="22">
        <v>1.6845699999999999</v>
      </c>
      <c r="AR23" s="22">
        <v>154.98099999999999</v>
      </c>
      <c r="AS23" s="22">
        <v>4.7024499999999997E-2</v>
      </c>
      <c r="AT23" s="22">
        <v>13</v>
      </c>
      <c r="AU23" s="22">
        <v>0.38989299999999999</v>
      </c>
      <c r="AV23">
        <f t="shared" si="8"/>
        <v>-47.024499999999996</v>
      </c>
      <c r="AW23">
        <f t="shared" si="9"/>
        <v>-79.216061964999994</v>
      </c>
      <c r="AX23" s="9"/>
      <c r="AY23" s="22">
        <v>-3.4484899999999999E-2</v>
      </c>
      <c r="AZ23" s="22">
        <v>189.36799999999999</v>
      </c>
      <c r="BA23" s="22">
        <v>-1.8264800000000001E-2</v>
      </c>
      <c r="BB23" s="22">
        <v>13</v>
      </c>
      <c r="BC23" s="22">
        <v>-3.4762599999999998E-2</v>
      </c>
      <c r="BD23">
        <f t="shared" si="10"/>
        <v>18.264800000000001</v>
      </c>
      <c r="BE23">
        <f t="shared" si="11"/>
        <v>-0.62985980151999998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34.385899999999999</v>
      </c>
      <c r="I24" s="22">
        <v>4.5565799999999997E-2</v>
      </c>
      <c r="J24" s="22">
        <v>14</v>
      </c>
      <c r="K24" s="22">
        <v>0.36007699999999998</v>
      </c>
      <c r="L24">
        <f t="shared" si="0"/>
        <v>-45.565799999999996</v>
      </c>
      <c r="M24">
        <f t="shared" si="1"/>
        <v>-76.529128073999985</v>
      </c>
      <c r="N24" s="9"/>
      <c r="O24" s="22">
        <v>-2.94495E-2</v>
      </c>
      <c r="P24" s="22">
        <v>68.694999999999993</v>
      </c>
      <c r="Q24" s="22">
        <v>-1.8524200000000001E-2</v>
      </c>
      <c r="R24" s="22">
        <v>14</v>
      </c>
      <c r="S24" s="22">
        <v>-2.9836999999999999E-2</v>
      </c>
      <c r="T24">
        <f t="shared" si="2"/>
        <v>18.5242</v>
      </c>
      <c r="U24">
        <f t="shared" si="3"/>
        <v>-0.5455284279</v>
      </c>
      <c r="V24" s="23"/>
      <c r="W24" s="24"/>
      <c r="X24" s="9"/>
      <c r="Y24" s="22">
        <v>1.67953</v>
      </c>
      <c r="Z24" s="22">
        <v>102.901</v>
      </c>
      <c r="AA24" s="22">
        <v>-1.27869E-2</v>
      </c>
      <c r="AB24" s="22">
        <v>14</v>
      </c>
      <c r="AC24" s="22">
        <v>1.6793800000000001</v>
      </c>
      <c r="AD24">
        <f t="shared" si="4"/>
        <v>12.786900000000001</v>
      </c>
      <c r="AE24">
        <f t="shared" si="5"/>
        <v>21.475982157000001</v>
      </c>
      <c r="AF24" s="9"/>
      <c r="AG24" s="22">
        <v>-2.94495E-2</v>
      </c>
      <c r="AH24" s="22">
        <v>120.72199999999999</v>
      </c>
      <c r="AI24" s="22">
        <v>-1.8673700000000001E-2</v>
      </c>
      <c r="AJ24" s="22">
        <v>14</v>
      </c>
      <c r="AK24" s="22">
        <v>-3.0041499999999999E-2</v>
      </c>
      <c r="AL24">
        <f t="shared" si="6"/>
        <v>18.6737</v>
      </c>
      <c r="AM24">
        <f t="shared" si="7"/>
        <v>-0.54993112815</v>
      </c>
      <c r="AP24" s="9"/>
      <c r="AQ24" s="22">
        <v>1.67953</v>
      </c>
      <c r="AR24" s="22">
        <v>154.99100000000001</v>
      </c>
      <c r="AS24" s="22">
        <v>4.7015399999999999E-2</v>
      </c>
      <c r="AT24" s="22">
        <v>14</v>
      </c>
      <c r="AU24" s="22">
        <v>0.38089000000000001</v>
      </c>
      <c r="AV24">
        <f t="shared" si="8"/>
        <v>-47.0154</v>
      </c>
      <c r="AW24">
        <f t="shared" si="9"/>
        <v>-78.963774762</v>
      </c>
      <c r="AX24" s="9"/>
      <c r="AY24" s="22">
        <v>-2.94495E-2</v>
      </c>
      <c r="AZ24" s="22">
        <v>189.37799999999999</v>
      </c>
      <c r="BA24" s="22">
        <v>-1.8264800000000001E-2</v>
      </c>
      <c r="BB24" s="22">
        <v>14</v>
      </c>
      <c r="BC24" s="22">
        <v>-2.9855300000000001E-2</v>
      </c>
      <c r="BD24">
        <f t="shared" si="10"/>
        <v>18.264800000000001</v>
      </c>
      <c r="BE24">
        <f t="shared" si="11"/>
        <v>-0.53788922760000002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34.395899999999997</v>
      </c>
      <c r="I25" s="22">
        <v>4.5437600000000002E-2</v>
      </c>
      <c r="J25" s="22">
        <v>15</v>
      </c>
      <c r="K25" s="22">
        <v>0.36480699999999999</v>
      </c>
      <c r="L25">
        <f t="shared" si="0"/>
        <v>-45.437600000000003</v>
      </c>
      <c r="M25">
        <f t="shared" si="1"/>
        <v>-76.085261200000005</v>
      </c>
      <c r="N25" s="9"/>
      <c r="O25" s="22">
        <v>-2.4414100000000001E-2</v>
      </c>
      <c r="P25" s="22">
        <v>68.705100000000002</v>
      </c>
      <c r="Q25" s="22">
        <v>-1.8527200000000001E-2</v>
      </c>
      <c r="R25" s="22">
        <v>15</v>
      </c>
      <c r="S25" s="22">
        <v>-2.4722299999999999E-2</v>
      </c>
      <c r="T25">
        <f t="shared" si="2"/>
        <v>18.527200000000001</v>
      </c>
      <c r="U25">
        <f t="shared" si="3"/>
        <v>-0.45232491352000004</v>
      </c>
      <c r="V25" s="23"/>
      <c r="W25" s="24"/>
      <c r="X25" s="9"/>
      <c r="Y25" s="22">
        <v>1.6745000000000001</v>
      </c>
      <c r="Z25" s="22">
        <v>102.911</v>
      </c>
      <c r="AA25" s="22">
        <v>-1.34888E-2</v>
      </c>
      <c r="AB25" s="22">
        <v>15</v>
      </c>
      <c r="AC25" s="22">
        <v>1.6738900000000001</v>
      </c>
      <c r="AD25">
        <f t="shared" si="4"/>
        <v>13.488800000000001</v>
      </c>
      <c r="AE25">
        <f t="shared" si="5"/>
        <v>22.586995600000005</v>
      </c>
      <c r="AF25" s="9"/>
      <c r="AG25" s="22">
        <v>-2.4414100000000001E-2</v>
      </c>
      <c r="AH25" s="22">
        <v>120.732</v>
      </c>
      <c r="AI25" s="22">
        <v>-1.8673700000000001E-2</v>
      </c>
      <c r="AJ25" s="22">
        <v>15</v>
      </c>
      <c r="AK25" s="22">
        <v>-2.4728400000000001E-2</v>
      </c>
      <c r="AL25">
        <f t="shared" si="6"/>
        <v>18.6737</v>
      </c>
      <c r="AM25">
        <f t="shared" si="7"/>
        <v>-0.45590157917000002</v>
      </c>
      <c r="AP25" s="9"/>
      <c r="AQ25" s="22">
        <v>1.6745000000000001</v>
      </c>
      <c r="AR25" s="22">
        <v>155.001</v>
      </c>
      <c r="AS25" s="22">
        <v>4.7006199999999998E-2</v>
      </c>
      <c r="AT25" s="22">
        <v>15</v>
      </c>
      <c r="AU25" s="22">
        <v>0.38806200000000002</v>
      </c>
      <c r="AV25">
        <f t="shared" si="8"/>
        <v>-47.0062</v>
      </c>
      <c r="AW25">
        <f t="shared" si="9"/>
        <v>-78.711881900000009</v>
      </c>
      <c r="AX25" s="9"/>
      <c r="AY25" s="22">
        <v>-2.4414100000000001E-2</v>
      </c>
      <c r="AZ25" s="22">
        <v>189.38800000000001</v>
      </c>
      <c r="BA25" s="22">
        <v>-1.8261699999999999E-2</v>
      </c>
      <c r="BB25" s="22">
        <v>15</v>
      </c>
      <c r="BC25" s="22">
        <v>-2.4884E-2</v>
      </c>
      <c r="BD25">
        <f t="shared" si="10"/>
        <v>18.261699999999998</v>
      </c>
      <c r="BE25">
        <f t="shared" si="11"/>
        <v>-0.44584296996999995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34.405999999999999</v>
      </c>
      <c r="I26" s="22">
        <v>4.5474199999999999E-2</v>
      </c>
      <c r="J26" s="22">
        <v>16</v>
      </c>
      <c r="K26" s="22">
        <v>0.35909999999999997</v>
      </c>
      <c r="L26">
        <f t="shared" si="0"/>
        <v>-45.474199999999996</v>
      </c>
      <c r="M26">
        <f t="shared" si="1"/>
        <v>-75.917357931999987</v>
      </c>
      <c r="N26" s="9"/>
      <c r="O26" s="22">
        <v>-1.9378699999999999E-2</v>
      </c>
      <c r="P26" s="22">
        <v>68.715100000000007</v>
      </c>
      <c r="Q26" s="22">
        <v>-1.8508899999999998E-2</v>
      </c>
      <c r="R26" s="22">
        <v>16</v>
      </c>
      <c r="S26" s="22">
        <v>-1.8832399999999999E-2</v>
      </c>
      <c r="T26">
        <f t="shared" si="2"/>
        <v>18.508899999999997</v>
      </c>
      <c r="U26">
        <f t="shared" si="3"/>
        <v>-0.35867842042999992</v>
      </c>
      <c r="V26" s="23"/>
      <c r="W26" s="24"/>
      <c r="X26" s="9"/>
      <c r="Y26" s="22">
        <v>1.6694599999999999</v>
      </c>
      <c r="Z26" s="22">
        <v>102.92100000000001</v>
      </c>
      <c r="AA26" s="22">
        <v>-1.4047199999999999E-2</v>
      </c>
      <c r="AB26" s="22">
        <v>16</v>
      </c>
      <c r="AC26" s="22">
        <v>1.6680900000000001</v>
      </c>
      <c r="AD26">
        <f t="shared" si="4"/>
        <v>14.0472</v>
      </c>
      <c r="AE26">
        <f t="shared" si="5"/>
        <v>23.451238512</v>
      </c>
      <c r="AF26" s="9"/>
      <c r="AG26" s="22">
        <v>-1.9378699999999999E-2</v>
      </c>
      <c r="AH26" s="22">
        <v>120.742</v>
      </c>
      <c r="AI26" s="22">
        <v>-1.8673700000000001E-2</v>
      </c>
      <c r="AJ26" s="22">
        <v>16</v>
      </c>
      <c r="AK26" s="22">
        <v>-1.9369500000000001E-2</v>
      </c>
      <c r="AL26">
        <f t="shared" si="6"/>
        <v>18.6737</v>
      </c>
      <c r="AM26">
        <f t="shared" si="7"/>
        <v>-0.36187203018999997</v>
      </c>
      <c r="AP26" s="9"/>
      <c r="AQ26" s="22">
        <v>1.6694599999999999</v>
      </c>
      <c r="AR26" s="22">
        <v>155.011</v>
      </c>
      <c r="AS26" s="22">
        <v>4.69971E-2</v>
      </c>
      <c r="AT26" s="22">
        <v>16</v>
      </c>
      <c r="AU26" s="22">
        <v>0.38165300000000002</v>
      </c>
      <c r="AV26">
        <f t="shared" si="8"/>
        <v>-46.997100000000003</v>
      </c>
      <c r="AW26">
        <f t="shared" si="9"/>
        <v>-78.459778565999997</v>
      </c>
      <c r="AX26" s="9"/>
      <c r="AY26" s="22">
        <v>-1.9378699999999999E-2</v>
      </c>
      <c r="AZ26" s="22">
        <v>189.398</v>
      </c>
      <c r="BA26" s="22">
        <v>-1.8258699999999999E-2</v>
      </c>
      <c r="BB26" s="22">
        <v>16</v>
      </c>
      <c r="BC26" s="22">
        <v>-1.9842499999999999E-2</v>
      </c>
      <c r="BD26">
        <f t="shared" si="10"/>
        <v>18.258699999999997</v>
      </c>
      <c r="BE26">
        <f t="shared" si="11"/>
        <v>-0.35382986968999991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34.4161</v>
      </c>
      <c r="I27" s="22">
        <v>4.5498700000000003E-2</v>
      </c>
      <c r="J27" s="22">
        <v>17</v>
      </c>
      <c r="K27" s="22">
        <v>0.33441199999999999</v>
      </c>
      <c r="L27">
        <f t="shared" si="0"/>
        <v>-45.498699999999999</v>
      </c>
      <c r="M27">
        <f t="shared" si="1"/>
        <v>-75.729401241000005</v>
      </c>
      <c r="N27" s="9"/>
      <c r="O27" s="22">
        <v>-1.43433E-2</v>
      </c>
      <c r="P27" s="22">
        <v>68.725200000000001</v>
      </c>
      <c r="Q27" s="22">
        <v>-1.8505899999999999E-2</v>
      </c>
      <c r="R27" s="22">
        <v>17</v>
      </c>
      <c r="S27" s="22">
        <v>-1.39069E-2</v>
      </c>
      <c r="T27">
        <f t="shared" si="2"/>
        <v>18.5059</v>
      </c>
      <c r="U27">
        <f t="shared" si="3"/>
        <v>-0.26543567547000002</v>
      </c>
      <c r="X27" s="9"/>
      <c r="Y27" s="22">
        <v>1.6644300000000001</v>
      </c>
      <c r="Z27" s="22">
        <v>102.931</v>
      </c>
      <c r="AA27" s="22">
        <v>-1.4508099999999999E-2</v>
      </c>
      <c r="AB27" s="22">
        <v>17</v>
      </c>
      <c r="AC27" s="22">
        <v>1.6632100000000001</v>
      </c>
      <c r="AD27">
        <f t="shared" si="4"/>
        <v>14.508099999999999</v>
      </c>
      <c r="AE27">
        <f t="shared" si="5"/>
        <v>24.147716882999998</v>
      </c>
      <c r="AF27" s="9"/>
      <c r="AG27" s="22">
        <v>-1.43433E-2</v>
      </c>
      <c r="AH27" s="22">
        <v>120.752</v>
      </c>
      <c r="AI27" s="22">
        <v>-1.8673700000000001E-2</v>
      </c>
      <c r="AJ27" s="22">
        <v>17</v>
      </c>
      <c r="AK27" s="22">
        <v>-1.42822E-2</v>
      </c>
      <c r="AL27">
        <f t="shared" si="6"/>
        <v>18.6737</v>
      </c>
      <c r="AM27">
        <f t="shared" si="7"/>
        <v>-0.26784248120999998</v>
      </c>
      <c r="AP27" s="9"/>
      <c r="AQ27" s="22">
        <v>1.6644300000000001</v>
      </c>
      <c r="AR27" s="22">
        <v>155.02099999999999</v>
      </c>
      <c r="AS27" s="22">
        <v>4.6994000000000001E-2</v>
      </c>
      <c r="AT27" s="22">
        <v>17</v>
      </c>
      <c r="AU27" s="22">
        <v>0.38278200000000001</v>
      </c>
      <c r="AV27">
        <f t="shared" si="8"/>
        <v>-46.994</v>
      </c>
      <c r="AW27">
        <f t="shared" si="9"/>
        <v>-78.218223420000001</v>
      </c>
      <c r="AX27" s="9"/>
      <c r="AY27" s="22">
        <v>-1.43433E-2</v>
      </c>
      <c r="AZ27" s="22">
        <v>189.40899999999999</v>
      </c>
      <c r="BA27" s="22">
        <v>-1.8258699999999999E-2</v>
      </c>
      <c r="BB27" s="22">
        <v>17</v>
      </c>
      <c r="BC27" s="22">
        <v>-1.46149E-2</v>
      </c>
      <c r="BD27">
        <f t="shared" si="10"/>
        <v>18.258699999999997</v>
      </c>
      <c r="BE27">
        <f t="shared" si="11"/>
        <v>-0.26189001170999998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34.426099999999998</v>
      </c>
      <c r="I28" s="22">
        <v>4.5523099999999997E-2</v>
      </c>
      <c r="J28" s="22">
        <v>18</v>
      </c>
      <c r="K28" s="22">
        <v>0.34713699999999997</v>
      </c>
      <c r="L28">
        <f t="shared" si="0"/>
        <v>-45.523099999999999</v>
      </c>
      <c r="M28">
        <f t="shared" si="1"/>
        <v>-75.540576908999995</v>
      </c>
      <c r="N28" s="9"/>
      <c r="O28" s="22">
        <v>-9.3078599999999994E-3</v>
      </c>
      <c r="P28" s="22">
        <v>68.735299999999995</v>
      </c>
      <c r="Q28" s="22">
        <v>-1.84998E-2</v>
      </c>
      <c r="R28" s="22">
        <v>18</v>
      </c>
      <c r="S28" s="22">
        <v>-9.0972899999999992E-3</v>
      </c>
      <c r="T28">
        <f t="shared" si="2"/>
        <v>18.4998</v>
      </c>
      <c r="U28">
        <f t="shared" si="3"/>
        <v>-0.172193548428</v>
      </c>
      <c r="X28" s="9"/>
      <c r="Y28" s="22">
        <v>1.6593899999999999</v>
      </c>
      <c r="Z28" s="22">
        <v>102.941</v>
      </c>
      <c r="AA28" s="22">
        <v>-1.48865E-2</v>
      </c>
      <c r="AB28" s="22">
        <v>18</v>
      </c>
      <c r="AC28" s="22">
        <v>1.6583300000000001</v>
      </c>
      <c r="AD28">
        <f t="shared" si="4"/>
        <v>14.8865</v>
      </c>
      <c r="AE28">
        <f t="shared" si="5"/>
        <v>24.702509234999997</v>
      </c>
      <c r="AF28" s="9"/>
      <c r="AG28" s="22">
        <v>-9.3078599999999994E-3</v>
      </c>
      <c r="AH28" s="22">
        <v>120.762</v>
      </c>
      <c r="AI28" s="22">
        <v>-1.8673700000000001E-2</v>
      </c>
      <c r="AJ28" s="22">
        <v>18</v>
      </c>
      <c r="AK28" s="22">
        <v>-9.5153800000000004E-3</v>
      </c>
      <c r="AL28">
        <f t="shared" si="6"/>
        <v>18.6737</v>
      </c>
      <c r="AM28">
        <f t="shared" si="7"/>
        <v>-0.17381218528199999</v>
      </c>
      <c r="AP28" s="9"/>
      <c r="AQ28" s="22">
        <v>1.6593899999999999</v>
      </c>
      <c r="AR28" s="22">
        <v>155.03100000000001</v>
      </c>
      <c r="AS28" s="22">
        <v>4.6987899999999999E-2</v>
      </c>
      <c r="AT28" s="22">
        <v>18</v>
      </c>
      <c r="AU28" s="22">
        <v>0.38256800000000002</v>
      </c>
      <c r="AV28">
        <f t="shared" si="8"/>
        <v>-46.987899999999996</v>
      </c>
      <c r="AW28">
        <f t="shared" si="9"/>
        <v>-77.971251380999988</v>
      </c>
      <c r="AX28" s="9"/>
      <c r="AY28" s="22">
        <v>-9.3078599999999994E-3</v>
      </c>
      <c r="AZ28" s="22">
        <v>189.41900000000001</v>
      </c>
      <c r="BA28" s="22">
        <v>-1.82556E-2</v>
      </c>
      <c r="BB28" s="22">
        <v>18</v>
      </c>
      <c r="BC28" s="22">
        <v>-9.5092800000000002E-3</v>
      </c>
      <c r="BD28">
        <f t="shared" si="10"/>
        <v>18.255600000000001</v>
      </c>
      <c r="BE28">
        <f t="shared" si="11"/>
        <v>-0.169920569016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34.436199999999999</v>
      </c>
      <c r="I29" s="22">
        <v>4.5489500000000002E-2</v>
      </c>
      <c r="J29" s="22">
        <v>19</v>
      </c>
      <c r="K29" s="22">
        <v>0.35302699999999998</v>
      </c>
      <c r="L29">
        <f t="shared" si="0"/>
        <v>-45.4895</v>
      </c>
      <c r="M29">
        <f t="shared" si="1"/>
        <v>-75.256009219999996</v>
      </c>
      <c r="N29" s="9"/>
      <c r="O29" s="22">
        <v>-4.2724599999999996E-3</v>
      </c>
      <c r="P29" s="22">
        <v>68.745400000000004</v>
      </c>
      <c r="Q29" s="22">
        <v>-1.8505899999999999E-2</v>
      </c>
      <c r="R29" s="22">
        <v>19</v>
      </c>
      <c r="S29" s="22">
        <v>-4.72107E-3</v>
      </c>
      <c r="T29">
        <f t="shared" si="2"/>
        <v>18.5059</v>
      </c>
      <c r="U29">
        <f t="shared" si="3"/>
        <v>-7.9065717513999989E-2</v>
      </c>
      <c r="X29" s="9"/>
      <c r="Y29" s="22">
        <v>1.6543600000000001</v>
      </c>
      <c r="Z29" s="22">
        <v>102.952</v>
      </c>
      <c r="AA29" s="22">
        <v>-1.521E-2</v>
      </c>
      <c r="AB29" s="22">
        <v>19</v>
      </c>
      <c r="AC29" s="22">
        <v>1.65344</v>
      </c>
      <c r="AD29">
        <f t="shared" si="4"/>
        <v>15.209999999999999</v>
      </c>
      <c r="AE29">
        <f t="shared" si="5"/>
        <v>25.162815599999998</v>
      </c>
      <c r="AF29" s="9"/>
      <c r="AG29" s="22">
        <v>-4.2724599999999996E-3</v>
      </c>
      <c r="AH29" s="22">
        <v>120.77200000000001</v>
      </c>
      <c r="AI29" s="22">
        <v>-1.8673700000000001E-2</v>
      </c>
      <c r="AJ29" s="22">
        <v>19</v>
      </c>
      <c r="AK29" s="22">
        <v>-4.0618900000000003E-3</v>
      </c>
      <c r="AL29">
        <f t="shared" si="6"/>
        <v>18.6737</v>
      </c>
      <c r="AM29">
        <f t="shared" si="7"/>
        <v>-7.9782636301999998E-2</v>
      </c>
      <c r="AP29" s="9"/>
      <c r="AQ29" s="22">
        <v>1.6543600000000001</v>
      </c>
      <c r="AR29" s="22">
        <v>155.042</v>
      </c>
      <c r="AS29" s="22">
        <v>4.6984900000000003E-2</v>
      </c>
      <c r="AT29" s="22">
        <v>19</v>
      </c>
      <c r="AU29" s="22">
        <v>0.39520300000000003</v>
      </c>
      <c r="AV29">
        <f t="shared" si="8"/>
        <v>-46.984900000000003</v>
      </c>
      <c r="AW29">
        <f t="shared" si="9"/>
        <v>-77.729939164000001</v>
      </c>
      <c r="AX29" s="9"/>
      <c r="AY29" s="22">
        <v>-4.2724599999999996E-3</v>
      </c>
      <c r="AZ29" s="22">
        <v>189.429</v>
      </c>
      <c r="BA29" s="22">
        <v>-1.82556E-2</v>
      </c>
      <c r="BB29" s="22">
        <v>19</v>
      </c>
      <c r="BC29" s="22">
        <v>-4.7637900000000004E-3</v>
      </c>
      <c r="BD29">
        <f t="shared" si="10"/>
        <v>18.255600000000001</v>
      </c>
      <c r="BE29">
        <f t="shared" si="11"/>
        <v>-7.7996320775999994E-2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34.446300000000001</v>
      </c>
      <c r="I30" s="22">
        <v>4.54315E-2</v>
      </c>
      <c r="J30" s="22">
        <v>20</v>
      </c>
      <c r="K30" s="22">
        <v>0.357483</v>
      </c>
      <c r="L30">
        <f t="shared" si="0"/>
        <v>-45.4315</v>
      </c>
      <c r="M30">
        <f t="shared" si="1"/>
        <v>-74.931081579999997</v>
      </c>
      <c r="N30" s="9"/>
      <c r="O30" s="22">
        <v>7.6293900000000002E-4</v>
      </c>
      <c r="P30" s="22">
        <v>68.755399999999995</v>
      </c>
      <c r="Q30" s="22">
        <v>-1.84998E-2</v>
      </c>
      <c r="R30" s="22">
        <v>20</v>
      </c>
      <c r="S30" s="22">
        <v>4.9743699999999999E-4</v>
      </c>
      <c r="T30">
        <f t="shared" si="2"/>
        <v>18.4998</v>
      </c>
      <c r="U30">
        <f t="shared" si="3"/>
        <v>1.4114218912200001E-2</v>
      </c>
      <c r="X30" s="9"/>
      <c r="Y30" s="22">
        <v>1.6493199999999999</v>
      </c>
      <c r="Z30" s="22">
        <v>102.962</v>
      </c>
      <c r="AA30" s="22">
        <v>-1.54907E-2</v>
      </c>
      <c r="AB30" s="22">
        <v>20</v>
      </c>
      <c r="AC30" s="22">
        <v>1.64856</v>
      </c>
      <c r="AD30">
        <f t="shared" si="4"/>
        <v>15.4907</v>
      </c>
      <c r="AE30">
        <f t="shared" si="5"/>
        <v>25.549121323999998</v>
      </c>
      <c r="AF30" s="9"/>
      <c r="AG30" s="22">
        <v>7.6293900000000002E-4</v>
      </c>
      <c r="AH30" s="22">
        <v>120.782</v>
      </c>
      <c r="AI30" s="22">
        <v>-1.8670699999999998E-2</v>
      </c>
      <c r="AJ30" s="22">
        <v>20</v>
      </c>
      <c r="AK30" s="22">
        <v>7.3242200000000004E-4</v>
      </c>
      <c r="AL30">
        <f t="shared" si="6"/>
        <v>18.6707</v>
      </c>
      <c r="AM30">
        <f t="shared" si="7"/>
        <v>1.4244605187300001E-2</v>
      </c>
      <c r="AP30" s="9"/>
      <c r="AQ30" s="22">
        <v>1.6493199999999999</v>
      </c>
      <c r="AR30" s="22">
        <v>155.05199999999999</v>
      </c>
      <c r="AS30" s="22">
        <v>4.6978800000000001E-2</v>
      </c>
      <c r="AT30" s="22">
        <v>20</v>
      </c>
      <c r="AU30" s="22">
        <v>0.39263900000000002</v>
      </c>
      <c r="AV30">
        <f t="shared" si="8"/>
        <v>-46.9788</v>
      </c>
      <c r="AW30">
        <f t="shared" si="9"/>
        <v>-77.483074415999994</v>
      </c>
      <c r="AX30" s="9"/>
      <c r="AY30" s="22">
        <v>7.6293900000000002E-4</v>
      </c>
      <c r="AZ30" s="22">
        <v>189.43899999999999</v>
      </c>
      <c r="BA30" s="22">
        <v>-1.82556E-2</v>
      </c>
      <c r="BB30" s="22">
        <v>20</v>
      </c>
      <c r="BC30" s="22">
        <v>9.6130399999999996E-4</v>
      </c>
      <c r="BD30">
        <f t="shared" si="10"/>
        <v>18.255600000000001</v>
      </c>
      <c r="BE30">
        <f t="shared" si="11"/>
        <v>1.3927909208400001E-2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34.456400000000002</v>
      </c>
      <c r="I31" s="22">
        <v>4.6933000000000002E-2</v>
      </c>
      <c r="J31" s="22">
        <v>21</v>
      </c>
      <c r="K31" s="22">
        <v>0.35095199999999999</v>
      </c>
      <c r="L31">
        <f t="shared" si="0"/>
        <v>-46.933</v>
      </c>
      <c r="M31">
        <f t="shared" si="1"/>
        <v>-77.171462570000003</v>
      </c>
      <c r="N31" s="9"/>
      <c r="O31" s="22">
        <v>5.7983399999999999E-3</v>
      </c>
      <c r="P31" s="22">
        <v>68.765500000000003</v>
      </c>
      <c r="Q31" s="22">
        <v>-1.8493699999999998E-2</v>
      </c>
      <c r="R31" s="22">
        <v>21</v>
      </c>
      <c r="S31" s="22">
        <v>5.7311999999999997E-3</v>
      </c>
      <c r="T31">
        <f t="shared" si="2"/>
        <v>18.493699999999997</v>
      </c>
      <c r="U31">
        <f t="shared" si="3"/>
        <v>0.10723276045799998</v>
      </c>
      <c r="X31" s="9"/>
      <c r="Y31" s="22">
        <v>1.64429</v>
      </c>
      <c r="Z31" s="22">
        <v>102.97199999999999</v>
      </c>
      <c r="AA31" s="22">
        <v>-1.57349E-2</v>
      </c>
      <c r="AB31" s="22">
        <v>21</v>
      </c>
      <c r="AC31" s="22">
        <v>1.64307</v>
      </c>
      <c r="AD31">
        <f t="shared" si="4"/>
        <v>15.7349</v>
      </c>
      <c r="AE31">
        <f t="shared" si="5"/>
        <v>25.872738721000001</v>
      </c>
      <c r="AF31" s="9"/>
      <c r="AG31" s="22">
        <v>5.7983399999999999E-3</v>
      </c>
      <c r="AH31" s="22">
        <v>120.79300000000001</v>
      </c>
      <c r="AI31" s="22">
        <v>-1.8670699999999998E-2</v>
      </c>
      <c r="AJ31" s="22">
        <v>21</v>
      </c>
      <c r="AK31" s="22">
        <v>5.6640600000000003E-3</v>
      </c>
      <c r="AL31">
        <f t="shared" si="6"/>
        <v>18.6707</v>
      </c>
      <c r="AM31">
        <f t="shared" si="7"/>
        <v>0.108259066638</v>
      </c>
      <c r="AP31" s="9"/>
      <c r="AQ31" s="22">
        <v>1.64429</v>
      </c>
      <c r="AR31" s="22">
        <v>155.06200000000001</v>
      </c>
      <c r="AS31" s="22">
        <v>4.6972699999999999E-2</v>
      </c>
      <c r="AT31" s="22">
        <v>21</v>
      </c>
      <c r="AU31" s="22">
        <v>0.38482699999999997</v>
      </c>
      <c r="AV31">
        <f t="shared" si="8"/>
        <v>-46.972699999999996</v>
      </c>
      <c r="AW31">
        <f t="shared" si="9"/>
        <v>-77.236740882999996</v>
      </c>
      <c r="AX31" s="9"/>
      <c r="AY31" s="22">
        <v>5.7983399999999999E-3</v>
      </c>
      <c r="AZ31" s="22">
        <v>189.44900000000001</v>
      </c>
      <c r="BA31" s="22">
        <v>-1.8252600000000001E-2</v>
      </c>
      <c r="BB31" s="22">
        <v>21</v>
      </c>
      <c r="BC31" s="22">
        <v>5.3772000000000004E-3</v>
      </c>
      <c r="BD31">
        <f t="shared" si="10"/>
        <v>18.252600000000001</v>
      </c>
      <c r="BE31">
        <f t="shared" si="11"/>
        <v>0.105834780684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34.4664</v>
      </c>
      <c r="I32" s="22">
        <v>4.69421E-2</v>
      </c>
      <c r="J32" s="22">
        <v>22</v>
      </c>
      <c r="K32" s="22">
        <v>0.35681200000000002</v>
      </c>
      <c r="L32">
        <f t="shared" si="0"/>
        <v>-46.942100000000003</v>
      </c>
      <c r="M32">
        <f t="shared" si="1"/>
        <v>-76.949837425000013</v>
      </c>
      <c r="N32" s="9"/>
      <c r="O32" s="22">
        <v>1.08337E-2</v>
      </c>
      <c r="P32" s="22">
        <v>68.775599999999997</v>
      </c>
      <c r="Q32" s="22">
        <v>-1.8496700000000001E-2</v>
      </c>
      <c r="R32" s="22">
        <v>22</v>
      </c>
      <c r="S32" s="22">
        <v>1.08643E-2</v>
      </c>
      <c r="T32">
        <f t="shared" si="2"/>
        <v>18.496700000000001</v>
      </c>
      <c r="U32">
        <f t="shared" si="3"/>
        <v>0.20038769879000001</v>
      </c>
      <c r="X32" s="9"/>
      <c r="Y32" s="22">
        <v>1.6392500000000001</v>
      </c>
      <c r="Z32" s="22">
        <v>102.982</v>
      </c>
      <c r="AA32" s="22">
        <v>-1.5957599999999999E-2</v>
      </c>
      <c r="AB32" s="22">
        <v>22</v>
      </c>
      <c r="AC32" s="22">
        <v>1.63757</v>
      </c>
      <c r="AD32">
        <f t="shared" si="4"/>
        <v>15.957599999999999</v>
      </c>
      <c r="AE32">
        <f t="shared" si="5"/>
        <v>26.158495800000001</v>
      </c>
      <c r="AF32" s="9"/>
      <c r="AG32" s="22">
        <v>1.08337E-2</v>
      </c>
      <c r="AH32" s="22">
        <v>120.803</v>
      </c>
      <c r="AI32" s="22">
        <v>-1.8667599999999999E-2</v>
      </c>
      <c r="AJ32" s="22">
        <v>22</v>
      </c>
      <c r="AK32" s="22">
        <v>1.1279300000000001E-2</v>
      </c>
      <c r="AL32">
        <f t="shared" si="6"/>
        <v>18.6676</v>
      </c>
      <c r="AM32">
        <f t="shared" si="7"/>
        <v>0.20223917812</v>
      </c>
      <c r="AP32" s="9"/>
      <c r="AQ32" s="22">
        <v>1.6392500000000001</v>
      </c>
      <c r="AR32" s="22">
        <v>155.072</v>
      </c>
      <c r="AS32" s="22">
        <v>4.6972699999999999E-2</v>
      </c>
      <c r="AT32" s="22">
        <v>22</v>
      </c>
      <c r="AU32" s="22">
        <v>0.38394200000000001</v>
      </c>
      <c r="AV32">
        <f t="shared" si="8"/>
        <v>-46.972699999999996</v>
      </c>
      <c r="AW32">
        <f t="shared" si="9"/>
        <v>-76.999998474999998</v>
      </c>
      <c r="AX32" s="9"/>
      <c r="AY32" s="22">
        <v>1.08337E-2</v>
      </c>
      <c r="AZ32" s="22">
        <v>189.459</v>
      </c>
      <c r="BA32" s="22">
        <v>-1.8249499999999998E-2</v>
      </c>
      <c r="BB32" s="22">
        <v>22</v>
      </c>
      <c r="BC32" s="22">
        <v>1.0324099999999999E-2</v>
      </c>
      <c r="BD32">
        <f t="shared" si="10"/>
        <v>18.249499999999998</v>
      </c>
      <c r="BE32">
        <f t="shared" si="11"/>
        <v>0.19770960814999997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34.476500000000001</v>
      </c>
      <c r="I33" s="22">
        <v>4.6929899999999997E-2</v>
      </c>
      <c r="J33" s="22">
        <v>23</v>
      </c>
      <c r="K33" s="22">
        <v>0.35546899999999998</v>
      </c>
      <c r="L33">
        <f t="shared" si="0"/>
        <v>-46.929899999999996</v>
      </c>
      <c r="M33">
        <f t="shared" si="1"/>
        <v>-76.693781177999995</v>
      </c>
      <c r="N33" s="9"/>
      <c r="O33" s="22">
        <v>1.5869100000000001E-2</v>
      </c>
      <c r="P33" s="22">
        <v>68.785600000000002</v>
      </c>
      <c r="Q33" s="22">
        <v>-1.8496700000000001E-2</v>
      </c>
      <c r="R33" s="22">
        <v>23</v>
      </c>
      <c r="S33" s="22">
        <v>1.54541E-2</v>
      </c>
      <c r="T33">
        <f t="shared" si="2"/>
        <v>18.496700000000001</v>
      </c>
      <c r="U33">
        <f t="shared" si="3"/>
        <v>0.29352598197000002</v>
      </c>
      <c r="X33" s="9"/>
      <c r="Y33" s="22">
        <v>1.63422</v>
      </c>
      <c r="Z33" s="22">
        <v>102.992</v>
      </c>
      <c r="AA33" s="22">
        <v>-1.6137700000000001E-2</v>
      </c>
      <c r="AB33" s="22">
        <v>23</v>
      </c>
      <c r="AC33" s="22">
        <v>1.63269</v>
      </c>
      <c r="AD33">
        <f t="shared" si="4"/>
        <v>16.137700000000002</v>
      </c>
      <c r="AE33">
        <f t="shared" si="5"/>
        <v>26.372552094000003</v>
      </c>
      <c r="AF33" s="9"/>
      <c r="AG33" s="22">
        <v>1.5869100000000001E-2</v>
      </c>
      <c r="AH33" s="22">
        <v>120.813</v>
      </c>
      <c r="AI33" s="22">
        <v>-1.8667599999999999E-2</v>
      </c>
      <c r="AJ33" s="22">
        <v>23</v>
      </c>
      <c r="AK33" s="22">
        <v>1.56128E-2</v>
      </c>
      <c r="AL33">
        <f t="shared" si="6"/>
        <v>18.6676</v>
      </c>
      <c r="AM33">
        <f t="shared" si="7"/>
        <v>0.29623801116000004</v>
      </c>
      <c r="AP33" s="9"/>
      <c r="AQ33" s="22">
        <v>1.63422</v>
      </c>
      <c r="AR33" s="22">
        <v>155.08199999999999</v>
      </c>
      <c r="AS33" s="22">
        <v>4.6960399999999999E-2</v>
      </c>
      <c r="AT33" s="22">
        <v>23</v>
      </c>
      <c r="AU33" s="22">
        <v>0.37707499999999999</v>
      </c>
      <c r="AV33">
        <f t="shared" si="8"/>
        <v>-46.9604</v>
      </c>
      <c r="AW33">
        <f t="shared" si="9"/>
        <v>-76.743624887999999</v>
      </c>
      <c r="AX33" s="9"/>
      <c r="AY33" s="22">
        <v>1.5869100000000001E-2</v>
      </c>
      <c r="AZ33" s="22">
        <v>189.46899999999999</v>
      </c>
      <c r="BA33" s="22">
        <v>-1.8246499999999999E-2</v>
      </c>
      <c r="BB33" s="22">
        <v>23</v>
      </c>
      <c r="BC33" s="22">
        <v>1.5554800000000001E-2</v>
      </c>
      <c r="BD33">
        <f t="shared" si="10"/>
        <v>18.246499999999997</v>
      </c>
      <c r="BE33">
        <f t="shared" si="11"/>
        <v>0.28955553314999999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34.486600000000003</v>
      </c>
      <c r="I34" s="22">
        <v>4.69177E-2</v>
      </c>
      <c r="J34" s="22">
        <v>24</v>
      </c>
      <c r="K34" s="22">
        <v>0.35058600000000001</v>
      </c>
      <c r="L34">
        <f t="shared" si="0"/>
        <v>-46.917699999999996</v>
      </c>
      <c r="M34">
        <f t="shared" si="1"/>
        <v>-76.437378486</v>
      </c>
      <c r="N34" s="9"/>
      <c r="O34" s="22">
        <v>2.0904499999999999E-2</v>
      </c>
      <c r="P34" s="22">
        <v>68.795699999999997</v>
      </c>
      <c r="Q34" s="22">
        <v>-1.8493699999999998E-2</v>
      </c>
      <c r="R34" s="22">
        <v>24</v>
      </c>
      <c r="S34" s="22">
        <v>2.1182300000000001E-2</v>
      </c>
      <c r="T34">
        <f t="shared" si="2"/>
        <v>18.493699999999997</v>
      </c>
      <c r="U34">
        <f t="shared" si="3"/>
        <v>0.38660155164999993</v>
      </c>
      <c r="X34" s="9"/>
      <c r="Y34" s="22">
        <v>1.6291800000000001</v>
      </c>
      <c r="Z34" s="22">
        <v>103.002</v>
      </c>
      <c r="AA34" s="22">
        <v>-1.6302500000000001E-2</v>
      </c>
      <c r="AB34" s="22">
        <v>24</v>
      </c>
      <c r="AC34" s="22">
        <v>1.62842</v>
      </c>
      <c r="AD34">
        <f t="shared" si="4"/>
        <v>16.302500000000002</v>
      </c>
      <c r="AE34">
        <f t="shared" si="5"/>
        <v>26.559706950000006</v>
      </c>
      <c r="AF34" s="9"/>
      <c r="AG34" s="22">
        <v>2.0904499999999999E-2</v>
      </c>
      <c r="AH34" s="22">
        <v>120.82299999999999</v>
      </c>
      <c r="AI34" s="22">
        <v>-1.8667599999999999E-2</v>
      </c>
      <c r="AJ34" s="22">
        <v>24</v>
      </c>
      <c r="AK34" s="22">
        <v>2.0632899999999999E-2</v>
      </c>
      <c r="AL34">
        <f t="shared" si="6"/>
        <v>18.6676</v>
      </c>
      <c r="AM34">
        <f t="shared" si="7"/>
        <v>0.39023684419999999</v>
      </c>
      <c r="AP34" s="9"/>
      <c r="AQ34" s="22">
        <v>1.6291800000000001</v>
      </c>
      <c r="AR34" s="22">
        <v>155.09200000000001</v>
      </c>
      <c r="AS34" s="22">
        <v>4.6960399999999999E-2</v>
      </c>
      <c r="AT34" s="22">
        <v>24</v>
      </c>
      <c r="AU34" s="22">
        <v>0.37472499999999997</v>
      </c>
      <c r="AV34">
        <f t="shared" si="8"/>
        <v>-46.9604</v>
      </c>
      <c r="AW34">
        <f t="shared" si="9"/>
        <v>-76.506944472000001</v>
      </c>
      <c r="AX34" s="9"/>
      <c r="AY34" s="22">
        <v>2.0904499999999999E-2</v>
      </c>
      <c r="AZ34" s="22">
        <v>189.47900000000001</v>
      </c>
      <c r="BA34" s="22">
        <v>-1.82434E-2</v>
      </c>
      <c r="BB34" s="22">
        <v>24</v>
      </c>
      <c r="BC34" s="22">
        <v>2.1084599999999998E-2</v>
      </c>
      <c r="BD34">
        <f t="shared" si="10"/>
        <v>18.243400000000001</v>
      </c>
      <c r="BE34">
        <f t="shared" si="11"/>
        <v>0.38136915530000004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34.496600000000001</v>
      </c>
      <c r="I35" s="22">
        <v>4.6911599999999998E-2</v>
      </c>
      <c r="J35" s="22">
        <v>25</v>
      </c>
      <c r="K35" s="22">
        <v>0.33758500000000002</v>
      </c>
      <c r="L35">
        <f t="shared" si="0"/>
        <v>-46.9116</v>
      </c>
      <c r="M35">
        <f t="shared" si="1"/>
        <v>-76.191475139999994</v>
      </c>
      <c r="N35" s="9"/>
      <c r="O35" s="22">
        <v>2.5939899999999998E-2</v>
      </c>
      <c r="P35" s="22">
        <v>68.805800000000005</v>
      </c>
      <c r="Q35" s="22">
        <v>-1.8508899999999998E-2</v>
      </c>
      <c r="R35" s="22">
        <v>25</v>
      </c>
      <c r="S35" s="22">
        <v>2.5979599999999999E-2</v>
      </c>
      <c r="T35">
        <f t="shared" si="2"/>
        <v>18.508899999999997</v>
      </c>
      <c r="U35">
        <f t="shared" si="3"/>
        <v>0.48011901510999988</v>
      </c>
      <c r="X35" s="9"/>
      <c r="Y35" s="22">
        <v>1.62415</v>
      </c>
      <c r="Z35" s="22">
        <v>103.012</v>
      </c>
      <c r="AA35" s="22">
        <v>-1.6448999999999998E-2</v>
      </c>
      <c r="AB35" s="22">
        <v>25</v>
      </c>
      <c r="AC35" s="22">
        <v>1.62323</v>
      </c>
      <c r="AD35">
        <f t="shared" si="4"/>
        <v>16.448999999999998</v>
      </c>
      <c r="AE35">
        <f t="shared" si="5"/>
        <v>26.715643349999997</v>
      </c>
      <c r="AF35" s="9"/>
      <c r="AG35" s="22">
        <v>2.5939899999999998E-2</v>
      </c>
      <c r="AH35" s="22">
        <v>120.833</v>
      </c>
      <c r="AI35" s="22">
        <v>-1.86646E-2</v>
      </c>
      <c r="AJ35" s="22">
        <v>25</v>
      </c>
      <c r="AK35" s="22">
        <v>2.6080300000000001E-2</v>
      </c>
      <c r="AL35">
        <f t="shared" si="6"/>
        <v>18.6646</v>
      </c>
      <c r="AM35">
        <f t="shared" si="7"/>
        <v>0.48415785753999996</v>
      </c>
      <c r="AP35" s="9"/>
      <c r="AQ35" s="22">
        <v>1.62415</v>
      </c>
      <c r="AR35" s="22">
        <v>155.102</v>
      </c>
      <c r="AS35" s="22">
        <v>4.6951300000000001E-2</v>
      </c>
      <c r="AT35" s="22">
        <v>25</v>
      </c>
      <c r="AU35" s="22">
        <v>0.38708500000000001</v>
      </c>
      <c r="AV35">
        <f t="shared" si="8"/>
        <v>-46.951300000000003</v>
      </c>
      <c r="AW35">
        <f t="shared" si="9"/>
        <v>-76.255953895000005</v>
      </c>
      <c r="AX35" s="9"/>
      <c r="AY35" s="22">
        <v>2.5939899999999998E-2</v>
      </c>
      <c r="AZ35" s="22">
        <v>189.489</v>
      </c>
      <c r="BA35" s="22">
        <v>-1.82434E-2</v>
      </c>
      <c r="BB35" s="22">
        <v>25</v>
      </c>
      <c r="BC35" s="22">
        <v>2.62878E-2</v>
      </c>
      <c r="BD35">
        <f t="shared" si="10"/>
        <v>18.243400000000001</v>
      </c>
      <c r="BE35">
        <f t="shared" si="11"/>
        <v>0.47323197166000003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34.506700000000002</v>
      </c>
      <c r="I36" s="22">
        <v>4.6829200000000001E-2</v>
      </c>
      <c r="J36" s="22">
        <v>26</v>
      </c>
      <c r="K36" s="22">
        <v>0.355103</v>
      </c>
      <c r="L36">
        <f t="shared" si="0"/>
        <v>-46.8292</v>
      </c>
      <c r="M36">
        <f t="shared" si="1"/>
        <v>-75.821626011999996</v>
      </c>
      <c r="N36" s="9"/>
      <c r="O36" s="22">
        <v>3.0975300000000001E-2</v>
      </c>
      <c r="P36" s="22">
        <v>68.815899999999999</v>
      </c>
      <c r="Q36" s="22">
        <v>-1.8478399999999999E-2</v>
      </c>
      <c r="R36" s="22">
        <v>26</v>
      </c>
      <c r="S36" s="22">
        <v>3.1024199999999998E-2</v>
      </c>
      <c r="T36">
        <f t="shared" si="2"/>
        <v>18.478400000000001</v>
      </c>
      <c r="U36">
        <f t="shared" si="3"/>
        <v>0.57237398352000002</v>
      </c>
      <c r="X36" s="9"/>
      <c r="Y36" s="22">
        <v>1.61911</v>
      </c>
      <c r="Z36" s="22">
        <v>103.02200000000001</v>
      </c>
      <c r="AA36" s="22">
        <v>-1.65802E-2</v>
      </c>
      <c r="AB36" s="22">
        <v>26</v>
      </c>
      <c r="AC36" s="22">
        <v>1.61835</v>
      </c>
      <c r="AD36">
        <f t="shared" si="4"/>
        <v>16.580200000000001</v>
      </c>
      <c r="AE36">
        <f t="shared" si="5"/>
        <v>26.845167622000002</v>
      </c>
      <c r="AF36" s="9"/>
      <c r="AG36" s="22">
        <v>3.0975300000000001E-2</v>
      </c>
      <c r="AH36" s="22">
        <v>120.843</v>
      </c>
      <c r="AI36" s="22">
        <v>-1.8661500000000001E-2</v>
      </c>
      <c r="AJ36" s="22">
        <v>26</v>
      </c>
      <c r="AK36" s="22">
        <v>3.1436199999999997E-2</v>
      </c>
      <c r="AL36">
        <f t="shared" si="6"/>
        <v>18.6615</v>
      </c>
      <c r="AM36">
        <f t="shared" si="7"/>
        <v>0.57804556095000004</v>
      </c>
      <c r="AP36" s="9"/>
      <c r="AQ36" s="22">
        <v>1.61911</v>
      </c>
      <c r="AR36" s="22">
        <v>155.11199999999999</v>
      </c>
      <c r="AS36" s="22">
        <v>4.6951300000000001E-2</v>
      </c>
      <c r="AT36" s="22">
        <v>26</v>
      </c>
      <c r="AU36" s="22">
        <v>0.39346300000000001</v>
      </c>
      <c r="AV36">
        <f t="shared" si="8"/>
        <v>-46.951300000000003</v>
      </c>
      <c r="AW36">
        <f t="shared" si="9"/>
        <v>-76.019319343000006</v>
      </c>
      <c r="AX36" s="9"/>
      <c r="AY36" s="22">
        <v>3.0975300000000001E-2</v>
      </c>
      <c r="AZ36" s="22">
        <v>189.499</v>
      </c>
      <c r="BA36" s="22">
        <v>-1.82404E-2</v>
      </c>
      <c r="BB36" s="22">
        <v>26</v>
      </c>
      <c r="BC36" s="22">
        <v>3.0392499999999999E-2</v>
      </c>
      <c r="BD36">
        <f t="shared" si="10"/>
        <v>18.240400000000001</v>
      </c>
      <c r="BE36">
        <f t="shared" si="11"/>
        <v>0.56500186212000003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34.516800000000003</v>
      </c>
      <c r="I37" s="22">
        <v>4.68079E-2</v>
      </c>
      <c r="J37" s="22">
        <v>27</v>
      </c>
      <c r="K37" s="22">
        <v>0.35565200000000002</v>
      </c>
      <c r="L37">
        <f t="shared" si="0"/>
        <v>-46.807899999999997</v>
      </c>
      <c r="M37">
        <f t="shared" si="1"/>
        <v>-75.551227152999985</v>
      </c>
      <c r="N37" s="9"/>
      <c r="O37" s="22">
        <v>3.60107E-2</v>
      </c>
      <c r="P37" s="22">
        <v>68.825900000000004</v>
      </c>
      <c r="Q37" s="22">
        <v>-1.8466199999999999E-2</v>
      </c>
      <c r="R37" s="22">
        <v>27</v>
      </c>
      <c r="S37" s="22">
        <v>3.7307699999999999E-2</v>
      </c>
      <c r="T37">
        <f t="shared" si="2"/>
        <v>18.466199999999997</v>
      </c>
      <c r="U37">
        <f t="shared" si="3"/>
        <v>0.66498078833999985</v>
      </c>
      <c r="X37" s="9"/>
      <c r="Y37" s="22">
        <v>1.6140699999999999</v>
      </c>
      <c r="Z37" s="22">
        <v>103.032</v>
      </c>
      <c r="AA37" s="22">
        <v>-1.6699200000000001E-2</v>
      </c>
      <c r="AB37" s="22">
        <v>27</v>
      </c>
      <c r="AC37" s="22">
        <v>1.6128499999999999</v>
      </c>
      <c r="AD37">
        <f t="shared" si="4"/>
        <v>16.699200000000001</v>
      </c>
      <c r="AE37">
        <f t="shared" si="5"/>
        <v>26.953677744</v>
      </c>
      <c r="AF37" s="9"/>
      <c r="AG37" s="22">
        <v>3.60107E-2</v>
      </c>
      <c r="AH37" s="22">
        <v>120.85299999999999</v>
      </c>
      <c r="AI37" s="22">
        <v>-1.8661500000000001E-2</v>
      </c>
      <c r="AJ37" s="22">
        <v>27</v>
      </c>
      <c r="AK37" s="22">
        <v>3.5711699999999999E-2</v>
      </c>
      <c r="AL37">
        <f t="shared" si="6"/>
        <v>18.6615</v>
      </c>
      <c r="AM37">
        <f t="shared" si="7"/>
        <v>0.67201367805000001</v>
      </c>
      <c r="AP37" s="9"/>
      <c r="AQ37" s="22">
        <v>1.6140699999999999</v>
      </c>
      <c r="AR37" s="22">
        <v>155.12200000000001</v>
      </c>
      <c r="AS37" s="22">
        <v>4.6945199999999999E-2</v>
      </c>
      <c r="AT37" s="22">
        <v>27</v>
      </c>
      <c r="AU37" s="22">
        <v>0.38067600000000001</v>
      </c>
      <c r="AV37">
        <f t="shared" si="8"/>
        <v>-46.9452</v>
      </c>
      <c r="AW37">
        <f t="shared" si="9"/>
        <v>-75.772838964000002</v>
      </c>
      <c r="AX37" s="9"/>
      <c r="AY37" s="22">
        <v>3.60107E-2</v>
      </c>
      <c r="AZ37" s="22">
        <v>189.50899999999999</v>
      </c>
      <c r="BA37" s="22">
        <v>-1.8237300000000001E-2</v>
      </c>
      <c r="BB37" s="22">
        <v>27</v>
      </c>
      <c r="BC37" s="22">
        <v>3.55042E-2</v>
      </c>
      <c r="BD37">
        <f t="shared" si="10"/>
        <v>18.237300000000001</v>
      </c>
      <c r="BE37">
        <f t="shared" si="11"/>
        <v>0.65673793911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34.526899999999998</v>
      </c>
      <c r="I38" s="22">
        <v>4.65485E-2</v>
      </c>
      <c r="J38" s="22">
        <v>28</v>
      </c>
      <c r="K38" s="22">
        <v>0.35659800000000003</v>
      </c>
      <c r="L38">
        <f t="shared" si="0"/>
        <v>-46.548499999999997</v>
      </c>
      <c r="M38">
        <f t="shared" si="1"/>
        <v>-74.898398439999994</v>
      </c>
      <c r="N38" s="9"/>
      <c r="O38" s="22">
        <v>4.1046100000000002E-2</v>
      </c>
      <c r="P38" s="22">
        <v>68.835999999999999</v>
      </c>
      <c r="Q38" s="22">
        <v>-1.8454000000000002E-2</v>
      </c>
      <c r="R38" s="22">
        <v>28</v>
      </c>
      <c r="S38" s="22">
        <v>4.1137699999999999E-2</v>
      </c>
      <c r="T38">
        <f t="shared" si="2"/>
        <v>18.454000000000001</v>
      </c>
      <c r="U38">
        <f t="shared" si="3"/>
        <v>0.75746472940000009</v>
      </c>
      <c r="X38" s="9"/>
      <c r="Y38" s="22">
        <v>1.60904</v>
      </c>
      <c r="Z38" s="22">
        <v>103.042</v>
      </c>
      <c r="AA38" s="22">
        <v>-1.6806000000000001E-2</v>
      </c>
      <c r="AB38" s="22">
        <v>28</v>
      </c>
      <c r="AC38" s="22">
        <v>1.6079699999999999</v>
      </c>
      <c r="AD38">
        <f t="shared" si="4"/>
        <v>16.806000000000001</v>
      </c>
      <c r="AE38">
        <f t="shared" si="5"/>
        <v>27.041526240000003</v>
      </c>
      <c r="AF38" s="9"/>
      <c r="AG38" s="22">
        <v>4.1046100000000002E-2</v>
      </c>
      <c r="AH38" s="22">
        <v>120.863</v>
      </c>
      <c r="AI38" s="22">
        <v>-1.8661500000000001E-2</v>
      </c>
      <c r="AJ38" s="22">
        <v>28</v>
      </c>
      <c r="AK38" s="22">
        <v>4.06708E-2</v>
      </c>
      <c r="AL38">
        <f t="shared" si="6"/>
        <v>18.6615</v>
      </c>
      <c r="AM38">
        <f t="shared" si="7"/>
        <v>0.76598179515000009</v>
      </c>
      <c r="AP38" s="9"/>
      <c r="AQ38" s="22">
        <v>1.60904</v>
      </c>
      <c r="AR38" s="22">
        <v>155.13200000000001</v>
      </c>
      <c r="AS38" s="22">
        <v>4.69421E-2</v>
      </c>
      <c r="AT38" s="22">
        <v>28</v>
      </c>
      <c r="AU38" s="22">
        <v>0.38610800000000001</v>
      </c>
      <c r="AV38">
        <f t="shared" si="8"/>
        <v>-46.942100000000003</v>
      </c>
      <c r="AW38">
        <f t="shared" si="9"/>
        <v>-75.531716584000009</v>
      </c>
      <c r="AX38" s="9"/>
      <c r="AY38" s="22">
        <v>4.1046100000000002E-2</v>
      </c>
      <c r="AZ38" s="22">
        <v>189.51900000000001</v>
      </c>
      <c r="BA38" s="22">
        <v>-1.8234299999999998E-2</v>
      </c>
      <c r="BB38" s="22">
        <v>28</v>
      </c>
      <c r="BC38" s="22">
        <v>4.0664699999999998E-2</v>
      </c>
      <c r="BD38">
        <f t="shared" si="10"/>
        <v>18.234299999999998</v>
      </c>
      <c r="BE38">
        <f t="shared" si="11"/>
        <v>0.74844690122999991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34.536900000000003</v>
      </c>
      <c r="I39" s="22">
        <v>4.6484400000000002E-2</v>
      </c>
      <c r="J39" s="22">
        <v>29</v>
      </c>
      <c r="K39" s="22">
        <v>0.35891699999999999</v>
      </c>
      <c r="L39">
        <f t="shared" si="0"/>
        <v>-46.484400000000001</v>
      </c>
      <c r="M39">
        <f t="shared" si="1"/>
        <v>-74.560977600000001</v>
      </c>
      <c r="N39" s="9"/>
      <c r="O39" s="22">
        <v>4.6081499999999997E-2</v>
      </c>
      <c r="P39" s="22">
        <v>68.846100000000007</v>
      </c>
      <c r="Q39" s="22">
        <v>-1.8450899999999999E-2</v>
      </c>
      <c r="R39" s="22">
        <v>29</v>
      </c>
      <c r="S39" s="22">
        <v>4.5928999999999998E-2</v>
      </c>
      <c r="T39">
        <f t="shared" si="2"/>
        <v>18.450900000000001</v>
      </c>
      <c r="U39">
        <f t="shared" si="3"/>
        <v>0.85024514834999998</v>
      </c>
      <c r="X39" s="9"/>
      <c r="Y39" s="22">
        <v>1.6040000000000001</v>
      </c>
      <c r="Z39" s="22">
        <v>103.05200000000001</v>
      </c>
      <c r="AA39" s="22">
        <v>-1.6909799999999999E-2</v>
      </c>
      <c r="AB39" s="22">
        <v>29</v>
      </c>
      <c r="AC39" s="22">
        <v>1.6030899999999999</v>
      </c>
      <c r="AD39">
        <f t="shared" si="4"/>
        <v>16.909800000000001</v>
      </c>
      <c r="AE39">
        <f t="shared" si="5"/>
        <v>27.123319200000001</v>
      </c>
      <c r="AF39" s="9"/>
      <c r="AG39" s="22">
        <v>4.6081499999999997E-2</v>
      </c>
      <c r="AH39" s="22">
        <v>120.873</v>
      </c>
      <c r="AI39" s="22">
        <v>-1.8661500000000001E-2</v>
      </c>
      <c r="AJ39" s="22">
        <v>29</v>
      </c>
      <c r="AK39" s="22">
        <v>4.6618699999999999E-2</v>
      </c>
      <c r="AL39">
        <f t="shared" si="6"/>
        <v>18.6615</v>
      </c>
      <c r="AM39">
        <f t="shared" si="7"/>
        <v>0.85994991224999995</v>
      </c>
      <c r="AP39" s="9"/>
      <c r="AQ39" s="22">
        <v>1.6040000000000001</v>
      </c>
      <c r="AR39" s="22">
        <v>155.142</v>
      </c>
      <c r="AS39" s="22">
        <v>4.6960399999999999E-2</v>
      </c>
      <c r="AT39" s="22">
        <v>29</v>
      </c>
      <c r="AU39" s="22">
        <v>0.37023899999999998</v>
      </c>
      <c r="AV39">
        <f t="shared" si="8"/>
        <v>-46.9604</v>
      </c>
      <c r="AW39">
        <f t="shared" si="9"/>
        <v>-75.324481599999999</v>
      </c>
      <c r="AX39" s="9"/>
      <c r="AY39" s="22">
        <v>4.6081499999999997E-2</v>
      </c>
      <c r="AZ39" s="22">
        <v>189.529</v>
      </c>
      <c r="BA39" s="22">
        <v>-1.8231199999999999E-2</v>
      </c>
      <c r="BB39" s="22">
        <v>29</v>
      </c>
      <c r="BC39" s="22">
        <v>4.6023599999999998E-2</v>
      </c>
      <c r="BD39">
        <f t="shared" si="10"/>
        <v>18.231200000000001</v>
      </c>
      <c r="BE39">
        <f t="shared" si="11"/>
        <v>0.8401210428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34.546999999999997</v>
      </c>
      <c r="I40" s="22">
        <v>4.6414200000000003E-2</v>
      </c>
      <c r="J40" s="22">
        <v>30</v>
      </c>
      <c r="K40" s="22">
        <v>0.356873</v>
      </c>
      <c r="L40">
        <f t="shared" si="0"/>
        <v>-46.414200000000001</v>
      </c>
      <c r="M40">
        <f t="shared" si="1"/>
        <v>-74.214913374000005</v>
      </c>
      <c r="N40" s="9"/>
      <c r="O40" s="22">
        <v>5.11169E-2</v>
      </c>
      <c r="P40" s="22">
        <v>68.856099999999998</v>
      </c>
      <c r="Q40" s="22">
        <v>-1.84479E-2</v>
      </c>
      <c r="R40" s="22">
        <v>30</v>
      </c>
      <c r="S40" s="22">
        <v>5.0775099999999997E-2</v>
      </c>
      <c r="T40">
        <f t="shared" si="2"/>
        <v>18.447900000000001</v>
      </c>
      <c r="U40">
        <f t="shared" si="3"/>
        <v>0.94299945951000008</v>
      </c>
      <c r="X40" s="9"/>
      <c r="Y40" s="22">
        <v>1.59897</v>
      </c>
      <c r="Z40" s="22">
        <v>103.062</v>
      </c>
      <c r="AA40" s="22">
        <v>-1.6995199999999999E-2</v>
      </c>
      <c r="AB40" s="22">
        <v>30</v>
      </c>
      <c r="AC40" s="22">
        <v>1.5985100000000001</v>
      </c>
      <c r="AD40">
        <f t="shared" si="4"/>
        <v>16.995199999999997</v>
      </c>
      <c r="AE40">
        <f t="shared" si="5"/>
        <v>27.174814943999994</v>
      </c>
      <c r="AF40" s="9"/>
      <c r="AG40" s="22">
        <v>5.11169E-2</v>
      </c>
      <c r="AH40" s="22">
        <v>120.883</v>
      </c>
      <c r="AI40" s="22">
        <v>-1.8658399999999999E-2</v>
      </c>
      <c r="AJ40" s="22">
        <v>30</v>
      </c>
      <c r="AK40" s="22">
        <v>5.1358000000000001E-2</v>
      </c>
      <c r="AL40">
        <f t="shared" si="6"/>
        <v>18.6584</v>
      </c>
      <c r="AM40">
        <f t="shared" si="7"/>
        <v>0.95375956695999997</v>
      </c>
      <c r="AP40" s="9"/>
      <c r="AQ40" s="22">
        <v>1.59897</v>
      </c>
      <c r="AR40" s="22">
        <v>155.15199999999999</v>
      </c>
      <c r="AS40" s="22">
        <v>4.6960399999999999E-2</v>
      </c>
      <c r="AT40" s="22">
        <v>30</v>
      </c>
      <c r="AU40" s="22">
        <v>0.37023899999999998</v>
      </c>
      <c r="AV40">
        <f t="shared" si="8"/>
        <v>-46.9604</v>
      </c>
      <c r="AW40">
        <f t="shared" si="9"/>
        <v>-75.088270788000003</v>
      </c>
      <c r="AX40" s="9"/>
      <c r="AY40" s="22">
        <v>5.11169E-2</v>
      </c>
      <c r="AZ40" s="22">
        <v>189.53899999999999</v>
      </c>
      <c r="BA40" s="22">
        <v>-1.8231199999999999E-2</v>
      </c>
      <c r="BB40" s="22">
        <v>30</v>
      </c>
      <c r="BC40" s="22">
        <v>5.0994900000000003E-2</v>
      </c>
      <c r="BD40">
        <f t="shared" si="10"/>
        <v>18.231200000000001</v>
      </c>
      <c r="BE40">
        <f t="shared" si="11"/>
        <v>0.93192242728000008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34.557099999999998</v>
      </c>
      <c r="I41" s="22">
        <v>4.6844499999999997E-2</v>
      </c>
      <c r="J41" s="22">
        <v>31</v>
      </c>
      <c r="K41" s="22">
        <v>0.34887699999999999</v>
      </c>
      <c r="L41">
        <f t="shared" si="0"/>
        <v>-46.844499999999996</v>
      </c>
      <c r="M41">
        <f t="shared" si="1"/>
        <v>-74.666853884999995</v>
      </c>
      <c r="N41" s="9"/>
      <c r="O41" s="22">
        <v>5.6152300000000002E-2</v>
      </c>
      <c r="P41" s="22">
        <v>68.866200000000006</v>
      </c>
      <c r="Q41" s="22">
        <v>-1.84479E-2</v>
      </c>
      <c r="R41" s="22">
        <v>31</v>
      </c>
      <c r="S41" s="22">
        <v>5.5236800000000003E-2</v>
      </c>
      <c r="T41">
        <f t="shared" si="2"/>
        <v>18.447900000000001</v>
      </c>
      <c r="U41">
        <f t="shared" si="3"/>
        <v>1.0358920151700002</v>
      </c>
      <c r="X41" s="9"/>
      <c r="Y41" s="22">
        <v>1.5939300000000001</v>
      </c>
      <c r="Z41" s="22">
        <v>103.072</v>
      </c>
      <c r="AA41" s="22">
        <v>-1.7074599999999999E-2</v>
      </c>
      <c r="AB41" s="22">
        <v>31</v>
      </c>
      <c r="AC41" s="22">
        <v>1.5936300000000001</v>
      </c>
      <c r="AD41">
        <f t="shared" si="4"/>
        <v>17.0746</v>
      </c>
      <c r="AE41">
        <f t="shared" si="5"/>
        <v>27.215717178000002</v>
      </c>
      <c r="AF41" s="9"/>
      <c r="AG41" s="22">
        <v>5.6152300000000002E-2</v>
      </c>
      <c r="AH41" s="22">
        <v>120.893</v>
      </c>
      <c r="AI41" s="22">
        <v>-1.8658399999999999E-2</v>
      </c>
      <c r="AJ41" s="22">
        <v>31</v>
      </c>
      <c r="AK41" s="22">
        <v>5.57251E-2</v>
      </c>
      <c r="AL41">
        <f t="shared" si="6"/>
        <v>18.6584</v>
      </c>
      <c r="AM41">
        <f t="shared" si="7"/>
        <v>1.0477120743200001</v>
      </c>
      <c r="AP41" s="9"/>
      <c r="AQ41" s="22">
        <v>1.5939300000000001</v>
      </c>
      <c r="AR41" s="22">
        <v>155.16200000000001</v>
      </c>
      <c r="AS41" s="22">
        <v>4.6954299999999997E-2</v>
      </c>
      <c r="AT41" s="22">
        <v>31</v>
      </c>
      <c r="AU41" s="22">
        <v>0.368896</v>
      </c>
      <c r="AV41">
        <f t="shared" si="8"/>
        <v>-46.954299999999996</v>
      </c>
      <c r="AW41">
        <f t="shared" si="9"/>
        <v>-74.841867398999995</v>
      </c>
      <c r="AX41" s="9"/>
      <c r="AY41" s="22">
        <v>5.6152300000000002E-2</v>
      </c>
      <c r="AZ41" s="22">
        <v>189.55</v>
      </c>
      <c r="BA41" s="22">
        <v>-1.8228100000000001E-2</v>
      </c>
      <c r="BB41" s="22">
        <v>31</v>
      </c>
      <c r="BC41" s="22">
        <v>5.5603E-2</v>
      </c>
      <c r="BD41">
        <f t="shared" si="10"/>
        <v>18.228100000000001</v>
      </c>
      <c r="BE41">
        <f t="shared" si="11"/>
        <v>1.0235497396300002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34.567100000000003</v>
      </c>
      <c r="I42" s="22">
        <v>4.6844499999999997E-2</v>
      </c>
      <c r="J42" s="22">
        <v>32</v>
      </c>
      <c r="K42" s="22">
        <v>0.35668899999999998</v>
      </c>
      <c r="L42">
        <f t="shared" si="0"/>
        <v>-46.844499999999996</v>
      </c>
      <c r="M42">
        <f t="shared" si="1"/>
        <v>-74.431226049999992</v>
      </c>
      <c r="N42" s="9"/>
      <c r="O42" s="22">
        <v>6.1187699999999998E-2</v>
      </c>
      <c r="P42" s="22">
        <v>68.876300000000001</v>
      </c>
      <c r="Q42" s="22">
        <v>-1.84479E-2</v>
      </c>
      <c r="R42" s="22">
        <v>32</v>
      </c>
      <c r="S42" s="22">
        <v>6.0943600000000001E-2</v>
      </c>
      <c r="T42">
        <f t="shared" si="2"/>
        <v>18.447900000000001</v>
      </c>
      <c r="U42">
        <f t="shared" si="3"/>
        <v>1.1287845708299999</v>
      </c>
      <c r="X42" s="9"/>
      <c r="Y42" s="22">
        <v>1.5889</v>
      </c>
      <c r="Z42" s="22">
        <v>103.08199999999999</v>
      </c>
      <c r="AA42" s="22">
        <v>-1.7144800000000002E-2</v>
      </c>
      <c r="AB42" s="22">
        <v>32</v>
      </c>
      <c r="AC42" s="22">
        <v>1.58813</v>
      </c>
      <c r="AD42">
        <f t="shared" si="4"/>
        <v>17.1448</v>
      </c>
      <c r="AE42">
        <f t="shared" si="5"/>
        <v>27.241372720000001</v>
      </c>
      <c r="AF42" s="9"/>
      <c r="AG42" s="22">
        <v>6.1187699999999998E-2</v>
      </c>
      <c r="AH42" s="22">
        <v>120.90300000000001</v>
      </c>
      <c r="AI42" s="22">
        <v>-1.8658399999999999E-2</v>
      </c>
      <c r="AJ42" s="22">
        <v>32</v>
      </c>
      <c r="AK42" s="22">
        <v>6.0852099999999999E-2</v>
      </c>
      <c r="AL42">
        <f t="shared" si="6"/>
        <v>18.6584</v>
      </c>
      <c r="AM42">
        <f t="shared" si="7"/>
        <v>1.14166458168</v>
      </c>
      <c r="AP42" s="9"/>
      <c r="AQ42" s="22">
        <v>1.5889</v>
      </c>
      <c r="AR42" s="22">
        <v>155.172</v>
      </c>
      <c r="AS42" s="22">
        <v>4.6948200000000002E-2</v>
      </c>
      <c r="AT42" s="22">
        <v>32</v>
      </c>
      <c r="AU42" s="22">
        <v>0.36938500000000002</v>
      </c>
      <c r="AV42">
        <f t="shared" si="8"/>
        <v>-46.9482</v>
      </c>
      <c r="AW42">
        <f t="shared" si="9"/>
        <v>-74.59599498</v>
      </c>
      <c r="AX42" s="9"/>
      <c r="AY42" s="22">
        <v>6.1187699999999998E-2</v>
      </c>
      <c r="AZ42" s="22">
        <v>189.56</v>
      </c>
      <c r="BA42" s="22">
        <v>-1.8225100000000001E-2</v>
      </c>
      <c r="BB42" s="22">
        <v>32</v>
      </c>
      <c r="BC42" s="22">
        <v>6.0913099999999998E-2</v>
      </c>
      <c r="BD42">
        <f t="shared" si="10"/>
        <v>18.225100000000001</v>
      </c>
      <c r="BE42">
        <f t="shared" si="11"/>
        <v>1.1151519512700001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34.577199999999998</v>
      </c>
      <c r="I43" s="22">
        <v>4.6820100000000003E-2</v>
      </c>
      <c r="J43" s="22">
        <v>33</v>
      </c>
      <c r="K43" s="22">
        <v>0.35021999999999998</v>
      </c>
      <c r="L43">
        <f t="shared" si="0"/>
        <v>-46.820100000000004</v>
      </c>
      <c r="M43">
        <f t="shared" si="1"/>
        <v>-74.156483586000007</v>
      </c>
      <c r="N43" s="9"/>
      <c r="O43" s="22">
        <v>6.6223099999999993E-2</v>
      </c>
      <c r="P43" s="22">
        <v>68.886399999999995</v>
      </c>
      <c r="Q43" s="22">
        <v>-1.8435699999999999E-2</v>
      </c>
      <c r="R43" s="22">
        <v>33</v>
      </c>
      <c r="S43" s="22">
        <v>6.6284200000000001E-2</v>
      </c>
      <c r="T43">
        <f t="shared" si="2"/>
        <v>18.435700000000001</v>
      </c>
      <c r="U43">
        <f t="shared" si="3"/>
        <v>1.2208692046699998</v>
      </c>
      <c r="X43" s="9"/>
      <c r="Y43" s="22">
        <v>1.58386</v>
      </c>
      <c r="Z43" s="22">
        <v>103.093</v>
      </c>
      <c r="AA43" s="22">
        <v>-1.7211899999999999E-2</v>
      </c>
      <c r="AB43" s="22">
        <v>33</v>
      </c>
      <c r="AC43" s="22">
        <v>1.5829500000000001</v>
      </c>
      <c r="AD43">
        <f t="shared" si="4"/>
        <v>17.2119</v>
      </c>
      <c r="AE43">
        <f t="shared" si="5"/>
        <v>27.261239934000002</v>
      </c>
      <c r="AF43" s="9"/>
      <c r="AG43" s="22">
        <v>6.6223099999999993E-2</v>
      </c>
      <c r="AH43" s="22">
        <v>120.913</v>
      </c>
      <c r="AI43" s="22">
        <v>-1.8655399999999999E-2</v>
      </c>
      <c r="AJ43" s="22">
        <v>33</v>
      </c>
      <c r="AK43" s="22">
        <v>6.5795900000000004E-2</v>
      </c>
      <c r="AL43">
        <f t="shared" si="6"/>
        <v>18.6554</v>
      </c>
      <c r="AM43">
        <f t="shared" si="7"/>
        <v>1.2354184197399998</v>
      </c>
      <c r="AP43" s="9"/>
      <c r="AQ43" s="22">
        <v>1.58386</v>
      </c>
      <c r="AR43" s="22">
        <v>155.18199999999999</v>
      </c>
      <c r="AS43" s="22">
        <v>4.6948200000000002E-2</v>
      </c>
      <c r="AT43" s="22">
        <v>33</v>
      </c>
      <c r="AU43" s="22">
        <v>0.38174400000000003</v>
      </c>
      <c r="AV43">
        <f t="shared" si="8"/>
        <v>-46.9482</v>
      </c>
      <c r="AW43">
        <f t="shared" si="9"/>
        <v>-74.359376052000002</v>
      </c>
      <c r="AX43" s="9"/>
      <c r="AY43" s="22">
        <v>6.6223099999999993E-2</v>
      </c>
      <c r="AZ43" s="22">
        <v>189.57</v>
      </c>
      <c r="BA43" s="22">
        <v>-1.8218999999999999E-2</v>
      </c>
      <c r="BB43" s="22">
        <v>33</v>
      </c>
      <c r="BC43" s="22">
        <v>6.6314700000000004E-2</v>
      </c>
      <c r="BD43">
        <f t="shared" si="10"/>
        <v>18.218999999999998</v>
      </c>
      <c r="BE43">
        <f t="shared" si="11"/>
        <v>1.2065186588999997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34.587299999999999</v>
      </c>
      <c r="I44" s="22">
        <v>4.6878099999999999E-2</v>
      </c>
      <c r="J44" s="22">
        <v>34</v>
      </c>
      <c r="K44" s="22">
        <v>0.35168500000000003</v>
      </c>
      <c r="L44">
        <f t="shared" si="0"/>
        <v>-46.878099999999996</v>
      </c>
      <c r="M44">
        <f t="shared" si="1"/>
        <v>-74.012550622999996</v>
      </c>
      <c r="N44" s="9"/>
      <c r="O44" s="22">
        <v>7.1258500000000002E-2</v>
      </c>
      <c r="P44" s="22">
        <v>68.8964</v>
      </c>
      <c r="Q44" s="22">
        <v>-1.8426499999999998E-2</v>
      </c>
      <c r="R44" s="22">
        <v>34</v>
      </c>
      <c r="S44" s="22">
        <v>7.0861800000000003E-2</v>
      </c>
      <c r="T44">
        <f t="shared" si="2"/>
        <v>18.426499999999997</v>
      </c>
      <c r="U44">
        <f t="shared" si="3"/>
        <v>1.3130447502499998</v>
      </c>
      <c r="X44" s="9"/>
      <c r="Y44" s="22">
        <v>1.57883</v>
      </c>
      <c r="Z44" s="22">
        <v>103.10299999999999</v>
      </c>
      <c r="AA44" s="22">
        <v>-1.7269900000000001E-2</v>
      </c>
      <c r="AB44" s="22">
        <v>34</v>
      </c>
      <c r="AC44" s="22">
        <v>1.57806</v>
      </c>
      <c r="AD44">
        <f t="shared" si="4"/>
        <v>17.2699</v>
      </c>
      <c r="AE44">
        <f t="shared" si="5"/>
        <v>27.266236216999999</v>
      </c>
      <c r="AF44" s="9"/>
      <c r="AG44" s="22">
        <v>7.1258500000000002E-2</v>
      </c>
      <c r="AH44" s="22">
        <v>120.923</v>
      </c>
      <c r="AI44" s="22">
        <v>-1.86523E-2</v>
      </c>
      <c r="AJ44" s="22">
        <v>34</v>
      </c>
      <c r="AK44" s="22">
        <v>7.0526099999999994E-2</v>
      </c>
      <c r="AL44">
        <f t="shared" si="6"/>
        <v>18.6523</v>
      </c>
      <c r="AM44">
        <f t="shared" si="7"/>
        <v>1.32913491955</v>
      </c>
      <c r="AP44" s="9"/>
      <c r="AQ44" s="22">
        <v>1.57883</v>
      </c>
      <c r="AR44" s="22">
        <v>155.19300000000001</v>
      </c>
      <c r="AS44" s="22">
        <v>4.6945199999999999E-2</v>
      </c>
      <c r="AT44" s="22">
        <v>34</v>
      </c>
      <c r="AU44" s="22">
        <v>0.36602800000000002</v>
      </c>
      <c r="AV44">
        <f t="shared" si="8"/>
        <v>-46.9452</v>
      </c>
      <c r="AW44">
        <f t="shared" si="9"/>
        <v>-74.118490116000004</v>
      </c>
      <c r="AX44" s="9"/>
      <c r="AY44" s="22">
        <v>7.1258500000000002E-2</v>
      </c>
      <c r="AZ44" s="22">
        <v>189.58</v>
      </c>
      <c r="BA44" s="22">
        <v>-1.8218999999999999E-2</v>
      </c>
      <c r="BB44" s="22">
        <v>34</v>
      </c>
      <c r="BC44" s="22">
        <v>7.0587200000000003E-2</v>
      </c>
      <c r="BD44">
        <f t="shared" si="10"/>
        <v>18.218999999999998</v>
      </c>
      <c r="BE44">
        <f t="shared" si="11"/>
        <v>1.2982586114999999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34.597299999999997</v>
      </c>
      <c r="I45" s="22">
        <v>4.6856700000000001E-2</v>
      </c>
      <c r="J45" s="22">
        <v>35</v>
      </c>
      <c r="K45" s="22">
        <v>0.351746</v>
      </c>
      <c r="L45">
        <f t="shared" si="0"/>
        <v>-46.856700000000004</v>
      </c>
      <c r="M45">
        <f t="shared" si="1"/>
        <v>-73.742605893000004</v>
      </c>
      <c r="N45" s="9"/>
      <c r="O45" s="22">
        <v>7.6293899999999998E-2</v>
      </c>
      <c r="P45" s="22">
        <v>68.906499999999994</v>
      </c>
      <c r="Q45" s="22">
        <v>-1.8429600000000001E-2</v>
      </c>
      <c r="R45" s="22">
        <v>35</v>
      </c>
      <c r="S45" s="22">
        <v>7.5683600000000004E-2</v>
      </c>
      <c r="T45">
        <f t="shared" si="2"/>
        <v>18.429600000000001</v>
      </c>
      <c r="U45">
        <f t="shared" si="3"/>
        <v>1.4060660594400001</v>
      </c>
      <c r="X45" s="9"/>
      <c r="Y45" s="22">
        <v>1.57379</v>
      </c>
      <c r="Z45" s="22">
        <v>103.113</v>
      </c>
      <c r="AA45" s="22">
        <v>-1.73279E-2</v>
      </c>
      <c r="AB45" s="22">
        <v>35</v>
      </c>
      <c r="AC45" s="22">
        <v>1.57257</v>
      </c>
      <c r="AD45">
        <f t="shared" si="4"/>
        <v>17.3279</v>
      </c>
      <c r="AE45">
        <f t="shared" si="5"/>
        <v>27.270475740999998</v>
      </c>
      <c r="AF45" s="9"/>
      <c r="AG45" s="22">
        <v>7.6293899999999998E-2</v>
      </c>
      <c r="AH45" s="22">
        <v>120.934</v>
      </c>
      <c r="AI45" s="22">
        <v>-1.8649300000000001E-2</v>
      </c>
      <c r="AJ45" s="22">
        <v>35</v>
      </c>
      <c r="AK45" s="22">
        <v>7.6049800000000001E-2</v>
      </c>
      <c r="AL45">
        <f t="shared" si="6"/>
        <v>18.6493</v>
      </c>
      <c r="AM45">
        <f t="shared" si="7"/>
        <v>1.4228278292700001</v>
      </c>
      <c r="AP45" s="9"/>
      <c r="AQ45" s="22">
        <v>1.57379</v>
      </c>
      <c r="AR45" s="22">
        <v>155.203</v>
      </c>
      <c r="AS45" s="22">
        <v>4.6939099999999997E-2</v>
      </c>
      <c r="AT45" s="22">
        <v>35</v>
      </c>
      <c r="AU45" s="22">
        <v>0.37274200000000002</v>
      </c>
      <c r="AV45">
        <f t="shared" si="8"/>
        <v>-46.939099999999996</v>
      </c>
      <c r="AW45">
        <f t="shared" si="9"/>
        <v>-73.872286188999993</v>
      </c>
      <c r="AX45" s="9"/>
      <c r="AY45" s="22">
        <v>7.6293899999999998E-2</v>
      </c>
      <c r="AZ45" s="22">
        <v>189.59</v>
      </c>
      <c r="BA45" s="22">
        <v>-1.8218999999999999E-2</v>
      </c>
      <c r="BB45" s="22">
        <v>35</v>
      </c>
      <c r="BC45" s="22">
        <v>7.5347899999999995E-2</v>
      </c>
      <c r="BD45">
        <f t="shared" si="10"/>
        <v>18.218999999999998</v>
      </c>
      <c r="BE45">
        <f t="shared" si="11"/>
        <v>1.3899985640999999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34.607399999999998</v>
      </c>
      <c r="I46" s="22">
        <v>4.6816999999999998E-2</v>
      </c>
      <c r="J46" s="22">
        <v>36</v>
      </c>
      <c r="K46" s="22">
        <v>0.34612999999999999</v>
      </c>
      <c r="L46">
        <f t="shared" si="0"/>
        <v>-46.817</v>
      </c>
      <c r="M46">
        <f t="shared" si="1"/>
        <v>-73.444636919999994</v>
      </c>
      <c r="N46" s="9"/>
      <c r="O46" s="22">
        <v>8.1329299999999993E-2</v>
      </c>
      <c r="P46" s="22">
        <v>68.916600000000003</v>
      </c>
      <c r="Q46" s="22">
        <v>-1.84204E-2</v>
      </c>
      <c r="R46" s="22">
        <v>36</v>
      </c>
      <c r="S46" s="22">
        <v>8.0841099999999999E-2</v>
      </c>
      <c r="T46">
        <f t="shared" si="2"/>
        <v>18.420400000000001</v>
      </c>
      <c r="U46">
        <f t="shared" si="3"/>
        <v>1.49811823772</v>
      </c>
      <c r="X46" s="9"/>
      <c r="Y46" s="22">
        <v>1.5687599999999999</v>
      </c>
      <c r="Z46" s="22">
        <v>103.123</v>
      </c>
      <c r="AA46" s="22">
        <v>-1.73828E-2</v>
      </c>
      <c r="AB46" s="22">
        <v>36</v>
      </c>
      <c r="AC46" s="22">
        <v>1.56799</v>
      </c>
      <c r="AD46">
        <f t="shared" si="4"/>
        <v>17.3828</v>
      </c>
      <c r="AE46">
        <f t="shared" si="5"/>
        <v>27.269441327999999</v>
      </c>
      <c r="AF46" s="9"/>
      <c r="AG46" s="22">
        <v>8.1329299999999993E-2</v>
      </c>
      <c r="AH46" s="22">
        <v>120.944</v>
      </c>
      <c r="AI46" s="22">
        <v>-1.8646200000000002E-2</v>
      </c>
      <c r="AJ46" s="22">
        <v>36</v>
      </c>
      <c r="AK46" s="22">
        <v>8.0871600000000002E-2</v>
      </c>
      <c r="AL46">
        <f t="shared" si="6"/>
        <v>18.6462</v>
      </c>
      <c r="AM46">
        <f t="shared" si="7"/>
        <v>1.5164823936599998</v>
      </c>
      <c r="AP46" s="9"/>
      <c r="AQ46" s="22">
        <v>1.5687599999999999</v>
      </c>
      <c r="AR46" s="22">
        <v>155.21299999999999</v>
      </c>
      <c r="AS46" s="22">
        <v>4.6929899999999997E-2</v>
      </c>
      <c r="AT46" s="22">
        <v>36</v>
      </c>
      <c r="AU46" s="22">
        <v>0.36929299999999998</v>
      </c>
      <c r="AV46">
        <f t="shared" si="8"/>
        <v>-46.929899999999996</v>
      </c>
      <c r="AW46">
        <f t="shared" si="9"/>
        <v>-73.621749923999985</v>
      </c>
      <c r="AX46" s="9"/>
      <c r="AY46" s="22">
        <v>8.1329299999999993E-2</v>
      </c>
      <c r="AZ46" s="22">
        <v>189.6</v>
      </c>
      <c r="BA46" s="22">
        <v>-1.8218999999999999E-2</v>
      </c>
      <c r="BB46" s="22">
        <v>36</v>
      </c>
      <c r="BC46" s="22">
        <v>8.1115699999999999E-2</v>
      </c>
      <c r="BD46">
        <f t="shared" si="10"/>
        <v>18.218999999999998</v>
      </c>
      <c r="BE46">
        <f t="shared" si="11"/>
        <v>1.4817385166999997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34.6175</v>
      </c>
      <c r="I47" s="22">
        <v>4.6795700000000003E-2</v>
      </c>
      <c r="J47" s="22">
        <v>37</v>
      </c>
      <c r="K47" s="22">
        <v>0.33874500000000002</v>
      </c>
      <c r="L47">
        <f t="shared" si="0"/>
        <v>-46.795700000000004</v>
      </c>
      <c r="M47">
        <f t="shared" si="1"/>
        <v>-73.17537200400001</v>
      </c>
      <c r="N47" s="9"/>
      <c r="O47" s="22">
        <v>8.6364700000000003E-2</v>
      </c>
      <c r="P47" s="22">
        <v>68.926599999999993</v>
      </c>
      <c r="Q47" s="22">
        <v>-1.84326E-2</v>
      </c>
      <c r="R47" s="22">
        <v>37</v>
      </c>
      <c r="S47" s="22">
        <v>8.5571300000000003E-2</v>
      </c>
      <c r="T47">
        <f t="shared" si="2"/>
        <v>18.432600000000001</v>
      </c>
      <c r="U47">
        <f t="shared" si="3"/>
        <v>1.5919259692200001</v>
      </c>
      <c r="X47" s="9"/>
      <c r="Y47" s="22">
        <v>1.56372</v>
      </c>
      <c r="Z47" s="22">
        <v>103.133</v>
      </c>
      <c r="AA47" s="22">
        <v>-1.7431599999999998E-2</v>
      </c>
      <c r="AB47" s="22">
        <v>37</v>
      </c>
      <c r="AC47" s="22">
        <v>1.56433</v>
      </c>
      <c r="AD47">
        <f t="shared" si="4"/>
        <v>17.4316</v>
      </c>
      <c r="AE47">
        <f t="shared" si="5"/>
        <v>27.258141551999998</v>
      </c>
      <c r="AF47" s="9"/>
      <c r="AG47" s="22">
        <v>8.6364700000000003E-2</v>
      </c>
      <c r="AH47" s="22">
        <v>120.95399999999999</v>
      </c>
      <c r="AI47" s="22">
        <v>-1.8646200000000002E-2</v>
      </c>
      <c r="AJ47" s="22">
        <v>37</v>
      </c>
      <c r="AK47" s="22">
        <v>8.5845900000000003E-2</v>
      </c>
      <c r="AL47">
        <f t="shared" si="6"/>
        <v>18.6462</v>
      </c>
      <c r="AM47">
        <f t="shared" si="7"/>
        <v>1.61037346914</v>
      </c>
      <c r="AP47" s="9"/>
      <c r="AQ47" s="22">
        <v>1.56372</v>
      </c>
      <c r="AR47" s="22">
        <v>155.22300000000001</v>
      </c>
      <c r="AS47" s="22">
        <v>4.6929899999999997E-2</v>
      </c>
      <c r="AT47" s="22">
        <v>37</v>
      </c>
      <c r="AU47" s="22">
        <v>0.37017800000000001</v>
      </c>
      <c r="AV47">
        <f t="shared" si="8"/>
        <v>-46.929899999999996</v>
      </c>
      <c r="AW47">
        <f t="shared" si="9"/>
        <v>-73.385223228000001</v>
      </c>
      <c r="AX47" s="9"/>
      <c r="AY47" s="22">
        <v>8.6364700000000003E-2</v>
      </c>
      <c r="AZ47" s="22">
        <v>189.61</v>
      </c>
      <c r="BA47" s="22">
        <v>-1.82159E-2</v>
      </c>
      <c r="BB47" s="22">
        <v>37</v>
      </c>
      <c r="BC47" s="22">
        <v>8.5235599999999995E-2</v>
      </c>
      <c r="BD47">
        <f t="shared" si="10"/>
        <v>18.215900000000001</v>
      </c>
      <c r="BE47">
        <f t="shared" si="11"/>
        <v>1.5732107387300001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34.627600000000001</v>
      </c>
      <c r="I48" s="22">
        <v>4.6816999999999998E-2</v>
      </c>
      <c r="J48" s="22">
        <v>38</v>
      </c>
      <c r="K48" s="22">
        <v>0.33480799999999999</v>
      </c>
      <c r="L48">
        <f t="shared" si="0"/>
        <v>-46.817</v>
      </c>
      <c r="M48">
        <f t="shared" si="1"/>
        <v>-72.973189730000001</v>
      </c>
      <c r="N48" s="9"/>
      <c r="O48" s="22">
        <v>9.1400099999999998E-2</v>
      </c>
      <c r="P48" s="22">
        <v>68.936700000000002</v>
      </c>
      <c r="Q48" s="22">
        <v>-1.8426499999999998E-2</v>
      </c>
      <c r="R48" s="22">
        <v>38</v>
      </c>
      <c r="S48" s="22">
        <v>9.0820300000000007E-2</v>
      </c>
      <c r="T48">
        <f t="shared" si="2"/>
        <v>18.426499999999997</v>
      </c>
      <c r="U48">
        <f t="shared" si="3"/>
        <v>1.6841839426499996</v>
      </c>
      <c r="X48" s="9"/>
      <c r="Y48" s="22">
        <v>1.5586899999999999</v>
      </c>
      <c r="Z48" s="22">
        <v>103.143</v>
      </c>
      <c r="AA48" s="22">
        <v>-1.74805E-2</v>
      </c>
      <c r="AB48" s="22">
        <v>38</v>
      </c>
      <c r="AC48" s="22">
        <v>1.55762</v>
      </c>
      <c r="AD48">
        <f t="shared" si="4"/>
        <v>17.480499999999999</v>
      </c>
      <c r="AE48">
        <f t="shared" si="5"/>
        <v>27.246680544999997</v>
      </c>
      <c r="AF48" s="9"/>
      <c r="AG48" s="22">
        <v>9.1400099999999998E-2</v>
      </c>
      <c r="AH48" s="22">
        <v>120.964</v>
      </c>
      <c r="AI48" s="22">
        <v>-1.8646200000000002E-2</v>
      </c>
      <c r="AJ48" s="22">
        <v>38</v>
      </c>
      <c r="AK48" s="22">
        <v>9.2040999999999998E-2</v>
      </c>
      <c r="AL48">
        <f t="shared" si="6"/>
        <v>18.6462</v>
      </c>
      <c r="AM48">
        <f t="shared" si="7"/>
        <v>1.70426454462</v>
      </c>
      <c r="AP48" s="9"/>
      <c r="AQ48" s="22">
        <v>1.5586899999999999</v>
      </c>
      <c r="AR48" s="22">
        <v>155.233</v>
      </c>
      <c r="AS48" s="22">
        <v>4.69177E-2</v>
      </c>
      <c r="AT48" s="22">
        <v>38</v>
      </c>
      <c r="AU48" s="22">
        <v>0.37851000000000001</v>
      </c>
      <c r="AV48">
        <f t="shared" si="8"/>
        <v>-46.917699999999996</v>
      </c>
      <c r="AW48">
        <f t="shared" si="9"/>
        <v>-73.130149812999989</v>
      </c>
      <c r="AX48" s="9"/>
      <c r="AY48" s="22">
        <v>9.1400099999999998E-2</v>
      </c>
      <c r="AZ48" s="22">
        <v>189.62</v>
      </c>
      <c r="BA48" s="22">
        <v>-1.8212900000000001E-2</v>
      </c>
      <c r="BB48" s="22">
        <v>38</v>
      </c>
      <c r="BC48" s="22">
        <v>9.1003399999999998E-2</v>
      </c>
      <c r="BD48">
        <f t="shared" si="10"/>
        <v>18.212900000000001</v>
      </c>
      <c r="BE48">
        <f t="shared" si="11"/>
        <v>1.6646608812900001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34.637599999999999</v>
      </c>
      <c r="I49" s="22">
        <v>4.6798699999999999E-2</v>
      </c>
      <c r="J49" s="22">
        <v>39</v>
      </c>
      <c r="K49" s="22">
        <v>0.33590700000000001</v>
      </c>
      <c r="L49">
        <f t="shared" si="0"/>
        <v>-46.798699999999997</v>
      </c>
      <c r="M49">
        <f t="shared" si="1"/>
        <v>-72.708800255</v>
      </c>
      <c r="N49" s="9"/>
      <c r="O49" s="22">
        <v>9.6435499999999993E-2</v>
      </c>
      <c r="P49" s="22">
        <v>68.946799999999996</v>
      </c>
      <c r="Q49" s="22">
        <v>-1.8426499999999998E-2</v>
      </c>
      <c r="R49" s="22">
        <v>39</v>
      </c>
      <c r="S49" s="22">
        <v>9.6252400000000002E-2</v>
      </c>
      <c r="T49">
        <f t="shared" si="2"/>
        <v>18.426499999999997</v>
      </c>
      <c r="U49">
        <f t="shared" si="3"/>
        <v>1.7769687407499997</v>
      </c>
      <c r="X49" s="9"/>
      <c r="Y49" s="22">
        <v>1.55365</v>
      </c>
      <c r="Z49" s="22">
        <v>103.15300000000001</v>
      </c>
      <c r="AA49" s="22">
        <v>-1.75201E-2</v>
      </c>
      <c r="AB49" s="22">
        <v>39</v>
      </c>
      <c r="AC49" s="22">
        <v>1.5521199999999999</v>
      </c>
      <c r="AD49">
        <f t="shared" si="4"/>
        <v>17.520099999999999</v>
      </c>
      <c r="AE49">
        <f t="shared" si="5"/>
        <v>27.220103365</v>
      </c>
      <c r="AF49" s="9"/>
      <c r="AG49" s="22">
        <v>9.6435499999999993E-2</v>
      </c>
      <c r="AH49" s="22">
        <v>120.974</v>
      </c>
      <c r="AI49" s="22">
        <v>-1.8646200000000002E-2</v>
      </c>
      <c r="AJ49" s="22">
        <v>39</v>
      </c>
      <c r="AK49" s="22">
        <v>9.5916699999999994E-2</v>
      </c>
      <c r="AL49">
        <f t="shared" si="6"/>
        <v>18.6462</v>
      </c>
      <c r="AM49">
        <f t="shared" si="7"/>
        <v>1.7981556201</v>
      </c>
      <c r="AP49" s="9"/>
      <c r="AQ49" s="22">
        <v>1.55365</v>
      </c>
      <c r="AR49" s="22">
        <v>155.24299999999999</v>
      </c>
      <c r="AS49" s="22">
        <v>4.6920799999999999E-2</v>
      </c>
      <c r="AT49" s="22">
        <v>39</v>
      </c>
      <c r="AU49" s="22">
        <v>0.35806300000000002</v>
      </c>
      <c r="AV49">
        <f t="shared" si="8"/>
        <v>-46.9208</v>
      </c>
      <c r="AW49">
        <f t="shared" si="9"/>
        <v>-72.898500920000004</v>
      </c>
      <c r="AX49" s="9"/>
      <c r="AY49" s="22">
        <v>9.6435499999999993E-2</v>
      </c>
      <c r="AZ49" s="22">
        <v>189.63</v>
      </c>
      <c r="BA49" s="22">
        <v>-1.8206799999999999E-2</v>
      </c>
      <c r="BB49" s="22">
        <v>39</v>
      </c>
      <c r="BC49" s="22">
        <v>9.6008300000000005E-2</v>
      </c>
      <c r="BD49">
        <f t="shared" si="10"/>
        <v>18.206799999999998</v>
      </c>
      <c r="BE49">
        <f t="shared" si="11"/>
        <v>1.7557818613999996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34.6477</v>
      </c>
      <c r="I50" s="22">
        <v>4.67804E-2</v>
      </c>
      <c r="J50" s="22">
        <v>40</v>
      </c>
      <c r="K50" s="22">
        <v>0.352051</v>
      </c>
      <c r="L50">
        <f t="shared" si="0"/>
        <v>-46.7804</v>
      </c>
      <c r="M50">
        <f t="shared" si="1"/>
        <v>-72.444595243999999</v>
      </c>
      <c r="N50" s="9"/>
      <c r="O50" s="22">
        <v>0.10147100000000001</v>
      </c>
      <c r="P50" s="22">
        <v>68.956900000000005</v>
      </c>
      <c r="Q50" s="22">
        <v>-1.8426499999999998E-2</v>
      </c>
      <c r="R50" s="22">
        <v>40</v>
      </c>
      <c r="S50" s="22">
        <v>0.101074</v>
      </c>
      <c r="T50">
        <f t="shared" si="2"/>
        <v>18.426499999999997</v>
      </c>
      <c r="U50">
        <f t="shared" si="3"/>
        <v>1.8697553814999999</v>
      </c>
      <c r="X50" s="9"/>
      <c r="Y50" s="22">
        <v>1.54861</v>
      </c>
      <c r="Z50" s="22">
        <v>103.163</v>
      </c>
      <c r="AA50" s="22">
        <v>-1.7553699999999998E-2</v>
      </c>
      <c r="AB50" s="22">
        <v>40</v>
      </c>
      <c r="AC50" s="22">
        <v>1.5478499999999999</v>
      </c>
      <c r="AD50">
        <f t="shared" si="4"/>
        <v>17.553699999999999</v>
      </c>
      <c r="AE50">
        <f t="shared" si="5"/>
        <v>27.183835357</v>
      </c>
      <c r="AF50" s="9"/>
      <c r="AG50" s="22">
        <v>0.10147100000000001</v>
      </c>
      <c r="AH50" s="22">
        <v>120.98399999999999</v>
      </c>
      <c r="AI50" s="22">
        <v>-1.8643199999999999E-2</v>
      </c>
      <c r="AJ50" s="22">
        <v>40</v>
      </c>
      <c r="AK50" s="22">
        <v>0.101074</v>
      </c>
      <c r="AL50">
        <f t="shared" si="6"/>
        <v>18.6432</v>
      </c>
      <c r="AM50">
        <f t="shared" si="7"/>
        <v>1.8917441472000001</v>
      </c>
      <c r="AP50" s="9"/>
      <c r="AQ50" s="22">
        <v>1.54861</v>
      </c>
      <c r="AR50" s="22">
        <v>155.25299999999999</v>
      </c>
      <c r="AS50" s="22">
        <v>4.69177E-2</v>
      </c>
      <c r="AT50" s="22">
        <v>40</v>
      </c>
      <c r="AU50" s="22">
        <v>0.36044300000000001</v>
      </c>
      <c r="AV50">
        <f t="shared" si="8"/>
        <v>-46.917699999999996</v>
      </c>
      <c r="AW50">
        <f t="shared" si="9"/>
        <v>-72.657219396999992</v>
      </c>
      <c r="AX50" s="9"/>
      <c r="AY50" s="22">
        <v>0.10147100000000001</v>
      </c>
      <c r="AZ50" s="22">
        <v>189.64</v>
      </c>
      <c r="BA50" s="22">
        <v>-1.8206799999999999E-2</v>
      </c>
      <c r="BB50" s="22">
        <v>40</v>
      </c>
      <c r="BC50" s="22">
        <v>0.100647</v>
      </c>
      <c r="BD50">
        <f t="shared" si="10"/>
        <v>18.206799999999998</v>
      </c>
      <c r="BE50">
        <f t="shared" si="11"/>
        <v>1.8474622027999998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34.657800000000002</v>
      </c>
      <c r="I51" s="22">
        <v>4.6798699999999999E-2</v>
      </c>
      <c r="J51" s="22">
        <v>41</v>
      </c>
      <c r="K51" s="22">
        <v>0.34750399999999998</v>
      </c>
      <c r="L51">
        <f t="shared" si="0"/>
        <v>-46.798699999999997</v>
      </c>
      <c r="M51">
        <f t="shared" si="1"/>
        <v>-72.237537345999996</v>
      </c>
      <c r="N51" s="9"/>
      <c r="O51" s="22">
        <v>0.106506</v>
      </c>
      <c r="P51" s="22">
        <v>68.966899999999995</v>
      </c>
      <c r="Q51" s="22">
        <v>-1.84174E-2</v>
      </c>
      <c r="R51" s="22">
        <v>41</v>
      </c>
      <c r="S51" s="22">
        <v>0.10553</v>
      </c>
      <c r="T51">
        <f t="shared" si="2"/>
        <v>18.417400000000001</v>
      </c>
      <c r="U51">
        <f t="shared" si="3"/>
        <v>1.9615636044000002</v>
      </c>
      <c r="X51" s="9"/>
      <c r="Y51" s="22">
        <v>1.54358</v>
      </c>
      <c r="Z51" s="22">
        <v>103.173</v>
      </c>
      <c r="AA51" s="22">
        <v>-1.75873E-2</v>
      </c>
      <c r="AB51" s="22">
        <v>41</v>
      </c>
      <c r="AC51" s="22">
        <v>1.5426599999999999</v>
      </c>
      <c r="AD51">
        <f t="shared" si="4"/>
        <v>17.587299999999999</v>
      </c>
      <c r="AE51">
        <f t="shared" si="5"/>
        <v>27.147404533999996</v>
      </c>
      <c r="AF51" s="9"/>
      <c r="AG51" s="22">
        <v>0.106506</v>
      </c>
      <c r="AH51" s="22">
        <v>120.994</v>
      </c>
      <c r="AI51" s="22">
        <v>-1.8643199999999999E-2</v>
      </c>
      <c r="AJ51" s="22">
        <v>41</v>
      </c>
      <c r="AK51" s="22">
        <v>0.106476</v>
      </c>
      <c r="AL51">
        <f t="shared" si="6"/>
        <v>18.6432</v>
      </c>
      <c r="AM51">
        <f t="shared" si="7"/>
        <v>1.9856126592000001</v>
      </c>
      <c r="AP51" s="9"/>
      <c r="AQ51" s="22">
        <v>1.54358</v>
      </c>
      <c r="AR51" s="22">
        <v>155.26300000000001</v>
      </c>
      <c r="AS51" s="22">
        <v>4.6911599999999998E-2</v>
      </c>
      <c r="AT51" s="22">
        <v>41</v>
      </c>
      <c r="AU51" s="22">
        <v>0.36291499999999999</v>
      </c>
      <c r="AV51">
        <f t="shared" si="8"/>
        <v>-46.9116</v>
      </c>
      <c r="AW51">
        <f t="shared" si="9"/>
        <v>-72.411807527999997</v>
      </c>
      <c r="AX51" s="9"/>
      <c r="AY51" s="22">
        <v>0.106506</v>
      </c>
      <c r="AZ51" s="22">
        <v>189.65</v>
      </c>
      <c r="BA51" s="22">
        <v>-1.82037E-2</v>
      </c>
      <c r="BB51" s="22">
        <v>41</v>
      </c>
      <c r="BC51" s="22">
        <v>0.106201</v>
      </c>
      <c r="BD51">
        <f t="shared" si="10"/>
        <v>18.203700000000001</v>
      </c>
      <c r="BE51">
        <f t="shared" si="11"/>
        <v>1.9388032722000001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34.6678</v>
      </c>
      <c r="I52" s="22">
        <v>4.6798699999999999E-2</v>
      </c>
      <c r="J52" s="22">
        <v>42</v>
      </c>
      <c r="K52" s="22">
        <v>0.34417700000000001</v>
      </c>
      <c r="L52">
        <f t="shared" si="0"/>
        <v>-46.798699999999997</v>
      </c>
      <c r="M52">
        <f t="shared" si="1"/>
        <v>-72.001671897999998</v>
      </c>
      <c r="N52" s="9"/>
      <c r="O52" s="22">
        <v>0.111542</v>
      </c>
      <c r="P52" s="22">
        <v>68.977000000000004</v>
      </c>
      <c r="Q52" s="22">
        <v>-1.8411299999999999E-2</v>
      </c>
      <c r="R52" s="22">
        <v>42</v>
      </c>
      <c r="S52" s="22">
        <v>0.111053</v>
      </c>
      <c r="T52">
        <f t="shared" si="2"/>
        <v>18.411299999999997</v>
      </c>
      <c r="U52">
        <f t="shared" si="3"/>
        <v>2.0536332245999995</v>
      </c>
      <c r="X52" s="9"/>
      <c r="Y52" s="22">
        <v>1.53854</v>
      </c>
      <c r="Z52" s="22">
        <v>103.18300000000001</v>
      </c>
      <c r="AA52" s="22">
        <v>-1.7620799999999999E-2</v>
      </c>
      <c r="AB52" s="22">
        <v>42</v>
      </c>
      <c r="AC52" s="22">
        <v>1.53809</v>
      </c>
      <c r="AD52">
        <f t="shared" si="4"/>
        <v>17.620799999999999</v>
      </c>
      <c r="AE52">
        <f t="shared" si="5"/>
        <v>27.110305631999999</v>
      </c>
      <c r="AF52" s="9"/>
      <c r="AG52" s="22">
        <v>0.111542</v>
      </c>
      <c r="AH52" s="22">
        <v>121.004</v>
      </c>
      <c r="AI52" s="22">
        <v>-1.8643199999999999E-2</v>
      </c>
      <c r="AJ52" s="22">
        <v>42</v>
      </c>
      <c r="AK52" s="22">
        <v>0.110718</v>
      </c>
      <c r="AL52">
        <f t="shared" si="6"/>
        <v>18.6432</v>
      </c>
      <c r="AM52">
        <f t="shared" si="7"/>
        <v>2.0794998144000001</v>
      </c>
      <c r="AP52" s="9"/>
      <c r="AQ52" s="22">
        <v>1.53854</v>
      </c>
      <c r="AR52" s="22">
        <v>155.273</v>
      </c>
      <c r="AS52" s="22">
        <v>4.6905500000000003E-2</v>
      </c>
      <c r="AT52" s="22">
        <v>42</v>
      </c>
      <c r="AU52" s="22">
        <v>0.36047400000000002</v>
      </c>
      <c r="AV52">
        <f t="shared" si="8"/>
        <v>-46.905500000000004</v>
      </c>
      <c r="AW52">
        <f t="shared" si="9"/>
        <v>-72.165987970000003</v>
      </c>
      <c r="AX52" s="9"/>
      <c r="AY52" s="22">
        <v>0.111542</v>
      </c>
      <c r="AZ52" s="22">
        <v>189.66</v>
      </c>
      <c r="BA52" s="22">
        <v>-1.8197600000000001E-2</v>
      </c>
      <c r="BB52" s="22">
        <v>42</v>
      </c>
      <c r="BC52" s="22">
        <v>0.11129799999999999</v>
      </c>
      <c r="BD52">
        <f t="shared" si="10"/>
        <v>18.197600000000001</v>
      </c>
      <c r="BE52">
        <f t="shared" si="11"/>
        <v>2.0297966992000003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34.677900000000001</v>
      </c>
      <c r="I53" s="22">
        <v>4.6792599999999997E-2</v>
      </c>
      <c r="J53" s="22">
        <v>43</v>
      </c>
      <c r="K53" s="22">
        <v>0.35070800000000002</v>
      </c>
      <c r="L53">
        <f t="shared" si="0"/>
        <v>-46.7926</v>
      </c>
      <c r="M53">
        <f t="shared" si="1"/>
        <v>-71.756920026000003</v>
      </c>
      <c r="N53" s="9"/>
      <c r="O53" s="22">
        <v>0.116577</v>
      </c>
      <c r="P53" s="22">
        <v>68.987099999999998</v>
      </c>
      <c r="Q53" s="22">
        <v>-1.8411299999999999E-2</v>
      </c>
      <c r="R53" s="22">
        <v>43</v>
      </c>
      <c r="S53" s="22">
        <v>0.11651599999999999</v>
      </c>
      <c r="T53">
        <f t="shared" si="2"/>
        <v>18.411299999999997</v>
      </c>
      <c r="U53">
        <f t="shared" si="3"/>
        <v>2.1463341200999997</v>
      </c>
      <c r="X53" s="9"/>
      <c r="Y53" s="22">
        <v>1.5335099999999999</v>
      </c>
      <c r="Z53" s="22">
        <v>103.193</v>
      </c>
      <c r="AA53" s="22">
        <v>-1.7651400000000001E-2</v>
      </c>
      <c r="AB53" s="22">
        <v>43</v>
      </c>
      <c r="AC53" s="22">
        <v>1.5325899999999999</v>
      </c>
      <c r="AD53">
        <f t="shared" si="4"/>
        <v>17.651400000000002</v>
      </c>
      <c r="AE53">
        <f t="shared" si="5"/>
        <v>27.068598414000004</v>
      </c>
      <c r="AF53" s="9"/>
      <c r="AG53" s="22">
        <v>0.116577</v>
      </c>
      <c r="AH53" s="22">
        <v>121.014</v>
      </c>
      <c r="AI53" s="22">
        <v>-1.8646200000000002E-2</v>
      </c>
      <c r="AJ53" s="22">
        <v>43</v>
      </c>
      <c r="AK53" s="22">
        <v>0.11602800000000001</v>
      </c>
      <c r="AL53">
        <f t="shared" si="6"/>
        <v>18.6462</v>
      </c>
      <c r="AM53">
        <f t="shared" si="7"/>
        <v>2.1737180573999999</v>
      </c>
      <c r="AP53" s="9"/>
      <c r="AQ53" s="22">
        <v>1.5335099999999999</v>
      </c>
      <c r="AR53" s="22">
        <v>155.28299999999999</v>
      </c>
      <c r="AS53" s="22">
        <v>4.6899400000000001E-2</v>
      </c>
      <c r="AT53" s="22">
        <v>43</v>
      </c>
      <c r="AU53" s="22">
        <v>0.36074800000000001</v>
      </c>
      <c r="AV53">
        <f t="shared" si="8"/>
        <v>-46.8994</v>
      </c>
      <c r="AW53">
        <f t="shared" si="9"/>
        <v>-71.920698893999997</v>
      </c>
      <c r="AX53" s="9"/>
      <c r="AY53" s="22">
        <v>0.116577</v>
      </c>
      <c r="AZ53" s="22">
        <v>189.67</v>
      </c>
      <c r="BA53" s="22">
        <v>-1.8197600000000001E-2</v>
      </c>
      <c r="BB53" s="22">
        <v>43</v>
      </c>
      <c r="BC53" s="22">
        <v>0.11572300000000001</v>
      </c>
      <c r="BD53">
        <f t="shared" si="10"/>
        <v>18.197600000000001</v>
      </c>
      <c r="BE53">
        <f t="shared" si="11"/>
        <v>2.1214216152000001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34.688000000000002</v>
      </c>
      <c r="I54" s="22">
        <v>4.6783400000000003E-2</v>
      </c>
      <c r="J54" s="22">
        <v>44</v>
      </c>
      <c r="K54" s="22">
        <v>0.34942600000000001</v>
      </c>
      <c r="L54">
        <f t="shared" si="0"/>
        <v>-46.7834</v>
      </c>
      <c r="M54">
        <f t="shared" si="1"/>
        <v>-71.507023398000001</v>
      </c>
      <c r="N54" s="9"/>
      <c r="O54" s="22">
        <v>0.121613</v>
      </c>
      <c r="P54" s="22">
        <v>68.997100000000003</v>
      </c>
      <c r="Q54" s="22">
        <v>-1.8411299999999999E-2</v>
      </c>
      <c r="R54" s="22">
        <v>44</v>
      </c>
      <c r="S54" s="22">
        <v>0.120605</v>
      </c>
      <c r="T54">
        <f t="shared" si="2"/>
        <v>18.411299999999997</v>
      </c>
      <c r="U54">
        <f t="shared" si="3"/>
        <v>2.2390534268999995</v>
      </c>
      <c r="X54" s="9"/>
      <c r="Y54" s="22">
        <v>1.52847</v>
      </c>
      <c r="Z54" s="22">
        <v>103.203</v>
      </c>
      <c r="AA54" s="22">
        <v>-1.7678800000000001E-2</v>
      </c>
      <c r="AB54" s="22">
        <v>44</v>
      </c>
      <c r="AC54" s="22">
        <v>1.5277099999999999</v>
      </c>
      <c r="AD54">
        <f t="shared" si="4"/>
        <v>17.678800000000003</v>
      </c>
      <c r="AE54">
        <f t="shared" si="5"/>
        <v>27.021515436000005</v>
      </c>
      <c r="AF54" s="9"/>
      <c r="AG54" s="22">
        <v>0.121613</v>
      </c>
      <c r="AH54" s="22">
        <v>121.024</v>
      </c>
      <c r="AI54" s="22">
        <v>-1.86401E-2</v>
      </c>
      <c r="AJ54" s="22">
        <v>44</v>
      </c>
      <c r="AK54" s="22">
        <v>0.121002</v>
      </c>
      <c r="AL54">
        <f t="shared" si="6"/>
        <v>18.6401</v>
      </c>
      <c r="AM54">
        <f t="shared" si="7"/>
        <v>2.2668784813</v>
      </c>
      <c r="AP54" s="9"/>
      <c r="AQ54" s="22">
        <v>1.52847</v>
      </c>
      <c r="AR54" s="22">
        <v>155.29300000000001</v>
      </c>
      <c r="AS54" s="22">
        <v>4.6896399999999998E-2</v>
      </c>
      <c r="AT54" s="22">
        <v>44</v>
      </c>
      <c r="AU54" s="22">
        <v>0.36108400000000002</v>
      </c>
      <c r="AV54">
        <f t="shared" si="8"/>
        <v>-46.8964</v>
      </c>
      <c r="AW54">
        <f t="shared" si="9"/>
        <v>-71.679740507999995</v>
      </c>
      <c r="AX54" s="9"/>
      <c r="AY54" s="22">
        <v>0.121613</v>
      </c>
      <c r="AZ54" s="22">
        <v>189.68</v>
      </c>
      <c r="BA54" s="22">
        <v>-1.8194599999999998E-2</v>
      </c>
      <c r="BB54" s="22">
        <v>44</v>
      </c>
      <c r="BC54" s="22">
        <v>0.121002</v>
      </c>
      <c r="BD54">
        <f t="shared" si="10"/>
        <v>18.194599999999998</v>
      </c>
      <c r="BE54">
        <f t="shared" si="11"/>
        <v>2.2126998897999997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34.698099999999997</v>
      </c>
      <c r="I55" s="22">
        <v>4.6792599999999997E-2</v>
      </c>
      <c r="J55" s="22">
        <v>45</v>
      </c>
      <c r="K55" s="22">
        <v>0.34738200000000002</v>
      </c>
      <c r="L55">
        <f t="shared" si="0"/>
        <v>-46.7926</v>
      </c>
      <c r="M55">
        <f t="shared" si="1"/>
        <v>-71.285718543999991</v>
      </c>
      <c r="N55" s="9"/>
      <c r="O55" s="22">
        <v>0.12664800000000001</v>
      </c>
      <c r="P55" s="22">
        <v>69.007199999999997</v>
      </c>
      <c r="Q55" s="22">
        <v>-1.84174E-2</v>
      </c>
      <c r="R55" s="22">
        <v>45</v>
      </c>
      <c r="S55" s="22">
        <v>0.12640399999999999</v>
      </c>
      <c r="T55">
        <f t="shared" si="2"/>
        <v>18.417400000000001</v>
      </c>
      <c r="U55">
        <f t="shared" si="3"/>
        <v>2.3325268752000001</v>
      </c>
      <c r="X55" s="9"/>
      <c r="Y55" s="22">
        <v>1.5234399999999999</v>
      </c>
      <c r="Z55" s="22">
        <v>103.21299999999999</v>
      </c>
      <c r="AA55" s="22">
        <v>-1.7706300000000001E-2</v>
      </c>
      <c r="AB55" s="22">
        <v>45</v>
      </c>
      <c r="AC55" s="22">
        <v>1.5228299999999999</v>
      </c>
      <c r="AD55">
        <f t="shared" si="4"/>
        <v>17.706300000000002</v>
      </c>
      <c r="AE55">
        <f t="shared" si="5"/>
        <v>26.974485672000004</v>
      </c>
      <c r="AF55" s="9"/>
      <c r="AG55" s="22">
        <v>0.12664800000000001</v>
      </c>
      <c r="AH55" s="22">
        <v>121.03400000000001</v>
      </c>
      <c r="AI55" s="22">
        <v>-1.86401E-2</v>
      </c>
      <c r="AJ55" s="22">
        <v>45</v>
      </c>
      <c r="AK55" s="22">
        <v>0.12612899999999999</v>
      </c>
      <c r="AL55">
        <f t="shared" si="6"/>
        <v>18.6401</v>
      </c>
      <c r="AM55">
        <f t="shared" si="7"/>
        <v>2.3607313848000002</v>
      </c>
      <c r="AP55" s="9"/>
      <c r="AQ55" s="22">
        <v>1.5234399999999999</v>
      </c>
      <c r="AR55" s="22">
        <v>155.303</v>
      </c>
      <c r="AS55" s="22">
        <v>4.6887199999999997E-2</v>
      </c>
      <c r="AT55" s="22">
        <v>45</v>
      </c>
      <c r="AU55" s="22">
        <v>0.35900900000000002</v>
      </c>
      <c r="AV55">
        <f t="shared" si="8"/>
        <v>-46.8872</v>
      </c>
      <c r="AW55">
        <f t="shared" si="9"/>
        <v>-71.429835967999992</v>
      </c>
      <c r="AX55" s="9"/>
      <c r="AY55" s="22">
        <v>0.12664800000000001</v>
      </c>
      <c r="AZ55" s="22">
        <v>189.691</v>
      </c>
      <c r="BA55" s="22">
        <v>-1.8191499999999999E-2</v>
      </c>
      <c r="BB55" s="22">
        <v>45</v>
      </c>
      <c r="BC55" s="22">
        <v>0.12661700000000001</v>
      </c>
      <c r="BD55">
        <f t="shared" si="10"/>
        <v>18.191499999999998</v>
      </c>
      <c r="BE55">
        <f t="shared" si="11"/>
        <v>2.3039170919999998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34.708100000000002</v>
      </c>
      <c r="I56" s="22">
        <v>4.6789600000000001E-2</v>
      </c>
      <c r="J56" s="22">
        <v>46</v>
      </c>
      <c r="K56" s="22">
        <v>0.34881600000000001</v>
      </c>
      <c r="L56">
        <f t="shared" si="0"/>
        <v>-46.7896</v>
      </c>
      <c r="M56">
        <f t="shared" si="1"/>
        <v>-71.045328639999994</v>
      </c>
      <c r="N56" s="9"/>
      <c r="O56" s="22">
        <v>0.13168299999999999</v>
      </c>
      <c r="P56" s="22">
        <v>69.017300000000006</v>
      </c>
      <c r="Q56" s="22">
        <v>-1.8402100000000001E-2</v>
      </c>
      <c r="R56" s="22">
        <v>46</v>
      </c>
      <c r="S56" s="22">
        <v>0.13183600000000001</v>
      </c>
      <c r="T56">
        <f t="shared" si="2"/>
        <v>18.402100000000001</v>
      </c>
      <c r="U56">
        <f t="shared" si="3"/>
        <v>2.4232437343000002</v>
      </c>
      <c r="X56" s="9"/>
      <c r="Y56" s="22">
        <v>1.5184</v>
      </c>
      <c r="Z56" s="22">
        <v>103.223</v>
      </c>
      <c r="AA56" s="22">
        <v>-1.7727699999999999E-2</v>
      </c>
      <c r="AB56" s="22">
        <v>46</v>
      </c>
      <c r="AC56" s="22">
        <v>1.5173300000000001</v>
      </c>
      <c r="AD56">
        <f t="shared" si="4"/>
        <v>17.727699999999999</v>
      </c>
      <c r="AE56">
        <f t="shared" si="5"/>
        <v>26.917739679999997</v>
      </c>
      <c r="AF56" s="9"/>
      <c r="AG56" s="22">
        <v>0.13168299999999999</v>
      </c>
      <c r="AH56" s="22">
        <v>121.044</v>
      </c>
      <c r="AI56" s="22">
        <v>-1.86371E-2</v>
      </c>
      <c r="AJ56" s="22">
        <v>46</v>
      </c>
      <c r="AK56" s="22">
        <v>0.131104</v>
      </c>
      <c r="AL56">
        <f t="shared" si="6"/>
        <v>18.6371</v>
      </c>
      <c r="AM56">
        <f t="shared" si="7"/>
        <v>2.4541892392999998</v>
      </c>
      <c r="AP56" s="9"/>
      <c r="AQ56" s="22">
        <v>1.5184</v>
      </c>
      <c r="AR56" s="22">
        <v>155.31299999999999</v>
      </c>
      <c r="AS56" s="22">
        <v>4.6887199999999997E-2</v>
      </c>
      <c r="AT56" s="22">
        <v>46</v>
      </c>
      <c r="AU56" s="22">
        <v>0.360931</v>
      </c>
      <c r="AV56">
        <f t="shared" si="8"/>
        <v>-46.8872</v>
      </c>
      <c r="AW56">
        <f t="shared" si="9"/>
        <v>-71.193524479999994</v>
      </c>
      <c r="AX56" s="9"/>
      <c r="AY56" s="22">
        <v>0.13168299999999999</v>
      </c>
      <c r="AZ56" s="22">
        <v>189.70099999999999</v>
      </c>
      <c r="BA56" s="22">
        <v>-1.81885E-2</v>
      </c>
      <c r="BB56" s="22">
        <v>46</v>
      </c>
      <c r="BC56" s="22">
        <v>0.13128699999999999</v>
      </c>
      <c r="BD56">
        <f t="shared" si="10"/>
        <v>18.188500000000001</v>
      </c>
      <c r="BE56">
        <f t="shared" si="11"/>
        <v>2.3951162455000001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34.718200000000003</v>
      </c>
      <c r="I57" s="22">
        <v>4.6783400000000003E-2</v>
      </c>
      <c r="J57" s="22">
        <v>47</v>
      </c>
      <c r="K57" s="22">
        <v>0.35183700000000001</v>
      </c>
      <c r="L57">
        <f t="shared" si="0"/>
        <v>-46.7834</v>
      </c>
      <c r="M57">
        <f t="shared" si="1"/>
        <v>-70.800594058000001</v>
      </c>
      <c r="N57" s="9"/>
      <c r="O57" s="22">
        <v>0.13671900000000001</v>
      </c>
      <c r="P57" s="22">
        <v>69.027299999999997</v>
      </c>
      <c r="Q57" s="22">
        <v>-1.8411299999999999E-2</v>
      </c>
      <c r="R57" s="22">
        <v>47</v>
      </c>
      <c r="S57" s="22">
        <v>0.13565099999999999</v>
      </c>
      <c r="T57">
        <f t="shared" si="2"/>
        <v>18.411299999999997</v>
      </c>
      <c r="U57">
        <f t="shared" si="3"/>
        <v>2.5171745246999997</v>
      </c>
      <c r="X57" s="9"/>
      <c r="Y57" s="22">
        <v>1.5133700000000001</v>
      </c>
      <c r="Z57" s="22">
        <v>103.23399999999999</v>
      </c>
      <c r="AA57" s="22">
        <v>-1.77521E-2</v>
      </c>
      <c r="AB57" s="22">
        <v>47</v>
      </c>
      <c r="AC57" s="22">
        <v>1.5130600000000001</v>
      </c>
      <c r="AD57">
        <f t="shared" si="4"/>
        <v>17.752099999999999</v>
      </c>
      <c r="AE57">
        <f t="shared" si="5"/>
        <v>26.865495577000001</v>
      </c>
      <c r="AF57" s="9"/>
      <c r="AG57" s="22">
        <v>0.13671900000000001</v>
      </c>
      <c r="AH57" s="22">
        <v>121.054</v>
      </c>
      <c r="AI57" s="22">
        <v>-1.8634000000000001E-2</v>
      </c>
      <c r="AJ57" s="22">
        <v>47</v>
      </c>
      <c r="AK57" s="22">
        <v>0.13592499999999999</v>
      </c>
      <c r="AL57">
        <f t="shared" si="6"/>
        <v>18.634</v>
      </c>
      <c r="AM57">
        <f t="shared" si="7"/>
        <v>2.5476218460000002</v>
      </c>
      <c r="AP57" s="9"/>
      <c r="AQ57" s="22">
        <v>1.5133700000000001</v>
      </c>
      <c r="AR57" s="22">
        <v>155.32300000000001</v>
      </c>
      <c r="AS57" s="22">
        <v>4.6884200000000001E-2</v>
      </c>
      <c r="AT57" s="22">
        <v>47</v>
      </c>
      <c r="AU57" s="22">
        <v>0.36675999999999997</v>
      </c>
      <c r="AV57">
        <f t="shared" si="8"/>
        <v>-46.8842</v>
      </c>
      <c r="AW57">
        <f t="shared" si="9"/>
        <v>-70.953141754000001</v>
      </c>
      <c r="AX57" s="9"/>
      <c r="AY57" s="22">
        <v>0.13671900000000001</v>
      </c>
      <c r="AZ57" s="22">
        <v>189.71100000000001</v>
      </c>
      <c r="BA57" s="22">
        <v>-1.8185400000000001E-2</v>
      </c>
      <c r="BB57" s="22">
        <v>47</v>
      </c>
      <c r="BC57" s="22">
        <v>0.13687099999999999</v>
      </c>
      <c r="BD57">
        <f t="shared" si="10"/>
        <v>18.185400000000001</v>
      </c>
      <c r="BE57">
        <f t="shared" si="11"/>
        <v>2.4862897026000002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34.728299999999997</v>
      </c>
      <c r="I58" s="22">
        <v>4.6777300000000001E-2</v>
      </c>
      <c r="J58" s="22">
        <v>48</v>
      </c>
      <c r="K58" s="22">
        <v>0.34689300000000001</v>
      </c>
      <c r="L58">
        <f t="shared" si="0"/>
        <v>-46.777300000000004</v>
      </c>
      <c r="M58">
        <f t="shared" si="1"/>
        <v>-70.55560490900001</v>
      </c>
      <c r="N58" s="9"/>
      <c r="O58" s="22">
        <v>0.14175399999999999</v>
      </c>
      <c r="P58" s="22">
        <v>69.037400000000005</v>
      </c>
      <c r="Q58" s="22">
        <v>-1.8395999999999999E-2</v>
      </c>
      <c r="R58" s="22">
        <v>48</v>
      </c>
      <c r="S58" s="22">
        <v>0.14102200000000001</v>
      </c>
      <c r="T58">
        <f t="shared" si="2"/>
        <v>18.396000000000001</v>
      </c>
      <c r="U58">
        <f t="shared" si="3"/>
        <v>2.6077065839999998</v>
      </c>
      <c r="X58" s="9"/>
      <c r="Y58" s="22">
        <v>1.5083299999999999</v>
      </c>
      <c r="Z58" s="22">
        <v>103.244</v>
      </c>
      <c r="AA58" s="22">
        <v>-1.7773400000000002E-2</v>
      </c>
      <c r="AB58" s="22">
        <v>48</v>
      </c>
      <c r="AC58" s="22">
        <v>1.50665</v>
      </c>
      <c r="AD58">
        <f t="shared" si="4"/>
        <v>17.773400000000002</v>
      </c>
      <c r="AE58">
        <f t="shared" si="5"/>
        <v>26.808152422000003</v>
      </c>
      <c r="AF58" s="9"/>
      <c r="AG58" s="22">
        <v>0.14175399999999999</v>
      </c>
      <c r="AH58" s="22">
        <v>121.06399999999999</v>
      </c>
      <c r="AI58" s="22">
        <v>-1.8634000000000001E-2</v>
      </c>
      <c r="AJ58" s="22">
        <v>48</v>
      </c>
      <c r="AK58" s="22">
        <v>0.140656</v>
      </c>
      <c r="AL58">
        <f t="shared" si="6"/>
        <v>18.634</v>
      </c>
      <c r="AM58">
        <f t="shared" si="7"/>
        <v>2.6414440359999998</v>
      </c>
      <c r="AP58" s="9"/>
      <c r="AQ58" s="22">
        <v>1.5083299999999999</v>
      </c>
      <c r="AR58" s="22">
        <v>155.334</v>
      </c>
      <c r="AS58" s="22">
        <v>4.6881100000000002E-2</v>
      </c>
      <c r="AT58" s="22">
        <v>48</v>
      </c>
      <c r="AU58" s="22">
        <v>0.37023899999999998</v>
      </c>
      <c r="AV58">
        <f t="shared" si="8"/>
        <v>-46.881100000000004</v>
      </c>
      <c r="AW58">
        <f t="shared" si="9"/>
        <v>-70.712169563000003</v>
      </c>
      <c r="AX58" s="9"/>
      <c r="AY58" s="22">
        <v>0.14175399999999999</v>
      </c>
      <c r="AZ58" s="22">
        <v>189.721</v>
      </c>
      <c r="BA58" s="22">
        <v>-1.8182400000000001E-2</v>
      </c>
      <c r="BB58" s="22">
        <v>48</v>
      </c>
      <c r="BC58" s="22">
        <v>0.140656</v>
      </c>
      <c r="BD58">
        <f t="shared" si="10"/>
        <v>18.182400000000001</v>
      </c>
      <c r="BE58">
        <f t="shared" si="11"/>
        <v>2.5774279296000002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34.738300000000002</v>
      </c>
      <c r="I59" s="22">
        <v>4.6771199999999999E-2</v>
      </c>
      <c r="J59" s="22">
        <v>49</v>
      </c>
      <c r="K59" s="22">
        <v>0.34091199999999999</v>
      </c>
      <c r="L59">
        <f t="shared" si="0"/>
        <v>-46.7712</v>
      </c>
      <c r="M59">
        <f t="shared" si="1"/>
        <v>-70.311144960000007</v>
      </c>
      <c r="N59" s="9"/>
      <c r="O59" s="22">
        <v>0.14679</v>
      </c>
      <c r="P59" s="22">
        <v>69.047499999999999</v>
      </c>
      <c r="Q59" s="22">
        <v>-1.8402100000000001E-2</v>
      </c>
      <c r="R59" s="22">
        <v>49</v>
      </c>
      <c r="S59" s="22">
        <v>0.146454</v>
      </c>
      <c r="T59">
        <f t="shared" si="2"/>
        <v>18.402100000000001</v>
      </c>
      <c r="U59">
        <f t="shared" si="3"/>
        <v>2.7012442590000001</v>
      </c>
      <c r="X59" s="9"/>
      <c r="Y59" s="22">
        <v>1.5033000000000001</v>
      </c>
      <c r="Z59" s="22">
        <v>103.254</v>
      </c>
      <c r="AA59" s="22">
        <v>-1.7791700000000001E-2</v>
      </c>
      <c r="AB59" s="22">
        <v>49</v>
      </c>
      <c r="AC59" s="22">
        <v>1.50238</v>
      </c>
      <c r="AD59">
        <f t="shared" si="4"/>
        <v>17.791700000000002</v>
      </c>
      <c r="AE59">
        <f t="shared" si="5"/>
        <v>26.746262610000006</v>
      </c>
      <c r="AF59" s="9"/>
      <c r="AG59" s="22">
        <v>0.14679</v>
      </c>
      <c r="AH59" s="22">
        <v>121.074</v>
      </c>
      <c r="AI59" s="22">
        <v>-1.8631000000000002E-2</v>
      </c>
      <c r="AJ59" s="22">
        <v>49</v>
      </c>
      <c r="AK59" s="22">
        <v>0.14559900000000001</v>
      </c>
      <c r="AL59">
        <f t="shared" si="6"/>
        <v>18.631</v>
      </c>
      <c r="AM59">
        <f t="shared" si="7"/>
        <v>2.73484449</v>
      </c>
      <c r="AP59" s="9"/>
      <c r="AQ59" s="22">
        <v>1.5033000000000001</v>
      </c>
      <c r="AR59" s="22">
        <v>155.34399999999999</v>
      </c>
      <c r="AS59" s="22">
        <v>4.6884200000000001E-2</v>
      </c>
      <c r="AT59" s="22">
        <v>49</v>
      </c>
      <c r="AU59" s="22">
        <v>0.36383100000000002</v>
      </c>
      <c r="AV59">
        <f t="shared" si="8"/>
        <v>-46.8842</v>
      </c>
      <c r="AW59">
        <f t="shared" si="9"/>
        <v>-70.481017860000009</v>
      </c>
      <c r="AX59" s="9"/>
      <c r="AY59" s="22">
        <v>0.14679</v>
      </c>
      <c r="AZ59" s="22">
        <v>189.73099999999999</v>
      </c>
      <c r="BA59" s="22">
        <v>-1.8185400000000001E-2</v>
      </c>
      <c r="BB59" s="22">
        <v>49</v>
      </c>
      <c r="BC59" s="22">
        <v>0.14651500000000001</v>
      </c>
      <c r="BD59">
        <f t="shared" si="10"/>
        <v>18.185400000000001</v>
      </c>
      <c r="BE59">
        <f t="shared" si="11"/>
        <v>2.6694348660000005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34.748399999999997</v>
      </c>
      <c r="I60" s="22">
        <v>4.6762100000000001E-2</v>
      </c>
      <c r="J60" s="22">
        <v>50</v>
      </c>
      <c r="K60" s="22">
        <v>0.34936499999999998</v>
      </c>
      <c r="L60">
        <f t="shared" si="0"/>
        <v>-46.762100000000004</v>
      </c>
      <c r="M60">
        <f t="shared" si="1"/>
        <v>-70.061783946000006</v>
      </c>
      <c r="N60" s="9"/>
      <c r="O60" s="22">
        <v>0.15182499999999999</v>
      </c>
      <c r="P60" s="22">
        <v>69.057599999999994</v>
      </c>
      <c r="Q60" s="22">
        <v>-1.8395999999999999E-2</v>
      </c>
      <c r="R60" s="22">
        <v>50</v>
      </c>
      <c r="S60" s="22">
        <v>0.15118400000000001</v>
      </c>
      <c r="T60">
        <f t="shared" si="2"/>
        <v>18.396000000000001</v>
      </c>
      <c r="U60">
        <f t="shared" si="3"/>
        <v>2.7929727</v>
      </c>
      <c r="X60" s="9"/>
      <c r="Y60" s="22">
        <v>1.4982599999999999</v>
      </c>
      <c r="Z60" s="22">
        <v>103.264</v>
      </c>
      <c r="AA60" s="22">
        <v>-1.7810099999999999E-2</v>
      </c>
      <c r="AB60" s="22">
        <v>50</v>
      </c>
      <c r="AC60" s="22">
        <v>1.4968900000000001</v>
      </c>
      <c r="AD60">
        <f t="shared" si="4"/>
        <v>17.810099999999998</v>
      </c>
      <c r="AE60">
        <f t="shared" si="5"/>
        <v>26.684160425999995</v>
      </c>
      <c r="AF60" s="9"/>
      <c r="AG60" s="22">
        <v>0.15182499999999999</v>
      </c>
      <c r="AH60" s="22">
        <v>121.08499999999999</v>
      </c>
      <c r="AI60" s="22">
        <v>-1.8627899999999999E-2</v>
      </c>
      <c r="AJ60" s="22">
        <v>50</v>
      </c>
      <c r="AK60" s="22">
        <v>0.15112300000000001</v>
      </c>
      <c r="AL60">
        <f t="shared" si="6"/>
        <v>18.6279</v>
      </c>
      <c r="AM60">
        <f t="shared" si="7"/>
        <v>2.8281809174999997</v>
      </c>
      <c r="AP60" s="9"/>
      <c r="AQ60" s="22">
        <v>1.4982599999999999</v>
      </c>
      <c r="AR60" s="22">
        <v>155.35400000000001</v>
      </c>
      <c r="AS60" s="22">
        <v>4.6878099999999999E-2</v>
      </c>
      <c r="AT60" s="22">
        <v>50</v>
      </c>
      <c r="AU60" s="22">
        <v>0.36407499999999998</v>
      </c>
      <c r="AV60">
        <f t="shared" si="8"/>
        <v>-46.878099999999996</v>
      </c>
      <c r="AW60">
        <f t="shared" si="9"/>
        <v>-70.235582105999995</v>
      </c>
      <c r="AX60" s="9"/>
      <c r="AY60" s="22">
        <v>0.15182499999999999</v>
      </c>
      <c r="AZ60" s="22">
        <v>189.74100000000001</v>
      </c>
      <c r="BA60" s="22">
        <v>-1.8182400000000001E-2</v>
      </c>
      <c r="BB60" s="22">
        <v>50</v>
      </c>
      <c r="BC60" s="22">
        <v>0.15127599999999999</v>
      </c>
      <c r="BD60">
        <f t="shared" si="10"/>
        <v>18.182400000000001</v>
      </c>
      <c r="BE60">
        <f t="shared" si="11"/>
        <v>2.76054288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34.758499999999998</v>
      </c>
      <c r="I61" s="22">
        <v>4.6755999999999999E-2</v>
      </c>
      <c r="J61" s="22">
        <v>51</v>
      </c>
      <c r="K61" s="22">
        <v>0.34948699999999999</v>
      </c>
      <c r="L61">
        <f t="shared" si="0"/>
        <v>-46.756</v>
      </c>
      <c r="M61">
        <f t="shared" si="1"/>
        <v>-69.817461879999996</v>
      </c>
      <c r="N61" s="9"/>
      <c r="O61" s="22">
        <v>0.15686</v>
      </c>
      <c r="P61" s="22">
        <v>69.067599999999999</v>
      </c>
      <c r="Q61" s="22">
        <v>-1.8398999999999999E-2</v>
      </c>
      <c r="R61" s="22">
        <v>51</v>
      </c>
      <c r="S61" s="22">
        <v>0.155609</v>
      </c>
      <c r="T61">
        <f t="shared" si="2"/>
        <v>18.398999999999997</v>
      </c>
      <c r="U61">
        <f t="shared" si="3"/>
        <v>2.8860671399999998</v>
      </c>
      <c r="X61" s="9"/>
      <c r="Y61" s="22">
        <v>1.4932300000000001</v>
      </c>
      <c r="Z61" s="22">
        <v>103.274</v>
      </c>
      <c r="AA61" s="22">
        <v>-1.7825299999999999E-2</v>
      </c>
      <c r="AB61" s="22">
        <v>51</v>
      </c>
      <c r="AC61" s="22">
        <v>1.49231</v>
      </c>
      <c r="AD61">
        <f t="shared" si="4"/>
        <v>17.825299999999999</v>
      </c>
      <c r="AE61">
        <f t="shared" si="5"/>
        <v>26.617272718999999</v>
      </c>
      <c r="AF61" s="9"/>
      <c r="AG61" s="22">
        <v>0.15686</v>
      </c>
      <c r="AH61" s="22">
        <v>121.095</v>
      </c>
      <c r="AI61" s="22">
        <v>-1.8627899999999999E-2</v>
      </c>
      <c r="AJ61" s="22">
        <v>51</v>
      </c>
      <c r="AK61" s="22">
        <v>0.15579200000000001</v>
      </c>
      <c r="AL61">
        <f t="shared" si="6"/>
        <v>18.6279</v>
      </c>
      <c r="AM61">
        <f t="shared" si="7"/>
        <v>2.921972394</v>
      </c>
      <c r="AP61" s="9"/>
      <c r="AQ61" s="22">
        <v>1.4932300000000001</v>
      </c>
      <c r="AR61" s="22">
        <v>155.364</v>
      </c>
      <c r="AS61" s="22">
        <v>4.6871900000000001E-2</v>
      </c>
      <c r="AT61" s="22">
        <v>51</v>
      </c>
      <c r="AU61" s="22">
        <v>0.36312899999999998</v>
      </c>
      <c r="AV61">
        <f t="shared" si="8"/>
        <v>-46.871900000000004</v>
      </c>
      <c r="AW61">
        <f t="shared" si="9"/>
        <v>-69.990527237000009</v>
      </c>
      <c r="AX61" s="9"/>
      <c r="AY61" s="22">
        <v>0.15686</v>
      </c>
      <c r="AZ61" s="22">
        <v>189.751</v>
      </c>
      <c r="BA61" s="22">
        <v>-1.8179299999999999E-2</v>
      </c>
      <c r="BB61" s="22">
        <v>51</v>
      </c>
      <c r="BC61" s="22">
        <v>0.15679899999999999</v>
      </c>
      <c r="BD61">
        <f t="shared" si="10"/>
        <v>18.179299999999998</v>
      </c>
      <c r="BE61">
        <f t="shared" si="11"/>
        <v>2.8516049979999996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34.768599999999999</v>
      </c>
      <c r="I62" s="22">
        <v>4.6768200000000003E-2</v>
      </c>
      <c r="J62" s="22">
        <v>52</v>
      </c>
      <c r="K62" s="22">
        <v>0.34292600000000001</v>
      </c>
      <c r="L62">
        <f t="shared" si="0"/>
        <v>-46.7682</v>
      </c>
      <c r="M62">
        <f t="shared" si="1"/>
        <v>-69.599967557999989</v>
      </c>
      <c r="N62" s="9"/>
      <c r="O62" s="22">
        <v>0.16189600000000001</v>
      </c>
      <c r="P62" s="22">
        <v>69.077699999999993</v>
      </c>
      <c r="Q62" s="22">
        <v>-1.8395999999999999E-2</v>
      </c>
      <c r="R62" s="22">
        <v>52</v>
      </c>
      <c r="S62" s="22">
        <v>0.161102</v>
      </c>
      <c r="T62">
        <f t="shared" si="2"/>
        <v>18.396000000000001</v>
      </c>
      <c r="U62">
        <f t="shared" si="3"/>
        <v>2.9782388160000002</v>
      </c>
      <c r="X62" s="9"/>
      <c r="Y62" s="22">
        <v>1.4881899999999999</v>
      </c>
      <c r="Z62" s="22">
        <v>103.28400000000001</v>
      </c>
      <c r="AA62" s="22">
        <v>-1.7837499999999999E-2</v>
      </c>
      <c r="AB62" s="22">
        <v>52</v>
      </c>
      <c r="AC62" s="22">
        <v>1.48743</v>
      </c>
      <c r="AD62">
        <f t="shared" si="4"/>
        <v>17.837499999999999</v>
      </c>
      <c r="AE62">
        <f t="shared" si="5"/>
        <v>26.545589124999996</v>
      </c>
      <c r="AF62" s="9"/>
      <c r="AG62" s="22">
        <v>0.16189600000000001</v>
      </c>
      <c r="AH62" s="22">
        <v>121.105</v>
      </c>
      <c r="AI62" s="22">
        <v>-1.8627899999999999E-2</v>
      </c>
      <c r="AJ62" s="22">
        <v>52</v>
      </c>
      <c r="AK62" s="22">
        <v>0.16107199999999999</v>
      </c>
      <c r="AL62">
        <f t="shared" si="6"/>
        <v>18.6279</v>
      </c>
      <c r="AM62">
        <f t="shared" si="7"/>
        <v>3.0157824984000001</v>
      </c>
      <c r="AP62" s="9"/>
      <c r="AQ62" s="22">
        <v>1.4881899999999999</v>
      </c>
      <c r="AR62" s="22">
        <v>155.374</v>
      </c>
      <c r="AS62" s="22">
        <v>4.6868899999999998E-2</v>
      </c>
      <c r="AT62" s="22">
        <v>52</v>
      </c>
      <c r="AU62" s="22">
        <v>0.35995500000000002</v>
      </c>
      <c r="AV62">
        <f t="shared" si="8"/>
        <v>-46.868899999999996</v>
      </c>
      <c r="AW62">
        <f t="shared" si="9"/>
        <v>-69.749828290999986</v>
      </c>
      <c r="AX62" s="9"/>
      <c r="AY62" s="22">
        <v>0.16189600000000001</v>
      </c>
      <c r="AZ62" s="22">
        <v>189.761</v>
      </c>
      <c r="BA62" s="22">
        <v>-1.8176299999999999E-2</v>
      </c>
      <c r="BB62" s="22">
        <v>52</v>
      </c>
      <c r="BC62" s="22">
        <v>0.162323</v>
      </c>
      <c r="BD62">
        <f t="shared" si="10"/>
        <v>18.176299999999998</v>
      </c>
      <c r="BE62">
        <f t="shared" si="11"/>
        <v>2.9426702647999998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34.778599999999997</v>
      </c>
      <c r="I63" s="22">
        <v>4.6755999999999999E-2</v>
      </c>
      <c r="J63" s="22">
        <v>53</v>
      </c>
      <c r="K63" s="22">
        <v>0.343414</v>
      </c>
      <c r="L63">
        <f t="shared" si="0"/>
        <v>-46.756</v>
      </c>
      <c r="M63">
        <f t="shared" si="1"/>
        <v>-69.3461614</v>
      </c>
      <c r="N63" s="9"/>
      <c r="O63" s="22">
        <v>0.166931</v>
      </c>
      <c r="P63" s="22">
        <v>69.087800000000001</v>
      </c>
      <c r="Q63" s="22">
        <v>-1.8398999999999999E-2</v>
      </c>
      <c r="R63" s="22">
        <v>53</v>
      </c>
      <c r="S63" s="22">
        <v>0.16683999999999999</v>
      </c>
      <c r="T63">
        <f t="shared" si="2"/>
        <v>18.398999999999997</v>
      </c>
      <c r="U63">
        <f t="shared" si="3"/>
        <v>3.0713634689999996</v>
      </c>
      <c r="X63" s="9"/>
      <c r="Y63" s="22">
        <v>1.48315</v>
      </c>
      <c r="Z63" s="22">
        <v>103.294</v>
      </c>
      <c r="AA63" s="22">
        <v>-1.7852799999999999E-2</v>
      </c>
      <c r="AB63" s="22">
        <v>53</v>
      </c>
      <c r="AC63" s="22">
        <v>1.48224</v>
      </c>
      <c r="AD63">
        <f t="shared" si="4"/>
        <v>17.852799999999998</v>
      </c>
      <c r="AE63">
        <f t="shared" si="5"/>
        <v>26.478380319999996</v>
      </c>
      <c r="AF63" s="9"/>
      <c r="AG63" s="22">
        <v>0.166931</v>
      </c>
      <c r="AH63" s="22">
        <v>121.11499999999999</v>
      </c>
      <c r="AI63" s="22">
        <v>-1.86249E-2</v>
      </c>
      <c r="AJ63" s="22">
        <v>53</v>
      </c>
      <c r="AK63" s="22">
        <v>0.16616800000000001</v>
      </c>
      <c r="AL63">
        <f t="shared" si="6"/>
        <v>18.6249</v>
      </c>
      <c r="AM63">
        <f t="shared" si="7"/>
        <v>3.1090731818999999</v>
      </c>
      <c r="AP63" s="9"/>
      <c r="AQ63" s="22">
        <v>1.48315</v>
      </c>
      <c r="AR63" s="22">
        <v>155.38399999999999</v>
      </c>
      <c r="AS63" s="22">
        <v>4.6865799999999999E-2</v>
      </c>
      <c r="AT63" s="22">
        <v>53</v>
      </c>
      <c r="AU63" s="22">
        <v>0.36123699999999997</v>
      </c>
      <c r="AV63">
        <f t="shared" si="8"/>
        <v>-46.8658</v>
      </c>
      <c r="AW63">
        <f t="shared" si="9"/>
        <v>-69.509011270000002</v>
      </c>
      <c r="AX63" s="9"/>
      <c r="AY63" s="22">
        <v>0.166931</v>
      </c>
      <c r="AZ63" s="22">
        <v>189.77099999999999</v>
      </c>
      <c r="BA63" s="22">
        <v>-1.81732E-2</v>
      </c>
      <c r="BB63" s="22">
        <v>53</v>
      </c>
      <c r="BC63" s="22">
        <v>0.16491700000000001</v>
      </c>
      <c r="BD63">
        <f t="shared" si="10"/>
        <v>18.173200000000001</v>
      </c>
      <c r="BE63">
        <f t="shared" si="11"/>
        <v>3.0336704492000002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34.788699999999999</v>
      </c>
      <c r="I64" s="22">
        <v>4.67377E-2</v>
      </c>
      <c r="J64" s="22">
        <v>54</v>
      </c>
      <c r="K64" s="22">
        <v>0.34304800000000002</v>
      </c>
      <c r="L64">
        <f t="shared" si="0"/>
        <v>-46.737699999999997</v>
      </c>
      <c r="M64">
        <f t="shared" si="1"/>
        <v>-69.083929123999994</v>
      </c>
      <c r="N64" s="9"/>
      <c r="O64" s="22">
        <v>0.17196700000000001</v>
      </c>
      <c r="P64" s="22">
        <v>69.097800000000007</v>
      </c>
      <c r="Q64" s="22">
        <v>-1.8389900000000001E-2</v>
      </c>
      <c r="R64" s="22">
        <v>54</v>
      </c>
      <c r="S64" s="22">
        <v>0.17056299999999999</v>
      </c>
      <c r="T64">
        <f t="shared" si="2"/>
        <v>18.389900000000001</v>
      </c>
      <c r="U64">
        <f t="shared" si="3"/>
        <v>3.1624559333000004</v>
      </c>
      <c r="X64" s="9"/>
      <c r="Y64" s="22">
        <v>1.4781200000000001</v>
      </c>
      <c r="Z64" s="22">
        <v>103.304</v>
      </c>
      <c r="AA64" s="22">
        <v>-1.78619E-2</v>
      </c>
      <c r="AB64" s="22">
        <v>54</v>
      </c>
      <c r="AC64" s="22">
        <v>1.47797</v>
      </c>
      <c r="AD64">
        <f t="shared" si="4"/>
        <v>17.861899999999999</v>
      </c>
      <c r="AE64">
        <f t="shared" si="5"/>
        <v>26.402031628</v>
      </c>
      <c r="AF64" s="9"/>
      <c r="AG64" s="22">
        <v>0.17196700000000001</v>
      </c>
      <c r="AH64" s="22">
        <v>121.125</v>
      </c>
      <c r="AI64" s="22">
        <v>-1.86249E-2</v>
      </c>
      <c r="AJ64" s="22">
        <v>54</v>
      </c>
      <c r="AK64" s="22">
        <v>0.17117299999999999</v>
      </c>
      <c r="AL64">
        <f t="shared" si="6"/>
        <v>18.6249</v>
      </c>
      <c r="AM64">
        <f t="shared" si="7"/>
        <v>3.2028681783000001</v>
      </c>
      <c r="AP64" s="9"/>
      <c r="AQ64" s="22">
        <v>1.4781200000000001</v>
      </c>
      <c r="AR64" s="22">
        <v>155.39400000000001</v>
      </c>
      <c r="AS64" s="22">
        <v>4.6859699999999997E-2</v>
      </c>
      <c r="AT64" s="22">
        <v>54</v>
      </c>
      <c r="AU64" s="22">
        <v>0.361481</v>
      </c>
      <c r="AV64">
        <f t="shared" si="8"/>
        <v>-46.859699999999997</v>
      </c>
      <c r="AW64">
        <f t="shared" si="9"/>
        <v>-69.264259764000002</v>
      </c>
      <c r="AX64" s="9"/>
      <c r="AY64" s="22">
        <v>0.17196700000000001</v>
      </c>
      <c r="AZ64" s="22">
        <v>189.78100000000001</v>
      </c>
      <c r="BA64" s="22">
        <v>-1.8170200000000001E-2</v>
      </c>
      <c r="BB64" s="22">
        <v>54</v>
      </c>
      <c r="BC64" s="22">
        <v>0.17056299999999999</v>
      </c>
      <c r="BD64">
        <f t="shared" si="10"/>
        <v>18.170200000000001</v>
      </c>
      <c r="BE64">
        <f t="shared" si="11"/>
        <v>3.1246747834000002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34.7988</v>
      </c>
      <c r="I65" s="22">
        <v>4.67377E-2</v>
      </c>
      <c r="J65" s="22">
        <v>55</v>
      </c>
      <c r="K65" s="22">
        <v>0.34918199999999999</v>
      </c>
      <c r="L65">
        <f t="shared" si="0"/>
        <v>-46.737699999999997</v>
      </c>
      <c r="M65">
        <f t="shared" si="1"/>
        <v>-68.848371115999996</v>
      </c>
      <c r="N65" s="9"/>
      <c r="O65" s="22">
        <v>0.17700199999999999</v>
      </c>
      <c r="P65" s="22">
        <v>69.107900000000001</v>
      </c>
      <c r="Q65" s="22">
        <v>-1.8389900000000001E-2</v>
      </c>
      <c r="R65" s="22">
        <v>55</v>
      </c>
      <c r="S65" s="22">
        <v>0.17630000000000001</v>
      </c>
      <c r="T65">
        <f t="shared" si="2"/>
        <v>18.389900000000001</v>
      </c>
      <c r="U65">
        <f t="shared" si="3"/>
        <v>3.2550490798</v>
      </c>
      <c r="X65" s="9"/>
      <c r="Y65" s="22">
        <v>1.4730799999999999</v>
      </c>
      <c r="Z65" s="22">
        <v>103.31399999999999</v>
      </c>
      <c r="AA65" s="22">
        <v>-1.7871100000000001E-2</v>
      </c>
      <c r="AB65" s="22">
        <v>55</v>
      </c>
      <c r="AC65" s="22">
        <v>1.47217</v>
      </c>
      <c r="AD65">
        <f t="shared" si="4"/>
        <v>17.871100000000002</v>
      </c>
      <c r="AE65">
        <f t="shared" si="5"/>
        <v>26.325559988000002</v>
      </c>
      <c r="AF65" s="9"/>
      <c r="AG65" s="22">
        <v>0.17700199999999999</v>
      </c>
      <c r="AH65" s="22">
        <v>121.13500000000001</v>
      </c>
      <c r="AI65" s="22">
        <v>-1.8621800000000001E-2</v>
      </c>
      <c r="AJ65" s="22">
        <v>55</v>
      </c>
      <c r="AK65" s="22">
        <v>0.17657500000000001</v>
      </c>
      <c r="AL65">
        <f t="shared" si="6"/>
        <v>18.6218</v>
      </c>
      <c r="AM65">
        <f t="shared" si="7"/>
        <v>3.2960958435999999</v>
      </c>
      <c r="AP65" s="9"/>
      <c r="AQ65" s="22">
        <v>1.4730799999999999</v>
      </c>
      <c r="AR65" s="22">
        <v>155.404</v>
      </c>
      <c r="AS65" s="22">
        <v>4.6856700000000001E-2</v>
      </c>
      <c r="AT65" s="22">
        <v>55</v>
      </c>
      <c r="AU65" s="22">
        <v>0.36340299999999998</v>
      </c>
      <c r="AV65">
        <f t="shared" si="8"/>
        <v>-46.856700000000004</v>
      </c>
      <c r="AW65">
        <f t="shared" si="9"/>
        <v>-69.023667635999999</v>
      </c>
      <c r="AX65" s="9"/>
      <c r="AY65" s="22">
        <v>0.17700199999999999</v>
      </c>
      <c r="AZ65" s="22">
        <v>189.791</v>
      </c>
      <c r="BA65" s="22">
        <v>-1.8167099999999999E-2</v>
      </c>
      <c r="BB65" s="22">
        <v>55</v>
      </c>
      <c r="BC65" s="22">
        <v>0.17510999999999999</v>
      </c>
      <c r="BD65">
        <f t="shared" si="10"/>
        <v>18.167099999999998</v>
      </c>
      <c r="BE65">
        <f t="shared" si="11"/>
        <v>3.2156130341999996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34.808799999999998</v>
      </c>
      <c r="I66" s="22">
        <v>4.6716300000000002E-2</v>
      </c>
      <c r="J66" s="22">
        <v>56</v>
      </c>
      <c r="K66" s="22">
        <v>0.34063700000000002</v>
      </c>
      <c r="L66">
        <f t="shared" si="0"/>
        <v>-46.716300000000004</v>
      </c>
      <c r="M66">
        <f t="shared" si="1"/>
        <v>-68.58186421500001</v>
      </c>
      <c r="N66" s="9"/>
      <c r="O66" s="22">
        <v>0.182037</v>
      </c>
      <c r="P66" s="22">
        <v>69.117999999999995</v>
      </c>
      <c r="Q66" s="22">
        <v>-1.8386799999999998E-2</v>
      </c>
      <c r="R66" s="22">
        <v>56</v>
      </c>
      <c r="S66" s="22">
        <v>0.18218999999999999</v>
      </c>
      <c r="T66">
        <f t="shared" si="2"/>
        <v>18.386799999999997</v>
      </c>
      <c r="U66">
        <f t="shared" si="3"/>
        <v>3.3470779115999996</v>
      </c>
      <c r="X66" s="9"/>
      <c r="Y66" s="22">
        <v>1.4680500000000001</v>
      </c>
      <c r="Z66" s="22">
        <v>103.324</v>
      </c>
      <c r="AA66" s="22">
        <v>-1.7883300000000001E-2</v>
      </c>
      <c r="AB66" s="22">
        <v>56</v>
      </c>
      <c r="AC66" s="22">
        <v>1.4679</v>
      </c>
      <c r="AD66">
        <f t="shared" si="4"/>
        <v>17.883300000000002</v>
      </c>
      <c r="AE66">
        <f t="shared" si="5"/>
        <v>26.253578565000005</v>
      </c>
      <c r="AF66" s="9"/>
      <c r="AG66" s="22">
        <v>0.182037</v>
      </c>
      <c r="AH66" s="22">
        <v>121.145</v>
      </c>
      <c r="AI66" s="22">
        <v>-1.8621800000000001E-2</v>
      </c>
      <c r="AJ66" s="22">
        <v>56</v>
      </c>
      <c r="AK66" s="22">
        <v>0.181946</v>
      </c>
      <c r="AL66">
        <f t="shared" si="6"/>
        <v>18.6218</v>
      </c>
      <c r="AM66">
        <f t="shared" si="7"/>
        <v>3.3898566066</v>
      </c>
      <c r="AP66" s="9"/>
      <c r="AQ66" s="22">
        <v>1.4680500000000001</v>
      </c>
      <c r="AR66" s="22">
        <v>155.41399999999999</v>
      </c>
      <c r="AS66" s="22">
        <v>4.6856700000000001E-2</v>
      </c>
      <c r="AT66" s="22">
        <v>56</v>
      </c>
      <c r="AU66" s="22">
        <v>0.34417700000000001</v>
      </c>
      <c r="AV66">
        <f t="shared" si="8"/>
        <v>-46.856700000000004</v>
      </c>
      <c r="AW66">
        <f t="shared" si="9"/>
        <v>-68.787978435000014</v>
      </c>
      <c r="AX66" s="9"/>
      <c r="AY66" s="22">
        <v>0.182037</v>
      </c>
      <c r="AZ66" s="22">
        <v>189.80099999999999</v>
      </c>
      <c r="BA66" s="22">
        <v>-1.8167099999999999E-2</v>
      </c>
      <c r="BB66" s="22">
        <v>56</v>
      </c>
      <c r="BC66" s="22">
        <v>0.18182400000000001</v>
      </c>
      <c r="BD66">
        <f t="shared" si="10"/>
        <v>18.167099999999998</v>
      </c>
      <c r="BE66">
        <f t="shared" si="11"/>
        <v>3.3070843826999998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34.818899999999999</v>
      </c>
      <c r="I67" s="22">
        <v>4.6694899999999998E-2</v>
      </c>
      <c r="J67" s="22">
        <v>57</v>
      </c>
      <c r="K67" s="22">
        <v>0.33679199999999998</v>
      </c>
      <c r="L67">
        <f t="shared" si="0"/>
        <v>-46.694899999999997</v>
      </c>
      <c r="M67">
        <f t="shared" si="1"/>
        <v>-68.315105648999989</v>
      </c>
      <c r="N67" s="9"/>
      <c r="O67" s="22">
        <v>0.18707299999999999</v>
      </c>
      <c r="P67" s="22">
        <v>69.128100000000003</v>
      </c>
      <c r="Q67" s="22">
        <v>-1.8386799999999998E-2</v>
      </c>
      <c r="R67" s="22">
        <v>57</v>
      </c>
      <c r="S67" s="22">
        <v>0.18652299999999999</v>
      </c>
      <c r="T67">
        <f t="shared" si="2"/>
        <v>18.386799999999997</v>
      </c>
      <c r="U67">
        <f t="shared" si="3"/>
        <v>3.4396738363999995</v>
      </c>
      <c r="X67" s="9"/>
      <c r="Y67" s="22">
        <v>1.4630099999999999</v>
      </c>
      <c r="Z67" s="22">
        <v>103.334</v>
      </c>
      <c r="AA67" s="22">
        <v>-1.7895500000000002E-2</v>
      </c>
      <c r="AB67" s="22">
        <v>57</v>
      </c>
      <c r="AC67" s="22">
        <v>1.4623999999999999</v>
      </c>
      <c r="AD67">
        <f t="shared" si="4"/>
        <v>17.895500000000002</v>
      </c>
      <c r="AE67">
        <f t="shared" si="5"/>
        <v>26.181295455000001</v>
      </c>
      <c r="AF67" s="9"/>
      <c r="AG67" s="22">
        <v>0.18707299999999999</v>
      </c>
      <c r="AH67" s="22">
        <v>121.155</v>
      </c>
      <c r="AI67" s="22">
        <v>-1.8618800000000001E-2</v>
      </c>
      <c r="AJ67" s="22">
        <v>57</v>
      </c>
      <c r="AK67" s="22">
        <v>0.187164</v>
      </c>
      <c r="AL67">
        <f t="shared" si="6"/>
        <v>18.6188</v>
      </c>
      <c r="AM67">
        <f t="shared" si="7"/>
        <v>3.4830747723999997</v>
      </c>
      <c r="AP67" s="9"/>
      <c r="AQ67" s="22">
        <v>1.4630099999999999</v>
      </c>
      <c r="AR67" s="22">
        <v>155.42400000000001</v>
      </c>
      <c r="AS67" s="22">
        <v>4.6853600000000002E-2</v>
      </c>
      <c r="AT67" s="22">
        <v>57</v>
      </c>
      <c r="AU67" s="22">
        <v>0.359039</v>
      </c>
      <c r="AV67">
        <f t="shared" si="8"/>
        <v>-46.8536</v>
      </c>
      <c r="AW67">
        <f t="shared" si="9"/>
        <v>-68.547285336000002</v>
      </c>
      <c r="AX67" s="9"/>
      <c r="AY67" s="22">
        <v>0.18707299999999999</v>
      </c>
      <c r="AZ67" s="22">
        <v>189.81100000000001</v>
      </c>
      <c r="BA67" s="22">
        <v>-1.8164099999999999E-2</v>
      </c>
      <c r="BB67" s="22">
        <v>57</v>
      </c>
      <c r="BC67" s="22">
        <v>0.18698100000000001</v>
      </c>
      <c r="BD67">
        <f t="shared" si="10"/>
        <v>18.164099999999998</v>
      </c>
      <c r="BE67">
        <f t="shared" si="11"/>
        <v>3.3980126792999994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34.829000000000001</v>
      </c>
      <c r="I68" s="22">
        <v>4.6646100000000003E-2</v>
      </c>
      <c r="J68" s="22">
        <v>58</v>
      </c>
      <c r="K68" s="22">
        <v>0.34927399999999997</v>
      </c>
      <c r="L68">
        <f t="shared" si="0"/>
        <v>-46.646100000000004</v>
      </c>
      <c r="M68">
        <f t="shared" si="1"/>
        <v>-68.009080878000006</v>
      </c>
      <c r="N68" s="9"/>
      <c r="O68" s="22">
        <v>0.192108</v>
      </c>
      <c r="P68" s="22">
        <v>69.138099999999994</v>
      </c>
      <c r="Q68" s="22">
        <v>-1.83807E-2</v>
      </c>
      <c r="R68" s="22">
        <v>58</v>
      </c>
      <c r="S68" s="22">
        <v>0.191803</v>
      </c>
      <c r="T68">
        <f t="shared" si="2"/>
        <v>18.380700000000001</v>
      </c>
      <c r="U68">
        <f t="shared" si="3"/>
        <v>3.5310795156000001</v>
      </c>
      <c r="X68" s="9"/>
      <c r="Y68" s="22">
        <v>1.4579800000000001</v>
      </c>
      <c r="Z68" s="22">
        <v>103.34399999999999</v>
      </c>
      <c r="AA68" s="22">
        <v>-1.7904699999999999E-2</v>
      </c>
      <c r="AB68" s="22">
        <v>58</v>
      </c>
      <c r="AC68" s="22">
        <v>1.4578199999999999</v>
      </c>
      <c r="AD68">
        <f t="shared" si="4"/>
        <v>17.904699999999998</v>
      </c>
      <c r="AE68">
        <f t="shared" si="5"/>
        <v>26.104694505999998</v>
      </c>
      <c r="AF68" s="9"/>
      <c r="AG68" s="22">
        <v>0.192108</v>
      </c>
      <c r="AH68" s="22">
        <v>121.16500000000001</v>
      </c>
      <c r="AI68" s="22">
        <v>-1.8615699999999999E-2</v>
      </c>
      <c r="AJ68" s="22">
        <v>58</v>
      </c>
      <c r="AK68" s="22">
        <v>0.19140599999999999</v>
      </c>
      <c r="AL68">
        <f t="shared" si="6"/>
        <v>18.6157</v>
      </c>
      <c r="AM68">
        <f t="shared" si="7"/>
        <v>3.5762248956000002</v>
      </c>
      <c r="AP68" s="9"/>
      <c r="AQ68" s="22">
        <v>1.4579800000000001</v>
      </c>
      <c r="AR68" s="22">
        <v>155.434</v>
      </c>
      <c r="AS68" s="22">
        <v>4.68475E-2</v>
      </c>
      <c r="AT68" s="22">
        <v>58</v>
      </c>
      <c r="AU68" s="22">
        <v>0.36709599999999998</v>
      </c>
      <c r="AV68">
        <f t="shared" si="8"/>
        <v>-46.847500000000004</v>
      </c>
      <c r="AW68">
        <f t="shared" si="9"/>
        <v>-68.30271805000001</v>
      </c>
      <c r="AX68" s="9"/>
      <c r="AY68" s="22">
        <v>0.192108</v>
      </c>
      <c r="AZ68" s="22">
        <v>189.821</v>
      </c>
      <c r="BA68" s="22">
        <v>-1.8161E-2</v>
      </c>
      <c r="BB68" s="22">
        <v>58</v>
      </c>
      <c r="BC68" s="22">
        <v>0.19134499999999999</v>
      </c>
      <c r="BD68">
        <f t="shared" si="10"/>
        <v>18.161000000000001</v>
      </c>
      <c r="BE68">
        <f t="shared" si="11"/>
        <v>3.4888733880000005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34.839100000000002</v>
      </c>
      <c r="I69" s="22">
        <v>4.6640000000000001E-2</v>
      </c>
      <c r="J69" s="22">
        <v>59</v>
      </c>
      <c r="K69" s="22">
        <v>0.346252</v>
      </c>
      <c r="L69">
        <f t="shared" si="0"/>
        <v>-46.64</v>
      </c>
      <c r="M69">
        <f t="shared" si="1"/>
        <v>-67.765121600000001</v>
      </c>
      <c r="N69" s="9"/>
      <c r="O69" s="22">
        <v>0.19714400000000001</v>
      </c>
      <c r="P69" s="22">
        <v>69.148200000000003</v>
      </c>
      <c r="Q69" s="22">
        <v>-1.8383799999999999E-2</v>
      </c>
      <c r="R69" s="22">
        <v>59</v>
      </c>
      <c r="S69" s="22">
        <v>0.19635</v>
      </c>
      <c r="T69">
        <f t="shared" si="2"/>
        <v>18.383799999999997</v>
      </c>
      <c r="U69">
        <f t="shared" si="3"/>
        <v>3.6242558671999996</v>
      </c>
      <c r="X69" s="9"/>
      <c r="Y69" s="22">
        <v>1.4529399999999999</v>
      </c>
      <c r="Z69" s="22">
        <v>103.354</v>
      </c>
      <c r="AA69" s="22">
        <v>-1.7916899999999999E-2</v>
      </c>
      <c r="AB69" s="22">
        <v>59</v>
      </c>
      <c r="AC69" s="22">
        <v>1.4517199999999999</v>
      </c>
      <c r="AD69">
        <f t="shared" si="4"/>
        <v>17.916899999999998</v>
      </c>
      <c r="AE69">
        <f t="shared" si="5"/>
        <v>26.032180685999997</v>
      </c>
      <c r="AF69" s="9"/>
      <c r="AG69" s="22">
        <v>0.19714400000000001</v>
      </c>
      <c r="AH69" s="22">
        <v>121.175</v>
      </c>
      <c r="AI69" s="22">
        <v>-1.8615699999999999E-2</v>
      </c>
      <c r="AJ69" s="22">
        <v>59</v>
      </c>
      <c r="AK69" s="22">
        <v>0.19680800000000001</v>
      </c>
      <c r="AL69">
        <f t="shared" si="6"/>
        <v>18.6157</v>
      </c>
      <c r="AM69">
        <f t="shared" si="7"/>
        <v>3.6699735608000004</v>
      </c>
      <c r="AP69" s="9"/>
      <c r="AQ69" s="22">
        <v>1.4529399999999999</v>
      </c>
      <c r="AR69" s="22">
        <v>155.44399999999999</v>
      </c>
      <c r="AS69" s="22">
        <v>4.6844499999999997E-2</v>
      </c>
      <c r="AT69" s="22">
        <v>59</v>
      </c>
      <c r="AU69" s="22">
        <v>0.36026000000000002</v>
      </c>
      <c r="AV69">
        <f t="shared" si="8"/>
        <v>-46.844499999999996</v>
      </c>
      <c r="AW69">
        <f t="shared" si="9"/>
        <v>-68.06224782999999</v>
      </c>
      <c r="AX69" s="9"/>
      <c r="AY69" s="22">
        <v>0.19714400000000001</v>
      </c>
      <c r="AZ69" s="22">
        <v>189.83199999999999</v>
      </c>
      <c r="BA69" s="22">
        <v>-1.8164099999999999E-2</v>
      </c>
      <c r="BB69" s="22">
        <v>59</v>
      </c>
      <c r="BC69" s="22">
        <v>0.19653300000000001</v>
      </c>
      <c r="BD69">
        <f t="shared" si="10"/>
        <v>18.164099999999998</v>
      </c>
      <c r="BE69">
        <f t="shared" si="11"/>
        <v>3.5809433303999998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34.8491</v>
      </c>
      <c r="I70" s="22">
        <v>4.6691900000000001E-2</v>
      </c>
      <c r="J70" s="22">
        <v>60</v>
      </c>
      <c r="K70" s="22">
        <v>0.3508</v>
      </c>
      <c r="L70">
        <f t="shared" si="0"/>
        <v>-46.691900000000004</v>
      </c>
      <c r="M70">
        <f t="shared" si="1"/>
        <v>-67.605668929000004</v>
      </c>
      <c r="N70" s="9"/>
      <c r="O70" s="22">
        <v>0.202179</v>
      </c>
      <c r="P70" s="22">
        <v>69.158299999999997</v>
      </c>
      <c r="Q70" s="22">
        <v>-1.83777E-2</v>
      </c>
      <c r="R70" s="22">
        <v>60</v>
      </c>
      <c r="S70" s="22">
        <v>0.20114099999999999</v>
      </c>
      <c r="T70">
        <f t="shared" si="2"/>
        <v>18.377700000000001</v>
      </c>
      <c r="U70">
        <f t="shared" si="3"/>
        <v>3.7155850083000002</v>
      </c>
      <c r="X70" s="9"/>
      <c r="Y70" s="22">
        <v>1.44791</v>
      </c>
      <c r="Z70" s="22">
        <v>103.364</v>
      </c>
      <c r="AA70" s="22">
        <v>-1.7926000000000001E-2</v>
      </c>
      <c r="AB70" s="22">
        <v>60</v>
      </c>
      <c r="AC70" s="22">
        <v>1.4474499999999999</v>
      </c>
      <c r="AD70">
        <f t="shared" si="4"/>
        <v>17.926000000000002</v>
      </c>
      <c r="AE70">
        <f t="shared" si="5"/>
        <v>25.955234660000002</v>
      </c>
      <c r="AF70" s="9"/>
      <c r="AG70" s="22">
        <v>0.202179</v>
      </c>
      <c r="AH70" s="22">
        <v>121.185</v>
      </c>
      <c r="AI70" s="22">
        <v>-1.8612699999999999E-2</v>
      </c>
      <c r="AJ70" s="22">
        <v>60</v>
      </c>
      <c r="AK70" s="22">
        <v>0.201874</v>
      </c>
      <c r="AL70">
        <f t="shared" si="6"/>
        <v>18.6127</v>
      </c>
      <c r="AM70">
        <f t="shared" si="7"/>
        <v>3.7630970733</v>
      </c>
      <c r="AP70" s="9"/>
      <c r="AQ70" s="22">
        <v>1.44791</v>
      </c>
      <c r="AR70" s="22">
        <v>155.45400000000001</v>
      </c>
      <c r="AS70" s="22">
        <v>4.6838400000000002E-2</v>
      </c>
      <c r="AT70" s="22">
        <v>60</v>
      </c>
      <c r="AU70" s="22">
        <v>0.36257899999999998</v>
      </c>
      <c r="AV70">
        <f t="shared" si="8"/>
        <v>-46.8384</v>
      </c>
      <c r="AW70">
        <f t="shared" si="9"/>
        <v>-67.817787744</v>
      </c>
      <c r="AX70" s="9"/>
      <c r="AY70" s="22">
        <v>0.202179</v>
      </c>
      <c r="AZ70" s="22">
        <v>189.84200000000001</v>
      </c>
      <c r="BA70" s="22">
        <v>-1.8161E-2</v>
      </c>
      <c r="BB70" s="22">
        <v>60</v>
      </c>
      <c r="BC70" s="22">
        <v>0.20138500000000001</v>
      </c>
      <c r="BD70">
        <f t="shared" si="10"/>
        <v>18.161000000000001</v>
      </c>
      <c r="BE70">
        <f t="shared" si="11"/>
        <v>3.6717728190000001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34.859200000000001</v>
      </c>
      <c r="I71" s="22">
        <v>4.6771199999999999E-2</v>
      </c>
      <c r="J71" s="22">
        <v>61</v>
      </c>
      <c r="K71" s="22">
        <v>0.346497</v>
      </c>
      <c r="L71">
        <f t="shared" si="0"/>
        <v>-46.7712</v>
      </c>
      <c r="M71">
        <f t="shared" si="1"/>
        <v>-67.484761344000006</v>
      </c>
      <c r="N71" s="9"/>
      <c r="O71" s="22">
        <v>0.20721400000000001</v>
      </c>
      <c r="P71" s="22">
        <v>69.168300000000002</v>
      </c>
      <c r="Q71" s="22">
        <v>-1.83807E-2</v>
      </c>
      <c r="R71" s="22">
        <v>61</v>
      </c>
      <c r="S71" s="22">
        <v>0.20672599999999999</v>
      </c>
      <c r="T71">
        <f t="shared" si="2"/>
        <v>18.380700000000001</v>
      </c>
      <c r="U71">
        <f t="shared" si="3"/>
        <v>3.8087383698000004</v>
      </c>
      <c r="X71" s="9"/>
      <c r="Y71" s="22">
        <v>1.4428700000000001</v>
      </c>
      <c r="Z71" s="22">
        <v>103.374</v>
      </c>
      <c r="AA71" s="22">
        <v>-1.7938200000000001E-2</v>
      </c>
      <c r="AB71" s="22">
        <v>61</v>
      </c>
      <c r="AC71" s="22">
        <v>1.4422600000000001</v>
      </c>
      <c r="AD71">
        <f t="shared" si="4"/>
        <v>17.938200000000002</v>
      </c>
      <c r="AE71">
        <f t="shared" si="5"/>
        <v>25.882490634000003</v>
      </c>
      <c r="AF71" s="9"/>
      <c r="AG71" s="22">
        <v>0.20721400000000001</v>
      </c>
      <c r="AH71" s="22">
        <v>121.19499999999999</v>
      </c>
      <c r="AI71" s="22">
        <v>-1.86096E-2</v>
      </c>
      <c r="AJ71" s="22">
        <v>61</v>
      </c>
      <c r="AK71" s="22">
        <v>0.20666499999999999</v>
      </c>
      <c r="AL71">
        <f t="shared" si="6"/>
        <v>18.6096</v>
      </c>
      <c r="AM71">
        <f t="shared" si="7"/>
        <v>3.8561696544000004</v>
      </c>
      <c r="AP71" s="9"/>
      <c r="AQ71" s="22">
        <v>1.4428700000000001</v>
      </c>
      <c r="AR71" s="22">
        <v>155.464</v>
      </c>
      <c r="AS71" s="22">
        <v>4.6838400000000002E-2</v>
      </c>
      <c r="AT71" s="22">
        <v>61</v>
      </c>
      <c r="AU71" s="22">
        <v>0.35494999999999999</v>
      </c>
      <c r="AV71">
        <f t="shared" si="8"/>
        <v>-46.8384</v>
      </c>
      <c r="AW71">
        <f t="shared" si="9"/>
        <v>-67.581722208000002</v>
      </c>
      <c r="AX71" s="9"/>
      <c r="AY71" s="22">
        <v>0.20721400000000001</v>
      </c>
      <c r="AZ71" s="22">
        <v>189.852</v>
      </c>
      <c r="BA71" s="22">
        <v>-1.8161E-2</v>
      </c>
      <c r="BB71" s="22">
        <v>61</v>
      </c>
      <c r="BC71" s="22">
        <v>0.20602400000000001</v>
      </c>
      <c r="BD71">
        <f t="shared" si="10"/>
        <v>18.161000000000001</v>
      </c>
      <c r="BE71">
        <f t="shared" si="11"/>
        <v>3.7632134540000006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34.869300000000003</v>
      </c>
      <c r="I72" s="22">
        <v>4.6768200000000003E-2</v>
      </c>
      <c r="J72" s="22">
        <v>62</v>
      </c>
      <c r="K72" s="22">
        <v>0.35012799999999999</v>
      </c>
      <c r="L72">
        <f t="shared" si="0"/>
        <v>-46.7682</v>
      </c>
      <c r="M72">
        <f t="shared" si="1"/>
        <v>-67.245188687999999</v>
      </c>
      <c r="N72" s="9"/>
      <c r="O72" s="22">
        <v>0.21224999999999999</v>
      </c>
      <c r="P72" s="22">
        <v>69.178399999999996</v>
      </c>
      <c r="Q72" s="22">
        <v>-1.8371599999999998E-2</v>
      </c>
      <c r="R72" s="22">
        <v>62</v>
      </c>
      <c r="S72" s="22">
        <v>0.21209700000000001</v>
      </c>
      <c r="T72">
        <f t="shared" si="2"/>
        <v>18.371599999999997</v>
      </c>
      <c r="U72">
        <f t="shared" si="3"/>
        <v>3.8993720999999995</v>
      </c>
      <c r="X72" s="9"/>
      <c r="Y72" s="22">
        <v>1.43784</v>
      </c>
      <c r="Z72" s="22">
        <v>103.38500000000001</v>
      </c>
      <c r="AA72" s="22">
        <v>-1.79413E-2</v>
      </c>
      <c r="AB72" s="22">
        <v>62</v>
      </c>
      <c r="AC72" s="22">
        <v>1.4361600000000001</v>
      </c>
      <c r="AD72">
        <f t="shared" si="4"/>
        <v>17.941300000000002</v>
      </c>
      <c r="AE72">
        <f t="shared" si="5"/>
        <v>25.796718792000004</v>
      </c>
      <c r="AF72" s="9"/>
      <c r="AG72" s="22">
        <v>0.21224999999999999</v>
      </c>
      <c r="AH72" s="22">
        <v>121.205</v>
      </c>
      <c r="AI72" s="22">
        <v>-1.86096E-2</v>
      </c>
      <c r="AJ72" s="22">
        <v>62</v>
      </c>
      <c r="AK72" s="22">
        <v>0.21096799999999999</v>
      </c>
      <c r="AL72">
        <f t="shared" si="6"/>
        <v>18.6096</v>
      </c>
      <c r="AM72">
        <f t="shared" si="7"/>
        <v>3.9498875999999998</v>
      </c>
      <c r="AP72" s="9"/>
      <c r="AQ72" s="22">
        <v>1.43784</v>
      </c>
      <c r="AR72" s="22">
        <v>155.47499999999999</v>
      </c>
      <c r="AS72" s="22">
        <v>4.6829200000000001E-2</v>
      </c>
      <c r="AT72" s="22">
        <v>62</v>
      </c>
      <c r="AU72" s="22">
        <v>0.356659</v>
      </c>
      <c r="AV72">
        <f t="shared" si="8"/>
        <v>-46.8292</v>
      </c>
      <c r="AW72">
        <f t="shared" si="9"/>
        <v>-67.332896927999997</v>
      </c>
      <c r="AX72" s="9"/>
      <c r="AY72" s="22">
        <v>0.21224999999999999</v>
      </c>
      <c r="AZ72" s="22">
        <v>189.86199999999999</v>
      </c>
      <c r="BA72" s="22">
        <v>-1.8161E-2</v>
      </c>
      <c r="BB72" s="22">
        <v>62</v>
      </c>
      <c r="BC72" s="22">
        <v>0.211731</v>
      </c>
      <c r="BD72">
        <f t="shared" si="10"/>
        <v>18.161000000000001</v>
      </c>
      <c r="BE72">
        <f t="shared" si="11"/>
        <v>3.8546722500000001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34.879300000000001</v>
      </c>
      <c r="I73" s="22">
        <v>4.6755999999999999E-2</v>
      </c>
      <c r="J73" s="22">
        <v>63</v>
      </c>
      <c r="K73" s="22">
        <v>0.34893800000000003</v>
      </c>
      <c r="L73">
        <f t="shared" si="0"/>
        <v>-46.756</v>
      </c>
      <c r="M73">
        <f t="shared" si="1"/>
        <v>-66.99199680000001</v>
      </c>
      <c r="N73" s="9"/>
      <c r="O73" s="22">
        <v>0.21728500000000001</v>
      </c>
      <c r="P73" s="22">
        <v>69.188500000000005</v>
      </c>
      <c r="Q73" s="22">
        <v>-1.8374600000000001E-2</v>
      </c>
      <c r="R73" s="22">
        <v>63</v>
      </c>
      <c r="S73" s="22">
        <v>0.216919</v>
      </c>
      <c r="T73">
        <f t="shared" si="2"/>
        <v>18.374600000000001</v>
      </c>
      <c r="U73">
        <f t="shared" si="3"/>
        <v>3.9925249610000004</v>
      </c>
      <c r="X73" s="9"/>
      <c r="Y73" s="22">
        <v>1.4328000000000001</v>
      </c>
      <c r="Z73" s="22">
        <v>103.395</v>
      </c>
      <c r="AA73" s="22">
        <v>-1.7950399999999998E-2</v>
      </c>
      <c r="AB73" s="22">
        <v>63</v>
      </c>
      <c r="AC73" s="22">
        <v>1.43188</v>
      </c>
      <c r="AD73">
        <f t="shared" si="4"/>
        <v>17.950399999999998</v>
      </c>
      <c r="AE73">
        <f t="shared" si="5"/>
        <v>25.719333119999998</v>
      </c>
      <c r="AF73" s="9"/>
      <c r="AG73" s="22">
        <v>0.21728500000000001</v>
      </c>
      <c r="AH73" s="22">
        <v>121.215</v>
      </c>
      <c r="AI73" s="22">
        <v>-1.86096E-2</v>
      </c>
      <c r="AJ73" s="22">
        <v>63</v>
      </c>
      <c r="AK73" s="22">
        <v>0.216919</v>
      </c>
      <c r="AL73">
        <f t="shared" si="6"/>
        <v>18.6096</v>
      </c>
      <c r="AM73">
        <f t="shared" si="7"/>
        <v>4.0435869360000005</v>
      </c>
      <c r="AP73" s="9"/>
      <c r="AQ73" s="22">
        <v>1.4328000000000001</v>
      </c>
      <c r="AR73" s="22">
        <v>155.48500000000001</v>
      </c>
      <c r="AS73" s="22">
        <v>4.6826199999999998E-2</v>
      </c>
      <c r="AT73" s="22">
        <v>63</v>
      </c>
      <c r="AU73" s="22">
        <v>0.35668899999999998</v>
      </c>
      <c r="AV73">
        <f t="shared" si="8"/>
        <v>-46.8262</v>
      </c>
      <c r="AW73">
        <f t="shared" si="9"/>
        <v>-67.092579360000002</v>
      </c>
      <c r="AX73" s="9"/>
      <c r="AY73" s="22">
        <v>0.21728500000000001</v>
      </c>
      <c r="AZ73" s="22">
        <v>189.87200000000001</v>
      </c>
      <c r="BA73" s="22">
        <v>-1.8154900000000002E-2</v>
      </c>
      <c r="BB73" s="22">
        <v>63</v>
      </c>
      <c r="BC73" s="22">
        <v>0.21737699999999999</v>
      </c>
      <c r="BD73">
        <f t="shared" si="10"/>
        <v>18.154900000000001</v>
      </c>
      <c r="BE73">
        <f t="shared" si="11"/>
        <v>3.9447874465000003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34.889400000000002</v>
      </c>
      <c r="I74" s="22">
        <v>4.6792599999999997E-2</v>
      </c>
      <c r="J74" s="22">
        <v>64</v>
      </c>
      <c r="K74" s="22">
        <v>0.34854099999999999</v>
      </c>
      <c r="L74">
        <f t="shared" si="0"/>
        <v>-46.7926</v>
      </c>
      <c r="M74">
        <f t="shared" si="1"/>
        <v>-66.808602575999998</v>
      </c>
      <c r="N74" s="9"/>
      <c r="O74" s="22">
        <v>0.22232099999999999</v>
      </c>
      <c r="P74" s="22">
        <v>69.198599999999999</v>
      </c>
      <c r="Q74" s="22">
        <v>-1.8374600000000001E-2</v>
      </c>
      <c r="R74" s="22">
        <v>64</v>
      </c>
      <c r="S74" s="22">
        <v>0.22219800000000001</v>
      </c>
      <c r="T74">
        <f t="shared" si="2"/>
        <v>18.374600000000001</v>
      </c>
      <c r="U74">
        <f t="shared" si="3"/>
        <v>4.0850594465999999</v>
      </c>
      <c r="X74" s="9"/>
      <c r="Y74" s="22">
        <v>1.4277599999999999</v>
      </c>
      <c r="Z74" s="22">
        <v>103.405</v>
      </c>
      <c r="AA74" s="22">
        <v>-1.7953500000000001E-2</v>
      </c>
      <c r="AB74" s="22">
        <v>64</v>
      </c>
      <c r="AC74" s="22">
        <v>1.42639</v>
      </c>
      <c r="AD74">
        <f t="shared" si="4"/>
        <v>17.953500000000002</v>
      </c>
      <c r="AE74">
        <f t="shared" si="5"/>
        <v>25.63328916</v>
      </c>
      <c r="AF74" s="9"/>
      <c r="AG74" s="22">
        <v>0.22232099999999999</v>
      </c>
      <c r="AH74" s="22">
        <v>121.226</v>
      </c>
      <c r="AI74" s="22">
        <v>-1.8606600000000001E-2</v>
      </c>
      <c r="AJ74" s="22">
        <v>64</v>
      </c>
      <c r="AK74" s="22">
        <v>0.22189300000000001</v>
      </c>
      <c r="AL74">
        <f t="shared" si="6"/>
        <v>18.6066</v>
      </c>
      <c r="AM74">
        <f t="shared" si="7"/>
        <v>4.1366379186</v>
      </c>
      <c r="AP74" s="9"/>
      <c r="AQ74" s="22">
        <v>1.4277599999999999</v>
      </c>
      <c r="AR74" s="22">
        <v>155.495</v>
      </c>
      <c r="AS74" s="22">
        <v>4.6823099999999999E-2</v>
      </c>
      <c r="AT74" s="22">
        <v>64</v>
      </c>
      <c r="AU74" s="22">
        <v>0.35458400000000001</v>
      </c>
      <c r="AV74">
        <f t="shared" si="8"/>
        <v>-46.823099999999997</v>
      </c>
      <c r="AW74">
        <f t="shared" si="9"/>
        <v>-66.85214925599999</v>
      </c>
      <c r="AX74" s="9"/>
      <c r="AY74" s="22">
        <v>0.22232099999999999</v>
      </c>
      <c r="AZ74" s="22">
        <v>189.88200000000001</v>
      </c>
      <c r="BA74" s="22">
        <v>-1.8161E-2</v>
      </c>
      <c r="BB74" s="22">
        <v>64</v>
      </c>
      <c r="BC74" s="22">
        <v>0.219666</v>
      </c>
      <c r="BD74">
        <f t="shared" si="10"/>
        <v>18.161000000000001</v>
      </c>
      <c r="BE74">
        <f t="shared" si="11"/>
        <v>4.0375716810000002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34.899500000000003</v>
      </c>
      <c r="I75" s="22">
        <v>4.6795700000000003E-2</v>
      </c>
      <c r="J75" s="22">
        <v>65</v>
      </c>
      <c r="K75" s="22">
        <v>0.34881600000000001</v>
      </c>
      <c r="L75">
        <f t="shared" si="0"/>
        <v>-46.795700000000004</v>
      </c>
      <c r="M75">
        <f t="shared" si="1"/>
        <v>-66.577646261000012</v>
      </c>
      <c r="N75" s="9"/>
      <c r="O75" s="22">
        <v>0.227356</v>
      </c>
      <c r="P75" s="22">
        <v>69.208600000000004</v>
      </c>
      <c r="Q75" s="22">
        <v>-1.8368499999999999E-2</v>
      </c>
      <c r="R75" s="22">
        <v>65</v>
      </c>
      <c r="S75" s="22">
        <v>0.22711200000000001</v>
      </c>
      <c r="T75">
        <f t="shared" si="2"/>
        <v>18.368500000000001</v>
      </c>
      <c r="U75">
        <f t="shared" si="3"/>
        <v>4.1761886860000006</v>
      </c>
      <c r="X75" s="9"/>
      <c r="Y75" s="22">
        <v>1.4227300000000001</v>
      </c>
      <c r="Z75" s="22">
        <v>103.41500000000001</v>
      </c>
      <c r="AA75" s="22">
        <v>-1.7959599999999999E-2</v>
      </c>
      <c r="AB75" s="22">
        <v>65</v>
      </c>
      <c r="AC75" s="22">
        <v>1.4227300000000001</v>
      </c>
      <c r="AD75">
        <f t="shared" si="4"/>
        <v>17.959599999999998</v>
      </c>
      <c r="AE75">
        <f t="shared" si="5"/>
        <v>25.551661707999997</v>
      </c>
      <c r="AF75" s="9"/>
      <c r="AG75" s="22">
        <v>0.227356</v>
      </c>
      <c r="AH75" s="22">
        <v>121.236</v>
      </c>
      <c r="AI75" s="22">
        <v>-1.8603499999999999E-2</v>
      </c>
      <c r="AJ75" s="22">
        <v>65</v>
      </c>
      <c r="AK75" s="22">
        <v>0.22650100000000001</v>
      </c>
      <c r="AL75">
        <f t="shared" si="6"/>
        <v>18.603499999999997</v>
      </c>
      <c r="AM75">
        <f t="shared" si="7"/>
        <v>4.2296173459999995</v>
      </c>
      <c r="AP75" s="9"/>
      <c r="AQ75" s="22">
        <v>1.4227300000000001</v>
      </c>
      <c r="AR75" s="22">
        <v>155.505</v>
      </c>
      <c r="AS75" s="22">
        <v>4.6820100000000003E-2</v>
      </c>
      <c r="AT75" s="22">
        <v>65</v>
      </c>
      <c r="AU75" s="22">
        <v>0.35690300000000003</v>
      </c>
      <c r="AV75">
        <f t="shared" si="8"/>
        <v>-46.820100000000004</v>
      </c>
      <c r="AW75">
        <f t="shared" si="9"/>
        <v>-66.612360873000014</v>
      </c>
      <c r="AX75" s="9"/>
      <c r="AY75" s="22">
        <v>0.227356</v>
      </c>
      <c r="AZ75" s="22">
        <v>189.892</v>
      </c>
      <c r="BA75" s="22">
        <v>-1.8158000000000001E-2</v>
      </c>
      <c r="BB75" s="22">
        <v>65</v>
      </c>
      <c r="BC75" s="22">
        <v>0.22683700000000001</v>
      </c>
      <c r="BD75">
        <f t="shared" si="10"/>
        <v>18.158000000000001</v>
      </c>
      <c r="BE75">
        <f t="shared" si="11"/>
        <v>4.1283302480000001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34.909500000000001</v>
      </c>
      <c r="I76" s="22">
        <v>4.6786500000000002E-2</v>
      </c>
      <c r="J76" s="22">
        <v>66</v>
      </c>
      <c r="K76" s="22">
        <v>0.34307900000000002</v>
      </c>
      <c r="L76">
        <f t="shared" ref="L76:L139" si="12">-I76/$F$2*1000</f>
        <v>-46.786500000000004</v>
      </c>
      <c r="M76">
        <f t="shared" ref="M76:M139" si="13">L76*G76</f>
        <v>-66.328753184999997</v>
      </c>
      <c r="N76" s="9"/>
      <c r="O76" s="22">
        <v>0.23239099999999999</v>
      </c>
      <c r="P76" s="22">
        <v>69.218699999999998</v>
      </c>
      <c r="Q76" s="22">
        <v>-1.8356299999999999E-2</v>
      </c>
      <c r="R76" s="22">
        <v>66</v>
      </c>
      <c r="S76" s="22">
        <v>0.23150599999999999</v>
      </c>
      <c r="T76">
        <f t="shared" ref="T76:T139" si="14">-Q76/$F$2*1000</f>
        <v>18.356299999999997</v>
      </c>
      <c r="U76">
        <f t="shared" ref="U76:U139" si="15">T76*O76</f>
        <v>4.2658389132999988</v>
      </c>
      <c r="X76" s="9"/>
      <c r="Y76" s="22">
        <v>1.4176899999999999</v>
      </c>
      <c r="Z76" s="22">
        <v>103.425</v>
      </c>
      <c r="AA76" s="22">
        <v>-1.7965700000000001E-2</v>
      </c>
      <c r="AB76" s="22">
        <v>66</v>
      </c>
      <c r="AC76" s="22">
        <v>1.41754</v>
      </c>
      <c r="AD76">
        <f t="shared" ref="AD76:AD139" si="16">-AA76/$F$2*1000</f>
        <v>17.965700000000002</v>
      </c>
      <c r="AE76">
        <f t="shared" ref="AE76:AE139" si="17">AD76*Y76</f>
        <v>25.469793233000001</v>
      </c>
      <c r="AF76" s="9"/>
      <c r="AG76" s="22">
        <v>0.23239099999999999</v>
      </c>
      <c r="AH76" s="22">
        <v>121.246</v>
      </c>
      <c r="AI76" s="22">
        <v>-1.8603499999999999E-2</v>
      </c>
      <c r="AJ76" s="22">
        <v>66</v>
      </c>
      <c r="AK76" s="22">
        <v>0.231598</v>
      </c>
      <c r="AL76">
        <f t="shared" ref="AL76:AL139" si="18">-AI76/$F$2*1000</f>
        <v>18.603499999999997</v>
      </c>
      <c r="AM76">
        <f t="shared" ref="AM76:AM139" si="19">AL76*AG76</f>
        <v>4.3232859684999987</v>
      </c>
      <c r="AP76" s="9"/>
      <c r="AQ76" s="22">
        <v>1.4176899999999999</v>
      </c>
      <c r="AR76" s="22">
        <v>155.51499999999999</v>
      </c>
      <c r="AS76" s="22">
        <v>4.6804800000000001E-2</v>
      </c>
      <c r="AT76" s="22">
        <v>66</v>
      </c>
      <c r="AU76" s="22">
        <v>0.35913099999999998</v>
      </c>
      <c r="AV76">
        <f t="shared" ref="AV76:AV139" si="20">-AS76/$F$2*1000</f>
        <v>-46.8048</v>
      </c>
      <c r="AW76">
        <f t="shared" ref="AW76:AW139" si="21">AV76*AQ76</f>
        <v>-66.354696911999994</v>
      </c>
      <c r="AX76" s="9"/>
      <c r="AY76" s="22">
        <v>0.23239099999999999</v>
      </c>
      <c r="AZ76" s="22">
        <v>189.90199999999999</v>
      </c>
      <c r="BA76" s="22">
        <v>-1.8167099999999999E-2</v>
      </c>
      <c r="BB76" s="22">
        <v>66</v>
      </c>
      <c r="BC76" s="22">
        <v>0.231873</v>
      </c>
      <c r="BD76">
        <f t="shared" ref="BD76:BD139" si="22">-BA76/$F$2*1000</f>
        <v>18.167099999999998</v>
      </c>
      <c r="BE76">
        <f t="shared" ref="BE76:BE139" si="23">BD76*AY76</f>
        <v>4.2218705360999991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34.919600000000003</v>
      </c>
      <c r="I77" s="22">
        <v>4.6768200000000003E-2</v>
      </c>
      <c r="J77" s="22">
        <v>67</v>
      </c>
      <c r="K77" s="22">
        <v>0.35003699999999999</v>
      </c>
      <c r="L77">
        <f t="shared" si="12"/>
        <v>-46.7682</v>
      </c>
      <c r="M77">
        <f t="shared" si="13"/>
        <v>-66.067565412000008</v>
      </c>
      <c r="N77" s="9"/>
      <c r="O77" s="22">
        <v>0.237427</v>
      </c>
      <c r="P77" s="22">
        <v>69.228800000000007</v>
      </c>
      <c r="Q77" s="22">
        <v>-1.8356299999999999E-2</v>
      </c>
      <c r="R77" s="22">
        <v>67</v>
      </c>
      <c r="S77" s="22">
        <v>0.23736599999999999</v>
      </c>
      <c r="T77">
        <f t="shared" si="14"/>
        <v>18.356299999999997</v>
      </c>
      <c r="U77">
        <f t="shared" si="15"/>
        <v>4.3582812400999993</v>
      </c>
      <c r="X77" s="9"/>
      <c r="Y77" s="22">
        <v>1.41266</v>
      </c>
      <c r="Z77" s="22">
        <v>103.435</v>
      </c>
      <c r="AA77" s="22">
        <v>-1.7974899999999999E-2</v>
      </c>
      <c r="AB77" s="22">
        <v>67</v>
      </c>
      <c r="AC77" s="22">
        <v>1.41174</v>
      </c>
      <c r="AD77">
        <f t="shared" si="16"/>
        <v>17.974899999999998</v>
      </c>
      <c r="AE77">
        <f t="shared" si="17"/>
        <v>25.392422233999998</v>
      </c>
      <c r="AF77" s="9"/>
      <c r="AG77" s="22">
        <v>0.237427</v>
      </c>
      <c r="AH77" s="22">
        <v>121.256</v>
      </c>
      <c r="AI77" s="22">
        <v>-1.8600499999999999E-2</v>
      </c>
      <c r="AJ77" s="22">
        <v>67</v>
      </c>
      <c r="AK77" s="22">
        <v>0.23754900000000001</v>
      </c>
      <c r="AL77">
        <f t="shared" si="18"/>
        <v>18.6005</v>
      </c>
      <c r="AM77">
        <f t="shared" si="19"/>
        <v>4.4162609135000004</v>
      </c>
      <c r="AP77" s="9"/>
      <c r="AQ77" s="22">
        <v>1.41266</v>
      </c>
      <c r="AR77" s="22">
        <v>155.52500000000001</v>
      </c>
      <c r="AS77" s="22">
        <v>4.6804800000000001E-2</v>
      </c>
      <c r="AT77" s="22">
        <v>67</v>
      </c>
      <c r="AU77" s="22">
        <v>0.36175499999999999</v>
      </c>
      <c r="AV77">
        <f t="shared" si="20"/>
        <v>-46.8048</v>
      </c>
      <c r="AW77">
        <f t="shared" si="21"/>
        <v>-66.119268767999998</v>
      </c>
      <c r="AX77" s="9"/>
      <c r="AY77" s="22">
        <v>0.237427</v>
      </c>
      <c r="AZ77" s="22">
        <v>189.91200000000001</v>
      </c>
      <c r="BA77" s="22">
        <v>-1.8167099999999999E-2</v>
      </c>
      <c r="BB77" s="22">
        <v>67</v>
      </c>
      <c r="BC77" s="22">
        <v>0.23230000000000001</v>
      </c>
      <c r="BD77">
        <f t="shared" si="22"/>
        <v>18.167099999999998</v>
      </c>
      <c r="BE77">
        <f t="shared" si="23"/>
        <v>4.3133600516999993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34.929699999999997</v>
      </c>
      <c r="I78" s="22">
        <v>4.6762100000000001E-2</v>
      </c>
      <c r="J78" s="22">
        <v>68</v>
      </c>
      <c r="K78" s="22">
        <v>0.347443</v>
      </c>
      <c r="L78">
        <f t="shared" si="12"/>
        <v>-46.762100000000004</v>
      </c>
      <c r="M78">
        <f t="shared" si="13"/>
        <v>-65.823267202000011</v>
      </c>
      <c r="N78" s="9"/>
      <c r="O78" s="22">
        <v>0.24246200000000001</v>
      </c>
      <c r="P78" s="22">
        <v>69.238799999999998</v>
      </c>
      <c r="Q78" s="22">
        <v>-1.8344099999999999E-2</v>
      </c>
      <c r="R78" s="22">
        <v>68</v>
      </c>
      <c r="S78" s="22">
        <v>0.242645</v>
      </c>
      <c r="T78">
        <f t="shared" si="14"/>
        <v>18.344099999999997</v>
      </c>
      <c r="U78">
        <f t="shared" si="15"/>
        <v>4.4477471741999999</v>
      </c>
      <c r="X78" s="9"/>
      <c r="Y78" s="22">
        <v>1.4076200000000001</v>
      </c>
      <c r="Z78" s="22">
        <v>103.44499999999999</v>
      </c>
      <c r="AA78" s="22">
        <v>-1.7977900000000002E-2</v>
      </c>
      <c r="AB78" s="22">
        <v>68</v>
      </c>
      <c r="AC78" s="22">
        <v>1.40594</v>
      </c>
      <c r="AD78">
        <f t="shared" si="16"/>
        <v>17.977900000000002</v>
      </c>
      <c r="AE78">
        <f t="shared" si="17"/>
        <v>25.306051598000003</v>
      </c>
      <c r="AF78" s="9"/>
      <c r="AG78" s="22">
        <v>0.24246200000000001</v>
      </c>
      <c r="AH78" s="22">
        <v>121.26600000000001</v>
      </c>
      <c r="AI78" s="22">
        <v>-1.8600499999999999E-2</v>
      </c>
      <c r="AJ78" s="22">
        <v>68</v>
      </c>
      <c r="AK78" s="22">
        <v>0.24194299999999999</v>
      </c>
      <c r="AL78">
        <f t="shared" si="18"/>
        <v>18.6005</v>
      </c>
      <c r="AM78">
        <f t="shared" si="19"/>
        <v>4.5099144310000003</v>
      </c>
      <c r="AP78" s="9"/>
      <c r="AQ78" s="22">
        <v>1.4076200000000001</v>
      </c>
      <c r="AR78" s="22">
        <v>155.535</v>
      </c>
      <c r="AS78" s="22">
        <v>4.6801799999999998E-2</v>
      </c>
      <c r="AT78" s="22">
        <v>68</v>
      </c>
      <c r="AU78" s="22">
        <v>0.35845900000000003</v>
      </c>
      <c r="AV78">
        <f t="shared" si="20"/>
        <v>-46.8018</v>
      </c>
      <c r="AW78">
        <f t="shared" si="21"/>
        <v>-65.879149716000001</v>
      </c>
      <c r="AX78" s="9"/>
      <c r="AY78" s="22">
        <v>0.24246200000000001</v>
      </c>
      <c r="AZ78" s="22">
        <v>189.922</v>
      </c>
      <c r="BA78" s="22">
        <v>-1.8161E-2</v>
      </c>
      <c r="BB78" s="22">
        <v>68</v>
      </c>
      <c r="BC78" s="22">
        <v>0.245361</v>
      </c>
      <c r="BD78">
        <f t="shared" si="22"/>
        <v>18.161000000000001</v>
      </c>
      <c r="BE78">
        <f t="shared" si="23"/>
        <v>4.4033523820000005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34.939799999999998</v>
      </c>
      <c r="I79" s="22">
        <v>4.67529E-2</v>
      </c>
      <c r="J79" s="22">
        <v>69</v>
      </c>
      <c r="K79" s="22">
        <v>0.347412</v>
      </c>
      <c r="L79">
        <f t="shared" si="12"/>
        <v>-46.752899999999997</v>
      </c>
      <c r="M79">
        <f t="shared" si="13"/>
        <v>-65.575150010999991</v>
      </c>
      <c r="N79" s="9"/>
      <c r="O79" s="22">
        <v>0.247498</v>
      </c>
      <c r="P79" s="22">
        <v>69.248900000000006</v>
      </c>
      <c r="Q79" s="22">
        <v>-1.8344099999999999E-2</v>
      </c>
      <c r="R79" s="22">
        <v>69</v>
      </c>
      <c r="S79" s="22">
        <v>0.246368</v>
      </c>
      <c r="T79">
        <f t="shared" si="14"/>
        <v>18.344099999999997</v>
      </c>
      <c r="U79">
        <f t="shared" si="15"/>
        <v>4.5401280617999991</v>
      </c>
      <c r="X79" s="9"/>
      <c r="Y79" s="22">
        <v>1.40259</v>
      </c>
      <c r="Z79" s="22">
        <v>103.455</v>
      </c>
      <c r="AA79" s="22">
        <v>-1.7984E-2</v>
      </c>
      <c r="AB79" s="22">
        <v>69</v>
      </c>
      <c r="AC79" s="22">
        <v>1.40137</v>
      </c>
      <c r="AD79">
        <f t="shared" si="16"/>
        <v>17.984000000000002</v>
      </c>
      <c r="AE79">
        <f t="shared" si="17"/>
        <v>25.224178560000002</v>
      </c>
      <c r="AF79" s="9"/>
      <c r="AG79" s="22">
        <v>0.247498</v>
      </c>
      <c r="AH79" s="22">
        <v>121.276</v>
      </c>
      <c r="AI79" s="22">
        <v>-1.85974E-2</v>
      </c>
      <c r="AJ79" s="22">
        <v>69</v>
      </c>
      <c r="AK79" s="22">
        <v>0.24652099999999999</v>
      </c>
      <c r="AL79">
        <f t="shared" si="18"/>
        <v>18.5974</v>
      </c>
      <c r="AM79">
        <f t="shared" si="19"/>
        <v>4.6028193051999997</v>
      </c>
      <c r="AP79" s="9"/>
      <c r="AQ79" s="22">
        <v>1.40259</v>
      </c>
      <c r="AR79" s="22">
        <v>155.54499999999999</v>
      </c>
      <c r="AS79" s="22">
        <v>4.6798699999999999E-2</v>
      </c>
      <c r="AT79" s="22">
        <v>69</v>
      </c>
      <c r="AU79" s="22">
        <v>0.36734</v>
      </c>
      <c r="AV79">
        <f t="shared" si="20"/>
        <v>-46.798699999999997</v>
      </c>
      <c r="AW79">
        <f t="shared" si="21"/>
        <v>-65.639388632999996</v>
      </c>
      <c r="AX79" s="9"/>
      <c r="AY79" s="22">
        <v>0.247498</v>
      </c>
      <c r="AZ79" s="22">
        <v>189.93199999999999</v>
      </c>
      <c r="BA79" s="22">
        <v>-1.81732E-2</v>
      </c>
      <c r="BB79" s="22">
        <v>69</v>
      </c>
      <c r="BC79" s="22">
        <v>0.24365200000000001</v>
      </c>
      <c r="BD79">
        <f t="shared" si="22"/>
        <v>18.173200000000001</v>
      </c>
      <c r="BE79">
        <f t="shared" si="23"/>
        <v>4.4978306536000003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34.949800000000003</v>
      </c>
      <c r="I80" s="22">
        <v>4.6740700000000003E-2</v>
      </c>
      <c r="J80" s="22">
        <v>70</v>
      </c>
      <c r="K80" s="22">
        <v>0.35293600000000003</v>
      </c>
      <c r="L80">
        <f t="shared" si="12"/>
        <v>-46.740700000000004</v>
      </c>
      <c r="M80">
        <f t="shared" si="13"/>
        <v>-65.322465285000007</v>
      </c>
      <c r="N80" s="9"/>
      <c r="O80" s="22">
        <v>0.25253300000000001</v>
      </c>
      <c r="P80" s="22">
        <v>69.259</v>
      </c>
      <c r="Q80" s="22">
        <v>-1.8344099999999999E-2</v>
      </c>
      <c r="R80" s="22">
        <v>70</v>
      </c>
      <c r="S80" s="22">
        <v>0.251801</v>
      </c>
      <c r="T80">
        <f t="shared" si="14"/>
        <v>18.344099999999997</v>
      </c>
      <c r="U80">
        <f t="shared" si="15"/>
        <v>4.6324906052999992</v>
      </c>
      <c r="X80" s="9"/>
      <c r="Y80" s="22">
        <v>1.3975500000000001</v>
      </c>
      <c r="Z80" s="22">
        <v>103.465</v>
      </c>
      <c r="AA80" s="22">
        <v>-1.7987099999999999E-2</v>
      </c>
      <c r="AB80" s="22">
        <v>70</v>
      </c>
      <c r="AC80" s="22">
        <v>1.39679</v>
      </c>
      <c r="AD80">
        <f t="shared" si="16"/>
        <v>17.987099999999998</v>
      </c>
      <c r="AE80">
        <f t="shared" si="17"/>
        <v>25.137871604999997</v>
      </c>
      <c r="AF80" s="9"/>
      <c r="AG80" s="22">
        <v>0.25253300000000001</v>
      </c>
      <c r="AH80" s="22">
        <v>121.286</v>
      </c>
      <c r="AI80" s="22">
        <v>-1.8594400000000001E-2</v>
      </c>
      <c r="AJ80" s="22">
        <v>70</v>
      </c>
      <c r="AK80" s="22">
        <v>0.25216699999999997</v>
      </c>
      <c r="AL80">
        <f t="shared" si="18"/>
        <v>18.5944</v>
      </c>
      <c r="AM80">
        <f t="shared" si="19"/>
        <v>4.6956996152000006</v>
      </c>
      <c r="AP80" s="9"/>
      <c r="AQ80" s="22">
        <v>1.3975500000000001</v>
      </c>
      <c r="AR80" s="22">
        <v>155.55500000000001</v>
      </c>
      <c r="AS80" s="22">
        <v>4.6792599999999997E-2</v>
      </c>
      <c r="AT80" s="22">
        <v>70</v>
      </c>
      <c r="AU80" s="22">
        <v>0.36599700000000002</v>
      </c>
      <c r="AV80">
        <f t="shared" si="20"/>
        <v>-46.7926</v>
      </c>
      <c r="AW80">
        <f t="shared" si="21"/>
        <v>-65.394998130000005</v>
      </c>
      <c r="AX80" s="9"/>
      <c r="AY80" s="22">
        <v>0.25253300000000001</v>
      </c>
      <c r="AZ80" s="22">
        <v>189.94200000000001</v>
      </c>
      <c r="BA80" s="22">
        <v>-1.8167099999999999E-2</v>
      </c>
      <c r="BB80" s="22">
        <v>70</v>
      </c>
      <c r="BC80" s="22">
        <v>0.242004</v>
      </c>
      <c r="BD80">
        <f t="shared" si="22"/>
        <v>18.167099999999998</v>
      </c>
      <c r="BE80">
        <f t="shared" si="23"/>
        <v>4.5877922643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34.959899999999998</v>
      </c>
      <c r="I81" s="22">
        <v>4.6734600000000001E-2</v>
      </c>
      <c r="J81" s="22">
        <v>71</v>
      </c>
      <c r="K81" s="22">
        <v>0.35311900000000002</v>
      </c>
      <c r="L81">
        <f t="shared" si="12"/>
        <v>-46.7346</v>
      </c>
      <c r="M81">
        <f t="shared" si="13"/>
        <v>-65.078865191999995</v>
      </c>
      <c r="N81" s="9"/>
      <c r="O81" s="22">
        <v>0.25756800000000002</v>
      </c>
      <c r="P81" s="22">
        <v>69.269099999999995</v>
      </c>
      <c r="Q81" s="22">
        <v>-1.8341099999999999E-2</v>
      </c>
      <c r="R81" s="22">
        <v>71</v>
      </c>
      <c r="S81" s="22">
        <v>0.25756800000000002</v>
      </c>
      <c r="T81">
        <f t="shared" si="14"/>
        <v>18.341099999999997</v>
      </c>
      <c r="U81">
        <f t="shared" si="15"/>
        <v>4.7240804447999993</v>
      </c>
      <c r="X81" s="9"/>
      <c r="Y81" s="22">
        <v>1.39252</v>
      </c>
      <c r="Z81" s="22">
        <v>103.47499999999999</v>
      </c>
      <c r="AA81" s="22">
        <v>-1.7993200000000001E-2</v>
      </c>
      <c r="AB81" s="22">
        <v>71</v>
      </c>
      <c r="AC81" s="22">
        <v>1.3915999999999999</v>
      </c>
      <c r="AD81">
        <f t="shared" si="16"/>
        <v>17.993200000000002</v>
      </c>
      <c r="AE81">
        <f t="shared" si="17"/>
        <v>25.055890864000002</v>
      </c>
      <c r="AF81" s="9"/>
      <c r="AG81" s="22">
        <v>0.25756800000000002</v>
      </c>
      <c r="AH81" s="22">
        <v>121.29600000000001</v>
      </c>
      <c r="AI81" s="22">
        <v>-1.8594400000000001E-2</v>
      </c>
      <c r="AJ81" s="22">
        <v>71</v>
      </c>
      <c r="AK81" s="22">
        <v>0.256409</v>
      </c>
      <c r="AL81">
        <f t="shared" si="18"/>
        <v>18.5944</v>
      </c>
      <c r="AM81">
        <f t="shared" si="19"/>
        <v>4.7893224192000003</v>
      </c>
      <c r="AP81" s="9"/>
      <c r="AQ81" s="22">
        <v>1.39252</v>
      </c>
      <c r="AR81" s="22">
        <v>155.565</v>
      </c>
      <c r="AS81" s="22">
        <v>4.6789600000000001E-2</v>
      </c>
      <c r="AT81" s="22">
        <v>71</v>
      </c>
      <c r="AU81" s="22">
        <v>0.36419699999999999</v>
      </c>
      <c r="AV81">
        <f t="shared" si="20"/>
        <v>-46.7896</v>
      </c>
      <c r="AW81">
        <f t="shared" si="21"/>
        <v>-65.155453792000003</v>
      </c>
      <c r="AX81" s="9"/>
      <c r="AY81" s="22">
        <v>0.25756800000000002</v>
      </c>
      <c r="AZ81" s="22">
        <v>189.952</v>
      </c>
      <c r="BA81" s="22">
        <v>-1.8170200000000001E-2</v>
      </c>
      <c r="BB81" s="22">
        <v>71</v>
      </c>
      <c r="BC81" s="22">
        <v>0.25213600000000003</v>
      </c>
      <c r="BD81">
        <f t="shared" si="22"/>
        <v>18.170200000000001</v>
      </c>
      <c r="BE81">
        <f t="shared" si="23"/>
        <v>4.6800620736000003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34.97</v>
      </c>
      <c r="I82" s="22">
        <v>4.6728499999999999E-2</v>
      </c>
      <c r="J82" s="22">
        <v>72</v>
      </c>
      <c r="K82" s="22">
        <v>0.347443</v>
      </c>
      <c r="L82">
        <f t="shared" si="12"/>
        <v>-46.728499999999997</v>
      </c>
      <c r="M82">
        <f t="shared" si="13"/>
        <v>-64.834859179999995</v>
      </c>
      <c r="N82" s="9"/>
      <c r="O82" s="22">
        <v>0.262604</v>
      </c>
      <c r="P82" s="22">
        <v>69.2791</v>
      </c>
      <c r="Q82" s="22">
        <v>-1.8331900000000002E-2</v>
      </c>
      <c r="R82" s="22">
        <v>72</v>
      </c>
      <c r="S82" s="22">
        <v>0.26214599999999999</v>
      </c>
      <c r="T82">
        <f t="shared" si="14"/>
        <v>18.331900000000001</v>
      </c>
      <c r="U82">
        <f t="shared" si="15"/>
        <v>4.8140302676000006</v>
      </c>
      <c r="X82" s="9"/>
      <c r="Y82" s="22">
        <v>1.38748</v>
      </c>
      <c r="Z82" s="22">
        <v>103.485</v>
      </c>
      <c r="AA82" s="22">
        <v>-1.7999299999999999E-2</v>
      </c>
      <c r="AB82" s="22">
        <v>72</v>
      </c>
      <c r="AC82" s="22">
        <v>1.3855</v>
      </c>
      <c r="AD82">
        <f t="shared" si="16"/>
        <v>17.999299999999998</v>
      </c>
      <c r="AE82">
        <f t="shared" si="17"/>
        <v>24.973668763999999</v>
      </c>
      <c r="AF82" s="9"/>
      <c r="AG82" s="22">
        <v>0.262604</v>
      </c>
      <c r="AH82" s="22">
        <v>121.306</v>
      </c>
      <c r="AI82" s="22">
        <v>-1.8591300000000002E-2</v>
      </c>
      <c r="AJ82" s="22">
        <v>72</v>
      </c>
      <c r="AK82" s="22">
        <v>0.26180999999999999</v>
      </c>
      <c r="AL82">
        <f t="shared" si="18"/>
        <v>18.5913</v>
      </c>
      <c r="AM82">
        <f t="shared" si="19"/>
        <v>4.8821497452000004</v>
      </c>
      <c r="AP82" s="9"/>
      <c r="AQ82" s="22">
        <v>1.38748</v>
      </c>
      <c r="AR82" s="22">
        <v>155.57499999999999</v>
      </c>
      <c r="AS82" s="22">
        <v>4.6786500000000002E-2</v>
      </c>
      <c r="AT82" s="22">
        <v>72</v>
      </c>
      <c r="AU82" s="22">
        <v>0.36319000000000001</v>
      </c>
      <c r="AV82">
        <f t="shared" si="20"/>
        <v>-46.786500000000004</v>
      </c>
      <c r="AW82">
        <f t="shared" si="21"/>
        <v>-64.915333020000006</v>
      </c>
      <c r="AX82" s="9"/>
      <c r="AY82" s="22">
        <v>0.262604</v>
      </c>
      <c r="AZ82" s="22">
        <v>189.96199999999999</v>
      </c>
      <c r="BA82" s="22">
        <v>-1.81732E-2</v>
      </c>
      <c r="BB82" s="22">
        <v>72</v>
      </c>
      <c r="BC82" s="22">
        <v>0.26635700000000001</v>
      </c>
      <c r="BD82">
        <f t="shared" si="22"/>
        <v>18.173200000000001</v>
      </c>
      <c r="BE82">
        <f t="shared" si="23"/>
        <v>4.7723550128000003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34.979999999999997</v>
      </c>
      <c r="I83" s="22">
        <v>4.6716300000000002E-2</v>
      </c>
      <c r="J83" s="22">
        <v>73</v>
      </c>
      <c r="K83" s="22">
        <v>0.34878500000000001</v>
      </c>
      <c r="L83">
        <f t="shared" si="12"/>
        <v>-46.716300000000004</v>
      </c>
      <c r="M83">
        <f t="shared" si="13"/>
        <v>-64.582948935000005</v>
      </c>
      <c r="N83" s="9"/>
      <c r="O83" s="22">
        <v>0.26763900000000002</v>
      </c>
      <c r="P83" s="22">
        <v>69.289199999999994</v>
      </c>
      <c r="Q83" s="22">
        <v>-1.8338E-2</v>
      </c>
      <c r="R83" s="22">
        <v>73</v>
      </c>
      <c r="S83" s="22">
        <v>0.26669300000000001</v>
      </c>
      <c r="T83">
        <f t="shared" si="14"/>
        <v>18.338000000000001</v>
      </c>
      <c r="U83">
        <f t="shared" si="15"/>
        <v>4.9079639820000009</v>
      </c>
      <c r="X83" s="9"/>
      <c r="Y83" s="22">
        <v>1.38245</v>
      </c>
      <c r="Z83" s="22">
        <v>103.495</v>
      </c>
      <c r="AA83" s="22">
        <v>-1.8005400000000001E-2</v>
      </c>
      <c r="AB83" s="22">
        <v>73</v>
      </c>
      <c r="AC83" s="22">
        <v>1.38123</v>
      </c>
      <c r="AD83">
        <f t="shared" si="16"/>
        <v>18.005400000000002</v>
      </c>
      <c r="AE83">
        <f t="shared" si="17"/>
        <v>24.891565230000001</v>
      </c>
      <c r="AF83" s="9"/>
      <c r="AG83" s="22">
        <v>0.26763900000000002</v>
      </c>
      <c r="AH83" s="22">
        <v>121.316</v>
      </c>
      <c r="AI83" s="22">
        <v>-1.8588299999999999E-2</v>
      </c>
      <c r="AJ83" s="22">
        <v>73</v>
      </c>
      <c r="AK83" s="22">
        <v>0.26708999999999999</v>
      </c>
      <c r="AL83">
        <f t="shared" si="18"/>
        <v>18.5883</v>
      </c>
      <c r="AM83">
        <f t="shared" si="19"/>
        <v>4.9749540237000005</v>
      </c>
      <c r="AP83" s="9"/>
      <c r="AQ83" s="22">
        <v>1.38245</v>
      </c>
      <c r="AR83" s="22">
        <v>155.58500000000001</v>
      </c>
      <c r="AS83" s="22">
        <v>4.6777300000000001E-2</v>
      </c>
      <c r="AT83" s="22">
        <v>73</v>
      </c>
      <c r="AU83" s="22">
        <v>0.36233500000000002</v>
      </c>
      <c r="AV83">
        <f t="shared" si="20"/>
        <v>-46.777300000000004</v>
      </c>
      <c r="AW83">
        <f t="shared" si="21"/>
        <v>-64.667278385000003</v>
      </c>
      <c r="AX83" s="9"/>
      <c r="AY83" s="22">
        <v>0.26763900000000002</v>
      </c>
      <c r="AZ83" s="22">
        <v>189.97200000000001</v>
      </c>
      <c r="BA83" s="22">
        <v>-1.8228100000000001E-2</v>
      </c>
      <c r="BB83" s="22">
        <v>73</v>
      </c>
      <c r="BC83" s="22">
        <v>0.25445600000000002</v>
      </c>
      <c r="BD83">
        <f t="shared" si="22"/>
        <v>18.228100000000001</v>
      </c>
      <c r="BE83">
        <f t="shared" si="23"/>
        <v>4.878550455900001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34.990099999999998</v>
      </c>
      <c r="I84" s="22">
        <v>4.6313500000000001E-2</v>
      </c>
      <c r="J84" s="22">
        <v>74</v>
      </c>
      <c r="K84" s="22">
        <v>0.34765600000000002</v>
      </c>
      <c r="L84">
        <f t="shared" si="12"/>
        <v>-46.313499999999998</v>
      </c>
      <c r="M84">
        <f t="shared" si="13"/>
        <v>-63.792678034999994</v>
      </c>
      <c r="N84" s="9"/>
      <c r="O84" s="22">
        <v>0.272675</v>
      </c>
      <c r="P84" s="22">
        <v>69.299300000000002</v>
      </c>
      <c r="Q84" s="22">
        <v>-1.83228E-2</v>
      </c>
      <c r="R84" s="22">
        <v>74</v>
      </c>
      <c r="S84" s="22">
        <v>0.27310200000000001</v>
      </c>
      <c r="T84">
        <f t="shared" si="14"/>
        <v>18.322800000000001</v>
      </c>
      <c r="U84">
        <f t="shared" si="15"/>
        <v>4.9961694900000007</v>
      </c>
      <c r="X84" s="9"/>
      <c r="Y84" s="22">
        <v>1.37741</v>
      </c>
      <c r="Z84" s="22">
        <v>103.505</v>
      </c>
      <c r="AA84" s="22">
        <v>-1.80115E-2</v>
      </c>
      <c r="AB84" s="22">
        <v>74</v>
      </c>
      <c r="AC84" s="22">
        <v>1.3769499999999999</v>
      </c>
      <c r="AD84">
        <f t="shared" si="16"/>
        <v>18.011499999999998</v>
      </c>
      <c r="AE84">
        <f t="shared" si="17"/>
        <v>24.809220214999996</v>
      </c>
      <c r="AF84" s="9"/>
      <c r="AG84" s="22">
        <v>0.272675</v>
      </c>
      <c r="AH84" s="22">
        <v>121.32599999999999</v>
      </c>
      <c r="AI84" s="22">
        <v>-1.8588299999999999E-2</v>
      </c>
      <c r="AJ84" s="22">
        <v>74</v>
      </c>
      <c r="AK84" s="22">
        <v>0.272339</v>
      </c>
      <c r="AL84">
        <f t="shared" si="18"/>
        <v>18.5883</v>
      </c>
      <c r="AM84">
        <f t="shared" si="19"/>
        <v>5.0685647024999998</v>
      </c>
      <c r="AP84" s="9"/>
      <c r="AQ84" s="22">
        <v>1.37741</v>
      </c>
      <c r="AR84" s="22">
        <v>155.595</v>
      </c>
      <c r="AS84" s="22">
        <v>4.67804E-2</v>
      </c>
      <c r="AT84" s="22">
        <v>74</v>
      </c>
      <c r="AU84" s="22">
        <v>0.36434899999999998</v>
      </c>
      <c r="AV84">
        <f t="shared" si="20"/>
        <v>-46.7804</v>
      </c>
      <c r="AW84">
        <f t="shared" si="21"/>
        <v>-64.435790764000004</v>
      </c>
      <c r="AX84" s="9"/>
      <c r="AY84" s="22">
        <v>0.272675</v>
      </c>
      <c r="AZ84" s="22">
        <v>189.983</v>
      </c>
      <c r="BA84" s="22">
        <v>-1.8221999999999999E-2</v>
      </c>
      <c r="BB84" s="22">
        <v>74</v>
      </c>
      <c r="BC84" s="22">
        <v>0.28329500000000002</v>
      </c>
      <c r="BD84">
        <f t="shared" si="22"/>
        <v>18.221999999999998</v>
      </c>
      <c r="BE84">
        <f t="shared" si="23"/>
        <v>4.9686838499999997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35.0002</v>
      </c>
      <c r="I85" s="22">
        <v>4.6179199999999997E-2</v>
      </c>
      <c r="J85" s="22">
        <v>75</v>
      </c>
      <c r="K85" s="22">
        <v>0.35067700000000002</v>
      </c>
      <c r="L85">
        <f t="shared" si="12"/>
        <v>-46.179199999999994</v>
      </c>
      <c r="M85">
        <f t="shared" si="13"/>
        <v>-63.375410495999986</v>
      </c>
      <c r="N85" s="9"/>
      <c r="O85" s="22">
        <v>0.27771000000000001</v>
      </c>
      <c r="P85" s="22">
        <v>69.309299999999993</v>
      </c>
      <c r="Q85" s="22">
        <v>-1.83258E-2</v>
      </c>
      <c r="R85" s="22">
        <v>75</v>
      </c>
      <c r="S85" s="22">
        <v>0.27783200000000002</v>
      </c>
      <c r="T85">
        <f t="shared" si="14"/>
        <v>18.325800000000001</v>
      </c>
      <c r="U85">
        <f t="shared" si="15"/>
        <v>5.0892579180000004</v>
      </c>
      <c r="X85" s="9"/>
      <c r="Y85" s="22">
        <v>1.3723799999999999</v>
      </c>
      <c r="Z85" s="22">
        <v>103.515</v>
      </c>
      <c r="AA85" s="22">
        <v>-1.8017600000000002E-2</v>
      </c>
      <c r="AB85" s="22">
        <v>75</v>
      </c>
      <c r="AC85" s="22">
        <v>1.3711500000000001</v>
      </c>
      <c r="AD85">
        <f t="shared" si="16"/>
        <v>18.017600000000002</v>
      </c>
      <c r="AE85">
        <f t="shared" si="17"/>
        <v>24.726993888000003</v>
      </c>
      <c r="AF85" s="9"/>
      <c r="AG85" s="22">
        <v>0.27771000000000001</v>
      </c>
      <c r="AH85" s="22">
        <v>121.336</v>
      </c>
      <c r="AI85" s="22">
        <v>-1.85852E-2</v>
      </c>
      <c r="AJ85" s="22">
        <v>75</v>
      </c>
      <c r="AK85" s="22">
        <v>0.27667199999999997</v>
      </c>
      <c r="AL85">
        <f t="shared" si="18"/>
        <v>18.5852</v>
      </c>
      <c r="AM85">
        <f t="shared" si="19"/>
        <v>5.1612958920000001</v>
      </c>
      <c r="AP85" s="9"/>
      <c r="AQ85" s="22">
        <v>1.3723799999999999</v>
      </c>
      <c r="AR85" s="22">
        <v>155.60499999999999</v>
      </c>
      <c r="AS85" s="22">
        <v>4.6777300000000001E-2</v>
      </c>
      <c r="AT85" s="22">
        <v>75</v>
      </c>
      <c r="AU85" s="22">
        <v>0.36679099999999998</v>
      </c>
      <c r="AV85">
        <f t="shared" si="20"/>
        <v>-46.777300000000004</v>
      </c>
      <c r="AW85">
        <f t="shared" si="21"/>
        <v>-64.196230974000002</v>
      </c>
      <c r="AX85" s="9"/>
      <c r="AY85" s="22">
        <v>0.27771000000000001</v>
      </c>
      <c r="AZ85" s="22">
        <v>189.99299999999999</v>
      </c>
      <c r="BA85" s="22">
        <v>-1.8182400000000001E-2</v>
      </c>
      <c r="BB85" s="22">
        <v>75</v>
      </c>
      <c r="BC85" s="22">
        <v>0.268951</v>
      </c>
      <c r="BD85">
        <f t="shared" si="22"/>
        <v>18.182400000000001</v>
      </c>
      <c r="BE85">
        <f t="shared" si="23"/>
        <v>5.0494343040000009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35.010300000000001</v>
      </c>
      <c r="I86" s="22">
        <v>4.6551500000000003E-2</v>
      </c>
      <c r="J86" s="22">
        <v>76</v>
      </c>
      <c r="K86" s="22">
        <v>0.34631299999999998</v>
      </c>
      <c r="L86">
        <f t="shared" si="12"/>
        <v>-46.551500000000004</v>
      </c>
      <c r="M86">
        <f t="shared" si="13"/>
        <v>-63.651728010000006</v>
      </c>
      <c r="N86" s="9"/>
      <c r="O86" s="22">
        <v>0.28274500000000002</v>
      </c>
      <c r="P86" s="22">
        <v>69.319400000000002</v>
      </c>
      <c r="Q86" s="22">
        <v>-1.83228E-2</v>
      </c>
      <c r="R86" s="22">
        <v>76</v>
      </c>
      <c r="S86" s="22">
        <v>0.28213500000000002</v>
      </c>
      <c r="T86">
        <f t="shared" si="14"/>
        <v>18.322800000000001</v>
      </c>
      <c r="U86">
        <f t="shared" si="15"/>
        <v>5.1806800860000006</v>
      </c>
      <c r="X86" s="9"/>
      <c r="Y86" s="22">
        <v>1.36734</v>
      </c>
      <c r="Z86" s="22">
        <v>103.526</v>
      </c>
      <c r="AA86" s="22">
        <v>-1.8020600000000001E-2</v>
      </c>
      <c r="AB86" s="22">
        <v>76</v>
      </c>
      <c r="AC86" s="22">
        <v>1.3662700000000001</v>
      </c>
      <c r="AD86">
        <f t="shared" si="16"/>
        <v>18.020600000000002</v>
      </c>
      <c r="AE86">
        <f t="shared" si="17"/>
        <v>24.640287204000003</v>
      </c>
      <c r="AF86" s="9"/>
      <c r="AG86" s="22">
        <v>0.28274500000000002</v>
      </c>
      <c r="AH86" s="22">
        <v>121.346</v>
      </c>
      <c r="AI86" s="22">
        <v>-1.85852E-2</v>
      </c>
      <c r="AJ86" s="22">
        <v>76</v>
      </c>
      <c r="AK86" s="22">
        <v>0.28204299999999999</v>
      </c>
      <c r="AL86">
        <f t="shared" si="18"/>
        <v>18.5852</v>
      </c>
      <c r="AM86">
        <f t="shared" si="19"/>
        <v>5.2548723740000005</v>
      </c>
      <c r="AP86" s="9"/>
      <c r="AQ86" s="22">
        <v>1.36734</v>
      </c>
      <c r="AR86" s="22">
        <v>155.61600000000001</v>
      </c>
      <c r="AS86" s="22">
        <v>4.6774299999999998E-2</v>
      </c>
      <c r="AT86" s="22">
        <v>76</v>
      </c>
      <c r="AU86" s="22">
        <v>0.368927</v>
      </c>
      <c r="AV86">
        <f t="shared" si="20"/>
        <v>-46.774299999999997</v>
      </c>
      <c r="AW86">
        <f t="shared" si="21"/>
        <v>-63.956371361999999</v>
      </c>
      <c r="AX86" s="9"/>
      <c r="AY86" s="22">
        <v>0.28274500000000002</v>
      </c>
      <c r="AZ86" s="22">
        <v>190.00299999999999</v>
      </c>
      <c r="BA86" s="22">
        <v>-1.8179299999999999E-2</v>
      </c>
      <c r="BB86" s="22">
        <v>76</v>
      </c>
      <c r="BC86" s="22">
        <v>0.28161599999999998</v>
      </c>
      <c r="BD86">
        <f t="shared" si="22"/>
        <v>18.179299999999998</v>
      </c>
      <c r="BE86">
        <f t="shared" si="23"/>
        <v>5.1401061785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35.020299999999999</v>
      </c>
      <c r="I87" s="22">
        <v>4.62616E-2</v>
      </c>
      <c r="J87" s="22">
        <v>77</v>
      </c>
      <c r="K87" s="22">
        <v>0.34762599999999999</v>
      </c>
      <c r="L87">
        <f t="shared" si="12"/>
        <v>-46.261600000000001</v>
      </c>
      <c r="M87">
        <f t="shared" si="13"/>
        <v>-63.022177680000006</v>
      </c>
      <c r="N87" s="9"/>
      <c r="O87" s="22">
        <v>0.28778100000000001</v>
      </c>
      <c r="P87" s="22">
        <v>69.329499999999996</v>
      </c>
      <c r="Q87" s="22">
        <v>-1.8331900000000002E-2</v>
      </c>
      <c r="R87" s="22">
        <v>77</v>
      </c>
      <c r="S87" s="22">
        <v>0.287354</v>
      </c>
      <c r="T87">
        <f t="shared" si="14"/>
        <v>18.331900000000001</v>
      </c>
      <c r="U87">
        <f t="shared" si="15"/>
        <v>5.2755725139000003</v>
      </c>
      <c r="X87" s="9"/>
      <c r="Y87" s="22">
        <v>1.3623000000000001</v>
      </c>
      <c r="Z87" s="22">
        <v>103.536</v>
      </c>
      <c r="AA87" s="22">
        <v>-1.80237E-2</v>
      </c>
      <c r="AB87" s="22">
        <v>77</v>
      </c>
      <c r="AC87" s="22">
        <v>1.3616900000000001</v>
      </c>
      <c r="AD87">
        <f t="shared" si="16"/>
        <v>18.023700000000002</v>
      </c>
      <c r="AE87">
        <f t="shared" si="17"/>
        <v>24.553686510000002</v>
      </c>
      <c r="AF87" s="9"/>
      <c r="AG87" s="22">
        <v>0.28778100000000001</v>
      </c>
      <c r="AH87" s="22">
        <v>121.35599999999999</v>
      </c>
      <c r="AI87" s="22">
        <v>-1.85822E-2</v>
      </c>
      <c r="AJ87" s="22">
        <v>77</v>
      </c>
      <c r="AK87" s="22">
        <v>0.28738399999999997</v>
      </c>
      <c r="AL87">
        <f t="shared" si="18"/>
        <v>18.5822</v>
      </c>
      <c r="AM87">
        <f t="shared" si="19"/>
        <v>5.3476040982000006</v>
      </c>
      <c r="AP87" s="9"/>
      <c r="AQ87" s="22">
        <v>1.3623000000000001</v>
      </c>
      <c r="AR87" s="22">
        <v>155.626</v>
      </c>
      <c r="AS87" s="22">
        <v>4.6774299999999998E-2</v>
      </c>
      <c r="AT87" s="22">
        <v>77</v>
      </c>
      <c r="AU87" s="22">
        <v>0.370056</v>
      </c>
      <c r="AV87">
        <f t="shared" si="20"/>
        <v>-46.774299999999997</v>
      </c>
      <c r="AW87">
        <f t="shared" si="21"/>
        <v>-63.72062889</v>
      </c>
      <c r="AX87" s="9"/>
      <c r="AY87" s="22">
        <v>0.28778100000000001</v>
      </c>
      <c r="AZ87" s="22">
        <v>190.01300000000001</v>
      </c>
      <c r="BA87" s="22">
        <v>-1.8209800000000002E-2</v>
      </c>
      <c r="BB87" s="22">
        <v>77</v>
      </c>
      <c r="BC87" s="22">
        <v>0.29940800000000001</v>
      </c>
      <c r="BD87">
        <f t="shared" si="22"/>
        <v>18.209800000000001</v>
      </c>
      <c r="BE87">
        <f t="shared" si="23"/>
        <v>5.2404344538000007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35.0304</v>
      </c>
      <c r="I88" s="22">
        <v>4.6771199999999999E-2</v>
      </c>
      <c r="J88" s="22">
        <v>78</v>
      </c>
      <c r="K88" s="22">
        <v>0.345947</v>
      </c>
      <c r="L88">
        <f t="shared" si="12"/>
        <v>-46.7712</v>
      </c>
      <c r="M88">
        <f t="shared" si="13"/>
        <v>-63.481146623999997</v>
      </c>
      <c r="N88" s="9"/>
      <c r="O88" s="22">
        <v>0.29281600000000002</v>
      </c>
      <c r="P88" s="22">
        <v>69.339500000000001</v>
      </c>
      <c r="Q88" s="22">
        <v>-1.83228E-2</v>
      </c>
      <c r="R88" s="22">
        <v>78</v>
      </c>
      <c r="S88" s="22">
        <v>0.29174800000000001</v>
      </c>
      <c r="T88">
        <f t="shared" si="14"/>
        <v>18.322800000000001</v>
      </c>
      <c r="U88">
        <f t="shared" si="15"/>
        <v>5.3652090048000005</v>
      </c>
      <c r="X88" s="9"/>
      <c r="Y88" s="22">
        <v>1.35727</v>
      </c>
      <c r="Z88" s="22">
        <v>103.54600000000001</v>
      </c>
      <c r="AA88" s="22">
        <v>-1.80267E-2</v>
      </c>
      <c r="AB88" s="22">
        <v>78</v>
      </c>
      <c r="AC88" s="22">
        <v>1.3568100000000001</v>
      </c>
      <c r="AD88">
        <f t="shared" si="16"/>
        <v>18.026699999999998</v>
      </c>
      <c r="AE88">
        <f t="shared" si="17"/>
        <v>24.467099108999996</v>
      </c>
      <c r="AF88" s="9"/>
      <c r="AG88" s="22">
        <v>0.29281600000000002</v>
      </c>
      <c r="AH88" s="22">
        <v>121.367</v>
      </c>
      <c r="AI88" s="22">
        <v>-1.85822E-2</v>
      </c>
      <c r="AJ88" s="22">
        <v>78</v>
      </c>
      <c r="AK88" s="22">
        <v>0.29190100000000002</v>
      </c>
      <c r="AL88">
        <f t="shared" si="18"/>
        <v>18.5822</v>
      </c>
      <c r="AM88">
        <f t="shared" si="19"/>
        <v>5.4411654752</v>
      </c>
      <c r="AP88" s="9"/>
      <c r="AQ88" s="22">
        <v>1.35727</v>
      </c>
      <c r="AR88" s="22">
        <v>155.636</v>
      </c>
      <c r="AS88" s="22">
        <v>4.6771199999999999E-2</v>
      </c>
      <c r="AT88" s="22">
        <v>78</v>
      </c>
      <c r="AU88" s="22">
        <v>0.35836800000000002</v>
      </c>
      <c r="AV88">
        <f t="shared" si="20"/>
        <v>-46.7712</v>
      </c>
      <c r="AW88">
        <f t="shared" si="21"/>
        <v>-63.481146623999997</v>
      </c>
      <c r="AX88" s="9"/>
      <c r="AY88" s="22">
        <v>0.29281600000000002</v>
      </c>
      <c r="AZ88" s="22">
        <v>190.023</v>
      </c>
      <c r="BA88" s="22">
        <v>-1.8185400000000001E-2</v>
      </c>
      <c r="BB88" s="22">
        <v>78</v>
      </c>
      <c r="BC88" s="22">
        <v>0.28683500000000001</v>
      </c>
      <c r="BD88">
        <f t="shared" si="22"/>
        <v>18.185400000000001</v>
      </c>
      <c r="BE88">
        <f t="shared" si="23"/>
        <v>5.3249760864000004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35.040500000000002</v>
      </c>
      <c r="I89" s="22">
        <v>4.6771199999999999E-2</v>
      </c>
      <c r="J89" s="22">
        <v>79</v>
      </c>
      <c r="K89" s="22">
        <v>0.34610000000000002</v>
      </c>
      <c r="L89">
        <f t="shared" si="12"/>
        <v>-46.7712</v>
      </c>
      <c r="M89">
        <f t="shared" si="13"/>
        <v>-63.245419776000006</v>
      </c>
      <c r="N89" s="9"/>
      <c r="O89" s="22">
        <v>0.29785200000000001</v>
      </c>
      <c r="P89" s="22">
        <v>69.349599999999995</v>
      </c>
      <c r="Q89" s="22">
        <v>-1.83258E-2</v>
      </c>
      <c r="R89" s="22">
        <v>79</v>
      </c>
      <c r="S89" s="22">
        <v>0.29635600000000001</v>
      </c>
      <c r="T89">
        <f t="shared" si="14"/>
        <v>18.325800000000001</v>
      </c>
      <c r="U89">
        <f t="shared" si="15"/>
        <v>5.4583761816000003</v>
      </c>
      <c r="X89" s="9"/>
      <c r="Y89" s="22">
        <v>1.35223</v>
      </c>
      <c r="Z89" s="22">
        <v>103.556</v>
      </c>
      <c r="AA89" s="22">
        <v>-1.8029799999999999E-2</v>
      </c>
      <c r="AB89" s="22">
        <v>79</v>
      </c>
      <c r="AC89" s="22">
        <v>1.35101</v>
      </c>
      <c r="AD89">
        <f t="shared" si="16"/>
        <v>18.029799999999998</v>
      </c>
      <c r="AE89">
        <f t="shared" si="17"/>
        <v>24.380436453999998</v>
      </c>
      <c r="AF89" s="9"/>
      <c r="AG89" s="22">
        <v>0.29785200000000001</v>
      </c>
      <c r="AH89" s="22">
        <v>121.377</v>
      </c>
      <c r="AI89" s="22">
        <v>-1.85822E-2</v>
      </c>
      <c r="AJ89" s="22">
        <v>79</v>
      </c>
      <c r="AK89" s="22">
        <v>0.29644799999999999</v>
      </c>
      <c r="AL89">
        <f t="shared" si="18"/>
        <v>18.5822</v>
      </c>
      <c r="AM89">
        <f t="shared" si="19"/>
        <v>5.5347454344000004</v>
      </c>
      <c r="AP89" s="9"/>
      <c r="AQ89" s="22">
        <v>1.35223</v>
      </c>
      <c r="AR89" s="22">
        <v>155.64599999999999</v>
      </c>
      <c r="AS89" s="22">
        <v>4.6771199999999999E-2</v>
      </c>
      <c r="AT89" s="22">
        <v>79</v>
      </c>
      <c r="AU89" s="22">
        <v>0.359375</v>
      </c>
      <c r="AV89">
        <f t="shared" si="20"/>
        <v>-46.7712</v>
      </c>
      <c r="AW89">
        <f t="shared" si="21"/>
        <v>-63.245419776000006</v>
      </c>
      <c r="AX89" s="9"/>
      <c r="AY89" s="22">
        <v>0.29785200000000001</v>
      </c>
      <c r="AZ89" s="22">
        <v>190.03299999999999</v>
      </c>
      <c r="BA89" s="22">
        <v>-1.8191499999999999E-2</v>
      </c>
      <c r="BB89" s="22">
        <v>79</v>
      </c>
      <c r="BC89" s="22">
        <v>0.29470800000000003</v>
      </c>
      <c r="BD89">
        <f t="shared" si="22"/>
        <v>18.191499999999998</v>
      </c>
      <c r="BE89">
        <f t="shared" si="23"/>
        <v>5.4183746579999994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35.0505</v>
      </c>
      <c r="I90" s="22">
        <v>4.6771199999999999E-2</v>
      </c>
      <c r="J90" s="22">
        <v>80</v>
      </c>
      <c r="K90" s="22">
        <v>0.34692400000000001</v>
      </c>
      <c r="L90">
        <f t="shared" si="12"/>
        <v>-46.7712</v>
      </c>
      <c r="M90">
        <f t="shared" si="13"/>
        <v>-63.010160639999995</v>
      </c>
      <c r="N90" s="9"/>
      <c r="O90" s="22">
        <v>0.30288700000000002</v>
      </c>
      <c r="P90" s="22">
        <v>69.359700000000004</v>
      </c>
      <c r="Q90" s="22">
        <v>-1.8319700000000001E-2</v>
      </c>
      <c r="R90" s="22">
        <v>80</v>
      </c>
      <c r="S90" s="22">
        <v>0.30246000000000001</v>
      </c>
      <c r="T90">
        <f t="shared" si="14"/>
        <v>18.319700000000001</v>
      </c>
      <c r="U90">
        <f t="shared" si="15"/>
        <v>5.5487989739000003</v>
      </c>
      <c r="X90" s="9"/>
      <c r="Y90" s="22">
        <v>1.3472</v>
      </c>
      <c r="Z90" s="22">
        <v>103.566</v>
      </c>
      <c r="AA90" s="22">
        <v>-1.8035900000000001E-2</v>
      </c>
      <c r="AB90" s="22">
        <v>80</v>
      </c>
      <c r="AC90" s="22">
        <v>1.34552</v>
      </c>
      <c r="AD90">
        <f t="shared" si="16"/>
        <v>18.035900000000002</v>
      </c>
      <c r="AE90">
        <f t="shared" si="17"/>
        <v>24.297964480000001</v>
      </c>
      <c r="AF90" s="9"/>
      <c r="AG90" s="22">
        <v>0.30288700000000002</v>
      </c>
      <c r="AH90" s="22">
        <v>121.387</v>
      </c>
      <c r="AI90" s="22">
        <v>-1.8579100000000001E-2</v>
      </c>
      <c r="AJ90" s="22">
        <v>80</v>
      </c>
      <c r="AK90" s="22">
        <v>0.30230699999999999</v>
      </c>
      <c r="AL90">
        <f t="shared" si="18"/>
        <v>18.5791</v>
      </c>
      <c r="AM90">
        <f t="shared" si="19"/>
        <v>5.6273678617000007</v>
      </c>
      <c r="AP90" s="9"/>
      <c r="AQ90" s="22">
        <v>1.3472</v>
      </c>
      <c r="AR90" s="22">
        <v>155.65600000000001</v>
      </c>
      <c r="AS90" s="22">
        <v>4.6774299999999998E-2</v>
      </c>
      <c r="AT90" s="22">
        <v>80</v>
      </c>
      <c r="AU90" s="22">
        <v>0.36215199999999997</v>
      </c>
      <c r="AV90">
        <f t="shared" si="20"/>
        <v>-46.774299999999997</v>
      </c>
      <c r="AW90">
        <f t="shared" si="21"/>
        <v>-63.014336959999994</v>
      </c>
      <c r="AX90" s="9"/>
      <c r="AY90" s="22">
        <v>0.30288700000000002</v>
      </c>
      <c r="AZ90" s="22">
        <v>190.04300000000001</v>
      </c>
      <c r="BA90" s="22">
        <v>-1.8176299999999999E-2</v>
      </c>
      <c r="BB90" s="22">
        <v>80</v>
      </c>
      <c r="BC90" s="22">
        <v>0.33316000000000001</v>
      </c>
      <c r="BD90">
        <f t="shared" si="22"/>
        <v>18.176299999999998</v>
      </c>
      <c r="BE90">
        <f t="shared" si="23"/>
        <v>5.5053649780999994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35.060600000000001</v>
      </c>
      <c r="I91" s="22">
        <v>4.6768200000000003E-2</v>
      </c>
      <c r="J91" s="22">
        <v>81</v>
      </c>
      <c r="K91" s="22">
        <v>0.33785999999999999</v>
      </c>
      <c r="L91">
        <f t="shared" si="12"/>
        <v>-46.7682</v>
      </c>
      <c r="M91">
        <f t="shared" si="13"/>
        <v>-62.770407312000003</v>
      </c>
      <c r="N91" s="9"/>
      <c r="O91" s="22">
        <v>0.30792199999999997</v>
      </c>
      <c r="P91" s="22">
        <v>69.369799999999998</v>
      </c>
      <c r="Q91" s="22">
        <v>-1.8328899999999999E-2</v>
      </c>
      <c r="R91" s="22">
        <v>81</v>
      </c>
      <c r="S91" s="22">
        <v>0.30813600000000002</v>
      </c>
      <c r="T91">
        <f t="shared" si="14"/>
        <v>18.328899999999997</v>
      </c>
      <c r="U91">
        <f t="shared" si="15"/>
        <v>5.6438715457999988</v>
      </c>
      <c r="X91" s="9"/>
      <c r="Y91" s="22">
        <v>1.34216</v>
      </c>
      <c r="Z91" s="22">
        <v>103.57599999999999</v>
      </c>
      <c r="AA91" s="22">
        <v>-1.80389E-2</v>
      </c>
      <c r="AB91" s="22">
        <v>81</v>
      </c>
      <c r="AC91" s="22">
        <v>1.3400300000000001</v>
      </c>
      <c r="AD91">
        <f t="shared" si="16"/>
        <v>18.038900000000002</v>
      </c>
      <c r="AE91">
        <f t="shared" si="17"/>
        <v>24.211090024000004</v>
      </c>
      <c r="AF91" s="9"/>
      <c r="AG91" s="22">
        <v>0.30792199999999997</v>
      </c>
      <c r="AH91" s="22">
        <v>121.39700000000001</v>
      </c>
      <c r="AI91" s="22">
        <v>-1.8575999999999999E-2</v>
      </c>
      <c r="AJ91" s="22">
        <v>81</v>
      </c>
      <c r="AK91" s="22">
        <v>0.30746499999999999</v>
      </c>
      <c r="AL91">
        <f t="shared" si="18"/>
        <v>18.576000000000001</v>
      </c>
      <c r="AM91">
        <f t="shared" si="19"/>
        <v>5.719959072</v>
      </c>
      <c r="AP91" s="9"/>
      <c r="AQ91" s="22">
        <v>1.34216</v>
      </c>
      <c r="AR91" s="22">
        <v>155.666</v>
      </c>
      <c r="AS91" s="22">
        <v>4.6768200000000003E-2</v>
      </c>
      <c r="AT91" s="22">
        <v>81</v>
      </c>
      <c r="AU91" s="22">
        <v>0.35858200000000001</v>
      </c>
      <c r="AV91">
        <f t="shared" si="20"/>
        <v>-46.7682</v>
      </c>
      <c r="AW91">
        <f t="shared" si="21"/>
        <v>-62.770407312000003</v>
      </c>
      <c r="AX91" s="9"/>
      <c r="AY91" s="22">
        <v>0.30792199999999997</v>
      </c>
      <c r="AZ91" s="22">
        <v>190.053</v>
      </c>
      <c r="BA91" s="22">
        <v>-1.8167099999999999E-2</v>
      </c>
      <c r="BB91" s="22">
        <v>81</v>
      </c>
      <c r="BC91" s="22">
        <v>0.30590800000000001</v>
      </c>
      <c r="BD91">
        <f t="shared" si="22"/>
        <v>18.167099999999998</v>
      </c>
      <c r="BE91">
        <f t="shared" si="23"/>
        <v>5.5940497661999986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35.070700000000002</v>
      </c>
      <c r="I92" s="22">
        <v>4.6768200000000003E-2</v>
      </c>
      <c r="J92" s="22">
        <v>82</v>
      </c>
      <c r="K92" s="22">
        <v>0.345001</v>
      </c>
      <c r="L92">
        <f t="shared" si="12"/>
        <v>-46.7682</v>
      </c>
      <c r="M92">
        <f t="shared" si="13"/>
        <v>-62.535163265999998</v>
      </c>
      <c r="N92" s="9"/>
      <c r="O92" s="22">
        <v>0.31295800000000001</v>
      </c>
      <c r="P92" s="22">
        <v>69.379800000000003</v>
      </c>
      <c r="Q92" s="22">
        <v>-1.8319700000000001E-2</v>
      </c>
      <c r="R92" s="22">
        <v>82</v>
      </c>
      <c r="S92" s="22">
        <v>0.312836</v>
      </c>
      <c r="T92">
        <f t="shared" si="14"/>
        <v>18.319700000000001</v>
      </c>
      <c r="U92">
        <f t="shared" si="15"/>
        <v>5.7332966726000008</v>
      </c>
      <c r="X92" s="9"/>
      <c r="Y92" s="22">
        <v>1.3371299999999999</v>
      </c>
      <c r="Z92" s="22">
        <v>103.586</v>
      </c>
      <c r="AA92" s="22">
        <v>-1.8041999999999999E-2</v>
      </c>
      <c r="AB92" s="22">
        <v>82</v>
      </c>
      <c r="AC92" s="22">
        <v>1.33606</v>
      </c>
      <c r="AD92">
        <f t="shared" si="16"/>
        <v>18.041999999999998</v>
      </c>
      <c r="AE92">
        <f t="shared" si="17"/>
        <v>24.124499459999996</v>
      </c>
      <c r="AF92" s="9"/>
      <c r="AG92" s="22">
        <v>0.31295800000000001</v>
      </c>
      <c r="AH92" s="22">
        <v>121.407</v>
      </c>
      <c r="AI92" s="22">
        <v>-1.8572999999999999E-2</v>
      </c>
      <c r="AJ92" s="22">
        <v>82</v>
      </c>
      <c r="AK92" s="22">
        <v>0.31213400000000002</v>
      </c>
      <c r="AL92">
        <f t="shared" si="18"/>
        <v>18.573</v>
      </c>
      <c r="AM92">
        <f t="shared" si="19"/>
        <v>5.8125689340000006</v>
      </c>
      <c r="AP92" s="9"/>
      <c r="AQ92" s="22">
        <v>1.3371299999999999</v>
      </c>
      <c r="AR92" s="22">
        <v>155.67599999999999</v>
      </c>
      <c r="AS92" s="22">
        <v>4.6765099999999997E-2</v>
      </c>
      <c r="AT92" s="22">
        <v>82</v>
      </c>
      <c r="AU92" s="22">
        <v>0.36007699999999998</v>
      </c>
      <c r="AV92">
        <f t="shared" si="20"/>
        <v>-46.765099999999997</v>
      </c>
      <c r="AW92">
        <f t="shared" si="21"/>
        <v>-62.531018162999992</v>
      </c>
      <c r="AX92" s="9"/>
      <c r="AY92" s="22">
        <v>0.31295800000000001</v>
      </c>
      <c r="AZ92" s="22">
        <v>190.06299999999999</v>
      </c>
      <c r="BA92" s="22">
        <v>-1.8164099999999999E-2</v>
      </c>
      <c r="BB92" s="22">
        <v>82</v>
      </c>
      <c r="BC92" s="22">
        <v>0.30743399999999999</v>
      </c>
      <c r="BD92">
        <f t="shared" si="22"/>
        <v>18.164099999999998</v>
      </c>
      <c r="BE92">
        <f t="shared" si="23"/>
        <v>5.6846004077999996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35.080800000000004</v>
      </c>
      <c r="I93" s="22">
        <v>4.67529E-2</v>
      </c>
      <c r="J93" s="22">
        <v>83</v>
      </c>
      <c r="K93" s="22">
        <v>0.34137000000000001</v>
      </c>
      <c r="L93">
        <f t="shared" si="12"/>
        <v>-46.752899999999997</v>
      </c>
      <c r="M93">
        <f t="shared" si="13"/>
        <v>-62.279070560999997</v>
      </c>
      <c r="N93" s="9"/>
      <c r="O93" s="22">
        <v>0.31799300000000003</v>
      </c>
      <c r="P93" s="22">
        <v>69.389899999999997</v>
      </c>
      <c r="Q93" s="22">
        <v>-1.8319700000000001E-2</v>
      </c>
      <c r="R93" s="22">
        <v>83</v>
      </c>
      <c r="S93" s="22">
        <v>0.31756600000000001</v>
      </c>
      <c r="T93">
        <f t="shared" si="14"/>
        <v>18.319700000000001</v>
      </c>
      <c r="U93">
        <f t="shared" si="15"/>
        <v>5.8255363621000011</v>
      </c>
      <c r="X93" s="9"/>
      <c r="Y93" s="22">
        <v>1.33209</v>
      </c>
      <c r="Z93" s="22">
        <v>103.596</v>
      </c>
      <c r="AA93" s="22">
        <v>-1.8041999999999999E-2</v>
      </c>
      <c r="AB93" s="22">
        <v>83</v>
      </c>
      <c r="AC93" s="22">
        <v>1.33118</v>
      </c>
      <c r="AD93">
        <f t="shared" si="16"/>
        <v>18.041999999999998</v>
      </c>
      <c r="AE93">
        <f t="shared" si="17"/>
        <v>24.033567779999998</v>
      </c>
      <c r="AF93" s="9"/>
      <c r="AG93" s="22">
        <v>0.31799300000000003</v>
      </c>
      <c r="AH93" s="22">
        <v>121.417</v>
      </c>
      <c r="AI93" s="22">
        <v>-1.8566900000000001E-2</v>
      </c>
      <c r="AJ93" s="22">
        <v>83</v>
      </c>
      <c r="AK93" s="22">
        <v>0.31738300000000003</v>
      </c>
      <c r="AL93">
        <f t="shared" si="18"/>
        <v>18.5669</v>
      </c>
      <c r="AM93">
        <f t="shared" si="19"/>
        <v>5.904144231700001</v>
      </c>
      <c r="AP93" s="9"/>
      <c r="AQ93" s="22">
        <v>1.33209</v>
      </c>
      <c r="AR93" s="22">
        <v>155.68600000000001</v>
      </c>
      <c r="AS93" s="22">
        <v>4.6765099999999997E-2</v>
      </c>
      <c r="AT93" s="22">
        <v>83</v>
      </c>
      <c r="AU93" s="22">
        <v>0.357483</v>
      </c>
      <c r="AV93">
        <f t="shared" si="20"/>
        <v>-46.765099999999997</v>
      </c>
      <c r="AW93">
        <f t="shared" si="21"/>
        <v>-62.295322058999993</v>
      </c>
      <c r="AX93" s="9"/>
      <c r="AY93" s="22">
        <v>0.31799300000000003</v>
      </c>
      <c r="AZ93" s="22">
        <v>190.07300000000001</v>
      </c>
      <c r="BA93" s="22">
        <v>-1.8151899999999999E-2</v>
      </c>
      <c r="BB93" s="22">
        <v>83</v>
      </c>
      <c r="BC93" s="22">
        <v>0.31655899999999998</v>
      </c>
      <c r="BD93">
        <f t="shared" si="22"/>
        <v>18.151899999999998</v>
      </c>
      <c r="BE93">
        <f t="shared" si="23"/>
        <v>5.7721771366999999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35.090800000000002</v>
      </c>
      <c r="I94" s="22">
        <v>4.6743800000000002E-2</v>
      </c>
      <c r="J94" s="22">
        <v>84</v>
      </c>
      <c r="K94" s="22">
        <v>0.34689300000000001</v>
      </c>
      <c r="L94">
        <f t="shared" si="12"/>
        <v>-46.7438</v>
      </c>
      <c r="M94">
        <f t="shared" si="13"/>
        <v>-62.031827227999997</v>
      </c>
      <c r="N94" s="9"/>
      <c r="O94" s="22">
        <v>0.32302900000000001</v>
      </c>
      <c r="P94" s="22">
        <v>69.400000000000006</v>
      </c>
      <c r="Q94" s="22">
        <v>-1.8316700000000002E-2</v>
      </c>
      <c r="R94" s="22">
        <v>84</v>
      </c>
      <c r="S94" s="22">
        <v>0.32253999999999999</v>
      </c>
      <c r="T94">
        <f t="shared" si="14"/>
        <v>18.316700000000001</v>
      </c>
      <c r="U94">
        <f t="shared" si="15"/>
        <v>5.9168252843000007</v>
      </c>
      <c r="X94" s="9"/>
      <c r="Y94" s="22">
        <v>1.3270599999999999</v>
      </c>
      <c r="Z94" s="22">
        <v>103.60599999999999</v>
      </c>
      <c r="AA94" s="22">
        <v>-1.8048100000000001E-2</v>
      </c>
      <c r="AB94" s="22">
        <v>84</v>
      </c>
      <c r="AC94" s="22">
        <v>1.3266</v>
      </c>
      <c r="AD94">
        <f t="shared" si="16"/>
        <v>18.048100000000002</v>
      </c>
      <c r="AE94">
        <f t="shared" si="17"/>
        <v>23.950911586</v>
      </c>
      <c r="AF94" s="9"/>
      <c r="AG94" s="22">
        <v>0.32302900000000001</v>
      </c>
      <c r="AH94" s="22">
        <v>121.42700000000001</v>
      </c>
      <c r="AI94" s="22">
        <v>-1.8566900000000001E-2</v>
      </c>
      <c r="AJ94" s="22">
        <v>84</v>
      </c>
      <c r="AK94" s="22">
        <v>0.32284499999999999</v>
      </c>
      <c r="AL94">
        <f t="shared" si="18"/>
        <v>18.5669</v>
      </c>
      <c r="AM94">
        <f t="shared" si="19"/>
        <v>5.9976471401000007</v>
      </c>
      <c r="AP94" s="9"/>
      <c r="AQ94" s="22">
        <v>1.3270599999999999</v>
      </c>
      <c r="AR94" s="22">
        <v>155.696</v>
      </c>
      <c r="AS94" s="22">
        <v>4.6765099999999997E-2</v>
      </c>
      <c r="AT94" s="22">
        <v>84</v>
      </c>
      <c r="AU94" s="22">
        <v>0.35229500000000002</v>
      </c>
      <c r="AV94">
        <f t="shared" si="20"/>
        <v>-46.765099999999997</v>
      </c>
      <c r="AW94">
        <f t="shared" si="21"/>
        <v>-62.060093605999988</v>
      </c>
      <c r="AX94" s="9"/>
      <c r="AY94" s="22">
        <v>0.32302900000000001</v>
      </c>
      <c r="AZ94" s="22">
        <v>190.083</v>
      </c>
      <c r="BA94" s="22">
        <v>-1.8154900000000002E-2</v>
      </c>
      <c r="BB94" s="22">
        <v>84</v>
      </c>
      <c r="BC94" s="22">
        <v>0.32550000000000001</v>
      </c>
      <c r="BD94">
        <f t="shared" si="22"/>
        <v>18.154900000000001</v>
      </c>
      <c r="BE94">
        <f t="shared" si="23"/>
        <v>5.8645591921000007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35.100900000000003</v>
      </c>
      <c r="I95" s="22">
        <v>4.6740700000000003E-2</v>
      </c>
      <c r="J95" s="22">
        <v>85</v>
      </c>
      <c r="K95" s="22">
        <v>0.34808299999999998</v>
      </c>
      <c r="L95">
        <f t="shared" si="12"/>
        <v>-46.740700000000004</v>
      </c>
      <c r="M95">
        <f t="shared" si="13"/>
        <v>-61.792140214000007</v>
      </c>
      <c r="N95" s="9"/>
      <c r="O95" s="22">
        <v>0.32806400000000002</v>
      </c>
      <c r="P95" s="22">
        <v>69.41</v>
      </c>
      <c r="Q95" s="22">
        <v>-1.8313599999999999E-2</v>
      </c>
      <c r="R95" s="22">
        <v>85</v>
      </c>
      <c r="S95" s="22">
        <v>0.327515</v>
      </c>
      <c r="T95">
        <f t="shared" si="14"/>
        <v>18.313600000000001</v>
      </c>
      <c r="U95">
        <f t="shared" si="15"/>
        <v>6.008032870400001</v>
      </c>
      <c r="X95" s="9"/>
      <c r="Y95" s="22">
        <v>1.32202</v>
      </c>
      <c r="Z95" s="22">
        <v>103.616</v>
      </c>
      <c r="AA95" s="22">
        <v>-1.8054199999999999E-2</v>
      </c>
      <c r="AB95" s="22">
        <v>85</v>
      </c>
      <c r="AC95" s="22">
        <v>1.3208</v>
      </c>
      <c r="AD95">
        <f t="shared" si="16"/>
        <v>18.054199999999998</v>
      </c>
      <c r="AE95">
        <f t="shared" si="17"/>
        <v>23.868013483999999</v>
      </c>
      <c r="AF95" s="9"/>
      <c r="AG95" s="22">
        <v>0.32806400000000002</v>
      </c>
      <c r="AH95" s="22">
        <v>121.437</v>
      </c>
      <c r="AI95" s="22">
        <v>-1.8566900000000001E-2</v>
      </c>
      <c r="AJ95" s="22">
        <v>85</v>
      </c>
      <c r="AK95" s="22">
        <v>0.32794200000000001</v>
      </c>
      <c r="AL95">
        <f t="shared" si="18"/>
        <v>18.5669</v>
      </c>
      <c r="AM95">
        <f t="shared" si="19"/>
        <v>6.0911314816000006</v>
      </c>
      <c r="AP95" s="9"/>
      <c r="AQ95" s="22">
        <v>1.32202</v>
      </c>
      <c r="AR95" s="22">
        <v>155.70599999999999</v>
      </c>
      <c r="AS95" s="22">
        <v>4.6765099999999997E-2</v>
      </c>
      <c r="AT95" s="22">
        <v>85</v>
      </c>
      <c r="AU95" s="22">
        <v>0.36142000000000002</v>
      </c>
      <c r="AV95">
        <f t="shared" si="20"/>
        <v>-46.765099999999997</v>
      </c>
      <c r="AW95">
        <f t="shared" si="21"/>
        <v>-61.824397501999997</v>
      </c>
      <c r="AX95" s="9"/>
      <c r="AY95" s="22">
        <v>0.32806400000000002</v>
      </c>
      <c r="AZ95" s="22">
        <v>190.09299999999999</v>
      </c>
      <c r="BA95" s="22">
        <v>-1.8139599999999999E-2</v>
      </c>
      <c r="BB95" s="22">
        <v>85</v>
      </c>
      <c r="BC95" s="22">
        <v>0.33194000000000001</v>
      </c>
      <c r="BD95">
        <f t="shared" si="22"/>
        <v>18.139599999999998</v>
      </c>
      <c r="BE95">
        <f t="shared" si="23"/>
        <v>5.9509497344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35.110999999999997</v>
      </c>
      <c r="I96" s="22">
        <v>4.6746799999999998E-2</v>
      </c>
      <c r="J96" s="22">
        <v>86</v>
      </c>
      <c r="K96" s="22">
        <v>0.35553000000000001</v>
      </c>
      <c r="L96">
        <f t="shared" si="12"/>
        <v>-46.7468</v>
      </c>
      <c r="M96">
        <f t="shared" si="13"/>
        <v>-61.565068132000007</v>
      </c>
      <c r="N96" s="9"/>
      <c r="O96" s="22">
        <v>0.33309899999999998</v>
      </c>
      <c r="P96" s="22">
        <v>69.420100000000005</v>
      </c>
      <c r="Q96" s="22">
        <v>-1.8301399999999999E-2</v>
      </c>
      <c r="R96" s="22">
        <v>86</v>
      </c>
      <c r="S96" s="22">
        <v>0.33233600000000002</v>
      </c>
      <c r="T96">
        <f t="shared" si="14"/>
        <v>18.301399999999997</v>
      </c>
      <c r="U96">
        <f t="shared" si="15"/>
        <v>6.0961780385999988</v>
      </c>
      <c r="X96" s="9"/>
      <c r="Y96" s="22">
        <v>1.3169900000000001</v>
      </c>
      <c r="Z96" s="22">
        <v>103.626</v>
      </c>
      <c r="AA96" s="22">
        <v>-1.8057299999999998E-2</v>
      </c>
      <c r="AB96" s="22">
        <v>86</v>
      </c>
      <c r="AC96" s="22">
        <v>1.3147</v>
      </c>
      <c r="AD96">
        <f t="shared" si="16"/>
        <v>18.057299999999998</v>
      </c>
      <c r="AE96">
        <f t="shared" si="17"/>
        <v>23.781283526999999</v>
      </c>
      <c r="AF96" s="9"/>
      <c r="AG96" s="22">
        <v>0.33309899999999998</v>
      </c>
      <c r="AH96" s="22">
        <v>121.447</v>
      </c>
      <c r="AI96" s="22">
        <v>-1.8563799999999998E-2</v>
      </c>
      <c r="AJ96" s="22">
        <v>86</v>
      </c>
      <c r="AK96" s="22">
        <v>0.33270300000000003</v>
      </c>
      <c r="AL96">
        <f t="shared" si="18"/>
        <v>18.563799999999997</v>
      </c>
      <c r="AM96">
        <f t="shared" si="19"/>
        <v>6.1835832161999988</v>
      </c>
      <c r="AP96" s="9"/>
      <c r="AQ96" s="22">
        <v>1.3169900000000001</v>
      </c>
      <c r="AR96" s="22">
        <v>155.71600000000001</v>
      </c>
      <c r="AS96" s="22">
        <v>4.6765099999999997E-2</v>
      </c>
      <c r="AT96" s="22">
        <v>86</v>
      </c>
      <c r="AU96" s="22">
        <v>0.36142000000000002</v>
      </c>
      <c r="AV96">
        <f t="shared" si="20"/>
        <v>-46.765099999999997</v>
      </c>
      <c r="AW96">
        <f t="shared" si="21"/>
        <v>-61.589169048999999</v>
      </c>
      <c r="AX96" s="9"/>
      <c r="AY96" s="22">
        <v>0.33309899999999998</v>
      </c>
      <c r="AZ96" s="22">
        <v>190.10300000000001</v>
      </c>
      <c r="BA96" s="22">
        <v>-1.8136599999999999E-2</v>
      </c>
      <c r="BB96" s="22">
        <v>86</v>
      </c>
      <c r="BC96" s="22">
        <v>0.33019999999999999</v>
      </c>
      <c r="BD96">
        <f t="shared" si="22"/>
        <v>18.136599999999998</v>
      </c>
      <c r="BE96">
        <f t="shared" si="23"/>
        <v>6.0412833233999992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35.121000000000002</v>
      </c>
      <c r="I97" s="22">
        <v>4.6740700000000003E-2</v>
      </c>
      <c r="J97" s="22">
        <v>87</v>
      </c>
      <c r="K97" s="22">
        <v>0.34957899999999997</v>
      </c>
      <c r="L97">
        <f t="shared" si="12"/>
        <v>-46.740700000000004</v>
      </c>
      <c r="M97">
        <f t="shared" si="13"/>
        <v>-61.321461365000005</v>
      </c>
      <c r="N97" s="9"/>
      <c r="O97" s="22">
        <v>0.33813500000000002</v>
      </c>
      <c r="P97" s="22">
        <v>69.430199999999999</v>
      </c>
      <c r="Q97" s="22">
        <v>-1.8307500000000001E-2</v>
      </c>
      <c r="R97" s="22">
        <v>87</v>
      </c>
      <c r="S97" s="22">
        <v>0.33752399999999999</v>
      </c>
      <c r="T97">
        <f t="shared" si="14"/>
        <v>18.307500000000001</v>
      </c>
      <c r="U97">
        <f t="shared" si="15"/>
        <v>6.190406512500001</v>
      </c>
      <c r="X97" s="9"/>
      <c r="Y97" s="22">
        <v>1.3119499999999999</v>
      </c>
      <c r="Z97" s="22">
        <v>103.636</v>
      </c>
      <c r="AA97" s="22">
        <v>-1.8060300000000001E-2</v>
      </c>
      <c r="AB97" s="22">
        <v>87</v>
      </c>
      <c r="AC97" s="22">
        <v>1.31134</v>
      </c>
      <c r="AD97">
        <f t="shared" si="16"/>
        <v>18.060300000000002</v>
      </c>
      <c r="AE97">
        <f t="shared" si="17"/>
        <v>23.694210585</v>
      </c>
      <c r="AF97" s="9"/>
      <c r="AG97" s="22">
        <v>0.33813500000000002</v>
      </c>
      <c r="AH97" s="22">
        <v>121.45699999999999</v>
      </c>
      <c r="AI97" s="22">
        <v>-1.8563799999999998E-2</v>
      </c>
      <c r="AJ97" s="22">
        <v>87</v>
      </c>
      <c r="AK97" s="22">
        <v>0.33721899999999999</v>
      </c>
      <c r="AL97">
        <f t="shared" si="18"/>
        <v>18.563799999999997</v>
      </c>
      <c r="AM97">
        <f t="shared" si="19"/>
        <v>6.2770705129999991</v>
      </c>
      <c r="AP97" s="9"/>
      <c r="AQ97" s="22">
        <v>1.3119499999999999</v>
      </c>
      <c r="AR97" s="22">
        <v>155.726</v>
      </c>
      <c r="AS97" s="22">
        <v>4.6749899999999997E-2</v>
      </c>
      <c r="AT97" s="22">
        <v>87</v>
      </c>
      <c r="AU97" s="22">
        <v>0.36343399999999998</v>
      </c>
      <c r="AV97">
        <f t="shared" si="20"/>
        <v>-46.749899999999997</v>
      </c>
      <c r="AW97">
        <f t="shared" si="21"/>
        <v>-61.333531304999994</v>
      </c>
      <c r="AX97" s="9"/>
      <c r="AY97" s="22">
        <v>0.33813500000000002</v>
      </c>
      <c r="AZ97" s="22">
        <v>190.113</v>
      </c>
      <c r="BA97" s="22">
        <v>-1.8136599999999999E-2</v>
      </c>
      <c r="BB97" s="22">
        <v>87</v>
      </c>
      <c r="BC97" s="22">
        <v>0.33728000000000002</v>
      </c>
      <c r="BD97">
        <f t="shared" si="22"/>
        <v>18.136599999999998</v>
      </c>
      <c r="BE97">
        <f t="shared" si="23"/>
        <v>6.1326192409999996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35.131100000000004</v>
      </c>
      <c r="I98" s="22">
        <v>4.6731599999999998E-2</v>
      </c>
      <c r="J98" s="22">
        <v>88</v>
      </c>
      <c r="K98" s="22">
        <v>0.35089100000000001</v>
      </c>
      <c r="L98">
        <f t="shared" si="12"/>
        <v>-46.7316</v>
      </c>
      <c r="M98">
        <f t="shared" si="13"/>
        <v>-61.074462672000003</v>
      </c>
      <c r="N98" s="9"/>
      <c r="O98" s="22">
        <v>0.34316999999999998</v>
      </c>
      <c r="P98" s="22">
        <v>69.440299999999993</v>
      </c>
      <c r="Q98" s="22">
        <v>-1.8292200000000002E-2</v>
      </c>
      <c r="R98" s="22">
        <v>88</v>
      </c>
      <c r="S98" s="22">
        <v>0.34323100000000001</v>
      </c>
      <c r="T98">
        <f t="shared" si="14"/>
        <v>18.292200000000001</v>
      </c>
      <c r="U98">
        <f t="shared" si="15"/>
        <v>6.2773342740000002</v>
      </c>
      <c r="X98" s="9"/>
      <c r="Y98" s="22">
        <v>1.3069200000000001</v>
      </c>
      <c r="Z98" s="22">
        <v>103.646</v>
      </c>
      <c r="AA98" s="22">
        <v>-1.80634E-2</v>
      </c>
      <c r="AB98" s="22">
        <v>88</v>
      </c>
      <c r="AC98" s="22">
        <v>1.30646</v>
      </c>
      <c r="AD98">
        <f t="shared" si="16"/>
        <v>18.063400000000001</v>
      </c>
      <c r="AE98">
        <f t="shared" si="17"/>
        <v>23.607418728000003</v>
      </c>
      <c r="AF98" s="9"/>
      <c r="AG98" s="22">
        <v>0.34316999999999998</v>
      </c>
      <c r="AH98" s="22">
        <v>121.467</v>
      </c>
      <c r="AI98" s="22">
        <v>-1.8560799999999999E-2</v>
      </c>
      <c r="AJ98" s="22">
        <v>88</v>
      </c>
      <c r="AK98" s="22">
        <v>0.34316999999999998</v>
      </c>
      <c r="AL98">
        <f t="shared" si="18"/>
        <v>18.5608</v>
      </c>
      <c r="AM98">
        <f t="shared" si="19"/>
        <v>6.3695097359999995</v>
      </c>
      <c r="AP98" s="9"/>
      <c r="AQ98" s="22">
        <v>1.3069200000000001</v>
      </c>
      <c r="AR98" s="22">
        <v>155.73599999999999</v>
      </c>
      <c r="AS98" s="22">
        <v>4.6755999999999999E-2</v>
      </c>
      <c r="AT98" s="22">
        <v>88</v>
      </c>
      <c r="AU98" s="22">
        <v>0.36502099999999998</v>
      </c>
      <c r="AV98">
        <f t="shared" si="20"/>
        <v>-46.756</v>
      </c>
      <c r="AW98">
        <f t="shared" si="21"/>
        <v>-61.106351520000004</v>
      </c>
      <c r="AX98" s="9"/>
      <c r="AY98" s="22">
        <v>0.34316999999999998</v>
      </c>
      <c r="AZ98" s="22">
        <v>190.124</v>
      </c>
      <c r="BA98" s="22">
        <v>-1.8139599999999999E-2</v>
      </c>
      <c r="BB98" s="22">
        <v>88</v>
      </c>
      <c r="BC98" s="22">
        <v>0.33895900000000001</v>
      </c>
      <c r="BD98">
        <f t="shared" si="22"/>
        <v>18.139599999999998</v>
      </c>
      <c r="BE98">
        <f t="shared" si="23"/>
        <v>6.2249665319999989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35.141199999999998</v>
      </c>
      <c r="I99" s="22">
        <v>4.6725500000000003E-2</v>
      </c>
      <c r="J99" s="22">
        <v>89</v>
      </c>
      <c r="K99" s="22">
        <v>0.3508</v>
      </c>
      <c r="L99">
        <f t="shared" si="12"/>
        <v>-46.725500000000004</v>
      </c>
      <c r="M99">
        <f t="shared" si="13"/>
        <v>-60.830993939999999</v>
      </c>
      <c r="N99" s="9"/>
      <c r="O99" s="22">
        <v>0.34820600000000002</v>
      </c>
      <c r="P99" s="22">
        <v>69.450299999999999</v>
      </c>
      <c r="Q99" s="22">
        <v>-1.82983E-2</v>
      </c>
      <c r="R99" s="22">
        <v>89</v>
      </c>
      <c r="S99" s="22">
        <v>0.34658800000000001</v>
      </c>
      <c r="T99">
        <f t="shared" si="14"/>
        <v>18.298300000000001</v>
      </c>
      <c r="U99">
        <f t="shared" si="15"/>
        <v>6.3715778498000004</v>
      </c>
      <c r="X99" s="9"/>
      <c r="Y99" s="22">
        <v>1.3018799999999999</v>
      </c>
      <c r="Z99" s="22">
        <v>103.65600000000001</v>
      </c>
      <c r="AA99" s="22">
        <v>-1.8069499999999999E-2</v>
      </c>
      <c r="AB99" s="22">
        <v>89</v>
      </c>
      <c r="AC99" s="22">
        <v>1.3009599999999999</v>
      </c>
      <c r="AD99">
        <f t="shared" si="16"/>
        <v>18.069499999999998</v>
      </c>
      <c r="AE99">
        <f t="shared" si="17"/>
        <v>23.524320659999997</v>
      </c>
      <c r="AF99" s="9"/>
      <c r="AG99" s="22">
        <v>0.34820600000000002</v>
      </c>
      <c r="AH99" s="22">
        <v>121.477</v>
      </c>
      <c r="AI99" s="22">
        <v>-1.8560799999999999E-2</v>
      </c>
      <c r="AJ99" s="22">
        <v>89</v>
      </c>
      <c r="AK99" s="22">
        <v>0.34765600000000002</v>
      </c>
      <c r="AL99">
        <f t="shared" si="18"/>
        <v>18.5608</v>
      </c>
      <c r="AM99">
        <f t="shared" si="19"/>
        <v>6.4629819248000002</v>
      </c>
      <c r="AP99" s="9"/>
      <c r="AQ99" s="22">
        <v>1.3018799999999999</v>
      </c>
      <c r="AR99" s="22">
        <v>155.74600000000001</v>
      </c>
      <c r="AS99" s="22">
        <v>4.67529E-2</v>
      </c>
      <c r="AT99" s="22">
        <v>89</v>
      </c>
      <c r="AU99" s="22">
        <v>0.36080899999999999</v>
      </c>
      <c r="AV99">
        <f t="shared" si="20"/>
        <v>-46.752899999999997</v>
      </c>
      <c r="AW99">
        <f t="shared" si="21"/>
        <v>-60.866665451999992</v>
      </c>
      <c r="AX99" s="9"/>
      <c r="AY99" s="22">
        <v>0.34820600000000002</v>
      </c>
      <c r="AZ99" s="22">
        <v>190.13399999999999</v>
      </c>
      <c r="BA99" s="22">
        <v>-1.8130500000000001E-2</v>
      </c>
      <c r="BB99" s="22">
        <v>89</v>
      </c>
      <c r="BC99" s="22">
        <v>0.35440100000000002</v>
      </c>
      <c r="BD99">
        <f t="shared" si="22"/>
        <v>18.130500000000001</v>
      </c>
      <c r="BE99">
        <f t="shared" si="23"/>
        <v>6.3131488830000011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35.151299999999999</v>
      </c>
      <c r="I100" s="22">
        <v>4.6719400000000001E-2</v>
      </c>
      <c r="J100" s="22">
        <v>90</v>
      </c>
      <c r="K100" s="22">
        <v>0.35409499999999999</v>
      </c>
      <c r="L100">
        <f t="shared" si="12"/>
        <v>-46.7194</v>
      </c>
      <c r="M100">
        <f t="shared" si="13"/>
        <v>-60.587586696000002</v>
      </c>
      <c r="N100" s="9"/>
      <c r="O100" s="22">
        <v>0.35324100000000003</v>
      </c>
      <c r="P100" s="22">
        <v>69.460400000000007</v>
      </c>
      <c r="Q100" s="22">
        <v>-1.82953E-2</v>
      </c>
      <c r="R100" s="22">
        <v>90</v>
      </c>
      <c r="S100" s="22">
        <v>0.35293600000000003</v>
      </c>
      <c r="T100">
        <f t="shared" si="14"/>
        <v>18.295300000000001</v>
      </c>
      <c r="U100">
        <f t="shared" si="15"/>
        <v>6.4626500673000011</v>
      </c>
      <c r="X100" s="9"/>
      <c r="Y100" s="22">
        <v>1.29684</v>
      </c>
      <c r="Z100" s="22">
        <v>103.667</v>
      </c>
      <c r="AA100" s="22">
        <v>-1.8075600000000001E-2</v>
      </c>
      <c r="AB100" s="22">
        <v>90</v>
      </c>
      <c r="AC100" s="22">
        <v>1.2960799999999999</v>
      </c>
      <c r="AD100">
        <f t="shared" si="16"/>
        <v>18.075600000000001</v>
      </c>
      <c r="AE100">
        <f t="shared" si="17"/>
        <v>23.441161104000003</v>
      </c>
      <c r="AF100" s="9"/>
      <c r="AG100" s="22">
        <v>0.35324100000000003</v>
      </c>
      <c r="AH100" s="22">
        <v>121.48699999999999</v>
      </c>
      <c r="AI100" s="22">
        <v>-1.8560799999999999E-2</v>
      </c>
      <c r="AJ100" s="22">
        <v>90</v>
      </c>
      <c r="AK100" s="22">
        <v>0.35250900000000002</v>
      </c>
      <c r="AL100">
        <f t="shared" si="18"/>
        <v>18.5608</v>
      </c>
      <c r="AM100">
        <f t="shared" si="19"/>
        <v>6.5564355528000009</v>
      </c>
      <c r="AP100" s="9"/>
      <c r="AQ100" s="22">
        <v>1.29684</v>
      </c>
      <c r="AR100" s="22">
        <v>155.75700000000001</v>
      </c>
      <c r="AS100" s="22">
        <v>4.6749899999999997E-2</v>
      </c>
      <c r="AT100" s="22">
        <v>90</v>
      </c>
      <c r="AU100" s="22">
        <v>0.36361700000000002</v>
      </c>
      <c r="AV100">
        <f t="shared" si="20"/>
        <v>-46.749899999999997</v>
      </c>
      <c r="AW100">
        <f t="shared" si="21"/>
        <v>-60.627140315999995</v>
      </c>
      <c r="AX100" s="9"/>
      <c r="AY100" s="22">
        <v>0.35324100000000003</v>
      </c>
      <c r="AZ100" s="22">
        <v>190.14400000000001</v>
      </c>
      <c r="BA100" s="22">
        <v>-1.8130500000000001E-2</v>
      </c>
      <c r="BB100" s="22">
        <v>90</v>
      </c>
      <c r="BC100" s="22">
        <v>0.35342400000000002</v>
      </c>
      <c r="BD100">
        <f t="shared" si="22"/>
        <v>18.130500000000001</v>
      </c>
      <c r="BE100">
        <f t="shared" si="23"/>
        <v>6.4044359505000008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35.161299999999997</v>
      </c>
      <c r="I101" s="22">
        <v>4.6722399999999997E-2</v>
      </c>
      <c r="J101" s="22">
        <v>91</v>
      </c>
      <c r="K101" s="22">
        <v>0.33901999999999999</v>
      </c>
      <c r="L101">
        <f t="shared" si="12"/>
        <v>-46.7224</v>
      </c>
      <c r="M101">
        <f t="shared" si="13"/>
        <v>-60.356463543999993</v>
      </c>
      <c r="N101" s="9"/>
      <c r="O101" s="22">
        <v>0.35827599999999998</v>
      </c>
      <c r="P101" s="22">
        <v>69.470500000000001</v>
      </c>
      <c r="Q101" s="22">
        <v>-1.82953E-2</v>
      </c>
      <c r="R101" s="22">
        <v>91</v>
      </c>
      <c r="S101" s="22">
        <v>0.35708600000000001</v>
      </c>
      <c r="T101">
        <f t="shared" si="14"/>
        <v>18.295300000000001</v>
      </c>
      <c r="U101">
        <f t="shared" si="15"/>
        <v>6.5547669028</v>
      </c>
      <c r="X101" s="9"/>
      <c r="Y101" s="22">
        <v>1.2918099999999999</v>
      </c>
      <c r="Z101" s="22">
        <v>103.67700000000001</v>
      </c>
      <c r="AA101" s="22">
        <v>-1.80786E-2</v>
      </c>
      <c r="AB101" s="22">
        <v>91</v>
      </c>
      <c r="AC101" s="22">
        <v>1.2911999999999999</v>
      </c>
      <c r="AD101">
        <f t="shared" si="16"/>
        <v>18.078600000000002</v>
      </c>
      <c r="AE101">
        <f t="shared" si="17"/>
        <v>23.354116266000002</v>
      </c>
      <c r="AF101" s="9"/>
      <c r="AG101" s="22">
        <v>0.35827599999999998</v>
      </c>
      <c r="AH101" s="22">
        <v>121.497</v>
      </c>
      <c r="AI101" s="22">
        <v>-1.85577E-2</v>
      </c>
      <c r="AJ101" s="22">
        <v>91</v>
      </c>
      <c r="AK101" s="22">
        <v>0.35760500000000001</v>
      </c>
      <c r="AL101">
        <f t="shared" si="18"/>
        <v>18.557700000000001</v>
      </c>
      <c r="AM101">
        <f t="shared" si="19"/>
        <v>6.6487785252</v>
      </c>
      <c r="AP101" s="9"/>
      <c r="AQ101" s="22">
        <v>1.2918099999999999</v>
      </c>
      <c r="AR101" s="22">
        <v>155.767</v>
      </c>
      <c r="AS101" s="22">
        <v>4.6749899999999997E-2</v>
      </c>
      <c r="AT101" s="22">
        <v>91</v>
      </c>
      <c r="AU101" s="22">
        <v>0.36251800000000001</v>
      </c>
      <c r="AV101">
        <f t="shared" si="20"/>
        <v>-46.749899999999997</v>
      </c>
      <c r="AW101">
        <f t="shared" si="21"/>
        <v>-60.391988318999992</v>
      </c>
      <c r="AX101" s="9"/>
      <c r="AY101" s="22">
        <v>0.35827599999999998</v>
      </c>
      <c r="AZ101" s="22">
        <v>190.154</v>
      </c>
      <c r="BA101" s="22">
        <v>-1.8124399999999999E-2</v>
      </c>
      <c r="BB101" s="22">
        <v>91</v>
      </c>
      <c r="BC101" s="22">
        <v>0.360321</v>
      </c>
      <c r="BD101">
        <f t="shared" si="22"/>
        <v>18.124399999999998</v>
      </c>
      <c r="BE101">
        <f t="shared" si="23"/>
        <v>6.4935375343999988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35.171399999999998</v>
      </c>
      <c r="I102" s="22">
        <v>4.6719400000000001E-2</v>
      </c>
      <c r="J102" s="22">
        <v>92</v>
      </c>
      <c r="K102" s="22">
        <v>0.35553000000000001</v>
      </c>
      <c r="L102">
        <f t="shared" si="12"/>
        <v>-46.7194</v>
      </c>
      <c r="M102">
        <f t="shared" si="13"/>
        <v>-60.117122338000001</v>
      </c>
      <c r="N102" s="9"/>
      <c r="O102" s="22">
        <v>0.36331200000000002</v>
      </c>
      <c r="P102" s="22">
        <v>69.480500000000006</v>
      </c>
      <c r="Q102" s="22">
        <v>-1.82953E-2</v>
      </c>
      <c r="R102" s="22">
        <v>92</v>
      </c>
      <c r="S102" s="22">
        <v>0.36279299999999998</v>
      </c>
      <c r="T102">
        <f t="shared" si="14"/>
        <v>18.295300000000001</v>
      </c>
      <c r="U102">
        <f t="shared" si="15"/>
        <v>6.6469020336000009</v>
      </c>
      <c r="X102" s="9"/>
      <c r="Y102" s="22">
        <v>1.28677</v>
      </c>
      <c r="Z102" s="22">
        <v>103.687</v>
      </c>
      <c r="AA102" s="22">
        <v>-1.8081699999999999E-2</v>
      </c>
      <c r="AB102" s="22">
        <v>92</v>
      </c>
      <c r="AC102" s="22">
        <v>1.2860100000000001</v>
      </c>
      <c r="AD102">
        <f t="shared" si="16"/>
        <v>18.081699999999998</v>
      </c>
      <c r="AE102">
        <f t="shared" si="17"/>
        <v>23.266989108999997</v>
      </c>
      <c r="AF102" s="9"/>
      <c r="AG102" s="22">
        <v>0.36331200000000002</v>
      </c>
      <c r="AH102" s="22">
        <v>121.508</v>
      </c>
      <c r="AI102" s="22">
        <v>-1.85547E-2</v>
      </c>
      <c r="AJ102" s="22">
        <v>92</v>
      </c>
      <c r="AK102" s="22">
        <v>0.36383100000000002</v>
      </c>
      <c r="AL102">
        <f t="shared" si="18"/>
        <v>18.5547</v>
      </c>
      <c r="AM102">
        <f t="shared" si="19"/>
        <v>6.7411451664000008</v>
      </c>
      <c r="AP102" s="9"/>
      <c r="AQ102" s="22">
        <v>1.28677</v>
      </c>
      <c r="AR102" s="22">
        <v>155.77699999999999</v>
      </c>
      <c r="AS102" s="22">
        <v>4.6743800000000002E-2</v>
      </c>
      <c r="AT102" s="22">
        <v>92</v>
      </c>
      <c r="AU102" s="22">
        <v>0.35250900000000002</v>
      </c>
      <c r="AV102">
        <f t="shared" si="20"/>
        <v>-46.7438</v>
      </c>
      <c r="AW102">
        <f t="shared" si="21"/>
        <v>-60.148519526000001</v>
      </c>
      <c r="AX102" s="9"/>
      <c r="AY102" s="22">
        <v>0.36331200000000002</v>
      </c>
      <c r="AZ102" s="22">
        <v>190.16399999999999</v>
      </c>
      <c r="BA102" s="22">
        <v>-1.81335E-2</v>
      </c>
      <c r="BB102" s="22">
        <v>92</v>
      </c>
      <c r="BC102" s="22">
        <v>0.34640500000000002</v>
      </c>
      <c r="BD102">
        <f t="shared" si="22"/>
        <v>18.133500000000002</v>
      </c>
      <c r="BE102">
        <f t="shared" si="23"/>
        <v>6.5881181520000007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35.1815</v>
      </c>
      <c r="I103" s="22">
        <v>4.6716300000000002E-2</v>
      </c>
      <c r="J103" s="22">
        <v>93</v>
      </c>
      <c r="K103" s="22">
        <v>0.35787999999999998</v>
      </c>
      <c r="L103">
        <f t="shared" si="12"/>
        <v>-46.716300000000004</v>
      </c>
      <c r="M103">
        <f t="shared" si="13"/>
        <v>-59.878150362000007</v>
      </c>
      <c r="N103" s="9"/>
      <c r="O103" s="22">
        <v>0.36834699999999998</v>
      </c>
      <c r="P103" s="22">
        <v>69.490600000000001</v>
      </c>
      <c r="Q103" s="22">
        <v>-1.82953E-2</v>
      </c>
      <c r="R103" s="22">
        <v>93</v>
      </c>
      <c r="S103" s="22">
        <v>0.36853000000000002</v>
      </c>
      <c r="T103">
        <f t="shared" si="14"/>
        <v>18.295300000000001</v>
      </c>
      <c r="U103">
        <f t="shared" si="15"/>
        <v>6.7390188690999997</v>
      </c>
      <c r="X103" s="9"/>
      <c r="Y103" s="22">
        <v>1.2817400000000001</v>
      </c>
      <c r="Z103" s="22">
        <v>103.697</v>
      </c>
      <c r="AA103" s="22">
        <v>-1.8084699999999999E-2</v>
      </c>
      <c r="AB103" s="22">
        <v>93</v>
      </c>
      <c r="AC103" s="22">
        <v>1.2817400000000001</v>
      </c>
      <c r="AD103">
        <f t="shared" si="16"/>
        <v>18.084699999999998</v>
      </c>
      <c r="AE103">
        <f t="shared" si="17"/>
        <v>23.179883378</v>
      </c>
      <c r="AF103" s="9"/>
      <c r="AG103" s="22">
        <v>0.36834699999999998</v>
      </c>
      <c r="AH103" s="22">
        <v>121.518</v>
      </c>
      <c r="AI103" s="22">
        <v>-1.85547E-2</v>
      </c>
      <c r="AJ103" s="22">
        <v>93</v>
      </c>
      <c r="AK103" s="22">
        <v>0.36761500000000003</v>
      </c>
      <c r="AL103">
        <f t="shared" si="18"/>
        <v>18.5547</v>
      </c>
      <c r="AM103">
        <f t="shared" si="19"/>
        <v>6.8345680808999996</v>
      </c>
      <c r="AP103" s="9"/>
      <c r="AQ103" s="22">
        <v>1.2817400000000001</v>
      </c>
      <c r="AR103" s="22">
        <v>155.78700000000001</v>
      </c>
      <c r="AS103" s="22">
        <v>4.6740700000000003E-2</v>
      </c>
      <c r="AT103" s="22">
        <v>93</v>
      </c>
      <c r="AU103" s="22">
        <v>0.35870400000000002</v>
      </c>
      <c r="AV103">
        <f t="shared" si="20"/>
        <v>-46.740700000000004</v>
      </c>
      <c r="AW103">
        <f t="shared" si="21"/>
        <v>-59.909424818000012</v>
      </c>
      <c r="AX103" s="9"/>
      <c r="AY103" s="22">
        <v>0.36834699999999998</v>
      </c>
      <c r="AZ103" s="22">
        <v>190.17400000000001</v>
      </c>
      <c r="BA103" s="22">
        <v>-1.81213E-2</v>
      </c>
      <c r="BB103" s="22">
        <v>93</v>
      </c>
      <c r="BC103" s="22">
        <v>0.37524400000000002</v>
      </c>
      <c r="BD103">
        <f t="shared" si="22"/>
        <v>18.121300000000002</v>
      </c>
      <c r="BE103">
        <f t="shared" si="23"/>
        <v>6.6749264910999999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35.191499999999998</v>
      </c>
      <c r="I104" s="22">
        <v>4.67102E-2</v>
      </c>
      <c r="J104" s="22">
        <v>94</v>
      </c>
      <c r="K104" s="22">
        <v>0.35730000000000001</v>
      </c>
      <c r="L104">
        <f t="shared" si="12"/>
        <v>-46.7102</v>
      </c>
      <c r="M104">
        <f t="shared" si="13"/>
        <v>-59.63491234</v>
      </c>
      <c r="N104" s="9"/>
      <c r="O104" s="22">
        <v>0.37338300000000002</v>
      </c>
      <c r="P104" s="22">
        <v>69.500699999999995</v>
      </c>
      <c r="Q104" s="22">
        <v>-1.8289199999999999E-2</v>
      </c>
      <c r="R104" s="22">
        <v>94</v>
      </c>
      <c r="S104" s="22">
        <v>0.37252800000000003</v>
      </c>
      <c r="T104">
        <f t="shared" si="14"/>
        <v>18.289199999999997</v>
      </c>
      <c r="U104">
        <f t="shared" si="15"/>
        <v>6.8288763635999992</v>
      </c>
      <c r="X104" s="9"/>
      <c r="Y104" s="22">
        <v>1.2766999999999999</v>
      </c>
      <c r="Z104" s="22">
        <v>103.70699999999999</v>
      </c>
      <c r="AA104" s="22">
        <v>-1.8090800000000001E-2</v>
      </c>
      <c r="AB104" s="22">
        <v>94</v>
      </c>
      <c r="AC104" s="22">
        <v>1.2753300000000001</v>
      </c>
      <c r="AD104">
        <f t="shared" si="16"/>
        <v>18.090800000000002</v>
      </c>
      <c r="AE104">
        <f t="shared" si="17"/>
        <v>23.09652436</v>
      </c>
      <c r="AF104" s="9"/>
      <c r="AG104" s="22">
        <v>0.37338300000000002</v>
      </c>
      <c r="AH104" s="22">
        <v>121.52800000000001</v>
      </c>
      <c r="AI104" s="22">
        <v>-1.85547E-2</v>
      </c>
      <c r="AJ104" s="22">
        <v>94</v>
      </c>
      <c r="AK104" s="22">
        <v>0.37243700000000002</v>
      </c>
      <c r="AL104">
        <f t="shared" si="18"/>
        <v>18.5547</v>
      </c>
      <c r="AM104">
        <f t="shared" si="19"/>
        <v>6.9280095501000005</v>
      </c>
      <c r="AP104" s="9"/>
      <c r="AQ104" s="22">
        <v>1.2766999999999999</v>
      </c>
      <c r="AR104" s="22">
        <v>155.797</v>
      </c>
      <c r="AS104" s="22">
        <v>4.6740700000000003E-2</v>
      </c>
      <c r="AT104" s="22">
        <v>94</v>
      </c>
      <c r="AU104" s="22">
        <v>0.35388199999999997</v>
      </c>
      <c r="AV104">
        <f t="shared" si="20"/>
        <v>-46.740700000000004</v>
      </c>
      <c r="AW104">
        <f t="shared" si="21"/>
        <v>-59.673851689999999</v>
      </c>
      <c r="AX104" s="9"/>
      <c r="AY104" s="22">
        <v>0.37338300000000002</v>
      </c>
      <c r="AZ104" s="22">
        <v>190.184</v>
      </c>
      <c r="BA104" s="22">
        <v>-1.8103000000000001E-2</v>
      </c>
      <c r="BB104" s="22">
        <v>94</v>
      </c>
      <c r="BC104" s="22">
        <v>0.374359</v>
      </c>
      <c r="BD104">
        <f t="shared" si="22"/>
        <v>18.103000000000002</v>
      </c>
      <c r="BE104">
        <f t="shared" si="23"/>
        <v>6.7593524490000005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35.201599999999999</v>
      </c>
      <c r="I105" s="22">
        <v>4.67102E-2</v>
      </c>
      <c r="J105" s="22">
        <v>95</v>
      </c>
      <c r="K105" s="22">
        <v>0.35363800000000001</v>
      </c>
      <c r="L105">
        <f t="shared" si="12"/>
        <v>-46.7102</v>
      </c>
      <c r="M105">
        <f t="shared" si="13"/>
        <v>-59.399960034000003</v>
      </c>
      <c r="N105" s="9"/>
      <c r="O105" s="22">
        <v>0.37841799999999998</v>
      </c>
      <c r="P105" s="22">
        <v>69.510800000000003</v>
      </c>
      <c r="Q105" s="22">
        <v>-1.8292200000000002E-2</v>
      </c>
      <c r="R105" s="22">
        <v>95</v>
      </c>
      <c r="S105" s="22">
        <v>0.377716</v>
      </c>
      <c r="T105">
        <f t="shared" si="14"/>
        <v>18.292200000000001</v>
      </c>
      <c r="U105">
        <f t="shared" si="15"/>
        <v>6.9220977395999999</v>
      </c>
      <c r="X105" s="9"/>
      <c r="Y105" s="22">
        <v>1.2716700000000001</v>
      </c>
      <c r="Z105" s="22">
        <v>103.717</v>
      </c>
      <c r="AA105" s="22">
        <v>-1.80939E-2</v>
      </c>
      <c r="AB105" s="22">
        <v>95</v>
      </c>
      <c r="AC105" s="22">
        <v>1.27014</v>
      </c>
      <c r="AD105">
        <f t="shared" si="16"/>
        <v>18.093899999999998</v>
      </c>
      <c r="AE105">
        <f t="shared" si="17"/>
        <v>23.009469812999999</v>
      </c>
      <c r="AF105" s="9"/>
      <c r="AG105" s="22">
        <v>0.37841799999999998</v>
      </c>
      <c r="AH105" s="22">
        <v>121.538</v>
      </c>
      <c r="AI105" s="22">
        <v>-1.8551600000000001E-2</v>
      </c>
      <c r="AJ105" s="22">
        <v>95</v>
      </c>
      <c r="AK105" s="22">
        <v>0.37792999999999999</v>
      </c>
      <c r="AL105">
        <f t="shared" si="18"/>
        <v>18.551600000000001</v>
      </c>
      <c r="AM105">
        <f t="shared" si="19"/>
        <v>7.0202593687999997</v>
      </c>
      <c r="AP105" s="9"/>
      <c r="AQ105" s="22">
        <v>1.2716700000000001</v>
      </c>
      <c r="AR105" s="22">
        <v>155.80699999999999</v>
      </c>
      <c r="AS105" s="22">
        <v>4.67377E-2</v>
      </c>
      <c r="AT105" s="22">
        <v>95</v>
      </c>
      <c r="AU105" s="22">
        <v>0.36477700000000002</v>
      </c>
      <c r="AV105">
        <f t="shared" si="20"/>
        <v>-46.737699999999997</v>
      </c>
      <c r="AW105">
        <f t="shared" si="21"/>
        <v>-59.434930958999999</v>
      </c>
      <c r="AX105" s="9"/>
      <c r="AY105" s="22">
        <v>0.37841799999999998</v>
      </c>
      <c r="AZ105" s="22">
        <v>190.19399999999999</v>
      </c>
      <c r="BA105" s="22">
        <v>-1.8096899999999999E-2</v>
      </c>
      <c r="BB105" s="22">
        <v>95</v>
      </c>
      <c r="BC105" s="22">
        <v>0.37429800000000002</v>
      </c>
      <c r="BD105">
        <f t="shared" si="22"/>
        <v>18.096899999999998</v>
      </c>
      <c r="BE105">
        <f t="shared" si="23"/>
        <v>6.8481927041999988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35.2117</v>
      </c>
      <c r="I106" s="22">
        <v>4.6719400000000001E-2</v>
      </c>
      <c r="J106" s="22">
        <v>96</v>
      </c>
      <c r="K106" s="22">
        <v>0.35403400000000002</v>
      </c>
      <c r="L106">
        <f t="shared" si="12"/>
        <v>-46.7194</v>
      </c>
      <c r="M106">
        <f t="shared" si="13"/>
        <v>-59.176193622</v>
      </c>
      <c r="N106" s="9"/>
      <c r="O106" s="22">
        <v>0.38345299999999999</v>
      </c>
      <c r="P106" s="22">
        <v>69.520799999999994</v>
      </c>
      <c r="Q106" s="22">
        <v>-1.82831E-2</v>
      </c>
      <c r="R106" s="22">
        <v>96</v>
      </c>
      <c r="S106" s="22">
        <v>0.38320900000000002</v>
      </c>
      <c r="T106">
        <f t="shared" si="14"/>
        <v>18.283100000000001</v>
      </c>
      <c r="U106">
        <f t="shared" si="15"/>
        <v>7.0107095443</v>
      </c>
      <c r="X106" s="9"/>
      <c r="Y106" s="22">
        <v>1.2666299999999999</v>
      </c>
      <c r="Z106" s="22">
        <v>103.727</v>
      </c>
      <c r="AA106" s="22">
        <v>-1.8100000000000002E-2</v>
      </c>
      <c r="AB106" s="22">
        <v>96</v>
      </c>
      <c r="AC106" s="22">
        <v>1.26556</v>
      </c>
      <c r="AD106">
        <f t="shared" si="16"/>
        <v>18.100000000000001</v>
      </c>
      <c r="AE106">
        <f t="shared" si="17"/>
        <v>22.926003000000001</v>
      </c>
      <c r="AF106" s="9"/>
      <c r="AG106" s="22">
        <v>0.38345299999999999</v>
      </c>
      <c r="AH106" s="22">
        <v>121.548</v>
      </c>
      <c r="AI106" s="22">
        <v>-1.8551600000000001E-2</v>
      </c>
      <c r="AJ106" s="22">
        <v>96</v>
      </c>
      <c r="AK106" s="22">
        <v>0.382019</v>
      </c>
      <c r="AL106">
        <f t="shared" si="18"/>
        <v>18.551600000000001</v>
      </c>
      <c r="AM106">
        <f t="shared" si="19"/>
        <v>7.1136666748000001</v>
      </c>
      <c r="AP106" s="9"/>
      <c r="AQ106" s="22">
        <v>1.2666299999999999</v>
      </c>
      <c r="AR106" s="22">
        <v>155.81700000000001</v>
      </c>
      <c r="AS106" s="22">
        <v>4.6734600000000001E-2</v>
      </c>
      <c r="AT106" s="22">
        <v>96</v>
      </c>
      <c r="AU106" s="22">
        <v>0.36605799999999999</v>
      </c>
      <c r="AV106">
        <f t="shared" si="20"/>
        <v>-46.7346</v>
      </c>
      <c r="AW106">
        <f t="shared" si="21"/>
        <v>-59.195446397999994</v>
      </c>
      <c r="AX106" s="9"/>
      <c r="AY106" s="22">
        <v>0.38345299999999999</v>
      </c>
      <c r="AZ106" s="22">
        <v>190.20400000000001</v>
      </c>
      <c r="BA106" s="22">
        <v>-1.8124399999999999E-2</v>
      </c>
      <c r="BB106" s="22">
        <v>96</v>
      </c>
      <c r="BC106" s="22">
        <v>0.37524400000000002</v>
      </c>
      <c r="BD106">
        <f t="shared" si="22"/>
        <v>18.124399999999998</v>
      </c>
      <c r="BE106">
        <f t="shared" si="23"/>
        <v>6.949855553199999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35.221699999999998</v>
      </c>
      <c r="I107" s="22">
        <v>4.6722399999999997E-2</v>
      </c>
      <c r="J107" s="22">
        <v>97</v>
      </c>
      <c r="K107" s="22">
        <v>0.35220299999999999</v>
      </c>
      <c r="L107">
        <f t="shared" si="12"/>
        <v>-46.7224</v>
      </c>
      <c r="M107">
        <f t="shared" si="13"/>
        <v>-58.944979840000002</v>
      </c>
      <c r="N107" s="9"/>
      <c r="O107" s="22">
        <v>0.38848899999999997</v>
      </c>
      <c r="P107" s="22">
        <v>69.530900000000003</v>
      </c>
      <c r="Q107" s="22">
        <v>-1.8289199999999999E-2</v>
      </c>
      <c r="R107" s="22">
        <v>97</v>
      </c>
      <c r="S107" s="22">
        <v>0.388123</v>
      </c>
      <c r="T107">
        <f t="shared" si="14"/>
        <v>18.289199999999997</v>
      </c>
      <c r="U107">
        <f t="shared" si="15"/>
        <v>7.1051530187999985</v>
      </c>
      <c r="X107" s="9"/>
      <c r="Y107" s="22">
        <v>1.2616000000000001</v>
      </c>
      <c r="Z107" s="22">
        <v>103.73699999999999</v>
      </c>
      <c r="AA107" s="22">
        <v>-1.8103000000000001E-2</v>
      </c>
      <c r="AB107" s="22">
        <v>97</v>
      </c>
      <c r="AC107" s="22">
        <v>1.26007</v>
      </c>
      <c r="AD107">
        <f t="shared" si="16"/>
        <v>18.103000000000002</v>
      </c>
      <c r="AE107">
        <f t="shared" si="17"/>
        <v>22.838744800000004</v>
      </c>
      <c r="AF107" s="9"/>
      <c r="AG107" s="22">
        <v>0.38848899999999997</v>
      </c>
      <c r="AH107" s="22">
        <v>121.55800000000001</v>
      </c>
      <c r="AI107" s="22">
        <v>-1.8548599999999998E-2</v>
      </c>
      <c r="AJ107" s="22">
        <v>97</v>
      </c>
      <c r="AK107" s="22">
        <v>0.38766499999999998</v>
      </c>
      <c r="AL107">
        <f t="shared" si="18"/>
        <v>18.548599999999997</v>
      </c>
      <c r="AM107">
        <f t="shared" si="19"/>
        <v>7.2059270653999983</v>
      </c>
      <c r="AP107" s="9"/>
      <c r="AQ107" s="22">
        <v>1.2616000000000001</v>
      </c>
      <c r="AR107" s="22">
        <v>155.827</v>
      </c>
      <c r="AS107" s="22">
        <v>4.6725500000000003E-2</v>
      </c>
      <c r="AT107" s="22">
        <v>97</v>
      </c>
      <c r="AU107" s="22">
        <v>0.36434899999999998</v>
      </c>
      <c r="AV107">
        <f t="shared" si="20"/>
        <v>-46.725500000000004</v>
      </c>
      <c r="AW107">
        <f t="shared" si="21"/>
        <v>-58.948890800000008</v>
      </c>
      <c r="AX107" s="9"/>
      <c r="AY107" s="22">
        <v>0.38848899999999997</v>
      </c>
      <c r="AZ107" s="22">
        <v>190.214</v>
      </c>
      <c r="BA107" s="22">
        <v>-1.81213E-2</v>
      </c>
      <c r="BB107" s="22">
        <v>97</v>
      </c>
      <c r="BC107" s="22">
        <v>0.38607799999999998</v>
      </c>
      <c r="BD107">
        <f t="shared" si="22"/>
        <v>18.121300000000002</v>
      </c>
      <c r="BE107">
        <f t="shared" si="23"/>
        <v>7.0399257156999999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35.2318</v>
      </c>
      <c r="I108" s="22">
        <v>4.6719400000000001E-2</v>
      </c>
      <c r="J108" s="22">
        <v>98</v>
      </c>
      <c r="K108" s="22">
        <v>0.35082999999999998</v>
      </c>
      <c r="L108">
        <f t="shared" si="12"/>
        <v>-46.7194</v>
      </c>
      <c r="M108">
        <f t="shared" si="13"/>
        <v>-58.705729263999999</v>
      </c>
      <c r="N108" s="9"/>
      <c r="O108" s="22">
        <v>0.39352399999999998</v>
      </c>
      <c r="P108" s="22">
        <v>69.540999999999997</v>
      </c>
      <c r="Q108" s="22">
        <v>-1.8277000000000002E-2</v>
      </c>
      <c r="R108" s="22">
        <v>98</v>
      </c>
      <c r="S108" s="22">
        <v>0.39279199999999997</v>
      </c>
      <c r="T108">
        <f t="shared" si="14"/>
        <v>18.277000000000001</v>
      </c>
      <c r="U108">
        <f t="shared" si="15"/>
        <v>7.1924381479999999</v>
      </c>
      <c r="X108" s="9"/>
      <c r="Y108" s="22">
        <v>1.2565599999999999</v>
      </c>
      <c r="Z108" s="22">
        <v>103.747</v>
      </c>
      <c r="AA108" s="22">
        <v>-1.81061E-2</v>
      </c>
      <c r="AB108" s="22">
        <v>98</v>
      </c>
      <c r="AC108" s="22">
        <v>1.25702</v>
      </c>
      <c r="AD108">
        <f t="shared" si="16"/>
        <v>18.106100000000001</v>
      </c>
      <c r="AE108">
        <f t="shared" si="17"/>
        <v>22.751401015999999</v>
      </c>
      <c r="AF108" s="9"/>
      <c r="AG108" s="22">
        <v>0.39352399999999998</v>
      </c>
      <c r="AH108" s="22">
        <v>121.568</v>
      </c>
      <c r="AI108" s="22">
        <v>-1.8548599999999998E-2</v>
      </c>
      <c r="AJ108" s="22">
        <v>98</v>
      </c>
      <c r="AK108" s="22">
        <v>0.39276100000000003</v>
      </c>
      <c r="AL108">
        <f t="shared" si="18"/>
        <v>18.548599999999997</v>
      </c>
      <c r="AM108">
        <f t="shared" si="19"/>
        <v>7.2993192663999986</v>
      </c>
      <c r="AP108" s="9"/>
      <c r="AQ108" s="22">
        <v>1.2565599999999999</v>
      </c>
      <c r="AR108" s="22">
        <v>155.83699999999999</v>
      </c>
      <c r="AS108" s="22">
        <v>4.6725500000000003E-2</v>
      </c>
      <c r="AT108" s="22">
        <v>98</v>
      </c>
      <c r="AU108" s="22">
        <v>0.36657699999999999</v>
      </c>
      <c r="AV108">
        <f t="shared" si="20"/>
        <v>-46.725500000000004</v>
      </c>
      <c r="AW108">
        <f t="shared" si="21"/>
        <v>-58.713394280000003</v>
      </c>
      <c r="AX108" s="9"/>
      <c r="AY108" s="22">
        <v>0.39352399999999998</v>
      </c>
      <c r="AZ108" s="22">
        <v>190.22399999999999</v>
      </c>
      <c r="BA108" s="22">
        <v>-1.8090800000000001E-2</v>
      </c>
      <c r="BB108" s="22">
        <v>98</v>
      </c>
      <c r="BC108" s="22">
        <v>0.39099099999999998</v>
      </c>
      <c r="BD108">
        <f t="shared" si="22"/>
        <v>18.090800000000002</v>
      </c>
      <c r="BE108">
        <f t="shared" si="23"/>
        <v>7.1191639792000005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35.241900000000001</v>
      </c>
      <c r="I109" s="22">
        <v>4.6716300000000002E-2</v>
      </c>
      <c r="J109" s="22">
        <v>99</v>
      </c>
      <c r="K109" s="22">
        <v>0.35125699999999999</v>
      </c>
      <c r="L109">
        <f t="shared" si="12"/>
        <v>-46.716300000000004</v>
      </c>
      <c r="M109">
        <f t="shared" si="13"/>
        <v>-58.466850939000004</v>
      </c>
      <c r="N109" s="9"/>
      <c r="O109" s="22">
        <v>0.39856000000000003</v>
      </c>
      <c r="P109" s="22">
        <v>69.551000000000002</v>
      </c>
      <c r="Q109" s="22">
        <v>-1.8280000000000001E-2</v>
      </c>
      <c r="R109" s="22">
        <v>99</v>
      </c>
      <c r="S109" s="22">
        <v>0.39901700000000001</v>
      </c>
      <c r="T109">
        <f t="shared" si="14"/>
        <v>18.28</v>
      </c>
      <c r="U109">
        <f t="shared" si="15"/>
        <v>7.285676800000001</v>
      </c>
      <c r="X109" s="9"/>
      <c r="Y109" s="22">
        <v>1.25153</v>
      </c>
      <c r="Z109" s="22">
        <v>103.75700000000001</v>
      </c>
      <c r="AA109" s="22">
        <v>-1.81091E-2</v>
      </c>
      <c r="AB109" s="22">
        <v>99</v>
      </c>
      <c r="AC109" s="22">
        <v>1.25061</v>
      </c>
      <c r="AD109">
        <f t="shared" si="16"/>
        <v>18.109099999999998</v>
      </c>
      <c r="AE109">
        <f t="shared" si="17"/>
        <v>22.664081922999998</v>
      </c>
      <c r="AF109" s="9"/>
      <c r="AG109" s="22">
        <v>0.39856000000000003</v>
      </c>
      <c r="AH109" s="22">
        <v>121.578</v>
      </c>
      <c r="AI109" s="22">
        <v>-1.8548599999999998E-2</v>
      </c>
      <c r="AJ109" s="22">
        <v>99</v>
      </c>
      <c r="AK109" s="22">
        <v>0.39843800000000001</v>
      </c>
      <c r="AL109">
        <f t="shared" si="18"/>
        <v>18.548599999999997</v>
      </c>
      <c r="AM109">
        <f t="shared" si="19"/>
        <v>7.3927300159999989</v>
      </c>
      <c r="AP109" s="9"/>
      <c r="AQ109" s="22">
        <v>1.25153</v>
      </c>
      <c r="AR109" s="22">
        <v>155.84700000000001</v>
      </c>
      <c r="AS109" s="22">
        <v>4.6722399999999997E-2</v>
      </c>
      <c r="AT109" s="22">
        <v>99</v>
      </c>
      <c r="AU109" s="22">
        <v>0.36575299999999999</v>
      </c>
      <c r="AV109">
        <f t="shared" si="20"/>
        <v>-46.7224</v>
      </c>
      <c r="AW109">
        <f t="shared" si="21"/>
        <v>-58.474485272000003</v>
      </c>
      <c r="AX109" s="9"/>
      <c r="AY109" s="22">
        <v>0.39856000000000003</v>
      </c>
      <c r="AZ109" s="22">
        <v>190.23400000000001</v>
      </c>
      <c r="BA109" s="22">
        <v>-1.8096899999999999E-2</v>
      </c>
      <c r="BB109" s="22">
        <v>99</v>
      </c>
      <c r="BC109" s="22">
        <v>0.40362500000000001</v>
      </c>
      <c r="BD109">
        <f t="shared" si="22"/>
        <v>18.096899999999998</v>
      </c>
      <c r="BE109">
        <f t="shared" si="23"/>
        <v>7.2127004640000001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35.252000000000002</v>
      </c>
      <c r="I110" s="22">
        <v>4.6700999999999999E-2</v>
      </c>
      <c r="J110" s="22">
        <v>100</v>
      </c>
      <c r="K110" s="22">
        <v>0.353516</v>
      </c>
      <c r="L110">
        <f t="shared" si="12"/>
        <v>-46.701000000000001</v>
      </c>
      <c r="M110">
        <f t="shared" si="13"/>
        <v>-58.212329490000002</v>
      </c>
      <c r="N110" s="9"/>
      <c r="O110" s="22">
        <v>0.40359499999999998</v>
      </c>
      <c r="P110" s="22">
        <v>69.561099999999996</v>
      </c>
      <c r="Q110" s="22">
        <v>-1.8264800000000001E-2</v>
      </c>
      <c r="R110" s="22">
        <v>100</v>
      </c>
      <c r="S110" s="22">
        <v>0.40286300000000003</v>
      </c>
      <c r="T110">
        <f t="shared" si="14"/>
        <v>18.264800000000001</v>
      </c>
      <c r="U110">
        <f t="shared" si="15"/>
        <v>7.371581956</v>
      </c>
      <c r="X110" s="9"/>
      <c r="Y110" s="22">
        <v>1.2464900000000001</v>
      </c>
      <c r="Z110" s="22">
        <v>103.767</v>
      </c>
      <c r="AA110" s="22">
        <v>-1.8112199999999998E-2</v>
      </c>
      <c r="AB110" s="22">
        <v>100</v>
      </c>
      <c r="AC110" s="22">
        <v>1.24481</v>
      </c>
      <c r="AD110">
        <f t="shared" si="16"/>
        <v>18.112199999999998</v>
      </c>
      <c r="AE110">
        <f t="shared" si="17"/>
        <v>22.576676178</v>
      </c>
      <c r="AF110" s="9"/>
      <c r="AG110" s="22">
        <v>0.40359499999999998</v>
      </c>
      <c r="AH110" s="22">
        <v>121.58799999999999</v>
      </c>
      <c r="AI110" s="22">
        <v>-1.8545499999999999E-2</v>
      </c>
      <c r="AJ110" s="22">
        <v>100</v>
      </c>
      <c r="AK110" s="22">
        <v>0.40307599999999999</v>
      </c>
      <c r="AL110">
        <f t="shared" si="18"/>
        <v>18.545500000000001</v>
      </c>
      <c r="AM110">
        <f t="shared" si="19"/>
        <v>7.4848710724999998</v>
      </c>
      <c r="AP110" s="9"/>
      <c r="AQ110" s="22">
        <v>1.2464900000000001</v>
      </c>
      <c r="AR110" s="22">
        <v>155.857</v>
      </c>
      <c r="AS110" s="22">
        <v>4.6722399999999997E-2</v>
      </c>
      <c r="AT110" s="22">
        <v>100</v>
      </c>
      <c r="AU110" s="22">
        <v>0.365784</v>
      </c>
      <c r="AV110">
        <f t="shared" si="20"/>
        <v>-46.7224</v>
      </c>
      <c r="AW110">
        <f t="shared" si="21"/>
        <v>-58.239004376000004</v>
      </c>
      <c r="AX110" s="9"/>
      <c r="AY110" s="22">
        <v>0.40359499999999998</v>
      </c>
      <c r="AZ110" s="22">
        <v>190.244</v>
      </c>
      <c r="BA110" s="22">
        <v>-1.8100000000000002E-2</v>
      </c>
      <c r="BB110" s="22">
        <v>100</v>
      </c>
      <c r="BC110" s="22">
        <v>0.392517</v>
      </c>
      <c r="BD110">
        <f t="shared" si="22"/>
        <v>18.100000000000001</v>
      </c>
      <c r="BE110">
        <f t="shared" si="23"/>
        <v>7.3050695000000001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35.262</v>
      </c>
      <c r="I111" s="22">
        <v>4.6694899999999998E-2</v>
      </c>
      <c r="J111" s="22">
        <v>101</v>
      </c>
      <c r="K111" s="22">
        <v>0.35607899999999998</v>
      </c>
      <c r="L111">
        <f t="shared" si="12"/>
        <v>-46.694899999999997</v>
      </c>
      <c r="M111">
        <f t="shared" si="13"/>
        <v>-57.969850553999997</v>
      </c>
      <c r="N111" s="9"/>
      <c r="O111" s="22">
        <v>0.40862999999999999</v>
      </c>
      <c r="P111" s="22">
        <v>69.571200000000005</v>
      </c>
      <c r="Q111" s="22">
        <v>-1.82709E-2</v>
      </c>
      <c r="R111" s="22">
        <v>101</v>
      </c>
      <c r="S111" s="22">
        <v>0.40744000000000002</v>
      </c>
      <c r="T111">
        <f t="shared" si="14"/>
        <v>18.270900000000001</v>
      </c>
      <c r="U111">
        <f t="shared" si="15"/>
        <v>7.4660378670000007</v>
      </c>
      <c r="X111" s="9"/>
      <c r="Y111" s="22">
        <v>1.24146</v>
      </c>
      <c r="Z111" s="22">
        <v>103.777</v>
      </c>
      <c r="AA111" s="22">
        <v>-1.8115200000000001E-2</v>
      </c>
      <c r="AB111" s="22">
        <v>101</v>
      </c>
      <c r="AC111" s="22">
        <v>1.2402299999999999</v>
      </c>
      <c r="AD111">
        <f t="shared" si="16"/>
        <v>18.115200000000002</v>
      </c>
      <c r="AE111">
        <f t="shared" si="17"/>
        <v>22.489296192000001</v>
      </c>
      <c r="AF111" s="9"/>
      <c r="AG111" s="22">
        <v>0.40862999999999999</v>
      </c>
      <c r="AH111" s="22">
        <v>121.598</v>
      </c>
      <c r="AI111" s="22">
        <v>-1.85425E-2</v>
      </c>
      <c r="AJ111" s="22">
        <v>101</v>
      </c>
      <c r="AK111" s="22">
        <v>0.40841699999999997</v>
      </c>
      <c r="AL111">
        <f t="shared" si="18"/>
        <v>18.5425</v>
      </c>
      <c r="AM111">
        <f t="shared" si="19"/>
        <v>7.5770217750000004</v>
      </c>
      <c r="AP111" s="9"/>
      <c r="AQ111" s="22">
        <v>1.24146</v>
      </c>
      <c r="AR111" s="22">
        <v>155.86699999999999</v>
      </c>
      <c r="AS111" s="22">
        <v>4.6719400000000001E-2</v>
      </c>
      <c r="AT111" s="22">
        <v>101</v>
      </c>
      <c r="AU111" s="22">
        <v>0.36203000000000002</v>
      </c>
      <c r="AV111">
        <f t="shared" si="20"/>
        <v>-46.7194</v>
      </c>
      <c r="AW111">
        <f t="shared" si="21"/>
        <v>-58.000266324000002</v>
      </c>
      <c r="AX111" s="9"/>
      <c r="AY111" s="22">
        <v>0.40862999999999999</v>
      </c>
      <c r="AZ111" s="22">
        <v>190.25399999999999</v>
      </c>
      <c r="BA111" s="22">
        <v>-1.8096899999999999E-2</v>
      </c>
      <c r="BB111" s="22">
        <v>101</v>
      </c>
      <c r="BC111" s="22">
        <v>0.405304</v>
      </c>
      <c r="BD111">
        <f t="shared" si="22"/>
        <v>18.096899999999998</v>
      </c>
      <c r="BE111">
        <f t="shared" si="23"/>
        <v>7.3949362469999986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35.272100000000002</v>
      </c>
      <c r="I112" s="22">
        <v>4.6691900000000001E-2</v>
      </c>
      <c r="J112" s="22">
        <v>102</v>
      </c>
      <c r="K112" s="22">
        <v>0.356873</v>
      </c>
      <c r="L112">
        <f t="shared" si="12"/>
        <v>-46.691900000000004</v>
      </c>
      <c r="M112">
        <f t="shared" si="13"/>
        <v>-57.730798998000012</v>
      </c>
      <c r="N112" s="9"/>
      <c r="O112" s="22">
        <v>0.41366599999999998</v>
      </c>
      <c r="P112" s="22">
        <v>69.581299999999999</v>
      </c>
      <c r="Q112" s="22">
        <v>-1.8261699999999999E-2</v>
      </c>
      <c r="R112" s="22">
        <v>102</v>
      </c>
      <c r="S112" s="22">
        <v>0.413269</v>
      </c>
      <c r="T112">
        <f t="shared" si="14"/>
        <v>18.261699999999998</v>
      </c>
      <c r="U112">
        <f t="shared" si="15"/>
        <v>7.5542443921999984</v>
      </c>
      <c r="X112" s="9"/>
      <c r="Y112" s="22">
        <v>1.2364200000000001</v>
      </c>
      <c r="Z112" s="22">
        <v>103.78700000000001</v>
      </c>
      <c r="AA112" s="22">
        <v>-1.81183E-2</v>
      </c>
      <c r="AB112" s="22">
        <v>102</v>
      </c>
      <c r="AC112" s="22">
        <v>1.2359599999999999</v>
      </c>
      <c r="AD112">
        <f t="shared" si="16"/>
        <v>18.118300000000001</v>
      </c>
      <c r="AE112">
        <f t="shared" si="17"/>
        <v>22.401828486000003</v>
      </c>
      <c r="AF112" s="9"/>
      <c r="AG112" s="22">
        <v>0.41366599999999998</v>
      </c>
      <c r="AH112" s="22">
        <v>121.608</v>
      </c>
      <c r="AI112" s="22">
        <v>-1.8539400000000001E-2</v>
      </c>
      <c r="AJ112" s="22">
        <v>102</v>
      </c>
      <c r="AK112" s="22">
        <v>0.4133</v>
      </c>
      <c r="AL112">
        <f t="shared" si="18"/>
        <v>18.539400000000001</v>
      </c>
      <c r="AM112">
        <f t="shared" si="19"/>
        <v>7.6691194403999994</v>
      </c>
      <c r="AP112" s="9"/>
      <c r="AQ112" s="22">
        <v>1.2364200000000001</v>
      </c>
      <c r="AR112" s="22">
        <v>155.87700000000001</v>
      </c>
      <c r="AS112" s="22">
        <v>4.6716300000000002E-2</v>
      </c>
      <c r="AT112" s="22">
        <v>102</v>
      </c>
      <c r="AU112" s="22">
        <v>0.36059600000000003</v>
      </c>
      <c r="AV112">
        <f t="shared" si="20"/>
        <v>-46.716300000000004</v>
      </c>
      <c r="AW112">
        <f t="shared" si="21"/>
        <v>-57.760967646000012</v>
      </c>
      <c r="AX112" s="9"/>
      <c r="AY112" s="22">
        <v>0.41366599999999998</v>
      </c>
      <c r="AZ112" s="22">
        <v>190.26499999999999</v>
      </c>
      <c r="BA112" s="22">
        <v>-1.8100000000000002E-2</v>
      </c>
      <c r="BB112" s="22">
        <v>102</v>
      </c>
      <c r="BC112" s="22">
        <v>0.41891499999999998</v>
      </c>
      <c r="BD112">
        <f t="shared" si="22"/>
        <v>18.100000000000001</v>
      </c>
      <c r="BE112">
        <f t="shared" si="23"/>
        <v>7.4873545999999997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35.282200000000003</v>
      </c>
      <c r="I113" s="22">
        <v>4.6682700000000001E-2</v>
      </c>
      <c r="J113" s="22">
        <v>103</v>
      </c>
      <c r="K113" s="22">
        <v>0.35519400000000001</v>
      </c>
      <c r="L113">
        <f t="shared" si="12"/>
        <v>-46.682700000000004</v>
      </c>
      <c r="M113">
        <f t="shared" si="13"/>
        <v>-57.484143125999999</v>
      </c>
      <c r="N113" s="9"/>
      <c r="O113" s="22">
        <v>0.41870099999999999</v>
      </c>
      <c r="P113" s="22">
        <v>69.591300000000004</v>
      </c>
      <c r="Q113" s="22">
        <v>-1.82709E-2</v>
      </c>
      <c r="R113" s="22">
        <v>103</v>
      </c>
      <c r="S113" s="22">
        <v>0.41812100000000002</v>
      </c>
      <c r="T113">
        <f t="shared" si="14"/>
        <v>18.270900000000001</v>
      </c>
      <c r="U113">
        <f t="shared" si="15"/>
        <v>7.6500441009000006</v>
      </c>
      <c r="X113" s="9"/>
      <c r="Y113" s="22">
        <v>1.2313799999999999</v>
      </c>
      <c r="Z113" s="22">
        <v>103.797</v>
      </c>
      <c r="AA113" s="22">
        <v>-1.8124399999999999E-2</v>
      </c>
      <c r="AB113" s="22">
        <v>103</v>
      </c>
      <c r="AC113" s="22">
        <v>1.2301599999999999</v>
      </c>
      <c r="AD113">
        <f t="shared" si="16"/>
        <v>18.124399999999998</v>
      </c>
      <c r="AE113">
        <f t="shared" si="17"/>
        <v>22.318023671999995</v>
      </c>
      <c r="AF113" s="9"/>
      <c r="AG113" s="22">
        <v>0.41870099999999999</v>
      </c>
      <c r="AH113" s="22">
        <v>121.61799999999999</v>
      </c>
      <c r="AI113" s="22">
        <v>-1.8539400000000001E-2</v>
      </c>
      <c r="AJ113" s="22">
        <v>103</v>
      </c>
      <c r="AK113" s="22">
        <v>0.41830400000000001</v>
      </c>
      <c r="AL113">
        <f t="shared" si="18"/>
        <v>18.539400000000001</v>
      </c>
      <c r="AM113">
        <f t="shared" si="19"/>
        <v>7.7624653194000004</v>
      </c>
      <c r="AP113" s="9"/>
      <c r="AQ113" s="22">
        <v>1.2313799999999999</v>
      </c>
      <c r="AR113" s="22">
        <v>155.887</v>
      </c>
      <c r="AS113" s="22">
        <v>4.6713299999999999E-2</v>
      </c>
      <c r="AT113" s="22">
        <v>103</v>
      </c>
      <c r="AU113" s="22">
        <v>0.35491899999999998</v>
      </c>
      <c r="AV113">
        <f t="shared" si="20"/>
        <v>-46.713299999999997</v>
      </c>
      <c r="AW113">
        <f t="shared" si="21"/>
        <v>-57.521823353999991</v>
      </c>
      <c r="AX113" s="9"/>
      <c r="AY113" s="22">
        <v>0.41870099999999999</v>
      </c>
      <c r="AZ113" s="22">
        <v>190.27500000000001</v>
      </c>
      <c r="BA113" s="22">
        <v>-1.8075600000000001E-2</v>
      </c>
      <c r="BB113" s="22">
        <v>103</v>
      </c>
      <c r="BC113" s="22">
        <v>0.431732</v>
      </c>
      <c r="BD113">
        <f t="shared" si="22"/>
        <v>18.075600000000001</v>
      </c>
      <c r="BE113">
        <f t="shared" si="23"/>
        <v>7.5682717956000003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35.292200000000001</v>
      </c>
      <c r="I114" s="22">
        <v>4.6679699999999998E-2</v>
      </c>
      <c r="J114" s="22">
        <v>104</v>
      </c>
      <c r="K114" s="22">
        <v>0.35180699999999998</v>
      </c>
      <c r="L114">
        <f t="shared" si="12"/>
        <v>-46.679699999999997</v>
      </c>
      <c r="M114">
        <f t="shared" si="13"/>
        <v>-57.245650095000002</v>
      </c>
      <c r="N114" s="9"/>
      <c r="O114" s="22">
        <v>0.42373699999999997</v>
      </c>
      <c r="P114" s="22">
        <v>69.601399999999998</v>
      </c>
      <c r="Q114" s="22">
        <v>-1.8261699999999999E-2</v>
      </c>
      <c r="R114" s="22">
        <v>104</v>
      </c>
      <c r="S114" s="22">
        <v>0.423431</v>
      </c>
      <c r="T114">
        <f t="shared" si="14"/>
        <v>18.261699999999998</v>
      </c>
      <c r="U114">
        <f t="shared" si="15"/>
        <v>7.738157972899999</v>
      </c>
      <c r="X114" s="9"/>
      <c r="Y114" s="22">
        <v>1.2263500000000001</v>
      </c>
      <c r="Z114" s="22">
        <v>103.80800000000001</v>
      </c>
      <c r="AA114" s="22">
        <v>-1.8127399999999998E-2</v>
      </c>
      <c r="AB114" s="22">
        <v>104</v>
      </c>
      <c r="AC114" s="22">
        <v>1.2258899999999999</v>
      </c>
      <c r="AD114">
        <f t="shared" si="16"/>
        <v>18.127399999999998</v>
      </c>
      <c r="AE114">
        <f t="shared" si="17"/>
        <v>22.230536989999997</v>
      </c>
      <c r="AF114" s="9"/>
      <c r="AG114" s="22">
        <v>0.42373699999999997</v>
      </c>
      <c r="AH114" s="22">
        <v>121.628</v>
      </c>
      <c r="AI114" s="22">
        <v>-1.8536400000000001E-2</v>
      </c>
      <c r="AJ114" s="22">
        <v>104</v>
      </c>
      <c r="AK114" s="22">
        <v>0.42297400000000002</v>
      </c>
      <c r="AL114">
        <f t="shared" si="18"/>
        <v>18.5364</v>
      </c>
      <c r="AM114">
        <f t="shared" si="19"/>
        <v>7.8545585268</v>
      </c>
      <c r="AP114" s="9"/>
      <c r="AQ114" s="22">
        <v>1.2263500000000001</v>
      </c>
      <c r="AR114" s="22">
        <v>155.898</v>
      </c>
      <c r="AS114" s="22">
        <v>4.6707199999999997E-2</v>
      </c>
      <c r="AT114" s="22">
        <v>104</v>
      </c>
      <c r="AU114" s="22">
        <v>0.36184699999999997</v>
      </c>
      <c r="AV114">
        <f t="shared" si="20"/>
        <v>-46.7072</v>
      </c>
      <c r="AW114">
        <f t="shared" si="21"/>
        <v>-57.27937472</v>
      </c>
      <c r="AX114" s="9"/>
      <c r="AY114" s="22">
        <v>0.42373699999999997</v>
      </c>
      <c r="AZ114" s="22">
        <v>190.285</v>
      </c>
      <c r="BA114" s="22">
        <v>-1.80634E-2</v>
      </c>
      <c r="BB114" s="22">
        <v>104</v>
      </c>
      <c r="BC114" s="22">
        <v>0.43524200000000002</v>
      </c>
      <c r="BD114">
        <f t="shared" si="22"/>
        <v>18.063400000000001</v>
      </c>
      <c r="BE114">
        <f t="shared" si="23"/>
        <v>7.6541309258000005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35.302300000000002</v>
      </c>
      <c r="I115" s="22">
        <v>4.6673600000000003E-2</v>
      </c>
      <c r="J115" s="22">
        <v>105</v>
      </c>
      <c r="K115" s="22">
        <v>0.356323</v>
      </c>
      <c r="L115">
        <f t="shared" si="12"/>
        <v>-46.6736</v>
      </c>
      <c r="M115">
        <f t="shared" si="13"/>
        <v>-57.002934415999995</v>
      </c>
      <c r="N115" s="9"/>
      <c r="O115" s="22">
        <v>0.42877199999999999</v>
      </c>
      <c r="P115" s="22">
        <v>69.611500000000007</v>
      </c>
      <c r="Q115" s="22">
        <v>-1.8258699999999999E-2</v>
      </c>
      <c r="R115" s="22">
        <v>105</v>
      </c>
      <c r="S115" s="22">
        <v>0.42852800000000002</v>
      </c>
      <c r="T115">
        <f t="shared" si="14"/>
        <v>18.258699999999997</v>
      </c>
      <c r="U115">
        <f t="shared" si="15"/>
        <v>7.8288193163999988</v>
      </c>
      <c r="X115" s="9"/>
      <c r="Y115" s="22">
        <v>1.2213099999999999</v>
      </c>
      <c r="Z115" s="22">
        <v>103.818</v>
      </c>
      <c r="AA115" s="22">
        <v>-1.81335E-2</v>
      </c>
      <c r="AB115" s="22">
        <v>105</v>
      </c>
      <c r="AC115" s="22">
        <v>1.2206999999999999</v>
      </c>
      <c r="AD115">
        <f t="shared" si="16"/>
        <v>18.133500000000002</v>
      </c>
      <c r="AE115">
        <f t="shared" si="17"/>
        <v>22.146624885000001</v>
      </c>
      <c r="AF115" s="9"/>
      <c r="AG115" s="22">
        <v>0.42877199999999999</v>
      </c>
      <c r="AH115" s="22">
        <v>121.63800000000001</v>
      </c>
      <c r="AI115" s="22">
        <v>-1.8536400000000001E-2</v>
      </c>
      <c r="AJ115" s="22">
        <v>105</v>
      </c>
      <c r="AK115" s="22">
        <v>0.42840600000000001</v>
      </c>
      <c r="AL115">
        <f t="shared" si="18"/>
        <v>18.5364</v>
      </c>
      <c r="AM115">
        <f t="shared" si="19"/>
        <v>7.9478893008</v>
      </c>
      <c r="AP115" s="9"/>
      <c r="AQ115" s="22">
        <v>1.2213099999999999</v>
      </c>
      <c r="AR115" s="22">
        <v>155.90799999999999</v>
      </c>
      <c r="AS115" s="22">
        <v>4.6704099999999998E-2</v>
      </c>
      <c r="AT115" s="22">
        <v>105</v>
      </c>
      <c r="AU115" s="22">
        <v>0.36276199999999997</v>
      </c>
      <c r="AV115">
        <f t="shared" si="20"/>
        <v>-46.704099999999997</v>
      </c>
      <c r="AW115">
        <f t="shared" si="21"/>
        <v>-57.040184370999988</v>
      </c>
      <c r="AX115" s="9"/>
      <c r="AY115" s="22">
        <v>0.42877199999999999</v>
      </c>
      <c r="AZ115" s="22">
        <v>190.29499999999999</v>
      </c>
      <c r="BA115" s="22">
        <v>-1.8072499999999998E-2</v>
      </c>
      <c r="BB115" s="22">
        <v>105</v>
      </c>
      <c r="BC115" s="22">
        <v>0.43167100000000003</v>
      </c>
      <c r="BD115">
        <f t="shared" si="22"/>
        <v>18.072499999999998</v>
      </c>
      <c r="BE115">
        <f t="shared" si="23"/>
        <v>7.7489819699999991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35.312399999999997</v>
      </c>
      <c r="I116" s="22">
        <v>4.6673600000000003E-2</v>
      </c>
      <c r="J116" s="22">
        <v>106</v>
      </c>
      <c r="K116" s="22">
        <v>0.35723899999999997</v>
      </c>
      <c r="L116">
        <f t="shared" si="12"/>
        <v>-46.6736</v>
      </c>
      <c r="M116">
        <f t="shared" si="13"/>
        <v>-56.768166208000004</v>
      </c>
      <c r="N116" s="9"/>
      <c r="O116" s="22">
        <v>0.433807</v>
      </c>
      <c r="P116" s="22">
        <v>69.621499999999997</v>
      </c>
      <c r="Q116" s="22">
        <v>-1.82556E-2</v>
      </c>
      <c r="R116" s="22">
        <v>106</v>
      </c>
      <c r="S116" s="22">
        <v>0.43325799999999998</v>
      </c>
      <c r="T116">
        <f t="shared" si="14"/>
        <v>18.255600000000001</v>
      </c>
      <c r="U116">
        <f t="shared" si="15"/>
        <v>7.9194070692</v>
      </c>
      <c r="X116" s="9"/>
      <c r="Y116" s="22">
        <v>1.21628</v>
      </c>
      <c r="Z116" s="22">
        <v>103.828</v>
      </c>
      <c r="AA116" s="22">
        <v>-1.8136599999999999E-2</v>
      </c>
      <c r="AB116" s="22">
        <v>106</v>
      </c>
      <c r="AC116" s="22">
        <v>1.2158199999999999</v>
      </c>
      <c r="AD116">
        <f t="shared" si="16"/>
        <v>18.136599999999998</v>
      </c>
      <c r="AE116">
        <f t="shared" si="17"/>
        <v>22.059183847999996</v>
      </c>
      <c r="AF116" s="9"/>
      <c r="AG116" s="22">
        <v>0.433807</v>
      </c>
      <c r="AH116" s="22">
        <v>121.649</v>
      </c>
      <c r="AI116" s="22">
        <v>-1.8536400000000001E-2</v>
      </c>
      <c r="AJ116" s="22">
        <v>106</v>
      </c>
      <c r="AK116" s="22">
        <v>0.43243399999999999</v>
      </c>
      <c r="AL116">
        <f t="shared" si="18"/>
        <v>18.5364</v>
      </c>
      <c r="AM116">
        <f t="shared" si="19"/>
        <v>8.0412200748</v>
      </c>
      <c r="AP116" s="9"/>
      <c r="AQ116" s="22">
        <v>1.21628</v>
      </c>
      <c r="AR116" s="22">
        <v>155.91800000000001</v>
      </c>
      <c r="AS116" s="22">
        <v>4.6694899999999998E-2</v>
      </c>
      <c r="AT116" s="22">
        <v>106</v>
      </c>
      <c r="AU116" s="22">
        <v>0.35427900000000001</v>
      </c>
      <c r="AV116">
        <f t="shared" si="20"/>
        <v>-46.694899999999997</v>
      </c>
      <c r="AW116">
        <f t="shared" si="21"/>
        <v>-56.794072971999995</v>
      </c>
      <c r="AX116" s="9"/>
      <c r="AY116" s="22">
        <v>0.433807</v>
      </c>
      <c r="AZ116" s="22">
        <v>190.30500000000001</v>
      </c>
      <c r="BA116" s="22">
        <v>-1.8069499999999999E-2</v>
      </c>
      <c r="BB116" s="22">
        <v>106</v>
      </c>
      <c r="BC116" s="22">
        <v>0.43020599999999998</v>
      </c>
      <c r="BD116">
        <f t="shared" si="22"/>
        <v>18.069499999999998</v>
      </c>
      <c r="BE116">
        <f t="shared" si="23"/>
        <v>7.8386755864999991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35.322499999999998</v>
      </c>
      <c r="I117" s="22">
        <v>4.6670499999999997E-2</v>
      </c>
      <c r="J117" s="22">
        <v>107</v>
      </c>
      <c r="K117" s="22">
        <v>0.35522500000000001</v>
      </c>
      <c r="L117">
        <f t="shared" si="12"/>
        <v>-46.670499999999997</v>
      </c>
      <c r="M117">
        <f t="shared" si="13"/>
        <v>-56.529176419999999</v>
      </c>
      <c r="N117" s="9"/>
      <c r="O117" s="22">
        <v>0.43884299999999998</v>
      </c>
      <c r="P117" s="22">
        <v>69.631600000000006</v>
      </c>
      <c r="Q117" s="22">
        <v>-1.8258699999999999E-2</v>
      </c>
      <c r="R117" s="22">
        <v>107</v>
      </c>
      <c r="S117" s="22">
        <v>0.43838500000000002</v>
      </c>
      <c r="T117">
        <f t="shared" si="14"/>
        <v>18.258699999999997</v>
      </c>
      <c r="U117">
        <f t="shared" si="15"/>
        <v>8.0127026840999989</v>
      </c>
      <c r="X117" s="9"/>
      <c r="Y117" s="22">
        <v>1.2112400000000001</v>
      </c>
      <c r="Z117" s="22">
        <v>103.83799999999999</v>
      </c>
      <c r="AA117" s="22">
        <v>-1.8136599999999999E-2</v>
      </c>
      <c r="AB117" s="22">
        <v>107</v>
      </c>
      <c r="AC117" s="22">
        <v>1.2103299999999999</v>
      </c>
      <c r="AD117">
        <f t="shared" si="16"/>
        <v>18.136599999999998</v>
      </c>
      <c r="AE117">
        <f t="shared" si="17"/>
        <v>21.967775383999999</v>
      </c>
      <c r="AF117" s="9"/>
      <c r="AG117" s="22">
        <v>0.43884299999999998</v>
      </c>
      <c r="AH117" s="22">
        <v>121.65900000000001</v>
      </c>
      <c r="AI117" s="22">
        <v>-1.8536400000000001E-2</v>
      </c>
      <c r="AJ117" s="22">
        <v>107</v>
      </c>
      <c r="AK117" s="22">
        <v>0.43817099999999998</v>
      </c>
      <c r="AL117">
        <f t="shared" si="18"/>
        <v>18.5364</v>
      </c>
      <c r="AM117">
        <f t="shared" si="19"/>
        <v>8.1345693852000007</v>
      </c>
      <c r="AP117" s="9"/>
      <c r="AQ117" s="22">
        <v>1.2112400000000001</v>
      </c>
      <c r="AR117" s="22">
        <v>155.928</v>
      </c>
      <c r="AS117" s="22">
        <v>4.6691900000000001E-2</v>
      </c>
      <c r="AT117" s="22">
        <v>107</v>
      </c>
      <c r="AU117" s="22">
        <v>0.36383100000000002</v>
      </c>
      <c r="AV117">
        <f t="shared" si="20"/>
        <v>-46.691900000000004</v>
      </c>
      <c r="AW117">
        <f t="shared" si="21"/>
        <v>-56.555096956000007</v>
      </c>
      <c r="AX117" s="9"/>
      <c r="AY117" s="22">
        <v>0.43884299999999998</v>
      </c>
      <c r="AZ117" s="22">
        <v>190.315</v>
      </c>
      <c r="BA117" s="22">
        <v>-1.80511E-2</v>
      </c>
      <c r="BB117" s="22">
        <v>107</v>
      </c>
      <c r="BC117" s="22">
        <v>0.439392</v>
      </c>
      <c r="BD117">
        <f t="shared" si="22"/>
        <v>18.051100000000002</v>
      </c>
      <c r="BE117">
        <f t="shared" si="23"/>
        <v>7.9215988773000001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35.332500000000003</v>
      </c>
      <c r="I118" s="22">
        <v>4.6664400000000002E-2</v>
      </c>
      <c r="J118" s="22">
        <v>108</v>
      </c>
      <c r="K118" s="22">
        <v>0.35675000000000001</v>
      </c>
      <c r="L118">
        <f t="shared" si="12"/>
        <v>-46.664400000000001</v>
      </c>
      <c r="M118">
        <f t="shared" si="13"/>
        <v>-56.287065924000004</v>
      </c>
      <c r="N118" s="9"/>
      <c r="O118" s="22">
        <v>0.44387799999999999</v>
      </c>
      <c r="P118" s="22">
        <v>69.6417</v>
      </c>
      <c r="Q118" s="22">
        <v>-1.8246499999999999E-2</v>
      </c>
      <c r="R118" s="22">
        <v>108</v>
      </c>
      <c r="S118" s="22">
        <v>0.44384800000000002</v>
      </c>
      <c r="T118">
        <f t="shared" si="14"/>
        <v>18.246499999999997</v>
      </c>
      <c r="U118">
        <f t="shared" si="15"/>
        <v>8.0992199269999983</v>
      </c>
      <c r="X118" s="9"/>
      <c r="Y118" s="22">
        <v>1.20621</v>
      </c>
      <c r="Z118" s="22">
        <v>103.848</v>
      </c>
      <c r="AA118" s="22">
        <v>-1.8139599999999999E-2</v>
      </c>
      <c r="AB118" s="22">
        <v>108</v>
      </c>
      <c r="AC118" s="22">
        <v>1.2054400000000001</v>
      </c>
      <c r="AD118">
        <f t="shared" si="16"/>
        <v>18.139599999999998</v>
      </c>
      <c r="AE118">
        <f t="shared" si="17"/>
        <v>21.880166915999997</v>
      </c>
      <c r="AF118" s="9"/>
      <c r="AG118" s="22">
        <v>0.44387799999999999</v>
      </c>
      <c r="AH118" s="22">
        <v>121.669</v>
      </c>
      <c r="AI118" s="22">
        <v>-1.8533299999999999E-2</v>
      </c>
      <c r="AJ118" s="22">
        <v>108</v>
      </c>
      <c r="AK118" s="22">
        <v>0.44311499999999998</v>
      </c>
      <c r="AL118">
        <f t="shared" si="18"/>
        <v>18.533300000000001</v>
      </c>
      <c r="AM118">
        <f t="shared" si="19"/>
        <v>8.2265241374000002</v>
      </c>
      <c r="AP118" s="9"/>
      <c r="AQ118" s="22">
        <v>1.20621</v>
      </c>
      <c r="AR118" s="22">
        <v>155.93799999999999</v>
      </c>
      <c r="AS118" s="22">
        <v>4.6691900000000001E-2</v>
      </c>
      <c r="AT118" s="22">
        <v>108</v>
      </c>
      <c r="AU118" s="22">
        <v>0.36224400000000001</v>
      </c>
      <c r="AV118">
        <f t="shared" si="20"/>
        <v>-46.691900000000004</v>
      </c>
      <c r="AW118">
        <f t="shared" si="21"/>
        <v>-56.320236699000006</v>
      </c>
      <c r="AX118" s="9"/>
      <c r="AY118" s="22">
        <v>0.44387799999999999</v>
      </c>
      <c r="AZ118" s="22">
        <v>190.32499999999999</v>
      </c>
      <c r="BA118" s="22">
        <v>-1.8054199999999999E-2</v>
      </c>
      <c r="BB118" s="22">
        <v>108</v>
      </c>
      <c r="BC118" s="22">
        <v>0.43695099999999998</v>
      </c>
      <c r="BD118">
        <f t="shared" si="22"/>
        <v>18.054199999999998</v>
      </c>
      <c r="BE118">
        <f t="shared" si="23"/>
        <v>8.0138621875999991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35.342599999999997</v>
      </c>
      <c r="I119" s="22">
        <v>4.6661399999999999E-2</v>
      </c>
      <c r="J119" s="22">
        <v>109</v>
      </c>
      <c r="K119" s="22">
        <v>0.35366799999999998</v>
      </c>
      <c r="L119">
        <f t="shared" si="12"/>
        <v>-46.6614</v>
      </c>
      <c r="M119">
        <f t="shared" si="13"/>
        <v>-56.048273838000007</v>
      </c>
      <c r="N119" s="9"/>
      <c r="O119" s="22">
        <v>0.44891399999999998</v>
      </c>
      <c r="P119" s="22">
        <v>69.651700000000005</v>
      </c>
      <c r="Q119" s="22">
        <v>-1.8246499999999999E-2</v>
      </c>
      <c r="R119" s="22">
        <v>109</v>
      </c>
      <c r="S119" s="22">
        <v>0.44860800000000001</v>
      </c>
      <c r="T119">
        <f t="shared" si="14"/>
        <v>18.246499999999997</v>
      </c>
      <c r="U119">
        <f t="shared" si="15"/>
        <v>8.1911093009999991</v>
      </c>
      <c r="X119" s="9"/>
      <c r="Y119" s="22">
        <v>1.2011700000000001</v>
      </c>
      <c r="Z119" s="22">
        <v>103.858</v>
      </c>
      <c r="AA119" s="22">
        <v>-1.8142700000000001E-2</v>
      </c>
      <c r="AB119" s="22">
        <v>109</v>
      </c>
      <c r="AC119" s="22">
        <v>1.2002600000000001</v>
      </c>
      <c r="AD119">
        <f t="shared" si="16"/>
        <v>18.142700000000001</v>
      </c>
      <c r="AE119">
        <f t="shared" si="17"/>
        <v>21.792466959000002</v>
      </c>
      <c r="AF119" s="9"/>
      <c r="AG119" s="22">
        <v>0.44891399999999998</v>
      </c>
      <c r="AH119" s="22">
        <v>121.679</v>
      </c>
      <c r="AI119" s="22">
        <v>-1.85303E-2</v>
      </c>
      <c r="AJ119" s="22">
        <v>109</v>
      </c>
      <c r="AK119" s="22">
        <v>0.44760100000000003</v>
      </c>
      <c r="AL119">
        <f t="shared" si="18"/>
        <v>18.5303</v>
      </c>
      <c r="AM119">
        <f t="shared" si="19"/>
        <v>8.3185110941999998</v>
      </c>
      <c r="AP119" s="9"/>
      <c r="AQ119" s="22">
        <v>1.2011700000000001</v>
      </c>
      <c r="AR119" s="22">
        <v>155.94800000000001</v>
      </c>
      <c r="AS119" s="22">
        <v>4.66858E-2</v>
      </c>
      <c r="AT119" s="22">
        <v>109</v>
      </c>
      <c r="AU119" s="22">
        <v>0.35336299999999998</v>
      </c>
      <c r="AV119">
        <f t="shared" si="20"/>
        <v>-46.6858</v>
      </c>
      <c r="AW119">
        <f t="shared" si="21"/>
        <v>-56.077582386000003</v>
      </c>
      <c r="AX119" s="9"/>
      <c r="AY119" s="22">
        <v>0.44891399999999998</v>
      </c>
      <c r="AZ119" s="22">
        <v>190.33500000000001</v>
      </c>
      <c r="BA119" s="22">
        <v>-1.8035900000000001E-2</v>
      </c>
      <c r="BB119" s="22">
        <v>109</v>
      </c>
      <c r="BC119" s="22">
        <v>0.44442700000000002</v>
      </c>
      <c r="BD119">
        <f t="shared" si="22"/>
        <v>18.035900000000002</v>
      </c>
      <c r="BE119">
        <f t="shared" si="23"/>
        <v>8.0965680126000006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35.352699999999999</v>
      </c>
      <c r="I120" s="22">
        <v>4.6667500000000001E-2</v>
      </c>
      <c r="J120" s="22">
        <v>110</v>
      </c>
      <c r="K120" s="22">
        <v>0.348389</v>
      </c>
      <c r="L120">
        <f t="shared" si="12"/>
        <v>-46.667500000000004</v>
      </c>
      <c r="M120">
        <f t="shared" si="13"/>
        <v>-55.820863450000004</v>
      </c>
      <c r="N120" s="9"/>
      <c r="O120" s="22">
        <v>0.45394899999999999</v>
      </c>
      <c r="P120" s="22">
        <v>69.661799999999999</v>
      </c>
      <c r="Q120" s="22">
        <v>-1.8234299999999998E-2</v>
      </c>
      <c r="R120" s="22">
        <v>110</v>
      </c>
      <c r="S120" s="22">
        <v>0.45324700000000001</v>
      </c>
      <c r="T120">
        <f t="shared" si="14"/>
        <v>18.234299999999998</v>
      </c>
      <c r="U120">
        <f t="shared" si="15"/>
        <v>8.2774422506999983</v>
      </c>
      <c r="X120" s="9"/>
      <c r="Y120" s="22">
        <v>1.19614</v>
      </c>
      <c r="Z120" s="22">
        <v>103.86799999999999</v>
      </c>
      <c r="AA120" s="22">
        <v>-1.81458E-2</v>
      </c>
      <c r="AB120" s="22">
        <v>110</v>
      </c>
      <c r="AC120" s="22">
        <v>1.19537</v>
      </c>
      <c r="AD120">
        <f t="shared" si="16"/>
        <v>18.145800000000001</v>
      </c>
      <c r="AE120">
        <f t="shared" si="17"/>
        <v>21.704917212000002</v>
      </c>
      <c r="AF120" s="9"/>
      <c r="AG120" s="22">
        <v>0.45394899999999999</v>
      </c>
      <c r="AH120" s="22">
        <v>121.68899999999999</v>
      </c>
      <c r="AI120" s="22">
        <v>-1.8527200000000001E-2</v>
      </c>
      <c r="AJ120" s="22">
        <v>110</v>
      </c>
      <c r="AK120" s="22">
        <v>0.453735</v>
      </c>
      <c r="AL120">
        <f t="shared" si="18"/>
        <v>18.527200000000001</v>
      </c>
      <c r="AM120">
        <f t="shared" si="19"/>
        <v>8.4104039127999997</v>
      </c>
      <c r="AP120" s="9"/>
      <c r="AQ120" s="22">
        <v>1.19614</v>
      </c>
      <c r="AR120" s="22">
        <v>155.958</v>
      </c>
      <c r="AS120" s="22">
        <v>4.6682700000000001E-2</v>
      </c>
      <c r="AT120" s="22">
        <v>110</v>
      </c>
      <c r="AU120" s="22">
        <v>0.35317999999999999</v>
      </c>
      <c r="AV120">
        <f t="shared" si="20"/>
        <v>-46.682700000000004</v>
      </c>
      <c r="AW120">
        <f t="shared" si="21"/>
        <v>-55.839044778000002</v>
      </c>
      <c r="AX120" s="9"/>
      <c r="AY120" s="22">
        <v>0.45394899999999999</v>
      </c>
      <c r="AZ120" s="22">
        <v>190.345</v>
      </c>
      <c r="BA120" s="22">
        <v>-1.8041999999999999E-2</v>
      </c>
      <c r="BB120" s="22">
        <v>110</v>
      </c>
      <c r="BC120" s="22">
        <v>0.45434600000000003</v>
      </c>
      <c r="BD120">
        <f t="shared" si="22"/>
        <v>18.041999999999998</v>
      </c>
      <c r="BE120">
        <f t="shared" si="23"/>
        <v>8.1901478579999996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35.362699999999997</v>
      </c>
      <c r="I121" s="22">
        <v>4.6667500000000001E-2</v>
      </c>
      <c r="J121" s="22">
        <v>111</v>
      </c>
      <c r="K121" s="22">
        <v>0.34817500000000001</v>
      </c>
      <c r="L121">
        <f t="shared" si="12"/>
        <v>-46.667500000000004</v>
      </c>
      <c r="M121">
        <f t="shared" si="13"/>
        <v>-55.585659250000006</v>
      </c>
      <c r="N121" s="9"/>
      <c r="O121" s="22">
        <v>0.458984</v>
      </c>
      <c r="P121" s="22">
        <v>69.671899999999994</v>
      </c>
      <c r="Q121" s="22">
        <v>-1.8246499999999999E-2</v>
      </c>
      <c r="R121" s="22">
        <v>111</v>
      </c>
      <c r="S121" s="22">
        <v>0.458374</v>
      </c>
      <c r="T121">
        <f t="shared" si="14"/>
        <v>18.246499999999997</v>
      </c>
      <c r="U121">
        <f t="shared" si="15"/>
        <v>8.3748515559999994</v>
      </c>
      <c r="X121" s="9"/>
      <c r="Y121" s="22">
        <v>1.1911</v>
      </c>
      <c r="Z121" s="22">
        <v>103.878</v>
      </c>
      <c r="AA121" s="22">
        <v>-1.81488E-2</v>
      </c>
      <c r="AB121" s="22">
        <v>111</v>
      </c>
      <c r="AC121" s="22">
        <v>1.18988</v>
      </c>
      <c r="AD121">
        <f t="shared" si="16"/>
        <v>18.148800000000001</v>
      </c>
      <c r="AE121">
        <f t="shared" si="17"/>
        <v>21.617035680000001</v>
      </c>
      <c r="AF121" s="9"/>
      <c r="AG121" s="22">
        <v>0.458984</v>
      </c>
      <c r="AH121" s="22">
        <v>121.699</v>
      </c>
      <c r="AI121" s="22">
        <v>-1.8524200000000001E-2</v>
      </c>
      <c r="AJ121" s="22">
        <v>111</v>
      </c>
      <c r="AK121" s="22">
        <v>0.45895399999999997</v>
      </c>
      <c r="AL121">
        <f t="shared" si="18"/>
        <v>18.5242</v>
      </c>
      <c r="AM121">
        <f t="shared" si="19"/>
        <v>8.502311412800001</v>
      </c>
      <c r="AP121" s="9"/>
      <c r="AQ121" s="22">
        <v>1.1911</v>
      </c>
      <c r="AR121" s="22">
        <v>155.96799999999999</v>
      </c>
      <c r="AS121" s="22">
        <v>4.6676599999999999E-2</v>
      </c>
      <c r="AT121" s="22">
        <v>111</v>
      </c>
      <c r="AU121" s="22">
        <v>0.35437000000000002</v>
      </c>
      <c r="AV121">
        <f t="shared" si="20"/>
        <v>-46.676600000000001</v>
      </c>
      <c r="AW121">
        <f t="shared" si="21"/>
        <v>-55.596498260000004</v>
      </c>
      <c r="AX121" s="9"/>
      <c r="AY121" s="22">
        <v>0.458984</v>
      </c>
      <c r="AZ121" s="22">
        <v>190.35499999999999</v>
      </c>
      <c r="BA121" s="22">
        <v>-1.8017600000000002E-2</v>
      </c>
      <c r="BB121" s="22">
        <v>111</v>
      </c>
      <c r="BC121" s="22">
        <v>0.46252399999999999</v>
      </c>
      <c r="BD121">
        <f t="shared" si="22"/>
        <v>18.017600000000002</v>
      </c>
      <c r="BE121">
        <f t="shared" si="23"/>
        <v>8.2697901184000013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35.372799999999998</v>
      </c>
      <c r="I122" s="22">
        <v>4.6661399999999999E-2</v>
      </c>
      <c r="J122" s="22">
        <v>112</v>
      </c>
      <c r="K122" s="22">
        <v>0.35574299999999998</v>
      </c>
      <c r="L122">
        <f t="shared" si="12"/>
        <v>-46.6614</v>
      </c>
      <c r="M122">
        <f t="shared" si="13"/>
        <v>-55.343686697999999</v>
      </c>
      <c r="N122" s="9"/>
      <c r="O122" s="22">
        <v>0.46401999999999999</v>
      </c>
      <c r="P122" s="22">
        <v>69.682000000000002</v>
      </c>
      <c r="Q122" s="22">
        <v>-1.82434E-2</v>
      </c>
      <c r="R122" s="22">
        <v>112</v>
      </c>
      <c r="S122" s="22">
        <v>0.463501</v>
      </c>
      <c r="T122">
        <f t="shared" si="14"/>
        <v>18.243400000000001</v>
      </c>
      <c r="U122">
        <f t="shared" si="15"/>
        <v>8.4653024680000009</v>
      </c>
      <c r="X122" s="9"/>
      <c r="Y122" s="22">
        <v>1.18607</v>
      </c>
      <c r="Z122" s="22">
        <v>103.88800000000001</v>
      </c>
      <c r="AA122" s="22">
        <v>-1.8151899999999999E-2</v>
      </c>
      <c r="AB122" s="22">
        <v>112</v>
      </c>
      <c r="AC122" s="22">
        <v>1.1853</v>
      </c>
      <c r="AD122">
        <f t="shared" si="16"/>
        <v>18.151899999999998</v>
      </c>
      <c r="AE122">
        <f t="shared" si="17"/>
        <v>21.529424032999998</v>
      </c>
      <c r="AF122" s="9"/>
      <c r="AG122" s="22">
        <v>0.46401999999999999</v>
      </c>
      <c r="AH122" s="22">
        <v>121.709</v>
      </c>
      <c r="AI122" s="22">
        <v>-1.8521099999999999E-2</v>
      </c>
      <c r="AJ122" s="22">
        <v>112</v>
      </c>
      <c r="AK122" s="22">
        <v>0.46334799999999998</v>
      </c>
      <c r="AL122">
        <f t="shared" si="18"/>
        <v>18.521099999999997</v>
      </c>
      <c r="AM122">
        <f t="shared" si="19"/>
        <v>8.5941608219999992</v>
      </c>
      <c r="AP122" s="9"/>
      <c r="AQ122" s="22">
        <v>1.18607</v>
      </c>
      <c r="AR122" s="22">
        <v>155.97800000000001</v>
      </c>
      <c r="AS122" s="22">
        <v>4.6667500000000001E-2</v>
      </c>
      <c r="AT122" s="22">
        <v>112</v>
      </c>
      <c r="AU122" s="22">
        <v>0.35522500000000001</v>
      </c>
      <c r="AV122">
        <f t="shared" si="20"/>
        <v>-46.667500000000004</v>
      </c>
      <c r="AW122">
        <f t="shared" si="21"/>
        <v>-55.350921725000006</v>
      </c>
      <c r="AX122" s="9"/>
      <c r="AY122" s="22">
        <v>0.46401999999999999</v>
      </c>
      <c r="AZ122" s="22">
        <v>190.36500000000001</v>
      </c>
      <c r="BA122" s="22">
        <v>-1.8017600000000002E-2</v>
      </c>
      <c r="BB122" s="22">
        <v>112</v>
      </c>
      <c r="BC122" s="22">
        <v>0.46377600000000002</v>
      </c>
      <c r="BD122">
        <f t="shared" si="22"/>
        <v>18.017600000000002</v>
      </c>
      <c r="BE122">
        <f t="shared" si="23"/>
        <v>8.3605267520000002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35.382899999999999</v>
      </c>
      <c r="I123" s="22">
        <v>4.66583E-2</v>
      </c>
      <c r="J123" s="22">
        <v>113</v>
      </c>
      <c r="K123" s="22">
        <v>0.35202</v>
      </c>
      <c r="L123">
        <f t="shared" si="12"/>
        <v>-46.658299999999997</v>
      </c>
      <c r="M123">
        <f t="shared" si="13"/>
        <v>-55.104852048999994</v>
      </c>
      <c r="N123" s="9"/>
      <c r="O123" s="22">
        <v>0.469055</v>
      </c>
      <c r="P123" s="22">
        <v>69.691999999999993</v>
      </c>
      <c r="Q123" s="22">
        <v>-1.82404E-2</v>
      </c>
      <c r="R123" s="22">
        <v>113</v>
      </c>
      <c r="S123" s="22">
        <v>0.468414</v>
      </c>
      <c r="T123">
        <f t="shared" si="14"/>
        <v>18.240400000000001</v>
      </c>
      <c r="U123">
        <f t="shared" si="15"/>
        <v>8.5557508220000003</v>
      </c>
      <c r="X123" s="9"/>
      <c r="Y123" s="22">
        <v>1.18103</v>
      </c>
      <c r="Z123" s="22">
        <v>103.898</v>
      </c>
      <c r="AA123" s="22">
        <v>-1.8158000000000001E-2</v>
      </c>
      <c r="AB123" s="22">
        <v>113</v>
      </c>
      <c r="AC123" s="22">
        <v>1.18103</v>
      </c>
      <c r="AD123">
        <f t="shared" si="16"/>
        <v>18.158000000000001</v>
      </c>
      <c r="AE123">
        <f t="shared" si="17"/>
        <v>21.445142740000001</v>
      </c>
      <c r="AF123" s="9"/>
      <c r="AG123" s="22">
        <v>0.469055</v>
      </c>
      <c r="AH123" s="22">
        <v>121.71899999999999</v>
      </c>
      <c r="AI123" s="22">
        <v>-1.8518099999999999E-2</v>
      </c>
      <c r="AJ123" s="22">
        <v>113</v>
      </c>
      <c r="AK123" s="22">
        <v>0.46847499999999997</v>
      </c>
      <c r="AL123">
        <f t="shared" si="18"/>
        <v>18.5181</v>
      </c>
      <c r="AM123">
        <f t="shared" si="19"/>
        <v>8.6860073955000008</v>
      </c>
      <c r="AP123" s="9"/>
      <c r="AQ123" s="22">
        <v>1.18103</v>
      </c>
      <c r="AR123" s="22">
        <v>155.988</v>
      </c>
      <c r="AS123" s="22">
        <v>4.6536300000000003E-2</v>
      </c>
      <c r="AT123" s="22">
        <v>113</v>
      </c>
      <c r="AU123" s="22">
        <v>0.37731900000000002</v>
      </c>
      <c r="AV123">
        <f t="shared" si="20"/>
        <v>-46.536300000000004</v>
      </c>
      <c r="AW123">
        <f t="shared" si="21"/>
        <v>-54.960766389000007</v>
      </c>
      <c r="AX123" s="9"/>
      <c r="AY123" s="22">
        <v>0.469055</v>
      </c>
      <c r="AZ123" s="22">
        <v>190.375</v>
      </c>
      <c r="BA123" s="22">
        <v>-1.8020600000000001E-2</v>
      </c>
      <c r="BB123" s="22">
        <v>113</v>
      </c>
      <c r="BC123" s="22">
        <v>0.463287</v>
      </c>
      <c r="BD123">
        <f t="shared" si="22"/>
        <v>18.020600000000002</v>
      </c>
      <c r="BE123">
        <f t="shared" si="23"/>
        <v>8.4526525330000002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35.393000000000001</v>
      </c>
      <c r="I124" s="22">
        <v>4.6652199999999998E-2</v>
      </c>
      <c r="J124" s="22">
        <v>114</v>
      </c>
      <c r="K124" s="22">
        <v>0.34722900000000001</v>
      </c>
      <c r="L124">
        <f t="shared" si="12"/>
        <v>-46.652200000000001</v>
      </c>
      <c r="M124">
        <f t="shared" si="13"/>
        <v>-54.862520678000003</v>
      </c>
      <c r="N124" s="9"/>
      <c r="O124" s="22">
        <v>0.47409099999999998</v>
      </c>
      <c r="P124" s="22">
        <v>69.702100000000002</v>
      </c>
      <c r="Q124" s="22">
        <v>-1.8234299999999998E-2</v>
      </c>
      <c r="R124" s="22">
        <v>114</v>
      </c>
      <c r="S124" s="22">
        <v>0.47311399999999998</v>
      </c>
      <c r="T124">
        <f t="shared" si="14"/>
        <v>18.234299999999998</v>
      </c>
      <c r="U124">
        <f t="shared" si="15"/>
        <v>8.6447175212999987</v>
      </c>
      <c r="X124" s="9"/>
      <c r="Y124" s="22">
        <v>1.1759900000000001</v>
      </c>
      <c r="Z124" s="22">
        <v>103.908</v>
      </c>
      <c r="AA124" s="22">
        <v>-1.8158000000000001E-2</v>
      </c>
      <c r="AB124" s="22">
        <v>114</v>
      </c>
      <c r="AC124" s="22">
        <v>1.17493</v>
      </c>
      <c r="AD124">
        <f t="shared" si="16"/>
        <v>18.158000000000001</v>
      </c>
      <c r="AE124">
        <f t="shared" si="17"/>
        <v>21.353626420000005</v>
      </c>
      <c r="AF124" s="9"/>
      <c r="AG124" s="22">
        <v>0.47409099999999998</v>
      </c>
      <c r="AH124" s="22">
        <v>121.729</v>
      </c>
      <c r="AI124" s="22">
        <v>-1.8515E-2</v>
      </c>
      <c r="AJ124" s="22">
        <v>114</v>
      </c>
      <c r="AK124" s="22">
        <v>0.473358</v>
      </c>
      <c r="AL124">
        <f t="shared" si="18"/>
        <v>18.515000000000001</v>
      </c>
      <c r="AM124">
        <f t="shared" si="19"/>
        <v>8.7777948650000006</v>
      </c>
      <c r="AP124" s="9"/>
      <c r="AQ124" s="22">
        <v>1.1759900000000001</v>
      </c>
      <c r="AR124" s="22">
        <v>155.99799999999999</v>
      </c>
      <c r="AS124" s="22">
        <v>4.6557599999999998E-2</v>
      </c>
      <c r="AT124" s="22">
        <v>114</v>
      </c>
      <c r="AU124" s="22">
        <v>0.38680999999999999</v>
      </c>
      <c r="AV124">
        <f t="shared" si="20"/>
        <v>-46.557600000000001</v>
      </c>
      <c r="AW124">
        <f t="shared" si="21"/>
        <v>-54.751272024000002</v>
      </c>
      <c r="AX124" s="9"/>
      <c r="AY124" s="22">
        <v>0.47409099999999998</v>
      </c>
      <c r="AZ124" s="22">
        <v>190.38499999999999</v>
      </c>
      <c r="BA124" s="22">
        <v>-1.80237E-2</v>
      </c>
      <c r="BB124" s="22">
        <v>114</v>
      </c>
      <c r="BC124" s="22">
        <v>0.47473100000000001</v>
      </c>
      <c r="BD124">
        <f t="shared" si="22"/>
        <v>18.023700000000002</v>
      </c>
      <c r="BE124">
        <f t="shared" si="23"/>
        <v>8.5448739567000001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35.402999999999999</v>
      </c>
      <c r="I125" s="22">
        <v>4.6646100000000003E-2</v>
      </c>
      <c r="J125" s="22">
        <v>115</v>
      </c>
      <c r="K125" s="22">
        <v>0.34597800000000001</v>
      </c>
      <c r="L125">
        <f t="shared" si="12"/>
        <v>-46.646100000000004</v>
      </c>
      <c r="M125">
        <f t="shared" si="13"/>
        <v>-54.620717256000006</v>
      </c>
      <c r="N125" s="9"/>
      <c r="O125" s="22">
        <v>0.479126</v>
      </c>
      <c r="P125" s="22">
        <v>69.712199999999996</v>
      </c>
      <c r="Q125" s="22">
        <v>-1.8246499999999999E-2</v>
      </c>
      <c r="R125" s="22">
        <v>115</v>
      </c>
      <c r="S125" s="22">
        <v>0.47839399999999999</v>
      </c>
      <c r="T125">
        <f t="shared" si="14"/>
        <v>18.246499999999997</v>
      </c>
      <c r="U125">
        <f t="shared" si="15"/>
        <v>8.7423725589999979</v>
      </c>
      <c r="X125" s="9"/>
      <c r="Y125" s="22">
        <v>1.17096</v>
      </c>
      <c r="Z125" s="22">
        <v>103.91800000000001</v>
      </c>
      <c r="AA125" s="22">
        <v>-1.8161E-2</v>
      </c>
      <c r="AB125" s="22">
        <v>115</v>
      </c>
      <c r="AC125" s="22">
        <v>1.17065</v>
      </c>
      <c r="AD125">
        <f t="shared" si="16"/>
        <v>18.161000000000001</v>
      </c>
      <c r="AE125">
        <f t="shared" si="17"/>
        <v>21.265804560000003</v>
      </c>
      <c r="AF125" s="9"/>
      <c r="AG125" s="22">
        <v>0.479126</v>
      </c>
      <c r="AH125" s="22">
        <v>121.739</v>
      </c>
      <c r="AI125" s="22">
        <v>-1.8515E-2</v>
      </c>
      <c r="AJ125" s="22">
        <v>115</v>
      </c>
      <c r="AK125" s="22">
        <v>0.47817999999999999</v>
      </c>
      <c r="AL125">
        <f t="shared" si="18"/>
        <v>18.515000000000001</v>
      </c>
      <c r="AM125">
        <f t="shared" si="19"/>
        <v>8.871017890000001</v>
      </c>
      <c r="AP125" s="9"/>
      <c r="AQ125" s="22">
        <v>1.17096</v>
      </c>
      <c r="AR125" s="22">
        <v>156.00800000000001</v>
      </c>
      <c r="AS125" s="22">
        <v>4.6560699999999997E-2</v>
      </c>
      <c r="AT125" s="22">
        <v>115</v>
      </c>
      <c r="AU125" s="22">
        <v>0.38458300000000001</v>
      </c>
      <c r="AV125">
        <f t="shared" si="20"/>
        <v>-46.560699999999997</v>
      </c>
      <c r="AW125">
        <f t="shared" si="21"/>
        <v>-54.520717271999999</v>
      </c>
      <c r="AX125" s="9"/>
      <c r="AY125" s="22">
        <v>0.479126</v>
      </c>
      <c r="AZ125" s="22">
        <v>190.39500000000001</v>
      </c>
      <c r="BA125" s="22">
        <v>-1.80115E-2</v>
      </c>
      <c r="BB125" s="22">
        <v>115</v>
      </c>
      <c r="BC125" s="22">
        <v>0.476074</v>
      </c>
      <c r="BD125">
        <f t="shared" si="22"/>
        <v>18.011499999999998</v>
      </c>
      <c r="BE125">
        <f t="shared" si="23"/>
        <v>8.6297779489999993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35.4131</v>
      </c>
      <c r="I126" s="22">
        <v>4.66431E-2</v>
      </c>
      <c r="J126" s="22">
        <v>116</v>
      </c>
      <c r="K126" s="22">
        <v>0.35031099999999998</v>
      </c>
      <c r="L126">
        <f t="shared" si="12"/>
        <v>-46.643099999999997</v>
      </c>
      <c r="M126">
        <f t="shared" si="13"/>
        <v>-54.382123151999998</v>
      </c>
      <c r="N126" s="9"/>
      <c r="O126" s="22">
        <v>0.48416100000000001</v>
      </c>
      <c r="P126" s="22">
        <v>69.722200000000001</v>
      </c>
      <c r="Q126" s="22">
        <v>-1.8228100000000001E-2</v>
      </c>
      <c r="R126" s="22">
        <v>116</v>
      </c>
      <c r="S126" s="22">
        <v>0.48324600000000001</v>
      </c>
      <c r="T126">
        <f t="shared" si="14"/>
        <v>18.228100000000001</v>
      </c>
      <c r="U126">
        <f t="shared" si="15"/>
        <v>8.8253351241000004</v>
      </c>
      <c r="X126" s="9"/>
      <c r="Y126" s="22">
        <v>1.1659200000000001</v>
      </c>
      <c r="Z126" s="22">
        <v>103.928</v>
      </c>
      <c r="AA126" s="22">
        <v>-1.8164099999999999E-2</v>
      </c>
      <c r="AB126" s="22">
        <v>116</v>
      </c>
      <c r="AC126" s="22">
        <v>1.16455</v>
      </c>
      <c r="AD126">
        <f t="shared" si="16"/>
        <v>18.164099999999998</v>
      </c>
      <c r="AE126">
        <f t="shared" si="17"/>
        <v>21.177887471999998</v>
      </c>
      <c r="AF126" s="9"/>
      <c r="AG126" s="22">
        <v>0.48416100000000001</v>
      </c>
      <c r="AH126" s="22">
        <v>121.749</v>
      </c>
      <c r="AI126" s="22">
        <v>-1.8515E-2</v>
      </c>
      <c r="AJ126" s="22">
        <v>116</v>
      </c>
      <c r="AK126" s="22">
        <v>0.48370400000000002</v>
      </c>
      <c r="AL126">
        <f t="shared" si="18"/>
        <v>18.515000000000001</v>
      </c>
      <c r="AM126">
        <f t="shared" si="19"/>
        <v>8.9642409150000013</v>
      </c>
      <c r="AP126" s="9"/>
      <c r="AQ126" s="22">
        <v>1.1659200000000001</v>
      </c>
      <c r="AR126" s="22">
        <v>156.018</v>
      </c>
      <c r="AS126" s="22">
        <v>4.6646100000000003E-2</v>
      </c>
      <c r="AT126" s="22">
        <v>116</v>
      </c>
      <c r="AU126" s="22">
        <v>0.384216</v>
      </c>
      <c r="AV126">
        <f t="shared" si="20"/>
        <v>-46.646100000000004</v>
      </c>
      <c r="AW126">
        <f t="shared" si="21"/>
        <v>-54.385620912000007</v>
      </c>
      <c r="AX126" s="9"/>
      <c r="AY126" s="22">
        <v>0.48416100000000001</v>
      </c>
      <c r="AZ126" s="22">
        <v>190.40600000000001</v>
      </c>
      <c r="BA126" s="22">
        <v>-1.80237E-2</v>
      </c>
      <c r="BB126" s="22">
        <v>116</v>
      </c>
      <c r="BC126" s="22">
        <v>0.48382599999999998</v>
      </c>
      <c r="BD126">
        <f t="shared" si="22"/>
        <v>18.023700000000002</v>
      </c>
      <c r="BE126">
        <f t="shared" si="23"/>
        <v>8.7263726157000008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35.423200000000001</v>
      </c>
      <c r="I127" s="22">
        <v>4.6633899999999999E-2</v>
      </c>
      <c r="J127" s="22">
        <v>117</v>
      </c>
      <c r="K127" s="22">
        <v>0.34909099999999998</v>
      </c>
      <c r="L127">
        <f t="shared" si="12"/>
        <v>-46.633899999999997</v>
      </c>
      <c r="M127">
        <f t="shared" si="13"/>
        <v>-54.136828170999998</v>
      </c>
      <c r="N127" s="9"/>
      <c r="O127" s="22">
        <v>0.48919699999999999</v>
      </c>
      <c r="P127" s="22">
        <v>69.732299999999995</v>
      </c>
      <c r="Q127" s="22">
        <v>-1.8237300000000001E-2</v>
      </c>
      <c r="R127" s="22">
        <v>117</v>
      </c>
      <c r="S127" s="22">
        <v>0.48889199999999999</v>
      </c>
      <c r="T127">
        <f t="shared" si="14"/>
        <v>18.237300000000001</v>
      </c>
      <c r="U127">
        <f t="shared" si="15"/>
        <v>8.9216324481000004</v>
      </c>
      <c r="X127" s="9"/>
      <c r="Y127" s="22">
        <v>1.16089</v>
      </c>
      <c r="Z127" s="22">
        <v>103.938</v>
      </c>
      <c r="AA127" s="22">
        <v>-1.8167099999999999E-2</v>
      </c>
      <c r="AB127" s="22">
        <v>117</v>
      </c>
      <c r="AC127" s="22">
        <v>1.16028</v>
      </c>
      <c r="AD127">
        <f t="shared" si="16"/>
        <v>18.167099999999998</v>
      </c>
      <c r="AE127">
        <f t="shared" si="17"/>
        <v>21.090004718999996</v>
      </c>
      <c r="AF127" s="9"/>
      <c r="AG127" s="22">
        <v>0.48919699999999999</v>
      </c>
      <c r="AH127" s="22">
        <v>121.759</v>
      </c>
      <c r="AI127" s="22">
        <v>-1.8515E-2</v>
      </c>
      <c r="AJ127" s="22">
        <v>117</v>
      </c>
      <c r="AK127" s="22">
        <v>0.48825099999999999</v>
      </c>
      <c r="AL127">
        <f t="shared" si="18"/>
        <v>18.515000000000001</v>
      </c>
      <c r="AM127">
        <f t="shared" si="19"/>
        <v>9.0574824550000006</v>
      </c>
      <c r="AP127" s="9"/>
      <c r="AQ127" s="22">
        <v>1.16089</v>
      </c>
      <c r="AR127" s="22">
        <v>156.02799999999999</v>
      </c>
      <c r="AS127" s="22">
        <v>4.6698000000000003E-2</v>
      </c>
      <c r="AT127" s="22">
        <v>117</v>
      </c>
      <c r="AU127" s="22">
        <v>0.39285300000000001</v>
      </c>
      <c r="AV127">
        <f t="shared" si="20"/>
        <v>-46.698</v>
      </c>
      <c r="AW127">
        <f t="shared" si="21"/>
        <v>-54.211241219999998</v>
      </c>
      <c r="AX127" s="9"/>
      <c r="AY127" s="22">
        <v>0.48919699999999999</v>
      </c>
      <c r="AZ127" s="22">
        <v>190.416</v>
      </c>
      <c r="BA127" s="22">
        <v>-1.8029799999999999E-2</v>
      </c>
      <c r="BB127" s="22">
        <v>117</v>
      </c>
      <c r="BC127" s="22">
        <v>0.48175000000000001</v>
      </c>
      <c r="BD127">
        <f t="shared" si="22"/>
        <v>18.029799999999998</v>
      </c>
      <c r="BE127">
        <f t="shared" si="23"/>
        <v>8.8201240705999986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35.433199999999999</v>
      </c>
      <c r="I128" s="22">
        <v>4.6636999999999998E-2</v>
      </c>
      <c r="J128" s="22">
        <v>118</v>
      </c>
      <c r="K128" s="22">
        <v>0.35021999999999998</v>
      </c>
      <c r="L128">
        <f t="shared" si="12"/>
        <v>-46.637</v>
      </c>
      <c r="M128">
        <f t="shared" si="13"/>
        <v>-53.905376450000006</v>
      </c>
      <c r="N128" s="9"/>
      <c r="O128" s="22">
        <v>0.494232</v>
      </c>
      <c r="P128" s="22">
        <v>69.742400000000004</v>
      </c>
      <c r="Q128" s="22">
        <v>-1.8234299999999998E-2</v>
      </c>
      <c r="R128" s="22">
        <v>118</v>
      </c>
      <c r="S128" s="22">
        <v>0.49368299999999998</v>
      </c>
      <c r="T128">
        <f t="shared" si="14"/>
        <v>18.234299999999998</v>
      </c>
      <c r="U128">
        <f t="shared" si="15"/>
        <v>9.0119745575999985</v>
      </c>
      <c r="X128" s="9"/>
      <c r="Y128" s="22">
        <v>1.15585</v>
      </c>
      <c r="Z128" s="22">
        <v>103.949</v>
      </c>
      <c r="AA128" s="22">
        <v>-1.8170200000000001E-2</v>
      </c>
      <c r="AB128" s="22">
        <v>118</v>
      </c>
      <c r="AC128" s="22">
        <v>1.1554</v>
      </c>
      <c r="AD128">
        <f t="shared" si="16"/>
        <v>18.170200000000001</v>
      </c>
      <c r="AE128">
        <f t="shared" si="17"/>
        <v>21.002025670000002</v>
      </c>
      <c r="AF128" s="9"/>
      <c r="AG128" s="22">
        <v>0.494232</v>
      </c>
      <c r="AH128" s="22">
        <v>121.76900000000001</v>
      </c>
      <c r="AI128" s="22">
        <v>-1.8512000000000001E-2</v>
      </c>
      <c r="AJ128" s="22">
        <v>118</v>
      </c>
      <c r="AK128" s="22">
        <v>0.493591</v>
      </c>
      <c r="AL128">
        <f t="shared" si="18"/>
        <v>18.512</v>
      </c>
      <c r="AM128">
        <f t="shared" si="19"/>
        <v>9.1492227840000009</v>
      </c>
      <c r="AP128" s="9"/>
      <c r="AQ128" s="22">
        <v>1.15585</v>
      </c>
      <c r="AR128" s="22">
        <v>156.03899999999999</v>
      </c>
      <c r="AS128" s="22">
        <v>4.66431E-2</v>
      </c>
      <c r="AT128" s="22">
        <v>118</v>
      </c>
      <c r="AU128" s="22">
        <v>0.39138800000000001</v>
      </c>
      <c r="AV128">
        <f t="shared" si="20"/>
        <v>-46.643099999999997</v>
      </c>
      <c r="AW128">
        <f t="shared" si="21"/>
        <v>-53.912427135000001</v>
      </c>
      <c r="AX128" s="9"/>
      <c r="AY128" s="22">
        <v>0.494232</v>
      </c>
      <c r="AZ128" s="22">
        <v>190.42599999999999</v>
      </c>
      <c r="BA128" s="22">
        <v>-1.8057299999999998E-2</v>
      </c>
      <c r="BB128" s="22">
        <v>118</v>
      </c>
      <c r="BC128" s="22">
        <v>0.497894</v>
      </c>
      <c r="BD128">
        <f t="shared" si="22"/>
        <v>18.057299999999998</v>
      </c>
      <c r="BE128">
        <f t="shared" si="23"/>
        <v>8.9244954935999985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35.443300000000001</v>
      </c>
      <c r="I129" s="22">
        <v>4.6636999999999998E-2</v>
      </c>
      <c r="J129" s="22">
        <v>119</v>
      </c>
      <c r="K129" s="22">
        <v>0.35553000000000001</v>
      </c>
      <c r="L129">
        <f t="shared" si="12"/>
        <v>-46.637</v>
      </c>
      <c r="M129">
        <f t="shared" si="13"/>
        <v>-53.670792339999998</v>
      </c>
      <c r="N129" s="9"/>
      <c r="O129" s="22">
        <v>0.49926799999999999</v>
      </c>
      <c r="P129" s="22">
        <v>69.752499999999998</v>
      </c>
      <c r="Q129" s="22">
        <v>-1.8231199999999999E-2</v>
      </c>
      <c r="R129" s="22">
        <v>119</v>
      </c>
      <c r="S129" s="22">
        <v>0.49896200000000002</v>
      </c>
      <c r="T129">
        <f t="shared" si="14"/>
        <v>18.231200000000001</v>
      </c>
      <c r="U129">
        <f t="shared" si="15"/>
        <v>9.1022547616000011</v>
      </c>
      <c r="X129" s="9"/>
      <c r="Y129" s="22">
        <v>1.15082</v>
      </c>
      <c r="Z129" s="22">
        <v>103.959</v>
      </c>
      <c r="AA129" s="22">
        <v>-1.81732E-2</v>
      </c>
      <c r="AB129" s="22">
        <v>119</v>
      </c>
      <c r="AC129" s="22">
        <v>1.1496</v>
      </c>
      <c r="AD129">
        <f t="shared" si="16"/>
        <v>18.173200000000001</v>
      </c>
      <c r="AE129">
        <f t="shared" si="17"/>
        <v>20.914082024000002</v>
      </c>
      <c r="AF129" s="9"/>
      <c r="AG129" s="22">
        <v>0.49926799999999999</v>
      </c>
      <c r="AH129" s="22">
        <v>121.779</v>
      </c>
      <c r="AI129" s="22">
        <v>-1.8508899999999998E-2</v>
      </c>
      <c r="AJ129" s="22">
        <v>119</v>
      </c>
      <c r="AK129" s="22">
        <v>0.49853500000000001</v>
      </c>
      <c r="AL129">
        <f t="shared" si="18"/>
        <v>18.508899999999997</v>
      </c>
      <c r="AM129">
        <f t="shared" si="19"/>
        <v>9.2409014851999984</v>
      </c>
      <c r="AP129" s="9"/>
      <c r="AQ129" s="22">
        <v>1.15082</v>
      </c>
      <c r="AR129" s="22">
        <v>156.04900000000001</v>
      </c>
      <c r="AS129" s="22">
        <v>4.6646100000000003E-2</v>
      </c>
      <c r="AT129" s="22">
        <v>119</v>
      </c>
      <c r="AU129" s="22">
        <v>0.38580300000000001</v>
      </c>
      <c r="AV129">
        <f t="shared" si="20"/>
        <v>-46.646100000000004</v>
      </c>
      <c r="AW129">
        <f t="shared" si="21"/>
        <v>-53.681264802000001</v>
      </c>
      <c r="AX129" s="9"/>
      <c r="AY129" s="22">
        <v>0.49926799999999999</v>
      </c>
      <c r="AZ129" s="22">
        <v>190.43600000000001</v>
      </c>
      <c r="BA129" s="22">
        <v>-1.79962E-2</v>
      </c>
      <c r="BB129" s="22">
        <v>119</v>
      </c>
      <c r="BC129" s="22">
        <v>0.50277700000000003</v>
      </c>
      <c r="BD129">
        <f t="shared" si="22"/>
        <v>17.996200000000002</v>
      </c>
      <c r="BE129">
        <f t="shared" si="23"/>
        <v>8.9849267816000005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35.453400000000002</v>
      </c>
      <c r="I130" s="22">
        <v>4.6636999999999998E-2</v>
      </c>
      <c r="J130" s="22">
        <v>120</v>
      </c>
      <c r="K130" s="22">
        <v>0.35357699999999997</v>
      </c>
      <c r="L130">
        <f t="shared" si="12"/>
        <v>-46.637</v>
      </c>
      <c r="M130">
        <f t="shared" si="13"/>
        <v>-53.43574186</v>
      </c>
      <c r="N130" s="9"/>
      <c r="O130" s="22">
        <v>0.50430299999999995</v>
      </c>
      <c r="P130" s="22">
        <v>69.762500000000003</v>
      </c>
      <c r="Q130" s="22">
        <v>-1.8221999999999999E-2</v>
      </c>
      <c r="R130" s="22">
        <v>120</v>
      </c>
      <c r="S130" s="22">
        <v>0.50372300000000003</v>
      </c>
      <c r="T130">
        <f t="shared" si="14"/>
        <v>18.221999999999998</v>
      </c>
      <c r="U130">
        <f t="shared" si="15"/>
        <v>9.1894092659999984</v>
      </c>
      <c r="X130" s="9"/>
      <c r="Y130" s="22">
        <v>1.14578</v>
      </c>
      <c r="Z130" s="22">
        <v>103.96899999999999</v>
      </c>
      <c r="AA130" s="22">
        <v>-1.81732E-2</v>
      </c>
      <c r="AB130" s="22">
        <v>120</v>
      </c>
      <c r="AC130" s="22">
        <v>1.1456299999999999</v>
      </c>
      <c r="AD130">
        <f t="shared" si="16"/>
        <v>18.173200000000001</v>
      </c>
      <c r="AE130">
        <f t="shared" si="17"/>
        <v>20.822489096000002</v>
      </c>
      <c r="AF130" s="9"/>
      <c r="AG130" s="22">
        <v>0.50430299999999995</v>
      </c>
      <c r="AH130" s="22">
        <v>121.79</v>
      </c>
      <c r="AI130" s="22">
        <v>-1.8505899999999999E-2</v>
      </c>
      <c r="AJ130" s="22">
        <v>120</v>
      </c>
      <c r="AK130" s="22">
        <v>0.50329599999999997</v>
      </c>
      <c r="AL130">
        <f t="shared" si="18"/>
        <v>18.5059</v>
      </c>
      <c r="AM130">
        <f t="shared" si="19"/>
        <v>9.3325808876999989</v>
      </c>
      <c r="AP130" s="9"/>
      <c r="AQ130" s="22">
        <v>1.14578</v>
      </c>
      <c r="AR130" s="22">
        <v>156.059</v>
      </c>
      <c r="AS130" s="22">
        <v>4.6646100000000003E-2</v>
      </c>
      <c r="AT130" s="22">
        <v>120</v>
      </c>
      <c r="AU130" s="22">
        <v>0.37954700000000002</v>
      </c>
      <c r="AV130">
        <f t="shared" si="20"/>
        <v>-46.646100000000004</v>
      </c>
      <c r="AW130">
        <f t="shared" si="21"/>
        <v>-53.446168458000002</v>
      </c>
      <c r="AX130" s="9"/>
      <c r="AY130" s="22">
        <v>0.50430299999999995</v>
      </c>
      <c r="AZ130" s="22">
        <v>190.446</v>
      </c>
      <c r="BA130" s="22">
        <v>-1.7984E-2</v>
      </c>
      <c r="BB130" s="22">
        <v>120</v>
      </c>
      <c r="BC130" s="22">
        <v>0.50778199999999996</v>
      </c>
      <c r="BD130">
        <f t="shared" si="22"/>
        <v>17.984000000000002</v>
      </c>
      <c r="BE130">
        <f t="shared" si="23"/>
        <v>9.0693851520000006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35.463500000000003</v>
      </c>
      <c r="I131" s="22">
        <v>4.66583E-2</v>
      </c>
      <c r="J131" s="22">
        <v>121</v>
      </c>
      <c r="K131" s="22">
        <v>0.36144999999999999</v>
      </c>
      <c r="L131">
        <f t="shared" si="12"/>
        <v>-46.658299999999997</v>
      </c>
      <c r="M131">
        <f t="shared" si="13"/>
        <v>-53.225455724999996</v>
      </c>
      <c r="N131" s="9"/>
      <c r="O131" s="22">
        <v>0.50933799999999996</v>
      </c>
      <c r="P131" s="22">
        <v>69.772599999999997</v>
      </c>
      <c r="Q131" s="22">
        <v>-1.82159E-2</v>
      </c>
      <c r="R131" s="22">
        <v>121</v>
      </c>
      <c r="S131" s="22">
        <v>0.50848400000000005</v>
      </c>
      <c r="T131">
        <f t="shared" si="14"/>
        <v>18.215900000000001</v>
      </c>
      <c r="U131">
        <f t="shared" si="15"/>
        <v>9.2780500741999994</v>
      </c>
      <c r="X131" s="9"/>
      <c r="Y131" s="22">
        <v>1.1407499999999999</v>
      </c>
      <c r="Z131" s="22">
        <v>103.979</v>
      </c>
      <c r="AA131" s="22">
        <v>-1.8179299999999999E-2</v>
      </c>
      <c r="AB131" s="22">
        <v>121</v>
      </c>
      <c r="AC131" s="22">
        <v>1.1404399999999999</v>
      </c>
      <c r="AD131">
        <f t="shared" si="16"/>
        <v>18.179299999999998</v>
      </c>
      <c r="AE131">
        <f t="shared" si="17"/>
        <v>20.738036474999998</v>
      </c>
      <c r="AF131" s="9"/>
      <c r="AG131" s="22">
        <v>0.50933799999999996</v>
      </c>
      <c r="AH131" s="22">
        <v>121.8</v>
      </c>
      <c r="AI131" s="22">
        <v>-1.85028E-2</v>
      </c>
      <c r="AJ131" s="22">
        <v>121</v>
      </c>
      <c r="AK131" s="22">
        <v>0.50842299999999996</v>
      </c>
      <c r="AL131">
        <f t="shared" si="18"/>
        <v>18.502800000000001</v>
      </c>
      <c r="AM131">
        <f t="shared" si="19"/>
        <v>9.4241791464000002</v>
      </c>
      <c r="AP131" s="9"/>
      <c r="AQ131" s="22">
        <v>1.1407499999999999</v>
      </c>
      <c r="AR131" s="22">
        <v>156.06899999999999</v>
      </c>
      <c r="AS131" s="22">
        <v>4.6649200000000002E-2</v>
      </c>
      <c r="AT131" s="22">
        <v>121</v>
      </c>
      <c r="AU131" s="22">
        <v>0.38375900000000002</v>
      </c>
      <c r="AV131">
        <f t="shared" si="20"/>
        <v>-46.6492</v>
      </c>
      <c r="AW131">
        <f t="shared" si="21"/>
        <v>-53.215074899999998</v>
      </c>
      <c r="AX131" s="9"/>
      <c r="AY131" s="22">
        <v>0.50933799999999996</v>
      </c>
      <c r="AZ131" s="22">
        <v>190.45599999999999</v>
      </c>
      <c r="BA131" s="22">
        <v>-1.8005400000000001E-2</v>
      </c>
      <c r="BB131" s="22">
        <v>121</v>
      </c>
      <c r="BC131" s="22">
        <v>0.507629</v>
      </c>
      <c r="BD131">
        <f t="shared" si="22"/>
        <v>18.005400000000002</v>
      </c>
      <c r="BE131">
        <f t="shared" si="23"/>
        <v>9.1708344252000007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35.473500000000001</v>
      </c>
      <c r="I132" s="22">
        <v>4.6661399999999999E-2</v>
      </c>
      <c r="J132" s="22">
        <v>122</v>
      </c>
      <c r="K132" s="22">
        <v>0.35180699999999998</v>
      </c>
      <c r="L132">
        <f t="shared" si="12"/>
        <v>-46.6614</v>
      </c>
      <c r="M132">
        <f t="shared" si="13"/>
        <v>-52.993818593999997</v>
      </c>
      <c r="N132" s="9"/>
      <c r="O132" s="22">
        <v>0.514374</v>
      </c>
      <c r="P132" s="22">
        <v>69.782700000000006</v>
      </c>
      <c r="Q132" s="22">
        <v>-1.82037E-2</v>
      </c>
      <c r="R132" s="22">
        <v>122</v>
      </c>
      <c r="S132" s="22">
        <v>0.51480099999999995</v>
      </c>
      <c r="T132">
        <f t="shared" si="14"/>
        <v>18.203700000000001</v>
      </c>
      <c r="U132">
        <f t="shared" si="15"/>
        <v>9.3635099838000002</v>
      </c>
      <c r="X132" s="9"/>
      <c r="Y132" s="22">
        <v>1.13571</v>
      </c>
      <c r="Z132" s="22">
        <v>103.989</v>
      </c>
      <c r="AA132" s="22">
        <v>-1.8185400000000001E-2</v>
      </c>
      <c r="AB132" s="22">
        <v>122</v>
      </c>
      <c r="AC132" s="22">
        <v>1.1349499999999999</v>
      </c>
      <c r="AD132">
        <f t="shared" si="16"/>
        <v>18.185400000000001</v>
      </c>
      <c r="AE132">
        <f t="shared" si="17"/>
        <v>20.653340634000003</v>
      </c>
      <c r="AF132" s="9"/>
      <c r="AG132" s="22">
        <v>0.514374</v>
      </c>
      <c r="AH132" s="22">
        <v>121.81</v>
      </c>
      <c r="AI132" s="22">
        <v>-1.85028E-2</v>
      </c>
      <c r="AJ132" s="22">
        <v>122</v>
      </c>
      <c r="AK132" s="22">
        <v>0.51394700000000004</v>
      </c>
      <c r="AL132">
        <f t="shared" si="18"/>
        <v>18.502800000000001</v>
      </c>
      <c r="AM132">
        <f t="shared" si="19"/>
        <v>9.5173592471999999</v>
      </c>
      <c r="AP132" s="9"/>
      <c r="AQ132" s="22">
        <v>1.13571</v>
      </c>
      <c r="AR132" s="22">
        <v>156.07900000000001</v>
      </c>
      <c r="AS132" s="22">
        <v>4.6636999999999998E-2</v>
      </c>
      <c r="AT132" s="22">
        <v>122</v>
      </c>
      <c r="AU132" s="22">
        <v>0.37979099999999999</v>
      </c>
      <c r="AV132">
        <f t="shared" si="20"/>
        <v>-46.637</v>
      </c>
      <c r="AW132">
        <f t="shared" si="21"/>
        <v>-52.966107270000002</v>
      </c>
      <c r="AX132" s="9"/>
      <c r="AY132" s="22">
        <v>0.514374</v>
      </c>
      <c r="AZ132" s="22">
        <v>190.46600000000001</v>
      </c>
      <c r="BA132" s="22">
        <v>-1.8017600000000002E-2</v>
      </c>
      <c r="BB132" s="22">
        <v>122</v>
      </c>
      <c r="BC132" s="22">
        <v>0.51367200000000002</v>
      </c>
      <c r="BD132">
        <f t="shared" si="22"/>
        <v>18.017600000000002</v>
      </c>
      <c r="BE132">
        <f t="shared" si="23"/>
        <v>9.2677849824000003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35.483600000000003</v>
      </c>
      <c r="I133" s="22">
        <v>4.6649200000000002E-2</v>
      </c>
      <c r="J133" s="22">
        <v>123</v>
      </c>
      <c r="K133" s="22">
        <v>0.35342400000000002</v>
      </c>
      <c r="L133">
        <f t="shared" si="12"/>
        <v>-46.6492</v>
      </c>
      <c r="M133">
        <f t="shared" si="13"/>
        <v>-52.745317455999995</v>
      </c>
      <c r="N133" s="9"/>
      <c r="O133" s="22">
        <v>0.51940900000000001</v>
      </c>
      <c r="P133" s="22">
        <v>69.792699999999996</v>
      </c>
      <c r="Q133" s="22">
        <v>-1.8194599999999998E-2</v>
      </c>
      <c r="R133" s="22">
        <v>123</v>
      </c>
      <c r="S133" s="22">
        <v>0.51806600000000003</v>
      </c>
      <c r="T133">
        <f t="shared" si="14"/>
        <v>18.194599999999998</v>
      </c>
      <c r="U133">
        <f t="shared" si="15"/>
        <v>9.4504389913999987</v>
      </c>
      <c r="X133" s="9"/>
      <c r="Y133" s="22">
        <v>1.1306799999999999</v>
      </c>
      <c r="Z133" s="22">
        <v>103.999</v>
      </c>
      <c r="AA133" s="22">
        <v>-1.81885E-2</v>
      </c>
      <c r="AB133" s="22">
        <v>123</v>
      </c>
      <c r="AC133" s="22">
        <v>1.1294599999999999</v>
      </c>
      <c r="AD133">
        <f t="shared" si="16"/>
        <v>18.188500000000001</v>
      </c>
      <c r="AE133">
        <f t="shared" si="17"/>
        <v>20.565373179999998</v>
      </c>
      <c r="AF133" s="9"/>
      <c r="AG133" s="22">
        <v>0.51940900000000001</v>
      </c>
      <c r="AH133" s="22">
        <v>121.82</v>
      </c>
      <c r="AI133" s="22">
        <v>-1.84998E-2</v>
      </c>
      <c r="AJ133" s="22">
        <v>123</v>
      </c>
      <c r="AK133" s="22">
        <v>0.51892099999999997</v>
      </c>
      <c r="AL133">
        <f t="shared" si="18"/>
        <v>18.4998</v>
      </c>
      <c r="AM133">
        <f t="shared" si="19"/>
        <v>9.6089626181999996</v>
      </c>
      <c r="AP133" s="9"/>
      <c r="AQ133" s="22">
        <v>1.1306799999999999</v>
      </c>
      <c r="AR133" s="22">
        <v>156.089</v>
      </c>
      <c r="AS133" s="22">
        <v>4.6630900000000003E-2</v>
      </c>
      <c r="AT133" s="22">
        <v>123</v>
      </c>
      <c r="AU133" s="22">
        <v>0.37402299999999999</v>
      </c>
      <c r="AV133">
        <f t="shared" si="20"/>
        <v>-46.630900000000004</v>
      </c>
      <c r="AW133">
        <f t="shared" si="21"/>
        <v>-52.724626012000002</v>
      </c>
      <c r="AX133" s="9"/>
      <c r="AY133" s="22">
        <v>0.51940900000000001</v>
      </c>
      <c r="AZ133" s="22">
        <v>190.476</v>
      </c>
      <c r="BA133" s="22">
        <v>-1.79718E-2</v>
      </c>
      <c r="BB133" s="22">
        <v>123</v>
      </c>
      <c r="BC133" s="22">
        <v>0.51916499999999999</v>
      </c>
      <c r="BD133">
        <f t="shared" si="22"/>
        <v>17.971799999999998</v>
      </c>
      <c r="BE133">
        <f t="shared" si="23"/>
        <v>9.3347146662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35.493699999999997</v>
      </c>
      <c r="I134" s="22">
        <v>4.6633899999999999E-2</v>
      </c>
      <c r="J134" s="22">
        <v>124</v>
      </c>
      <c r="K134" s="22">
        <v>0.353607</v>
      </c>
      <c r="L134">
        <f t="shared" si="12"/>
        <v>-46.633899999999997</v>
      </c>
      <c r="M134">
        <f t="shared" si="13"/>
        <v>-52.492983195999997</v>
      </c>
      <c r="N134" s="9"/>
      <c r="O134" s="22">
        <v>0.52444500000000005</v>
      </c>
      <c r="P134" s="22">
        <v>69.802800000000005</v>
      </c>
      <c r="Q134" s="22">
        <v>-1.8194599999999998E-2</v>
      </c>
      <c r="R134" s="22">
        <v>124</v>
      </c>
      <c r="S134" s="22">
        <v>0.523254</v>
      </c>
      <c r="T134">
        <f t="shared" si="14"/>
        <v>18.194599999999998</v>
      </c>
      <c r="U134">
        <f t="shared" si="15"/>
        <v>9.5420669969999992</v>
      </c>
      <c r="X134" s="9"/>
      <c r="Y134" s="22">
        <v>1.12564</v>
      </c>
      <c r="Z134" s="22">
        <v>104.009</v>
      </c>
      <c r="AA134" s="22">
        <v>-1.8191499999999999E-2</v>
      </c>
      <c r="AB134" s="22">
        <v>124</v>
      </c>
      <c r="AC134" s="22">
        <v>1.1245700000000001</v>
      </c>
      <c r="AD134">
        <f t="shared" si="16"/>
        <v>18.191499999999998</v>
      </c>
      <c r="AE134">
        <f t="shared" si="17"/>
        <v>20.477080059999999</v>
      </c>
      <c r="AF134" s="9"/>
      <c r="AG134" s="22">
        <v>0.52444500000000005</v>
      </c>
      <c r="AH134" s="22">
        <v>121.83</v>
      </c>
      <c r="AI134" s="22">
        <v>-1.8496700000000001E-2</v>
      </c>
      <c r="AJ134" s="22">
        <v>124</v>
      </c>
      <c r="AK134" s="22">
        <v>0.52304099999999998</v>
      </c>
      <c r="AL134">
        <f t="shared" si="18"/>
        <v>18.496700000000001</v>
      </c>
      <c r="AM134">
        <f t="shared" si="19"/>
        <v>9.7005018315000004</v>
      </c>
      <c r="AP134" s="9"/>
      <c r="AQ134" s="22">
        <v>1.12564</v>
      </c>
      <c r="AR134" s="22">
        <v>156.09899999999999</v>
      </c>
      <c r="AS134" s="22">
        <v>4.6594200000000002E-2</v>
      </c>
      <c r="AT134" s="22">
        <v>124</v>
      </c>
      <c r="AU134" s="22">
        <v>0.38275100000000001</v>
      </c>
      <c r="AV134">
        <f t="shared" si="20"/>
        <v>-46.594200000000001</v>
      </c>
      <c r="AW134">
        <f t="shared" si="21"/>
        <v>-52.448295287999997</v>
      </c>
      <c r="AX134" s="9"/>
      <c r="AY134" s="22">
        <v>0.52444500000000005</v>
      </c>
      <c r="AZ134" s="22">
        <v>190.48599999999999</v>
      </c>
      <c r="BA134" s="22">
        <v>-1.79565E-2</v>
      </c>
      <c r="BB134" s="22">
        <v>124</v>
      </c>
      <c r="BC134" s="22">
        <v>0.52597000000000005</v>
      </c>
      <c r="BD134">
        <f t="shared" si="22"/>
        <v>17.956500000000002</v>
      </c>
      <c r="BE134">
        <f t="shared" si="23"/>
        <v>9.4171966425000022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35.503700000000002</v>
      </c>
      <c r="I135" s="22">
        <v>4.6609499999999998E-2</v>
      </c>
      <c r="J135" s="22">
        <v>125</v>
      </c>
      <c r="K135" s="22">
        <v>0.35089100000000001</v>
      </c>
      <c r="L135">
        <f t="shared" si="12"/>
        <v>-46.609499999999997</v>
      </c>
      <c r="M135">
        <f t="shared" si="13"/>
        <v>-52.231071794999998</v>
      </c>
      <c r="N135" s="9"/>
      <c r="O135" s="22">
        <v>0.52947999999999995</v>
      </c>
      <c r="P135" s="22">
        <v>69.812899999999999</v>
      </c>
      <c r="Q135" s="22">
        <v>-1.8191499999999999E-2</v>
      </c>
      <c r="R135" s="22">
        <v>125</v>
      </c>
      <c r="S135" s="22">
        <v>0.52856400000000003</v>
      </c>
      <c r="T135">
        <f t="shared" si="14"/>
        <v>18.191499999999998</v>
      </c>
      <c r="U135">
        <f t="shared" si="15"/>
        <v>9.6320354199999976</v>
      </c>
      <c r="X135" s="9"/>
      <c r="Y135" s="22">
        <v>1.1206100000000001</v>
      </c>
      <c r="Z135" s="22">
        <v>104.01900000000001</v>
      </c>
      <c r="AA135" s="22">
        <v>-1.8194599999999998E-2</v>
      </c>
      <c r="AB135" s="22">
        <v>125</v>
      </c>
      <c r="AC135" s="22">
        <v>1.1190800000000001</v>
      </c>
      <c r="AD135">
        <f t="shared" si="16"/>
        <v>18.194599999999998</v>
      </c>
      <c r="AE135">
        <f t="shared" si="17"/>
        <v>20.389050705999999</v>
      </c>
      <c r="AF135" s="9"/>
      <c r="AG135" s="22">
        <v>0.52947999999999995</v>
      </c>
      <c r="AH135" s="22">
        <v>121.84</v>
      </c>
      <c r="AI135" s="22">
        <v>-1.8493699999999998E-2</v>
      </c>
      <c r="AJ135" s="22">
        <v>125</v>
      </c>
      <c r="AK135" s="22">
        <v>0.52938799999999997</v>
      </c>
      <c r="AL135">
        <f t="shared" si="18"/>
        <v>18.493699999999997</v>
      </c>
      <c r="AM135">
        <f t="shared" si="19"/>
        <v>9.7920442759999968</v>
      </c>
      <c r="AP135" s="9"/>
      <c r="AQ135" s="22">
        <v>1.1206100000000001</v>
      </c>
      <c r="AR135" s="22">
        <v>156.10900000000001</v>
      </c>
      <c r="AS135" s="22">
        <v>4.65881E-2</v>
      </c>
      <c r="AT135" s="22">
        <v>125</v>
      </c>
      <c r="AU135" s="22">
        <v>0.37924200000000002</v>
      </c>
      <c r="AV135">
        <f t="shared" si="20"/>
        <v>-46.588099999999997</v>
      </c>
      <c r="AW135">
        <f t="shared" si="21"/>
        <v>-52.207090741000002</v>
      </c>
      <c r="AX135" s="9"/>
      <c r="AY135" s="22">
        <v>0.52947999999999995</v>
      </c>
      <c r="AZ135" s="22">
        <v>190.49600000000001</v>
      </c>
      <c r="BA135" s="22">
        <v>-1.7950399999999998E-2</v>
      </c>
      <c r="BB135" s="22">
        <v>125</v>
      </c>
      <c r="BC135" s="22">
        <v>0.52822899999999995</v>
      </c>
      <c r="BD135">
        <f t="shared" si="22"/>
        <v>17.950399999999998</v>
      </c>
      <c r="BE135">
        <f t="shared" si="23"/>
        <v>9.5043777919999979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35.513800000000003</v>
      </c>
      <c r="I136" s="22">
        <v>4.6612500000000001E-2</v>
      </c>
      <c r="J136" s="22">
        <v>126</v>
      </c>
      <c r="K136" s="22">
        <v>0.35284399999999999</v>
      </c>
      <c r="L136">
        <f t="shared" si="12"/>
        <v>-46.612500000000004</v>
      </c>
      <c r="M136">
        <f t="shared" si="13"/>
        <v>-51.999506625000002</v>
      </c>
      <c r="N136" s="9"/>
      <c r="O136" s="22">
        <v>0.53451499999999996</v>
      </c>
      <c r="P136" s="22">
        <v>69.822999999999993</v>
      </c>
      <c r="Q136" s="22">
        <v>-1.8185400000000001E-2</v>
      </c>
      <c r="R136" s="22">
        <v>126</v>
      </c>
      <c r="S136" s="22">
        <v>0.53414899999999998</v>
      </c>
      <c r="T136">
        <f t="shared" si="14"/>
        <v>18.185400000000001</v>
      </c>
      <c r="U136">
        <f t="shared" si="15"/>
        <v>9.7203690809999994</v>
      </c>
      <c r="X136" s="9"/>
      <c r="Y136" s="22">
        <v>1.11557</v>
      </c>
      <c r="Z136" s="22">
        <v>104.029</v>
      </c>
      <c r="AA136" s="22">
        <v>-1.8197600000000001E-2</v>
      </c>
      <c r="AB136" s="22">
        <v>126</v>
      </c>
      <c r="AC136" s="22">
        <v>1.1145</v>
      </c>
      <c r="AD136">
        <f t="shared" si="16"/>
        <v>18.197600000000001</v>
      </c>
      <c r="AE136">
        <f t="shared" si="17"/>
        <v>20.300696632000001</v>
      </c>
      <c r="AF136" s="9"/>
      <c r="AG136" s="22">
        <v>0.53451499999999996</v>
      </c>
      <c r="AH136" s="22">
        <v>121.85</v>
      </c>
      <c r="AI136" s="22">
        <v>-1.8493699999999998E-2</v>
      </c>
      <c r="AJ136" s="22">
        <v>126</v>
      </c>
      <c r="AK136" s="22">
        <v>0.53359999999999996</v>
      </c>
      <c r="AL136">
        <f t="shared" si="18"/>
        <v>18.493699999999997</v>
      </c>
      <c r="AM136">
        <f t="shared" si="19"/>
        <v>9.8851600554999983</v>
      </c>
      <c r="AP136" s="9"/>
      <c r="AQ136" s="22">
        <v>1.11557</v>
      </c>
      <c r="AR136" s="22">
        <v>156.119</v>
      </c>
      <c r="AS136" s="22">
        <v>4.65881E-2</v>
      </c>
      <c r="AT136" s="22">
        <v>126</v>
      </c>
      <c r="AU136" s="22">
        <v>0.385162</v>
      </c>
      <c r="AV136">
        <f t="shared" si="20"/>
        <v>-46.588099999999997</v>
      </c>
      <c r="AW136">
        <f t="shared" si="21"/>
        <v>-51.972286716999996</v>
      </c>
      <c r="AX136" s="9"/>
      <c r="AY136" s="22">
        <v>0.53451499999999996</v>
      </c>
      <c r="AZ136" s="22">
        <v>190.506</v>
      </c>
      <c r="BA136" s="22">
        <v>-1.7935199999999998E-2</v>
      </c>
      <c r="BB136" s="22">
        <v>126</v>
      </c>
      <c r="BC136" s="22">
        <v>0.53619399999999995</v>
      </c>
      <c r="BD136">
        <f t="shared" si="22"/>
        <v>17.935199999999998</v>
      </c>
      <c r="BE136">
        <f t="shared" si="23"/>
        <v>9.586633427999999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35.523899999999998</v>
      </c>
      <c r="I137" s="22">
        <v>4.6624800000000001E-2</v>
      </c>
      <c r="J137" s="22">
        <v>127</v>
      </c>
      <c r="K137" s="22">
        <v>0.349213</v>
      </c>
      <c r="L137">
        <f t="shared" si="12"/>
        <v>-46.6248</v>
      </c>
      <c r="M137">
        <f t="shared" si="13"/>
        <v>-51.778239144000004</v>
      </c>
      <c r="N137" s="9"/>
      <c r="O137" s="22">
        <v>0.539551</v>
      </c>
      <c r="P137" s="22">
        <v>69.832999999999998</v>
      </c>
      <c r="Q137" s="22">
        <v>-1.8182400000000001E-2</v>
      </c>
      <c r="R137" s="22">
        <v>127</v>
      </c>
      <c r="S137" s="22">
        <v>0.53909300000000004</v>
      </c>
      <c r="T137">
        <f t="shared" si="14"/>
        <v>18.182400000000001</v>
      </c>
      <c r="U137">
        <f t="shared" si="15"/>
        <v>9.8103321024000003</v>
      </c>
      <c r="X137" s="9"/>
      <c r="Y137" s="22">
        <v>1.11053</v>
      </c>
      <c r="Z137" s="22">
        <v>104.039</v>
      </c>
      <c r="AA137" s="22">
        <v>-1.82007E-2</v>
      </c>
      <c r="AB137" s="22">
        <v>127</v>
      </c>
      <c r="AC137" s="22">
        <v>1.1090100000000001</v>
      </c>
      <c r="AD137">
        <f t="shared" si="16"/>
        <v>18.200700000000001</v>
      </c>
      <c r="AE137">
        <f t="shared" si="17"/>
        <v>20.212423371000003</v>
      </c>
      <c r="AF137" s="9"/>
      <c r="AG137" s="22">
        <v>0.539551</v>
      </c>
      <c r="AH137" s="22">
        <v>121.86</v>
      </c>
      <c r="AI137" s="22">
        <v>-1.8493699999999998E-2</v>
      </c>
      <c r="AJ137" s="22">
        <v>127</v>
      </c>
      <c r="AK137" s="22">
        <v>0.53942900000000005</v>
      </c>
      <c r="AL137">
        <f t="shared" si="18"/>
        <v>18.493699999999997</v>
      </c>
      <c r="AM137">
        <f t="shared" si="19"/>
        <v>9.9782943286999988</v>
      </c>
      <c r="AP137" s="9"/>
      <c r="AQ137" s="22">
        <v>1.11053</v>
      </c>
      <c r="AR137" s="22">
        <v>156.12899999999999</v>
      </c>
      <c r="AS137" s="22">
        <v>4.65881E-2</v>
      </c>
      <c r="AT137" s="22">
        <v>127</v>
      </c>
      <c r="AU137" s="22">
        <v>0.37799100000000002</v>
      </c>
      <c r="AV137">
        <f t="shared" si="20"/>
        <v>-46.588099999999997</v>
      </c>
      <c r="AW137">
        <f t="shared" si="21"/>
        <v>-51.737482692999997</v>
      </c>
      <c r="AX137" s="9"/>
      <c r="AY137" s="22">
        <v>0.539551</v>
      </c>
      <c r="AZ137" s="22">
        <v>190.51599999999999</v>
      </c>
      <c r="BA137" s="22">
        <v>-1.7981E-2</v>
      </c>
      <c r="BB137" s="22">
        <v>127</v>
      </c>
      <c r="BC137" s="22">
        <v>0.55123900000000003</v>
      </c>
      <c r="BD137">
        <f t="shared" si="22"/>
        <v>17.981000000000002</v>
      </c>
      <c r="BE137">
        <f t="shared" si="23"/>
        <v>9.7016665310000008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35.533999999999999</v>
      </c>
      <c r="I138" s="22">
        <v>4.6661399999999999E-2</v>
      </c>
      <c r="J138" s="22">
        <v>128</v>
      </c>
      <c r="K138" s="22">
        <v>0.35278300000000001</v>
      </c>
      <c r="L138">
        <f t="shared" si="12"/>
        <v>-46.6614</v>
      </c>
      <c r="M138">
        <f t="shared" si="13"/>
        <v>-51.584177699999998</v>
      </c>
      <c r="N138" s="9"/>
      <c r="O138" s="22">
        <v>0.54458600000000001</v>
      </c>
      <c r="P138" s="22">
        <v>69.843100000000007</v>
      </c>
      <c r="Q138" s="22">
        <v>-1.8176299999999999E-2</v>
      </c>
      <c r="R138" s="22">
        <v>128</v>
      </c>
      <c r="S138" s="22">
        <v>0.54397600000000002</v>
      </c>
      <c r="T138">
        <f t="shared" si="14"/>
        <v>18.176299999999998</v>
      </c>
      <c r="U138">
        <f t="shared" si="15"/>
        <v>9.8985585117999992</v>
      </c>
      <c r="X138" s="9"/>
      <c r="Y138" s="22">
        <v>1.1054999999999999</v>
      </c>
      <c r="Z138" s="22">
        <v>104.04900000000001</v>
      </c>
      <c r="AA138" s="22">
        <v>-1.82037E-2</v>
      </c>
      <c r="AB138" s="22">
        <v>128</v>
      </c>
      <c r="AC138" s="22">
        <v>1.1047400000000001</v>
      </c>
      <c r="AD138">
        <f t="shared" si="16"/>
        <v>18.203700000000001</v>
      </c>
      <c r="AE138">
        <f t="shared" si="17"/>
        <v>20.124190349999999</v>
      </c>
      <c r="AF138" s="9"/>
      <c r="AG138" s="22">
        <v>0.54458600000000001</v>
      </c>
      <c r="AH138" s="22">
        <v>121.87</v>
      </c>
      <c r="AI138" s="22">
        <v>-1.8490599999999999E-2</v>
      </c>
      <c r="AJ138" s="22">
        <v>128</v>
      </c>
      <c r="AK138" s="22">
        <v>0.54397600000000002</v>
      </c>
      <c r="AL138">
        <f t="shared" si="18"/>
        <v>18.490600000000001</v>
      </c>
      <c r="AM138">
        <f t="shared" si="19"/>
        <v>10.0697218916</v>
      </c>
      <c r="AP138" s="9"/>
      <c r="AQ138" s="22">
        <v>1.1054999999999999</v>
      </c>
      <c r="AR138" s="22">
        <v>156.13900000000001</v>
      </c>
      <c r="AS138" s="22">
        <v>4.6581999999999998E-2</v>
      </c>
      <c r="AT138" s="22">
        <v>128</v>
      </c>
      <c r="AU138" s="22">
        <v>0.38467400000000002</v>
      </c>
      <c r="AV138">
        <f t="shared" si="20"/>
        <v>-46.582000000000001</v>
      </c>
      <c r="AW138">
        <f t="shared" si="21"/>
        <v>-51.496400999999999</v>
      </c>
      <c r="AX138" s="9"/>
      <c r="AY138" s="22">
        <v>0.54458600000000001</v>
      </c>
      <c r="AZ138" s="22">
        <v>190.52600000000001</v>
      </c>
      <c r="BA138" s="22">
        <v>-1.7981E-2</v>
      </c>
      <c r="BB138" s="22">
        <v>128</v>
      </c>
      <c r="BC138" s="22">
        <v>0.50781299999999996</v>
      </c>
      <c r="BD138">
        <f t="shared" si="22"/>
        <v>17.981000000000002</v>
      </c>
      <c r="BE138">
        <f t="shared" si="23"/>
        <v>9.7922008660000017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35.543999999999997</v>
      </c>
      <c r="I139" s="22">
        <v>4.6664400000000002E-2</v>
      </c>
      <c r="J139" s="22">
        <v>129</v>
      </c>
      <c r="K139" s="22">
        <v>0.34966999999999998</v>
      </c>
      <c r="L139">
        <f t="shared" si="12"/>
        <v>-46.664400000000001</v>
      </c>
      <c r="M139">
        <f t="shared" si="13"/>
        <v>-51.352305624000003</v>
      </c>
      <c r="N139" s="9"/>
      <c r="O139" s="22">
        <v>0.54962200000000005</v>
      </c>
      <c r="P139" s="22">
        <v>69.853200000000001</v>
      </c>
      <c r="Q139" s="22">
        <v>-1.8176299999999999E-2</v>
      </c>
      <c r="R139" s="22">
        <v>129</v>
      </c>
      <c r="S139" s="22">
        <v>0.54904200000000003</v>
      </c>
      <c r="T139">
        <f t="shared" si="14"/>
        <v>18.176299999999998</v>
      </c>
      <c r="U139">
        <f t="shared" si="15"/>
        <v>9.9900943586000004</v>
      </c>
      <c r="X139" s="9"/>
      <c r="Y139" s="22">
        <v>1.10046</v>
      </c>
      <c r="Z139" s="22">
        <v>104.059</v>
      </c>
      <c r="AA139" s="22">
        <v>-1.8206799999999999E-2</v>
      </c>
      <c r="AB139" s="22">
        <v>129</v>
      </c>
      <c r="AC139" s="22">
        <v>1.09985</v>
      </c>
      <c r="AD139">
        <f t="shared" si="16"/>
        <v>18.206799999999998</v>
      </c>
      <c r="AE139">
        <f t="shared" si="17"/>
        <v>20.035855127999998</v>
      </c>
      <c r="AF139" s="9"/>
      <c r="AG139" s="22">
        <v>0.54962200000000005</v>
      </c>
      <c r="AH139" s="22">
        <v>121.88</v>
      </c>
      <c r="AI139" s="22">
        <v>-1.84875E-2</v>
      </c>
      <c r="AJ139" s="22">
        <v>129</v>
      </c>
      <c r="AK139" s="22">
        <v>0.54913299999999998</v>
      </c>
      <c r="AL139">
        <f t="shared" si="18"/>
        <v>18.487500000000001</v>
      </c>
      <c r="AM139">
        <f t="shared" si="19"/>
        <v>10.161136725000002</v>
      </c>
      <c r="AP139" s="9"/>
      <c r="AQ139" s="22">
        <v>1.10046</v>
      </c>
      <c r="AR139" s="22">
        <v>156.149</v>
      </c>
      <c r="AS139" s="22">
        <v>4.6606399999999999E-2</v>
      </c>
      <c r="AT139" s="22">
        <v>129</v>
      </c>
      <c r="AU139" s="22">
        <v>0.39090000000000003</v>
      </c>
      <c r="AV139">
        <f t="shared" si="20"/>
        <v>-46.606400000000001</v>
      </c>
      <c r="AW139">
        <f t="shared" si="21"/>
        <v>-51.288478943999998</v>
      </c>
      <c r="AX139" s="9"/>
      <c r="AY139" s="22">
        <v>0.54962200000000005</v>
      </c>
      <c r="AZ139" s="22">
        <v>190.536</v>
      </c>
      <c r="BA139" s="22">
        <v>-1.7898600000000001E-2</v>
      </c>
      <c r="BB139" s="22">
        <v>129</v>
      </c>
      <c r="BC139" s="22">
        <v>0.54888899999999996</v>
      </c>
      <c r="BD139">
        <f t="shared" si="22"/>
        <v>17.898600000000002</v>
      </c>
      <c r="BE139">
        <f t="shared" si="23"/>
        <v>9.8374643292000012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35.554099999999998</v>
      </c>
      <c r="I140" s="22">
        <v>4.6655299999999997E-2</v>
      </c>
      <c r="J140" s="22">
        <v>130</v>
      </c>
      <c r="K140" s="22">
        <v>0.35165400000000002</v>
      </c>
      <c r="L140">
        <f t="shared" ref="L140:L203" si="24">-I140/$F$2*1000</f>
        <v>-46.655299999999997</v>
      </c>
      <c r="M140">
        <f t="shared" ref="M140:M203" si="25">L140*G140</f>
        <v>-51.107615278999994</v>
      </c>
      <c r="N140" s="9"/>
      <c r="O140" s="22">
        <v>0.55465699999999996</v>
      </c>
      <c r="P140" s="22">
        <v>69.863200000000006</v>
      </c>
      <c r="Q140" s="22">
        <v>-1.8167099999999999E-2</v>
      </c>
      <c r="R140" s="22">
        <v>130</v>
      </c>
      <c r="S140" s="22">
        <v>0.55395499999999998</v>
      </c>
      <c r="T140">
        <f t="shared" ref="T140:T203" si="26">-Q140/$F$2*1000</f>
        <v>18.167099999999998</v>
      </c>
      <c r="U140">
        <f t="shared" ref="U140:U203" si="27">T140*O140</f>
        <v>10.076509184699997</v>
      </c>
      <c r="X140" s="9"/>
      <c r="Y140" s="22">
        <v>1.0954299999999999</v>
      </c>
      <c r="Z140" s="22">
        <v>104.069</v>
      </c>
      <c r="AA140" s="22">
        <v>-1.8209800000000002E-2</v>
      </c>
      <c r="AB140" s="22">
        <v>130</v>
      </c>
      <c r="AC140" s="22">
        <v>1.09375</v>
      </c>
      <c r="AD140">
        <f t="shared" ref="AD140:AD203" si="28">-AA140/$F$2*1000</f>
        <v>18.209800000000001</v>
      </c>
      <c r="AE140">
        <f t="shared" ref="AE140:AE203" si="29">AD140*Y140</f>
        <v>19.947561214</v>
      </c>
      <c r="AF140" s="9"/>
      <c r="AG140" s="22">
        <v>0.55465699999999996</v>
      </c>
      <c r="AH140" s="22">
        <v>121.89</v>
      </c>
      <c r="AI140" s="22">
        <v>-1.84875E-2</v>
      </c>
      <c r="AJ140" s="22">
        <v>130</v>
      </c>
      <c r="AK140" s="22">
        <v>0.55429099999999998</v>
      </c>
      <c r="AL140">
        <f t="shared" ref="AL140:AL203" si="30">-AI140/$F$2*1000</f>
        <v>18.487500000000001</v>
      </c>
      <c r="AM140">
        <f t="shared" ref="AM140:AM203" si="31">AL140*AG140</f>
        <v>10.2542212875</v>
      </c>
      <c r="AP140" s="9"/>
      <c r="AQ140" s="22">
        <v>1.0954299999999999</v>
      </c>
      <c r="AR140" s="22">
        <v>156.15899999999999</v>
      </c>
      <c r="AS140" s="22">
        <v>4.6581999999999998E-2</v>
      </c>
      <c r="AT140" s="22">
        <v>130</v>
      </c>
      <c r="AU140" s="22">
        <v>0.38946500000000001</v>
      </c>
      <c r="AV140">
        <f t="shared" ref="AV140:AV203" si="32">-AS140/$F$2*1000</f>
        <v>-46.582000000000001</v>
      </c>
      <c r="AW140">
        <f t="shared" ref="AW140:AW203" si="33">AV140*AQ140</f>
        <v>-51.027320259999996</v>
      </c>
      <c r="AX140" s="9"/>
      <c r="AY140" s="22">
        <v>0.55465699999999996</v>
      </c>
      <c r="AZ140" s="22">
        <v>190.547</v>
      </c>
      <c r="BA140" s="22">
        <v>-1.78894E-2</v>
      </c>
      <c r="BB140" s="22">
        <v>130</v>
      </c>
      <c r="BC140" s="22">
        <v>0.55273399999999995</v>
      </c>
      <c r="BD140">
        <f t="shared" ref="BD140:BD203" si="34">-BA140/$F$2*1000</f>
        <v>17.889399999999998</v>
      </c>
      <c r="BE140">
        <f t="shared" ref="BE140:BE203" si="35">BD140*AY140</f>
        <v>9.9224809357999977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35.5642</v>
      </c>
      <c r="I141" s="22">
        <v>4.6636999999999998E-2</v>
      </c>
      <c r="J141" s="22">
        <v>131</v>
      </c>
      <c r="K141" s="22">
        <v>0.353302</v>
      </c>
      <c r="L141">
        <f t="shared" si="24"/>
        <v>-46.637</v>
      </c>
      <c r="M141">
        <f t="shared" si="25"/>
        <v>-50.852518429999996</v>
      </c>
      <c r="N141" s="9"/>
      <c r="O141" s="22">
        <v>0.55969199999999997</v>
      </c>
      <c r="P141" s="22">
        <v>69.8733</v>
      </c>
      <c r="Q141" s="22">
        <v>-1.8182400000000001E-2</v>
      </c>
      <c r="R141" s="22">
        <v>131</v>
      </c>
      <c r="S141" s="22">
        <v>0.55938699999999997</v>
      </c>
      <c r="T141">
        <f t="shared" si="26"/>
        <v>18.182400000000001</v>
      </c>
      <c r="U141">
        <f t="shared" si="27"/>
        <v>10.176543820800001</v>
      </c>
      <c r="X141" s="9"/>
      <c r="Y141" s="22">
        <v>1.09039</v>
      </c>
      <c r="Z141" s="22">
        <v>104.07899999999999</v>
      </c>
      <c r="AA141" s="22">
        <v>-1.8212900000000001E-2</v>
      </c>
      <c r="AB141" s="22">
        <v>131</v>
      </c>
      <c r="AC141" s="22">
        <v>1.08917</v>
      </c>
      <c r="AD141">
        <f t="shared" si="28"/>
        <v>18.212900000000001</v>
      </c>
      <c r="AE141">
        <f t="shared" si="29"/>
        <v>19.859164031000002</v>
      </c>
      <c r="AF141" s="9"/>
      <c r="AG141" s="22">
        <v>0.55969199999999997</v>
      </c>
      <c r="AH141" s="22">
        <v>121.9</v>
      </c>
      <c r="AI141" s="22">
        <v>-1.84875E-2</v>
      </c>
      <c r="AJ141" s="22">
        <v>131</v>
      </c>
      <c r="AK141" s="22">
        <v>0.55862400000000001</v>
      </c>
      <c r="AL141">
        <f t="shared" si="30"/>
        <v>18.487500000000001</v>
      </c>
      <c r="AM141">
        <f t="shared" si="31"/>
        <v>10.34730585</v>
      </c>
      <c r="AP141" s="9"/>
      <c r="AQ141" s="22">
        <v>1.09039</v>
      </c>
      <c r="AR141" s="22">
        <v>156.16900000000001</v>
      </c>
      <c r="AS141" s="22">
        <v>4.6585099999999997E-2</v>
      </c>
      <c r="AT141" s="22">
        <v>131</v>
      </c>
      <c r="AU141" s="22">
        <v>0.39068599999999998</v>
      </c>
      <c r="AV141">
        <f t="shared" si="32"/>
        <v>-46.585099999999997</v>
      </c>
      <c r="AW141">
        <f t="shared" si="33"/>
        <v>-50.795927188999997</v>
      </c>
      <c r="AX141" s="9"/>
      <c r="AY141" s="22">
        <v>0.55969199999999997</v>
      </c>
      <c r="AZ141" s="22">
        <v>190.55699999999999</v>
      </c>
      <c r="BA141" s="22">
        <v>-1.78741E-2</v>
      </c>
      <c r="BB141" s="22">
        <v>131</v>
      </c>
      <c r="BC141" s="22">
        <v>0.56179800000000002</v>
      </c>
      <c r="BD141">
        <f t="shared" si="34"/>
        <v>17.874100000000002</v>
      </c>
      <c r="BE141">
        <f t="shared" si="35"/>
        <v>10.0039907772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35.574199999999998</v>
      </c>
      <c r="I142" s="22">
        <v>4.66431E-2</v>
      </c>
      <c r="J142" s="22">
        <v>132</v>
      </c>
      <c r="K142" s="22">
        <v>0.30654900000000002</v>
      </c>
      <c r="L142">
        <f t="shared" si="24"/>
        <v>-46.643099999999997</v>
      </c>
      <c r="M142">
        <f t="shared" si="25"/>
        <v>-50.624555016000002</v>
      </c>
      <c r="N142" s="9"/>
      <c r="O142" s="22">
        <v>0.56472800000000001</v>
      </c>
      <c r="P142" s="22">
        <v>69.883399999999995</v>
      </c>
      <c r="Q142" s="22">
        <v>-1.8170200000000001E-2</v>
      </c>
      <c r="R142" s="22">
        <v>132</v>
      </c>
      <c r="S142" s="22">
        <v>0.56442300000000001</v>
      </c>
      <c r="T142">
        <f t="shared" si="26"/>
        <v>18.170200000000001</v>
      </c>
      <c r="U142">
        <f t="shared" si="27"/>
        <v>10.261220705600001</v>
      </c>
      <c r="X142" s="9"/>
      <c r="Y142" s="22">
        <v>1.0853600000000001</v>
      </c>
      <c r="Z142" s="22">
        <v>104.09</v>
      </c>
      <c r="AA142" s="22">
        <v>-1.8218999999999999E-2</v>
      </c>
      <c r="AB142" s="22">
        <v>132</v>
      </c>
      <c r="AC142" s="22">
        <v>1.08368</v>
      </c>
      <c r="AD142">
        <f t="shared" si="28"/>
        <v>18.218999999999998</v>
      </c>
      <c r="AE142">
        <f t="shared" si="29"/>
        <v>19.77417384</v>
      </c>
      <c r="AF142" s="9"/>
      <c r="AG142" s="22">
        <v>0.56472800000000001</v>
      </c>
      <c r="AH142" s="22">
        <v>121.91</v>
      </c>
      <c r="AI142" s="22">
        <v>-1.8484500000000001E-2</v>
      </c>
      <c r="AJ142" s="22">
        <v>132</v>
      </c>
      <c r="AK142" s="22">
        <v>0.56463600000000003</v>
      </c>
      <c r="AL142">
        <f t="shared" si="30"/>
        <v>18.484500000000001</v>
      </c>
      <c r="AM142">
        <f t="shared" si="31"/>
        <v>10.438714716</v>
      </c>
      <c r="AP142" s="9"/>
      <c r="AQ142" s="22">
        <v>1.0853600000000001</v>
      </c>
      <c r="AR142" s="22">
        <v>156.18</v>
      </c>
      <c r="AS142" s="22">
        <v>4.6575900000000003E-2</v>
      </c>
      <c r="AT142" s="22">
        <v>132</v>
      </c>
      <c r="AU142" s="22">
        <v>0.39221200000000001</v>
      </c>
      <c r="AV142">
        <f t="shared" si="32"/>
        <v>-46.575900000000004</v>
      </c>
      <c r="AW142">
        <f t="shared" si="33"/>
        <v>-50.551618824000009</v>
      </c>
      <c r="AX142" s="9"/>
      <c r="AY142" s="22">
        <v>0.56472800000000001</v>
      </c>
      <c r="AZ142" s="22">
        <v>190.56700000000001</v>
      </c>
      <c r="BA142" s="22">
        <v>-1.7880199999999999E-2</v>
      </c>
      <c r="BB142" s="22">
        <v>132</v>
      </c>
      <c r="BC142" s="22">
        <v>0.571716</v>
      </c>
      <c r="BD142">
        <f t="shared" si="34"/>
        <v>17.880199999999999</v>
      </c>
      <c r="BE142">
        <f t="shared" si="35"/>
        <v>10.0974495856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35.584299999999999</v>
      </c>
      <c r="I143" s="22">
        <v>4.6630900000000003E-2</v>
      </c>
      <c r="J143" s="22">
        <v>133</v>
      </c>
      <c r="K143" s="22">
        <v>0.357178</v>
      </c>
      <c r="L143">
        <f t="shared" si="24"/>
        <v>-46.630900000000004</v>
      </c>
      <c r="M143">
        <f t="shared" si="25"/>
        <v>-50.376293887999999</v>
      </c>
      <c r="N143" s="9"/>
      <c r="O143" s="22">
        <v>0.56976300000000002</v>
      </c>
      <c r="P143" s="22">
        <v>69.893500000000003</v>
      </c>
      <c r="Q143" s="22">
        <v>-1.8170200000000001E-2</v>
      </c>
      <c r="R143" s="22">
        <v>133</v>
      </c>
      <c r="S143" s="22">
        <v>0.56991599999999998</v>
      </c>
      <c r="T143">
        <f t="shared" si="26"/>
        <v>18.170200000000001</v>
      </c>
      <c r="U143">
        <f t="shared" si="27"/>
        <v>10.3527076626</v>
      </c>
      <c r="X143" s="9"/>
      <c r="Y143" s="22">
        <v>1.0803199999999999</v>
      </c>
      <c r="Z143" s="22">
        <v>104.1</v>
      </c>
      <c r="AA143" s="22">
        <v>-1.82159E-2</v>
      </c>
      <c r="AB143" s="22">
        <v>133</v>
      </c>
      <c r="AC143" s="22">
        <v>1.08002</v>
      </c>
      <c r="AD143">
        <f t="shared" si="28"/>
        <v>18.215900000000001</v>
      </c>
      <c r="AE143">
        <f t="shared" si="29"/>
        <v>19.679001088</v>
      </c>
      <c r="AF143" s="9"/>
      <c r="AG143" s="22">
        <v>0.56976300000000002</v>
      </c>
      <c r="AH143" s="22">
        <v>121.92</v>
      </c>
      <c r="AI143" s="22">
        <v>-1.8481399999999999E-2</v>
      </c>
      <c r="AJ143" s="22">
        <v>133</v>
      </c>
      <c r="AK143" s="22">
        <v>0.56854199999999999</v>
      </c>
      <c r="AL143">
        <f t="shared" si="30"/>
        <v>18.481399999999997</v>
      </c>
      <c r="AM143">
        <f t="shared" si="31"/>
        <v>10.5300179082</v>
      </c>
      <c r="AP143" s="9"/>
      <c r="AQ143" s="22">
        <v>1.0803199999999999</v>
      </c>
      <c r="AR143" s="22">
        <v>156.19</v>
      </c>
      <c r="AS143" s="22">
        <v>4.6579000000000002E-2</v>
      </c>
      <c r="AT143" s="22">
        <v>133</v>
      </c>
      <c r="AU143" s="22">
        <v>0.38827499999999998</v>
      </c>
      <c r="AV143">
        <f t="shared" si="32"/>
        <v>-46.579000000000001</v>
      </c>
      <c r="AW143">
        <f t="shared" si="33"/>
        <v>-50.320225279999995</v>
      </c>
      <c r="AX143" s="9"/>
      <c r="AY143" s="22">
        <v>0.56976300000000002</v>
      </c>
      <c r="AZ143" s="22">
        <v>190.577</v>
      </c>
      <c r="BA143" s="22">
        <v>-1.7867999999999998E-2</v>
      </c>
      <c r="BB143" s="22">
        <v>133</v>
      </c>
      <c r="BC143" s="22">
        <v>0.56802399999999997</v>
      </c>
      <c r="BD143">
        <f t="shared" si="34"/>
        <v>17.867999999999999</v>
      </c>
      <c r="BE143">
        <f t="shared" si="35"/>
        <v>10.180525284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35.5944</v>
      </c>
      <c r="I144" s="22">
        <v>4.6633899999999999E-2</v>
      </c>
      <c r="J144" s="22">
        <v>134</v>
      </c>
      <c r="K144" s="22">
        <v>0.354431</v>
      </c>
      <c r="L144">
        <f t="shared" si="24"/>
        <v>-46.633899999999997</v>
      </c>
      <c r="M144">
        <f t="shared" si="25"/>
        <v>-50.144966330999999</v>
      </c>
      <c r="N144" s="9"/>
      <c r="O144" s="22">
        <v>0.57479899999999995</v>
      </c>
      <c r="P144" s="22">
        <v>69.903499999999994</v>
      </c>
      <c r="Q144" s="22">
        <v>-1.8176299999999999E-2</v>
      </c>
      <c r="R144" s="22">
        <v>134</v>
      </c>
      <c r="S144" s="22">
        <v>0.57406599999999997</v>
      </c>
      <c r="T144">
        <f t="shared" si="26"/>
        <v>18.176299999999998</v>
      </c>
      <c r="U144">
        <f t="shared" si="27"/>
        <v>10.447719063699997</v>
      </c>
      <c r="X144" s="9"/>
      <c r="Y144" s="22">
        <v>1.0752900000000001</v>
      </c>
      <c r="Z144" s="22">
        <v>104.11</v>
      </c>
      <c r="AA144" s="22">
        <v>-1.8218999999999999E-2</v>
      </c>
      <c r="AB144" s="22">
        <v>134</v>
      </c>
      <c r="AC144" s="22">
        <v>1.07361</v>
      </c>
      <c r="AD144">
        <f t="shared" si="28"/>
        <v>18.218999999999998</v>
      </c>
      <c r="AE144">
        <f t="shared" si="29"/>
        <v>19.590708509999999</v>
      </c>
      <c r="AF144" s="9"/>
      <c r="AG144" s="22">
        <v>0.57479899999999995</v>
      </c>
      <c r="AH144" s="22">
        <v>121.931</v>
      </c>
      <c r="AI144" s="22">
        <v>-1.8481399999999999E-2</v>
      </c>
      <c r="AJ144" s="22">
        <v>134</v>
      </c>
      <c r="AK144" s="22">
        <v>0.57357800000000003</v>
      </c>
      <c r="AL144">
        <f t="shared" si="30"/>
        <v>18.481399999999997</v>
      </c>
      <c r="AM144">
        <f t="shared" si="31"/>
        <v>10.623090238599998</v>
      </c>
      <c r="AP144" s="9"/>
      <c r="AQ144" s="22">
        <v>1.0752900000000001</v>
      </c>
      <c r="AR144" s="22">
        <v>156.19999999999999</v>
      </c>
      <c r="AS144" s="22">
        <v>4.6575900000000003E-2</v>
      </c>
      <c r="AT144" s="22">
        <v>134</v>
      </c>
      <c r="AU144" s="22">
        <v>0.39038099999999998</v>
      </c>
      <c r="AV144">
        <f t="shared" si="32"/>
        <v>-46.575900000000004</v>
      </c>
      <c r="AW144">
        <f t="shared" si="33"/>
        <v>-50.082599511000005</v>
      </c>
      <c r="AX144" s="9"/>
      <c r="AY144" s="22">
        <v>0.57479899999999995</v>
      </c>
      <c r="AZ144" s="22">
        <v>190.58699999999999</v>
      </c>
      <c r="BA144" s="22">
        <v>-1.7965700000000001E-2</v>
      </c>
      <c r="BB144" s="22">
        <v>134</v>
      </c>
      <c r="BC144" s="22">
        <v>0.57278399999999996</v>
      </c>
      <c r="BD144">
        <f t="shared" si="34"/>
        <v>17.965700000000002</v>
      </c>
      <c r="BE144">
        <f t="shared" si="35"/>
        <v>10.3266663943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35.604399999999998</v>
      </c>
      <c r="I145" s="22">
        <v>4.6630900000000003E-2</v>
      </c>
      <c r="J145" s="22">
        <v>135</v>
      </c>
      <c r="K145" s="22">
        <v>0.36770599999999998</v>
      </c>
      <c r="L145">
        <f t="shared" si="24"/>
        <v>-46.630900000000004</v>
      </c>
      <c r="M145">
        <f t="shared" si="25"/>
        <v>-49.906720725</v>
      </c>
      <c r="N145" s="9"/>
      <c r="O145" s="22">
        <v>0.57983399999999996</v>
      </c>
      <c r="P145" s="22">
        <v>69.913600000000002</v>
      </c>
      <c r="Q145" s="22">
        <v>-1.8179299999999999E-2</v>
      </c>
      <c r="R145" s="22">
        <v>135</v>
      </c>
      <c r="S145" s="22">
        <v>0.57901000000000002</v>
      </c>
      <c r="T145">
        <f t="shared" si="26"/>
        <v>18.179299999999998</v>
      </c>
      <c r="U145">
        <f t="shared" si="27"/>
        <v>10.540976236199999</v>
      </c>
      <c r="X145" s="9"/>
      <c r="Y145" s="22">
        <v>1.0702499999999999</v>
      </c>
      <c r="Z145" s="22">
        <v>104.12</v>
      </c>
      <c r="AA145" s="22">
        <v>-1.8221999999999999E-2</v>
      </c>
      <c r="AB145" s="22">
        <v>135</v>
      </c>
      <c r="AC145" s="22">
        <v>1.06934</v>
      </c>
      <c r="AD145">
        <f t="shared" si="28"/>
        <v>18.221999999999998</v>
      </c>
      <c r="AE145">
        <f t="shared" si="29"/>
        <v>19.502095499999996</v>
      </c>
      <c r="AF145" s="9"/>
      <c r="AG145" s="22">
        <v>0.57983399999999996</v>
      </c>
      <c r="AH145" s="22">
        <v>121.941</v>
      </c>
      <c r="AI145" s="22">
        <v>-1.8478399999999999E-2</v>
      </c>
      <c r="AJ145" s="22">
        <v>135</v>
      </c>
      <c r="AK145" s="22">
        <v>0.57943699999999998</v>
      </c>
      <c r="AL145">
        <f t="shared" si="30"/>
        <v>18.478400000000001</v>
      </c>
      <c r="AM145">
        <f t="shared" si="31"/>
        <v>10.714404585599999</v>
      </c>
      <c r="AP145" s="9"/>
      <c r="AQ145" s="22">
        <v>1.0702499999999999</v>
      </c>
      <c r="AR145" s="22">
        <v>156.21</v>
      </c>
      <c r="AS145" s="22">
        <v>4.6585099999999997E-2</v>
      </c>
      <c r="AT145" s="22">
        <v>135</v>
      </c>
      <c r="AU145" s="22">
        <v>0.39306600000000003</v>
      </c>
      <c r="AV145">
        <f t="shared" si="32"/>
        <v>-46.585099999999997</v>
      </c>
      <c r="AW145">
        <f t="shared" si="33"/>
        <v>-49.857703274999992</v>
      </c>
      <c r="AX145" s="9"/>
      <c r="AY145" s="22">
        <v>0.57983399999999996</v>
      </c>
      <c r="AZ145" s="22">
        <v>190.59700000000001</v>
      </c>
      <c r="BA145" s="22">
        <v>-1.7932099999999999E-2</v>
      </c>
      <c r="BB145" s="22">
        <v>135</v>
      </c>
      <c r="BC145" s="22">
        <v>0.58395399999999997</v>
      </c>
      <c r="BD145">
        <f t="shared" si="34"/>
        <v>17.932099999999998</v>
      </c>
      <c r="BE145">
        <f t="shared" si="35"/>
        <v>10.397641271399998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35.6145</v>
      </c>
      <c r="I146" s="22">
        <v>4.6630900000000003E-2</v>
      </c>
      <c r="J146" s="22">
        <v>136</v>
      </c>
      <c r="K146" s="22">
        <v>0.36825600000000003</v>
      </c>
      <c r="L146">
        <f t="shared" si="24"/>
        <v>-46.630900000000004</v>
      </c>
      <c r="M146">
        <f t="shared" si="25"/>
        <v>-49.672167298000005</v>
      </c>
      <c r="N146" s="9"/>
      <c r="O146" s="22">
        <v>0.58486899999999997</v>
      </c>
      <c r="P146" s="22">
        <v>69.923699999999997</v>
      </c>
      <c r="Q146" s="22">
        <v>-1.81732E-2</v>
      </c>
      <c r="R146" s="22">
        <v>136</v>
      </c>
      <c r="S146" s="22">
        <v>0.58435099999999995</v>
      </c>
      <c r="T146">
        <f t="shared" si="26"/>
        <v>18.173200000000001</v>
      </c>
      <c r="U146">
        <f t="shared" si="27"/>
        <v>10.6289413108</v>
      </c>
      <c r="X146" s="9"/>
      <c r="Y146" s="22">
        <v>1.0652200000000001</v>
      </c>
      <c r="Z146" s="22">
        <v>104.13</v>
      </c>
      <c r="AA146" s="22">
        <v>-1.8225100000000001E-2</v>
      </c>
      <c r="AB146" s="22">
        <v>136</v>
      </c>
      <c r="AC146" s="22">
        <v>1.0638399999999999</v>
      </c>
      <c r="AD146">
        <f t="shared" si="28"/>
        <v>18.225100000000001</v>
      </c>
      <c r="AE146">
        <f t="shared" si="29"/>
        <v>19.413741022000004</v>
      </c>
      <c r="AF146" s="9"/>
      <c r="AG146" s="22">
        <v>0.58486899999999997</v>
      </c>
      <c r="AH146" s="22">
        <v>121.95099999999999</v>
      </c>
      <c r="AI146" s="22">
        <v>-1.84753E-2</v>
      </c>
      <c r="AJ146" s="22">
        <v>136</v>
      </c>
      <c r="AK146" s="22">
        <v>0.58413700000000002</v>
      </c>
      <c r="AL146">
        <f t="shared" si="30"/>
        <v>18.475300000000001</v>
      </c>
      <c r="AM146">
        <f t="shared" si="31"/>
        <v>10.805630235700001</v>
      </c>
      <c r="AP146" s="9"/>
      <c r="AQ146" s="22">
        <v>1.0652200000000001</v>
      </c>
      <c r="AR146" s="22">
        <v>156.22</v>
      </c>
      <c r="AS146" s="22">
        <v>4.6579000000000002E-2</v>
      </c>
      <c r="AT146" s="22">
        <v>136</v>
      </c>
      <c r="AU146" s="22">
        <v>0.39505000000000001</v>
      </c>
      <c r="AV146">
        <f t="shared" si="32"/>
        <v>-46.579000000000001</v>
      </c>
      <c r="AW146">
        <f t="shared" si="33"/>
        <v>-49.61688238</v>
      </c>
      <c r="AX146" s="9"/>
      <c r="AY146" s="22">
        <v>0.58486899999999997</v>
      </c>
      <c r="AZ146" s="22">
        <v>190.607</v>
      </c>
      <c r="BA146" s="22">
        <v>-1.7935199999999998E-2</v>
      </c>
      <c r="BB146" s="22">
        <v>136</v>
      </c>
      <c r="BC146" s="22">
        <v>0.58010899999999999</v>
      </c>
      <c r="BD146">
        <f t="shared" si="34"/>
        <v>17.935199999999998</v>
      </c>
      <c r="BE146">
        <f t="shared" si="35"/>
        <v>10.489742488799999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35.624600000000001</v>
      </c>
      <c r="I147" s="22">
        <v>4.6630900000000003E-2</v>
      </c>
      <c r="J147" s="22">
        <v>137</v>
      </c>
      <c r="K147" s="22">
        <v>0.365234</v>
      </c>
      <c r="L147">
        <f t="shared" si="24"/>
        <v>-46.630900000000004</v>
      </c>
      <c r="M147">
        <f t="shared" si="25"/>
        <v>-49.437147562</v>
      </c>
      <c r="N147" s="9"/>
      <c r="O147" s="22">
        <v>0.58990500000000001</v>
      </c>
      <c r="P147" s="22">
        <v>69.933700000000002</v>
      </c>
      <c r="Q147" s="22">
        <v>-1.8212900000000001E-2</v>
      </c>
      <c r="R147" s="22">
        <v>137</v>
      </c>
      <c r="S147" s="22">
        <v>0.58908099999999997</v>
      </c>
      <c r="T147">
        <f t="shared" si="26"/>
        <v>18.212900000000001</v>
      </c>
      <c r="U147">
        <f t="shared" si="27"/>
        <v>10.743880774500001</v>
      </c>
      <c r="X147" s="9"/>
      <c r="Y147" s="22">
        <v>1.0601799999999999</v>
      </c>
      <c r="Z147" s="22">
        <v>104.14</v>
      </c>
      <c r="AA147" s="22">
        <v>-1.8228100000000001E-2</v>
      </c>
      <c r="AB147" s="22">
        <v>137</v>
      </c>
      <c r="AC147" s="22">
        <v>1.0595699999999999</v>
      </c>
      <c r="AD147">
        <f t="shared" si="28"/>
        <v>18.228100000000001</v>
      </c>
      <c r="AE147">
        <f t="shared" si="29"/>
        <v>19.325067057999998</v>
      </c>
      <c r="AF147" s="9"/>
      <c r="AG147" s="22">
        <v>0.58990500000000001</v>
      </c>
      <c r="AH147" s="22">
        <v>121.961</v>
      </c>
      <c r="AI147" s="22">
        <v>-1.8472300000000001E-2</v>
      </c>
      <c r="AJ147" s="22">
        <v>137</v>
      </c>
      <c r="AK147" s="22">
        <v>0.58911100000000005</v>
      </c>
      <c r="AL147">
        <f t="shared" si="30"/>
        <v>18.472300000000001</v>
      </c>
      <c r="AM147">
        <f t="shared" si="31"/>
        <v>10.896902131500001</v>
      </c>
      <c r="AP147" s="9"/>
      <c r="AQ147" s="22">
        <v>1.0601799999999999</v>
      </c>
      <c r="AR147" s="22">
        <v>156.22999999999999</v>
      </c>
      <c r="AS147" s="22">
        <v>4.65729E-2</v>
      </c>
      <c r="AT147" s="22">
        <v>137</v>
      </c>
      <c r="AU147" s="22">
        <v>0.39083899999999999</v>
      </c>
      <c r="AV147">
        <f t="shared" si="32"/>
        <v>-46.572899999999997</v>
      </c>
      <c r="AW147">
        <f t="shared" si="33"/>
        <v>-49.375657121999993</v>
      </c>
      <c r="AX147" s="9"/>
      <c r="AY147" s="22">
        <v>0.58990500000000001</v>
      </c>
      <c r="AZ147" s="22">
        <v>190.61699999999999</v>
      </c>
      <c r="BA147" s="22">
        <v>-1.7867999999999998E-2</v>
      </c>
      <c r="BB147" s="22">
        <v>137</v>
      </c>
      <c r="BC147" s="22">
        <v>0.58935499999999996</v>
      </c>
      <c r="BD147">
        <f t="shared" si="34"/>
        <v>17.867999999999999</v>
      </c>
      <c r="BE147">
        <f t="shared" si="35"/>
        <v>10.54042254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35.634700000000002</v>
      </c>
      <c r="I148" s="22">
        <v>4.6618699999999999E-2</v>
      </c>
      <c r="J148" s="22">
        <v>138</v>
      </c>
      <c r="K148" s="22">
        <v>0.37127700000000002</v>
      </c>
      <c r="L148">
        <f t="shared" si="24"/>
        <v>-46.618699999999997</v>
      </c>
      <c r="M148">
        <f t="shared" si="25"/>
        <v>-49.189721304999999</v>
      </c>
      <c r="N148" s="9"/>
      <c r="O148" s="22">
        <v>0.59494000000000002</v>
      </c>
      <c r="P148" s="22">
        <v>69.943799999999996</v>
      </c>
      <c r="Q148" s="22">
        <v>-1.8212900000000001E-2</v>
      </c>
      <c r="R148" s="22">
        <v>138</v>
      </c>
      <c r="S148" s="22">
        <v>0.59436</v>
      </c>
      <c r="T148">
        <f t="shared" si="26"/>
        <v>18.212900000000001</v>
      </c>
      <c r="U148">
        <f t="shared" si="27"/>
        <v>10.835582726000002</v>
      </c>
      <c r="X148" s="9"/>
      <c r="Y148" s="22">
        <v>1.05515</v>
      </c>
      <c r="Z148" s="22">
        <v>104.15</v>
      </c>
      <c r="AA148" s="22">
        <v>-1.8231199999999999E-2</v>
      </c>
      <c r="AB148" s="22">
        <v>138</v>
      </c>
      <c r="AC148" s="22">
        <v>1.0546899999999999</v>
      </c>
      <c r="AD148">
        <f t="shared" si="28"/>
        <v>18.231200000000001</v>
      </c>
      <c r="AE148">
        <f t="shared" si="29"/>
        <v>19.23665068</v>
      </c>
      <c r="AF148" s="9"/>
      <c r="AG148" s="22">
        <v>0.59494000000000002</v>
      </c>
      <c r="AH148" s="22">
        <v>121.971</v>
      </c>
      <c r="AI148" s="22">
        <v>-1.8472300000000001E-2</v>
      </c>
      <c r="AJ148" s="22">
        <v>138</v>
      </c>
      <c r="AK148" s="22">
        <v>0.59451299999999996</v>
      </c>
      <c r="AL148">
        <f t="shared" si="30"/>
        <v>18.472300000000001</v>
      </c>
      <c r="AM148">
        <f t="shared" si="31"/>
        <v>10.989910162000001</v>
      </c>
      <c r="AP148" s="9"/>
      <c r="AQ148" s="22">
        <v>1.05515</v>
      </c>
      <c r="AR148" s="22">
        <v>156.24</v>
      </c>
      <c r="AS148" s="22">
        <v>4.6575900000000003E-2</v>
      </c>
      <c r="AT148" s="22">
        <v>138</v>
      </c>
      <c r="AU148" s="22">
        <v>0.39239499999999999</v>
      </c>
      <c r="AV148">
        <f t="shared" si="32"/>
        <v>-46.575900000000004</v>
      </c>
      <c r="AW148">
        <f t="shared" si="33"/>
        <v>-49.144560885000004</v>
      </c>
      <c r="AX148" s="9"/>
      <c r="AY148" s="22">
        <v>0.59494000000000002</v>
      </c>
      <c r="AZ148" s="22">
        <v>190.62700000000001</v>
      </c>
      <c r="BA148" s="22">
        <v>-1.7810099999999999E-2</v>
      </c>
      <c r="BB148" s="22">
        <v>138</v>
      </c>
      <c r="BC148" s="22">
        <v>0.59582500000000005</v>
      </c>
      <c r="BD148">
        <f t="shared" si="34"/>
        <v>17.810099999999998</v>
      </c>
      <c r="BE148">
        <f t="shared" si="35"/>
        <v>10.595940894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35.6447</v>
      </c>
      <c r="I149" s="22">
        <v>4.6618699999999999E-2</v>
      </c>
      <c r="J149" s="22">
        <v>139</v>
      </c>
      <c r="K149" s="22">
        <v>0.36987300000000001</v>
      </c>
      <c r="L149">
        <f t="shared" si="24"/>
        <v>-46.618699999999997</v>
      </c>
      <c r="M149">
        <f t="shared" si="25"/>
        <v>-48.954763057000001</v>
      </c>
      <c r="N149" s="9"/>
      <c r="O149" s="22">
        <v>0.59997599999999995</v>
      </c>
      <c r="P149" s="22">
        <v>69.953900000000004</v>
      </c>
      <c r="Q149" s="22">
        <v>-1.82159E-2</v>
      </c>
      <c r="R149" s="22">
        <v>139</v>
      </c>
      <c r="S149" s="22">
        <v>0.59957899999999997</v>
      </c>
      <c r="T149">
        <f t="shared" si="26"/>
        <v>18.215900000000001</v>
      </c>
      <c r="U149">
        <f t="shared" si="27"/>
        <v>10.929102818400001</v>
      </c>
      <c r="X149" s="9"/>
      <c r="Y149" s="22">
        <v>1.0501100000000001</v>
      </c>
      <c r="Z149" s="22">
        <v>104.16</v>
      </c>
      <c r="AA149" s="22">
        <v>-1.8237300000000001E-2</v>
      </c>
      <c r="AB149" s="22">
        <v>139</v>
      </c>
      <c r="AC149" s="22">
        <v>1.0491900000000001</v>
      </c>
      <c r="AD149">
        <f t="shared" si="28"/>
        <v>18.237300000000001</v>
      </c>
      <c r="AE149">
        <f t="shared" si="29"/>
        <v>19.151171103000003</v>
      </c>
      <c r="AF149" s="9"/>
      <c r="AG149" s="22">
        <v>0.59997599999999995</v>
      </c>
      <c r="AH149" s="22">
        <v>121.98099999999999</v>
      </c>
      <c r="AI149" s="22">
        <v>-1.8466199999999999E-2</v>
      </c>
      <c r="AJ149" s="22">
        <v>139</v>
      </c>
      <c r="AK149" s="22">
        <v>0.59954799999999997</v>
      </c>
      <c r="AL149">
        <f t="shared" si="30"/>
        <v>18.466199999999997</v>
      </c>
      <c r="AM149">
        <f t="shared" si="31"/>
        <v>11.079276811199998</v>
      </c>
      <c r="AP149" s="9"/>
      <c r="AQ149" s="22">
        <v>1.0501100000000001</v>
      </c>
      <c r="AR149" s="22">
        <v>156.25</v>
      </c>
      <c r="AS149" s="22">
        <v>4.65729E-2</v>
      </c>
      <c r="AT149" s="22">
        <v>139</v>
      </c>
      <c r="AU149" s="22">
        <v>0.38824500000000001</v>
      </c>
      <c r="AV149">
        <f t="shared" si="32"/>
        <v>-46.572899999999997</v>
      </c>
      <c r="AW149">
        <f t="shared" si="33"/>
        <v>-48.906668019000001</v>
      </c>
      <c r="AX149" s="9"/>
      <c r="AY149" s="22">
        <v>0.59997599999999995</v>
      </c>
      <c r="AZ149" s="22">
        <v>190.637</v>
      </c>
      <c r="BA149" s="22">
        <v>-1.8035900000000001E-2</v>
      </c>
      <c r="BB149" s="22">
        <v>139</v>
      </c>
      <c r="BC149" s="22">
        <v>0.59851100000000002</v>
      </c>
      <c r="BD149">
        <f t="shared" si="34"/>
        <v>18.035900000000002</v>
      </c>
      <c r="BE149">
        <f t="shared" si="35"/>
        <v>10.8211071384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35.654800000000002</v>
      </c>
      <c r="I150" s="22">
        <v>4.6618699999999999E-2</v>
      </c>
      <c r="J150" s="22">
        <v>140</v>
      </c>
      <c r="K150" s="22">
        <v>0.37020900000000001</v>
      </c>
      <c r="L150">
        <f t="shared" si="24"/>
        <v>-46.618699999999997</v>
      </c>
      <c r="M150">
        <f t="shared" si="25"/>
        <v>-48.719804808999996</v>
      </c>
      <c r="N150" s="9"/>
      <c r="O150" s="22">
        <v>0.60501099999999997</v>
      </c>
      <c r="P150" s="22">
        <v>69.963999999999999</v>
      </c>
      <c r="Q150" s="22">
        <v>-1.8225100000000001E-2</v>
      </c>
      <c r="R150" s="22">
        <v>140</v>
      </c>
      <c r="S150" s="22">
        <v>0.60421800000000003</v>
      </c>
      <c r="T150">
        <f t="shared" si="26"/>
        <v>18.225100000000001</v>
      </c>
      <c r="U150">
        <f t="shared" si="27"/>
        <v>11.0263859761</v>
      </c>
      <c r="X150" s="9"/>
      <c r="Y150" s="22">
        <v>1.0450699999999999</v>
      </c>
      <c r="Z150" s="22">
        <v>104.17</v>
      </c>
      <c r="AA150" s="22">
        <v>-1.82434E-2</v>
      </c>
      <c r="AB150" s="22">
        <v>140</v>
      </c>
      <c r="AC150" s="22">
        <v>1.0446200000000001</v>
      </c>
      <c r="AD150">
        <f t="shared" si="28"/>
        <v>18.243400000000001</v>
      </c>
      <c r="AE150">
        <f t="shared" si="29"/>
        <v>19.065630038000002</v>
      </c>
      <c r="AF150" s="9"/>
      <c r="AG150" s="22">
        <v>0.60501099999999997</v>
      </c>
      <c r="AH150" s="22">
        <v>121.991</v>
      </c>
      <c r="AI150" s="22">
        <v>-1.8466199999999999E-2</v>
      </c>
      <c r="AJ150" s="22">
        <v>140</v>
      </c>
      <c r="AK150" s="22">
        <v>0.60382100000000005</v>
      </c>
      <c r="AL150">
        <f t="shared" si="30"/>
        <v>18.466199999999997</v>
      </c>
      <c r="AM150">
        <f t="shared" si="31"/>
        <v>11.172254128199997</v>
      </c>
      <c r="AP150" s="9"/>
      <c r="AQ150" s="22">
        <v>1.0450699999999999</v>
      </c>
      <c r="AR150" s="22">
        <v>156.26</v>
      </c>
      <c r="AS150" s="22">
        <v>4.65729E-2</v>
      </c>
      <c r="AT150" s="22">
        <v>140</v>
      </c>
      <c r="AU150" s="22">
        <v>0.38183600000000001</v>
      </c>
      <c r="AV150">
        <f t="shared" si="32"/>
        <v>-46.572899999999997</v>
      </c>
      <c r="AW150">
        <f t="shared" si="33"/>
        <v>-48.671940602999996</v>
      </c>
      <c r="AX150" s="9"/>
      <c r="AY150" s="22">
        <v>0.60501099999999997</v>
      </c>
      <c r="AZ150" s="22">
        <v>190.64699999999999</v>
      </c>
      <c r="BA150" s="22">
        <v>-1.7690999999999998E-2</v>
      </c>
      <c r="BB150" s="22">
        <v>140</v>
      </c>
      <c r="BC150" s="22">
        <v>0.62768599999999997</v>
      </c>
      <c r="BD150">
        <f t="shared" si="34"/>
        <v>17.690999999999999</v>
      </c>
      <c r="BE150">
        <f t="shared" si="35"/>
        <v>10.703249601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35.664900000000003</v>
      </c>
      <c r="I151" s="22">
        <v>4.6609499999999998E-2</v>
      </c>
      <c r="J151" s="22">
        <v>141</v>
      </c>
      <c r="K151" s="22">
        <v>0.36990400000000001</v>
      </c>
      <c r="L151">
        <f t="shared" si="24"/>
        <v>-46.609499999999997</v>
      </c>
      <c r="M151">
        <f t="shared" si="25"/>
        <v>-48.475744380000002</v>
      </c>
      <c r="N151" s="9"/>
      <c r="O151" s="22">
        <v>0.61004599999999998</v>
      </c>
      <c r="P151" s="22">
        <v>69.974000000000004</v>
      </c>
      <c r="Q151" s="22">
        <v>-1.8212900000000001E-2</v>
      </c>
      <c r="R151" s="22">
        <v>141</v>
      </c>
      <c r="S151" s="22">
        <v>0.60919199999999996</v>
      </c>
      <c r="T151">
        <f t="shared" si="26"/>
        <v>18.212900000000001</v>
      </c>
      <c r="U151">
        <f t="shared" si="27"/>
        <v>11.1107067934</v>
      </c>
      <c r="X151" s="9"/>
      <c r="Y151" s="22">
        <v>1.0400400000000001</v>
      </c>
      <c r="Z151" s="22">
        <v>104.18</v>
      </c>
      <c r="AA151" s="22">
        <v>-1.82434E-2</v>
      </c>
      <c r="AB151" s="22">
        <v>141</v>
      </c>
      <c r="AC151" s="22">
        <v>1.0394300000000001</v>
      </c>
      <c r="AD151">
        <f t="shared" si="28"/>
        <v>18.243400000000001</v>
      </c>
      <c r="AE151">
        <f t="shared" si="29"/>
        <v>18.973865736000004</v>
      </c>
      <c r="AF151" s="9"/>
      <c r="AG151" s="22">
        <v>0.61004599999999998</v>
      </c>
      <c r="AH151" s="22">
        <v>122.001</v>
      </c>
      <c r="AI151" s="22">
        <v>-1.84631E-2</v>
      </c>
      <c r="AJ151" s="22">
        <v>141</v>
      </c>
      <c r="AK151" s="22">
        <v>0.60949699999999996</v>
      </c>
      <c r="AL151">
        <f t="shared" si="30"/>
        <v>18.463100000000001</v>
      </c>
      <c r="AM151">
        <f t="shared" si="31"/>
        <v>11.2633403026</v>
      </c>
      <c r="AP151" s="9"/>
      <c r="AQ151" s="22">
        <v>1.0400400000000001</v>
      </c>
      <c r="AR151" s="22">
        <v>156.27000000000001</v>
      </c>
      <c r="AS151" s="22">
        <v>4.65729E-2</v>
      </c>
      <c r="AT151" s="22">
        <v>141</v>
      </c>
      <c r="AU151" s="22">
        <v>0.378357</v>
      </c>
      <c r="AV151">
        <f t="shared" si="32"/>
        <v>-46.572899999999997</v>
      </c>
      <c r="AW151">
        <f t="shared" si="33"/>
        <v>-48.437678916000003</v>
      </c>
      <c r="AX151" s="9"/>
      <c r="AY151" s="22">
        <v>0.61004599999999998</v>
      </c>
      <c r="AZ151" s="22">
        <v>190.65700000000001</v>
      </c>
      <c r="BA151" s="22">
        <v>-1.77673E-2</v>
      </c>
      <c r="BB151" s="22">
        <v>141</v>
      </c>
      <c r="BC151" s="22">
        <v>0.602051</v>
      </c>
      <c r="BD151">
        <f t="shared" si="34"/>
        <v>17.767299999999999</v>
      </c>
      <c r="BE151">
        <f t="shared" si="35"/>
        <v>10.8388702958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35.674900000000001</v>
      </c>
      <c r="I152" s="22">
        <v>4.6606399999999999E-2</v>
      </c>
      <c r="J152" s="22">
        <v>142</v>
      </c>
      <c r="K152" s="22">
        <v>0.37445099999999998</v>
      </c>
      <c r="L152">
        <f t="shared" si="24"/>
        <v>-46.606400000000001</v>
      </c>
      <c r="M152">
        <f t="shared" si="25"/>
        <v>-48.237623999999997</v>
      </c>
      <c r="N152" s="9"/>
      <c r="O152" s="22">
        <v>0.61508200000000002</v>
      </c>
      <c r="P152" s="22">
        <v>69.984099999999998</v>
      </c>
      <c r="Q152" s="22">
        <v>-1.8221999999999999E-2</v>
      </c>
      <c r="R152" s="22">
        <v>142</v>
      </c>
      <c r="S152" s="22">
        <v>0.61523399999999995</v>
      </c>
      <c r="T152">
        <f t="shared" si="26"/>
        <v>18.221999999999998</v>
      </c>
      <c r="U152">
        <f t="shared" si="27"/>
        <v>11.208024203999999</v>
      </c>
      <c r="X152" s="9"/>
      <c r="Y152" s="22">
        <v>1.0349999999999999</v>
      </c>
      <c r="Z152" s="22">
        <v>104.19</v>
      </c>
      <c r="AA152" s="22">
        <v>-1.8249499999999998E-2</v>
      </c>
      <c r="AB152" s="22">
        <v>142</v>
      </c>
      <c r="AC152" s="22">
        <v>1.03302</v>
      </c>
      <c r="AD152">
        <f t="shared" si="28"/>
        <v>18.249499999999998</v>
      </c>
      <c r="AE152">
        <f t="shared" si="29"/>
        <v>18.888232499999997</v>
      </c>
      <c r="AF152" s="9"/>
      <c r="AG152" s="22">
        <v>0.61508200000000002</v>
      </c>
      <c r="AH152" s="22">
        <v>122.011</v>
      </c>
      <c r="AI152" s="22">
        <v>-1.84601E-2</v>
      </c>
      <c r="AJ152" s="22">
        <v>142</v>
      </c>
      <c r="AK152" s="22">
        <v>0.61450199999999999</v>
      </c>
      <c r="AL152">
        <f t="shared" si="30"/>
        <v>18.460100000000001</v>
      </c>
      <c r="AM152">
        <f t="shared" si="31"/>
        <v>11.3544752282</v>
      </c>
      <c r="AP152" s="9"/>
      <c r="AQ152" s="22">
        <v>1.0349999999999999</v>
      </c>
      <c r="AR152" s="22">
        <v>156.28</v>
      </c>
      <c r="AS152" s="22">
        <v>4.65729E-2</v>
      </c>
      <c r="AT152" s="22">
        <v>142</v>
      </c>
      <c r="AU152" s="22">
        <v>0.38638299999999998</v>
      </c>
      <c r="AV152">
        <f t="shared" si="32"/>
        <v>-46.572899999999997</v>
      </c>
      <c r="AW152">
        <f t="shared" si="33"/>
        <v>-48.20295149999999</v>
      </c>
      <c r="AX152" s="9"/>
      <c r="AY152" s="22">
        <v>0.61508200000000002</v>
      </c>
      <c r="AZ152" s="22">
        <v>190.667</v>
      </c>
      <c r="BA152" s="22">
        <v>-1.7434700000000001E-2</v>
      </c>
      <c r="BB152" s="22">
        <v>142</v>
      </c>
      <c r="BC152" s="22">
        <v>0.61407500000000004</v>
      </c>
      <c r="BD152">
        <f t="shared" si="34"/>
        <v>17.434699999999999</v>
      </c>
      <c r="BE152">
        <f t="shared" si="35"/>
        <v>10.7237701454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35.685000000000002</v>
      </c>
      <c r="I153" s="22">
        <v>4.6600299999999997E-2</v>
      </c>
      <c r="J153" s="22">
        <v>143</v>
      </c>
      <c r="K153" s="22">
        <v>0.35376000000000002</v>
      </c>
      <c r="L153">
        <f t="shared" si="24"/>
        <v>-46.600299999999997</v>
      </c>
      <c r="M153">
        <f t="shared" si="25"/>
        <v>-47.996910991</v>
      </c>
      <c r="N153" s="9"/>
      <c r="O153" s="22">
        <v>0.62011700000000003</v>
      </c>
      <c r="P153" s="22">
        <v>69.994200000000006</v>
      </c>
      <c r="Q153" s="22">
        <v>-1.8206799999999999E-2</v>
      </c>
      <c r="R153" s="22">
        <v>143</v>
      </c>
      <c r="S153" s="22">
        <v>0.61917100000000003</v>
      </c>
      <c r="T153">
        <f t="shared" si="26"/>
        <v>18.206799999999998</v>
      </c>
      <c r="U153">
        <f t="shared" si="27"/>
        <v>11.2903461956</v>
      </c>
      <c r="X153" s="9"/>
      <c r="Y153" s="22">
        <v>1.0299700000000001</v>
      </c>
      <c r="Z153" s="22">
        <v>104.2</v>
      </c>
      <c r="AA153" s="22">
        <v>-1.8249499999999998E-2</v>
      </c>
      <c r="AB153" s="22">
        <v>143</v>
      </c>
      <c r="AC153" s="22">
        <v>1.02844</v>
      </c>
      <c r="AD153">
        <f t="shared" si="28"/>
        <v>18.249499999999998</v>
      </c>
      <c r="AE153">
        <f t="shared" si="29"/>
        <v>18.796437514999997</v>
      </c>
      <c r="AF153" s="9"/>
      <c r="AG153" s="22">
        <v>0.62011700000000003</v>
      </c>
      <c r="AH153" s="22">
        <v>122.021</v>
      </c>
      <c r="AI153" s="22">
        <v>-1.8457000000000001E-2</v>
      </c>
      <c r="AJ153" s="22">
        <v>143</v>
      </c>
      <c r="AK153" s="22">
        <v>0.61978100000000003</v>
      </c>
      <c r="AL153">
        <f t="shared" si="30"/>
        <v>18.457000000000001</v>
      </c>
      <c r="AM153">
        <f t="shared" si="31"/>
        <v>11.445499469000001</v>
      </c>
      <c r="AP153" s="9"/>
      <c r="AQ153" s="22">
        <v>1.0299700000000001</v>
      </c>
      <c r="AR153" s="22">
        <v>156.29</v>
      </c>
      <c r="AS153" s="22">
        <v>4.6569800000000001E-2</v>
      </c>
      <c r="AT153" s="22">
        <v>143</v>
      </c>
      <c r="AU153" s="22">
        <v>0.38205</v>
      </c>
      <c r="AV153">
        <f t="shared" si="32"/>
        <v>-46.569800000000001</v>
      </c>
      <c r="AW153">
        <f t="shared" si="33"/>
        <v>-47.965496906000006</v>
      </c>
      <c r="AX153" s="9"/>
      <c r="AY153" s="22">
        <v>0.62011700000000003</v>
      </c>
      <c r="AZ153" s="22">
        <v>190.67699999999999</v>
      </c>
      <c r="BA153" s="22">
        <v>-1.73309E-2</v>
      </c>
      <c r="BB153" s="22">
        <v>143</v>
      </c>
      <c r="BC153" s="22">
        <v>0.61819500000000005</v>
      </c>
      <c r="BD153">
        <f t="shared" si="34"/>
        <v>17.3309</v>
      </c>
      <c r="BE153">
        <f t="shared" si="35"/>
        <v>10.747185715300001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35.695099999999996</v>
      </c>
      <c r="I154" s="22">
        <v>4.6551500000000003E-2</v>
      </c>
      <c r="J154" s="22">
        <v>144</v>
      </c>
      <c r="K154" s="22">
        <v>0.369232</v>
      </c>
      <c r="L154">
        <f t="shared" si="24"/>
        <v>-46.551500000000004</v>
      </c>
      <c r="M154">
        <f t="shared" si="25"/>
        <v>-47.712028895000003</v>
      </c>
      <c r="N154" s="9"/>
      <c r="O154" s="22">
        <v>0.62515299999999996</v>
      </c>
      <c r="P154" s="22">
        <v>70.004199999999997</v>
      </c>
      <c r="Q154" s="22">
        <v>-1.8212900000000001E-2</v>
      </c>
      <c r="R154" s="22">
        <v>144</v>
      </c>
      <c r="S154" s="22">
        <v>0.62377899999999997</v>
      </c>
      <c r="T154">
        <f t="shared" si="26"/>
        <v>18.212900000000001</v>
      </c>
      <c r="U154">
        <f t="shared" si="27"/>
        <v>11.385849073699999</v>
      </c>
      <c r="X154" s="9"/>
      <c r="Y154" s="22">
        <v>1.0249299999999999</v>
      </c>
      <c r="Z154" s="22">
        <v>104.21</v>
      </c>
      <c r="AA154" s="22">
        <v>-1.82556E-2</v>
      </c>
      <c r="AB154" s="22">
        <v>144</v>
      </c>
      <c r="AC154" s="22">
        <v>1.0250900000000001</v>
      </c>
      <c r="AD154">
        <f t="shared" si="28"/>
        <v>18.255600000000001</v>
      </c>
      <c r="AE154">
        <f t="shared" si="29"/>
        <v>18.710712107999999</v>
      </c>
      <c r="AF154" s="9"/>
      <c r="AG154" s="22">
        <v>0.62515299999999996</v>
      </c>
      <c r="AH154" s="22">
        <v>122.03100000000001</v>
      </c>
      <c r="AI154" s="22">
        <v>-1.8457000000000001E-2</v>
      </c>
      <c r="AJ154" s="22">
        <v>144</v>
      </c>
      <c r="AK154" s="22">
        <v>0.62484700000000004</v>
      </c>
      <c r="AL154">
        <f t="shared" si="30"/>
        <v>18.457000000000001</v>
      </c>
      <c r="AM154">
        <f t="shared" si="31"/>
        <v>11.538448921000001</v>
      </c>
      <c r="AP154" s="9"/>
      <c r="AQ154" s="22">
        <v>1.0249299999999999</v>
      </c>
      <c r="AR154" s="22">
        <v>156.30000000000001</v>
      </c>
      <c r="AS154" s="22">
        <v>4.6569800000000001E-2</v>
      </c>
      <c r="AT154" s="22">
        <v>144</v>
      </c>
      <c r="AU154" s="22">
        <v>0.38375900000000002</v>
      </c>
      <c r="AV154">
        <f t="shared" si="32"/>
        <v>-46.569800000000001</v>
      </c>
      <c r="AW154">
        <f t="shared" si="33"/>
        <v>-47.730785113999993</v>
      </c>
      <c r="AX154" s="9"/>
      <c r="AY154" s="22">
        <v>0.62515299999999996</v>
      </c>
      <c r="AZ154" s="22">
        <v>190.68799999999999</v>
      </c>
      <c r="BA154" s="22">
        <v>-1.72058E-2</v>
      </c>
      <c r="BB154" s="22">
        <v>144</v>
      </c>
      <c r="BC154" s="22">
        <v>0.62155199999999999</v>
      </c>
      <c r="BD154">
        <f t="shared" si="34"/>
        <v>17.2058</v>
      </c>
      <c r="BE154">
        <f t="shared" si="35"/>
        <v>10.756257487399999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35.705199999999998</v>
      </c>
      <c r="I155" s="22">
        <v>4.6533199999999997E-2</v>
      </c>
      <c r="J155" s="22">
        <v>145</v>
      </c>
      <c r="K155" s="22">
        <v>0.357483</v>
      </c>
      <c r="L155">
        <f t="shared" si="24"/>
        <v>-46.533199999999994</v>
      </c>
      <c r="M155">
        <f t="shared" si="25"/>
        <v>-47.459210679999998</v>
      </c>
      <c r="N155" s="9"/>
      <c r="O155" s="22">
        <v>0.63018799999999997</v>
      </c>
      <c r="P155" s="22">
        <v>70.014300000000006</v>
      </c>
      <c r="Q155" s="22">
        <v>-1.8194599999999998E-2</v>
      </c>
      <c r="R155" s="22">
        <v>145</v>
      </c>
      <c r="S155" s="22">
        <v>0.62988299999999997</v>
      </c>
      <c r="T155">
        <f t="shared" si="26"/>
        <v>18.194599999999998</v>
      </c>
      <c r="U155">
        <f t="shared" si="27"/>
        <v>11.466018584799999</v>
      </c>
      <c r="X155" s="9"/>
      <c r="Y155" s="22">
        <v>1.0199</v>
      </c>
      <c r="Z155" s="22">
        <v>104.22</v>
      </c>
      <c r="AA155" s="22">
        <v>-1.8258699999999999E-2</v>
      </c>
      <c r="AB155" s="22">
        <v>145</v>
      </c>
      <c r="AC155" s="22">
        <v>1.01929</v>
      </c>
      <c r="AD155">
        <f t="shared" si="28"/>
        <v>18.258699999999997</v>
      </c>
      <c r="AE155">
        <f t="shared" si="29"/>
        <v>18.62204813</v>
      </c>
      <c r="AF155" s="9"/>
      <c r="AG155" s="22">
        <v>0.63018799999999997</v>
      </c>
      <c r="AH155" s="22">
        <v>122.041</v>
      </c>
      <c r="AI155" s="22">
        <v>-1.8454000000000002E-2</v>
      </c>
      <c r="AJ155" s="22">
        <v>145</v>
      </c>
      <c r="AK155" s="22">
        <v>0.62954699999999997</v>
      </c>
      <c r="AL155">
        <f t="shared" si="30"/>
        <v>18.454000000000001</v>
      </c>
      <c r="AM155">
        <f t="shared" si="31"/>
        <v>11.629489352</v>
      </c>
      <c r="AP155" s="9"/>
      <c r="AQ155" s="22">
        <v>1.0199</v>
      </c>
      <c r="AR155" s="22">
        <v>156.31</v>
      </c>
      <c r="AS155" s="22">
        <v>4.6566799999999998E-2</v>
      </c>
      <c r="AT155" s="22">
        <v>145</v>
      </c>
      <c r="AU155" s="22">
        <v>0.38549800000000001</v>
      </c>
      <c r="AV155">
        <f t="shared" si="32"/>
        <v>-46.566800000000001</v>
      </c>
      <c r="AW155">
        <f t="shared" si="33"/>
        <v>-47.493479319999999</v>
      </c>
      <c r="AX155" s="9"/>
      <c r="AY155" s="22">
        <v>0.63018799999999997</v>
      </c>
      <c r="AZ155" s="22">
        <v>190.69800000000001</v>
      </c>
      <c r="BA155" s="22">
        <v>-1.7272900000000001E-2</v>
      </c>
      <c r="BB155" s="22">
        <v>145</v>
      </c>
      <c r="BC155" s="22">
        <v>0.63339199999999996</v>
      </c>
      <c r="BD155">
        <f t="shared" si="34"/>
        <v>17.2729</v>
      </c>
      <c r="BE155">
        <f t="shared" si="35"/>
        <v>10.8851743052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35.715200000000003</v>
      </c>
      <c r="I156" s="22">
        <v>4.65637E-2</v>
      </c>
      <c r="J156" s="22">
        <v>146</v>
      </c>
      <c r="K156" s="22">
        <v>0.36480699999999999</v>
      </c>
      <c r="L156">
        <f t="shared" si="24"/>
        <v>-46.563699999999997</v>
      </c>
      <c r="M156">
        <f t="shared" si="25"/>
        <v>-47.255636582000001</v>
      </c>
      <c r="N156" s="9"/>
      <c r="O156" s="22">
        <v>0.63522299999999998</v>
      </c>
      <c r="P156" s="22">
        <v>70.0244</v>
      </c>
      <c r="Q156" s="22">
        <v>-1.8197600000000001E-2</v>
      </c>
      <c r="R156" s="22">
        <v>146</v>
      </c>
      <c r="S156" s="22">
        <v>0.63464399999999999</v>
      </c>
      <c r="T156">
        <f t="shared" si="26"/>
        <v>18.197600000000001</v>
      </c>
      <c r="U156">
        <f t="shared" si="27"/>
        <v>11.559534064800001</v>
      </c>
      <c r="X156" s="9"/>
      <c r="Y156" s="22">
        <v>1.0148600000000001</v>
      </c>
      <c r="Z156" s="22">
        <v>104.23099999999999</v>
      </c>
      <c r="AA156" s="22">
        <v>-1.8261699999999999E-2</v>
      </c>
      <c r="AB156" s="22">
        <v>146</v>
      </c>
      <c r="AC156" s="22">
        <v>1.01471</v>
      </c>
      <c r="AD156">
        <f t="shared" si="28"/>
        <v>18.261699999999998</v>
      </c>
      <c r="AE156">
        <f t="shared" si="29"/>
        <v>18.533068862</v>
      </c>
      <c r="AF156" s="9"/>
      <c r="AG156" s="22">
        <v>0.63522299999999998</v>
      </c>
      <c r="AH156" s="22">
        <v>122.051</v>
      </c>
      <c r="AI156" s="22">
        <v>-1.8454000000000002E-2</v>
      </c>
      <c r="AJ156" s="22">
        <v>146</v>
      </c>
      <c r="AK156" s="22">
        <v>0.63482700000000003</v>
      </c>
      <c r="AL156">
        <f t="shared" si="30"/>
        <v>18.454000000000001</v>
      </c>
      <c r="AM156">
        <f t="shared" si="31"/>
        <v>11.722405242000001</v>
      </c>
      <c r="AP156" s="9"/>
      <c r="AQ156" s="22">
        <v>1.0148600000000001</v>
      </c>
      <c r="AR156" s="22">
        <v>156.321</v>
      </c>
      <c r="AS156" s="22">
        <v>4.65637E-2</v>
      </c>
      <c r="AT156" s="22">
        <v>146</v>
      </c>
      <c r="AU156" s="22">
        <v>0.38501000000000002</v>
      </c>
      <c r="AV156">
        <f t="shared" si="32"/>
        <v>-46.563699999999997</v>
      </c>
      <c r="AW156">
        <f t="shared" si="33"/>
        <v>-47.255636582000001</v>
      </c>
      <c r="AX156" s="9"/>
      <c r="AY156" s="22">
        <v>0.63522299999999998</v>
      </c>
      <c r="AZ156" s="22">
        <v>190.708</v>
      </c>
      <c r="BA156" s="22">
        <v>-1.72058E-2</v>
      </c>
      <c r="BB156" s="22">
        <v>146</v>
      </c>
      <c r="BC156" s="22">
        <v>0.62939500000000004</v>
      </c>
      <c r="BD156">
        <f t="shared" si="34"/>
        <v>17.2058</v>
      </c>
      <c r="BE156">
        <f t="shared" si="35"/>
        <v>10.9295198934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35.725299999999997</v>
      </c>
      <c r="I157" s="22">
        <v>4.6566799999999998E-2</v>
      </c>
      <c r="J157" s="22">
        <v>147</v>
      </c>
      <c r="K157" s="22">
        <v>0.35656700000000002</v>
      </c>
      <c r="L157">
        <f t="shared" si="24"/>
        <v>-46.566800000000001</v>
      </c>
      <c r="M157">
        <f t="shared" si="25"/>
        <v>-47.024551643999999</v>
      </c>
      <c r="N157" s="9"/>
      <c r="O157" s="22">
        <v>0.64025900000000002</v>
      </c>
      <c r="P157" s="22">
        <v>70.034400000000005</v>
      </c>
      <c r="Q157" s="22">
        <v>-1.8197600000000001E-2</v>
      </c>
      <c r="R157" s="22">
        <v>147</v>
      </c>
      <c r="S157" s="22">
        <v>0.639374</v>
      </c>
      <c r="T157">
        <f t="shared" si="26"/>
        <v>18.197600000000001</v>
      </c>
      <c r="U157">
        <f t="shared" si="27"/>
        <v>11.651177178400001</v>
      </c>
      <c r="X157" s="9"/>
      <c r="Y157" s="22">
        <v>1.00983</v>
      </c>
      <c r="Z157" s="22">
        <v>104.241</v>
      </c>
      <c r="AA157" s="22">
        <v>-1.8264800000000001E-2</v>
      </c>
      <c r="AB157" s="22">
        <v>147</v>
      </c>
      <c r="AC157" s="22">
        <v>1.00922</v>
      </c>
      <c r="AD157">
        <f t="shared" si="28"/>
        <v>18.264800000000001</v>
      </c>
      <c r="AE157">
        <f t="shared" si="29"/>
        <v>18.444342984000002</v>
      </c>
      <c r="AF157" s="9"/>
      <c r="AG157" s="22">
        <v>0.64025900000000002</v>
      </c>
      <c r="AH157" s="22">
        <v>122.06100000000001</v>
      </c>
      <c r="AI157" s="22">
        <v>-1.8450899999999999E-2</v>
      </c>
      <c r="AJ157" s="22">
        <v>147</v>
      </c>
      <c r="AK157" s="22">
        <v>0.63919099999999995</v>
      </c>
      <c r="AL157">
        <f t="shared" si="30"/>
        <v>18.450900000000001</v>
      </c>
      <c r="AM157">
        <f t="shared" si="31"/>
        <v>11.813354783100001</v>
      </c>
      <c r="AP157" s="9"/>
      <c r="AQ157" s="22">
        <v>1.00983</v>
      </c>
      <c r="AR157" s="22">
        <v>156.33099999999999</v>
      </c>
      <c r="AS157" s="22">
        <v>4.65637E-2</v>
      </c>
      <c r="AT157" s="22">
        <v>147</v>
      </c>
      <c r="AU157" s="22">
        <v>0.37969999999999998</v>
      </c>
      <c r="AV157">
        <f t="shared" si="32"/>
        <v>-46.563699999999997</v>
      </c>
      <c r="AW157">
        <f t="shared" si="33"/>
        <v>-47.021421171</v>
      </c>
      <c r="AX157" s="9"/>
      <c r="AY157" s="22">
        <v>0.64025900000000002</v>
      </c>
      <c r="AZ157" s="22">
        <v>190.71799999999999</v>
      </c>
      <c r="BA157" s="22">
        <v>-1.75079E-2</v>
      </c>
      <c r="BB157" s="22">
        <v>147</v>
      </c>
      <c r="BC157" s="22">
        <v>0.64556899999999995</v>
      </c>
      <c r="BD157">
        <f t="shared" si="34"/>
        <v>17.507899999999999</v>
      </c>
      <c r="BE157">
        <f t="shared" si="35"/>
        <v>11.209590546099999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35.735399999999998</v>
      </c>
      <c r="I158" s="22">
        <v>4.6542399999999998E-2</v>
      </c>
      <c r="J158" s="22">
        <v>148</v>
      </c>
      <c r="K158" s="22">
        <v>0.37148999999999999</v>
      </c>
      <c r="L158">
        <f t="shared" si="24"/>
        <v>-46.542400000000001</v>
      </c>
      <c r="M158">
        <f t="shared" si="25"/>
        <v>-46.765338096000001</v>
      </c>
      <c r="N158" s="9"/>
      <c r="O158" s="22">
        <v>0.64529400000000003</v>
      </c>
      <c r="P158" s="22">
        <v>70.044499999999999</v>
      </c>
      <c r="Q158" s="22">
        <v>-1.8185400000000001E-2</v>
      </c>
      <c r="R158" s="22">
        <v>148</v>
      </c>
      <c r="S158" s="22">
        <v>0.64425699999999997</v>
      </c>
      <c r="T158">
        <f t="shared" si="26"/>
        <v>18.185400000000001</v>
      </c>
      <c r="U158">
        <f t="shared" si="27"/>
        <v>11.734929507600002</v>
      </c>
      <c r="X158" s="9"/>
      <c r="Y158" s="22">
        <v>1.0047900000000001</v>
      </c>
      <c r="Z158" s="22">
        <v>104.251</v>
      </c>
      <c r="AA158" s="22">
        <v>-1.8267800000000001E-2</v>
      </c>
      <c r="AB158" s="22">
        <v>148</v>
      </c>
      <c r="AC158" s="22">
        <v>1.0043299999999999</v>
      </c>
      <c r="AD158">
        <f t="shared" si="28"/>
        <v>18.267800000000001</v>
      </c>
      <c r="AE158">
        <f t="shared" si="29"/>
        <v>18.355302762000001</v>
      </c>
      <c r="AF158" s="9"/>
      <c r="AG158" s="22">
        <v>0.64529400000000003</v>
      </c>
      <c r="AH158" s="22">
        <v>122.072</v>
      </c>
      <c r="AI158" s="22">
        <v>-1.8450899999999999E-2</v>
      </c>
      <c r="AJ158" s="22">
        <v>148</v>
      </c>
      <c r="AK158" s="22">
        <v>0.64474500000000001</v>
      </c>
      <c r="AL158">
        <f t="shared" si="30"/>
        <v>18.450900000000001</v>
      </c>
      <c r="AM158">
        <f t="shared" si="31"/>
        <v>11.906255064600002</v>
      </c>
      <c r="AP158" s="9"/>
      <c r="AQ158" s="22">
        <v>1.0047900000000001</v>
      </c>
      <c r="AR158" s="22">
        <v>156.34100000000001</v>
      </c>
      <c r="AS158" s="22">
        <v>4.65637E-2</v>
      </c>
      <c r="AT158" s="22">
        <v>148</v>
      </c>
      <c r="AU158" s="22">
        <v>0.38796999999999998</v>
      </c>
      <c r="AV158">
        <f t="shared" si="32"/>
        <v>-46.563699999999997</v>
      </c>
      <c r="AW158">
        <f t="shared" si="33"/>
        <v>-46.786740123000001</v>
      </c>
      <c r="AX158" s="9"/>
      <c r="AY158" s="22">
        <v>0.64529400000000003</v>
      </c>
      <c r="AZ158" s="22">
        <v>190.72800000000001</v>
      </c>
      <c r="BA158" s="22">
        <v>-1.7468299999999999E-2</v>
      </c>
      <c r="BB158" s="22">
        <v>148</v>
      </c>
      <c r="BC158" s="22">
        <v>0.640015</v>
      </c>
      <c r="BD158">
        <f t="shared" si="34"/>
        <v>17.468299999999999</v>
      </c>
      <c r="BE158">
        <f t="shared" si="35"/>
        <v>11.2721891802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35.745399999999997</v>
      </c>
      <c r="I159" s="22">
        <v>4.6536300000000003E-2</v>
      </c>
      <c r="J159" s="22">
        <v>149</v>
      </c>
      <c r="K159" s="22">
        <v>0.37411499999999998</v>
      </c>
      <c r="L159">
        <f t="shared" si="24"/>
        <v>-46.536300000000004</v>
      </c>
      <c r="M159">
        <f t="shared" si="25"/>
        <v>-46.5249451428</v>
      </c>
      <c r="N159" s="9"/>
      <c r="O159" s="22">
        <v>0.65032999999999996</v>
      </c>
      <c r="P159" s="22">
        <v>70.054599999999994</v>
      </c>
      <c r="Q159" s="22">
        <v>-1.8191499999999999E-2</v>
      </c>
      <c r="R159" s="22">
        <v>149</v>
      </c>
      <c r="S159" s="22">
        <v>0.65029899999999996</v>
      </c>
      <c r="T159">
        <f t="shared" si="26"/>
        <v>18.191499999999998</v>
      </c>
      <c r="U159">
        <f t="shared" si="27"/>
        <v>11.830478194999998</v>
      </c>
      <c r="X159" s="9"/>
      <c r="Y159" s="22">
        <v>0.99975599999999998</v>
      </c>
      <c r="Z159" s="22">
        <v>104.261</v>
      </c>
      <c r="AA159" s="22">
        <v>-1.8273899999999999E-2</v>
      </c>
      <c r="AB159" s="22">
        <v>149</v>
      </c>
      <c r="AC159" s="22">
        <v>0.99883999999999995</v>
      </c>
      <c r="AD159">
        <f t="shared" si="28"/>
        <v>18.273899999999998</v>
      </c>
      <c r="AE159">
        <f t="shared" si="29"/>
        <v>18.269441168399997</v>
      </c>
      <c r="AF159" s="9"/>
      <c r="AG159" s="22">
        <v>0.65032999999999996</v>
      </c>
      <c r="AH159" s="22">
        <v>122.08199999999999</v>
      </c>
      <c r="AI159" s="22">
        <v>-1.84479E-2</v>
      </c>
      <c r="AJ159" s="22">
        <v>149</v>
      </c>
      <c r="AK159" s="22">
        <v>0.64993299999999998</v>
      </c>
      <c r="AL159">
        <f t="shared" si="30"/>
        <v>18.447900000000001</v>
      </c>
      <c r="AM159">
        <f t="shared" si="31"/>
        <v>11.997222807</v>
      </c>
      <c r="AP159" s="9"/>
      <c r="AQ159" s="22">
        <v>0.99975599999999998</v>
      </c>
      <c r="AR159" s="22">
        <v>156.351</v>
      </c>
      <c r="AS159" s="22">
        <v>4.6560699999999997E-2</v>
      </c>
      <c r="AT159" s="22">
        <v>149</v>
      </c>
      <c r="AU159" s="22">
        <v>0.38418600000000003</v>
      </c>
      <c r="AV159">
        <f t="shared" si="32"/>
        <v>-46.560699999999997</v>
      </c>
      <c r="AW159">
        <f t="shared" si="33"/>
        <v>-46.549339189199998</v>
      </c>
      <c r="AX159" s="9"/>
      <c r="AY159" s="22">
        <v>0.65032999999999996</v>
      </c>
      <c r="AZ159" s="22">
        <v>190.738</v>
      </c>
      <c r="BA159" s="22">
        <v>-1.7477400000000001E-2</v>
      </c>
      <c r="BB159" s="22">
        <v>149</v>
      </c>
      <c r="BC159" s="22">
        <v>0.64349400000000001</v>
      </c>
      <c r="BD159">
        <f t="shared" si="34"/>
        <v>17.477399999999999</v>
      </c>
      <c r="BE159">
        <f t="shared" si="35"/>
        <v>11.366077541999999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35.755499999999998</v>
      </c>
      <c r="I160" s="22">
        <v>4.6545400000000001E-2</v>
      </c>
      <c r="J160" s="22">
        <v>150</v>
      </c>
      <c r="K160" s="22">
        <v>0.376251</v>
      </c>
      <c r="L160">
        <f t="shared" si="24"/>
        <v>-46.545400000000001</v>
      </c>
      <c r="M160">
        <f t="shared" si="25"/>
        <v>-46.299640288000006</v>
      </c>
      <c r="N160" s="9"/>
      <c r="O160" s="22">
        <v>0.65536499999999998</v>
      </c>
      <c r="P160" s="22">
        <v>70.064700000000002</v>
      </c>
      <c r="Q160" s="22">
        <v>-1.8182400000000001E-2</v>
      </c>
      <c r="R160" s="22">
        <v>150</v>
      </c>
      <c r="S160" s="22">
        <v>0.65542599999999995</v>
      </c>
      <c r="T160">
        <f t="shared" si="26"/>
        <v>18.182400000000001</v>
      </c>
      <c r="U160">
        <f t="shared" si="27"/>
        <v>11.916108576000001</v>
      </c>
      <c r="X160" s="9"/>
      <c r="Y160" s="22">
        <v>0.99472000000000005</v>
      </c>
      <c r="Z160" s="22">
        <v>104.271</v>
      </c>
      <c r="AA160" s="22">
        <v>-1.82709E-2</v>
      </c>
      <c r="AB160" s="22">
        <v>150</v>
      </c>
      <c r="AC160" s="22">
        <v>0.99334699999999998</v>
      </c>
      <c r="AD160">
        <f t="shared" si="28"/>
        <v>18.270900000000001</v>
      </c>
      <c r="AE160">
        <f t="shared" si="29"/>
        <v>18.174429648</v>
      </c>
      <c r="AF160" s="9"/>
      <c r="AG160" s="22">
        <v>0.65536499999999998</v>
      </c>
      <c r="AH160" s="22">
        <v>122.092</v>
      </c>
      <c r="AI160" s="22">
        <v>-1.8444800000000001E-2</v>
      </c>
      <c r="AJ160" s="22">
        <v>150</v>
      </c>
      <c r="AK160" s="22">
        <v>0.65451000000000004</v>
      </c>
      <c r="AL160">
        <f t="shared" si="30"/>
        <v>18.444800000000001</v>
      </c>
      <c r="AM160">
        <f t="shared" si="31"/>
        <v>12.088076352</v>
      </c>
      <c r="AP160" s="9"/>
      <c r="AQ160" s="22">
        <v>0.99472000000000005</v>
      </c>
      <c r="AR160" s="22">
        <v>156.36099999999999</v>
      </c>
      <c r="AS160" s="22">
        <v>4.65637E-2</v>
      </c>
      <c r="AT160" s="22">
        <v>150</v>
      </c>
      <c r="AU160" s="22">
        <v>0.372589</v>
      </c>
      <c r="AV160">
        <f t="shared" si="32"/>
        <v>-46.563699999999997</v>
      </c>
      <c r="AW160">
        <f t="shared" si="33"/>
        <v>-46.317843664000002</v>
      </c>
      <c r="AX160" s="9"/>
      <c r="AY160" s="22">
        <v>0.65536499999999998</v>
      </c>
      <c r="AZ160" s="22">
        <v>190.74799999999999</v>
      </c>
      <c r="BA160" s="22">
        <v>-1.7510999999999999E-2</v>
      </c>
      <c r="BB160" s="22">
        <v>150</v>
      </c>
      <c r="BC160" s="22">
        <v>0.65762299999999996</v>
      </c>
      <c r="BD160">
        <f t="shared" si="34"/>
        <v>17.510999999999999</v>
      </c>
      <c r="BE160">
        <f t="shared" si="35"/>
        <v>11.476096514999998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35.765599999999999</v>
      </c>
      <c r="I161" s="22">
        <v>4.6551500000000003E-2</v>
      </c>
      <c r="J161" s="22">
        <v>151</v>
      </c>
      <c r="K161" s="22">
        <v>0.37396200000000002</v>
      </c>
      <c r="L161">
        <f t="shared" si="24"/>
        <v>-46.551500000000004</v>
      </c>
      <c r="M161">
        <f t="shared" si="25"/>
        <v>-46.071321277500004</v>
      </c>
      <c r="N161" s="9"/>
      <c r="O161" s="22">
        <v>0.66039999999999999</v>
      </c>
      <c r="P161" s="22">
        <v>70.074700000000007</v>
      </c>
      <c r="Q161" s="22">
        <v>-1.8179299999999999E-2</v>
      </c>
      <c r="R161" s="22">
        <v>151</v>
      </c>
      <c r="S161" s="22">
        <v>0.65957600000000005</v>
      </c>
      <c r="T161">
        <f t="shared" si="26"/>
        <v>18.179299999999998</v>
      </c>
      <c r="U161">
        <f t="shared" si="27"/>
        <v>12.005609719999999</v>
      </c>
      <c r="X161" s="9"/>
      <c r="Y161" s="22">
        <v>0.98968500000000004</v>
      </c>
      <c r="Z161" s="22">
        <v>104.28100000000001</v>
      </c>
      <c r="AA161" s="22">
        <v>-1.8273899999999999E-2</v>
      </c>
      <c r="AB161" s="22">
        <v>151</v>
      </c>
      <c r="AC161" s="22">
        <v>0.98815900000000001</v>
      </c>
      <c r="AD161">
        <f t="shared" si="28"/>
        <v>18.273899999999998</v>
      </c>
      <c r="AE161">
        <f t="shared" si="29"/>
        <v>18.085404721499998</v>
      </c>
      <c r="AF161" s="9"/>
      <c r="AG161" s="22">
        <v>0.66039999999999999</v>
      </c>
      <c r="AH161" s="22">
        <v>122.102</v>
      </c>
      <c r="AI161" s="22">
        <v>-1.8444800000000001E-2</v>
      </c>
      <c r="AJ161" s="22">
        <v>151</v>
      </c>
      <c r="AK161" s="22">
        <v>0.65951499999999996</v>
      </c>
      <c r="AL161">
        <f t="shared" si="30"/>
        <v>18.444800000000001</v>
      </c>
      <c r="AM161">
        <f t="shared" si="31"/>
        <v>12.180945920000001</v>
      </c>
      <c r="AP161" s="9"/>
      <c r="AQ161" s="22">
        <v>0.98968500000000004</v>
      </c>
      <c r="AR161" s="22">
        <v>156.37100000000001</v>
      </c>
      <c r="AS161" s="22">
        <v>4.6575900000000003E-2</v>
      </c>
      <c r="AT161" s="22">
        <v>151</v>
      </c>
      <c r="AU161" s="22">
        <v>0.376251</v>
      </c>
      <c r="AV161">
        <f t="shared" si="32"/>
        <v>-46.575900000000004</v>
      </c>
      <c r="AW161">
        <f t="shared" si="33"/>
        <v>-46.095469591500006</v>
      </c>
      <c r="AX161" s="9"/>
      <c r="AY161" s="22">
        <v>0.66039999999999999</v>
      </c>
      <c r="AZ161" s="22">
        <v>190.75800000000001</v>
      </c>
      <c r="BA161" s="22">
        <v>-1.75903E-2</v>
      </c>
      <c r="BB161" s="22">
        <v>151</v>
      </c>
      <c r="BC161" s="22">
        <v>0.65463300000000002</v>
      </c>
      <c r="BD161">
        <f t="shared" si="34"/>
        <v>17.590299999999999</v>
      </c>
      <c r="BE161">
        <f t="shared" si="35"/>
        <v>11.616634119999999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35.775700000000001</v>
      </c>
      <c r="I162" s="22">
        <v>4.6581999999999998E-2</v>
      </c>
      <c r="J162" s="22">
        <v>152</v>
      </c>
      <c r="K162" s="22">
        <v>0.36709599999999998</v>
      </c>
      <c r="L162">
        <f t="shared" si="24"/>
        <v>-46.582000000000001</v>
      </c>
      <c r="M162">
        <f t="shared" si="25"/>
        <v>-45.866966300000001</v>
      </c>
      <c r="N162" s="9"/>
      <c r="O162" s="22">
        <v>0.66543600000000003</v>
      </c>
      <c r="P162" s="22">
        <v>70.084800000000001</v>
      </c>
      <c r="Q162" s="22">
        <v>-1.8176299999999999E-2</v>
      </c>
      <c r="R162" s="22">
        <v>152</v>
      </c>
      <c r="S162" s="22">
        <v>0.664246</v>
      </c>
      <c r="T162">
        <f t="shared" si="26"/>
        <v>18.176299999999998</v>
      </c>
      <c r="U162">
        <f t="shared" si="27"/>
        <v>12.095164366799999</v>
      </c>
      <c r="X162" s="9"/>
      <c r="Y162" s="22">
        <v>0.98465000000000003</v>
      </c>
      <c r="Z162" s="22">
        <v>104.291</v>
      </c>
      <c r="AA162" s="22">
        <v>-1.8273899999999999E-2</v>
      </c>
      <c r="AB162" s="22">
        <v>152</v>
      </c>
      <c r="AC162" s="22">
        <v>0.98358199999999996</v>
      </c>
      <c r="AD162">
        <f t="shared" si="28"/>
        <v>18.273899999999998</v>
      </c>
      <c r="AE162">
        <f t="shared" si="29"/>
        <v>17.993395634999999</v>
      </c>
      <c r="AF162" s="9"/>
      <c r="AG162" s="22">
        <v>0.66543600000000003</v>
      </c>
      <c r="AH162" s="22">
        <v>122.11199999999999</v>
      </c>
      <c r="AI162" s="22">
        <v>-1.8441800000000001E-2</v>
      </c>
      <c r="AJ162" s="22">
        <v>152</v>
      </c>
      <c r="AK162" s="22">
        <v>0.66452</v>
      </c>
      <c r="AL162">
        <f t="shared" si="30"/>
        <v>18.441800000000001</v>
      </c>
      <c r="AM162">
        <f t="shared" si="31"/>
        <v>12.271837624800002</v>
      </c>
      <c r="AP162" s="9"/>
      <c r="AQ162" s="22">
        <v>0.98465000000000003</v>
      </c>
      <c r="AR162" s="22">
        <v>156.381</v>
      </c>
      <c r="AS162" s="22">
        <v>4.6569800000000001E-2</v>
      </c>
      <c r="AT162" s="22">
        <v>152</v>
      </c>
      <c r="AU162" s="22">
        <v>0.38073699999999999</v>
      </c>
      <c r="AV162">
        <f t="shared" si="32"/>
        <v>-46.569800000000001</v>
      </c>
      <c r="AW162">
        <f t="shared" si="33"/>
        <v>-45.854953569999999</v>
      </c>
      <c r="AX162" s="9"/>
      <c r="AY162" s="22">
        <v>0.66543600000000003</v>
      </c>
      <c r="AZ162" s="22">
        <v>190.768</v>
      </c>
      <c r="BA162" s="22">
        <v>-1.7569000000000001E-2</v>
      </c>
      <c r="BB162" s="22">
        <v>152</v>
      </c>
      <c r="BC162" s="22">
        <v>0.66812099999999996</v>
      </c>
      <c r="BD162">
        <f t="shared" si="34"/>
        <v>17.569000000000003</v>
      </c>
      <c r="BE162">
        <f t="shared" si="35"/>
        <v>11.691045084000002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35.785699999999999</v>
      </c>
      <c r="I163" s="22">
        <v>4.6581999999999998E-2</v>
      </c>
      <c r="J163" s="22">
        <v>153</v>
      </c>
      <c r="K163" s="22">
        <v>0.36795</v>
      </c>
      <c r="L163">
        <f t="shared" si="24"/>
        <v>-46.582000000000001</v>
      </c>
      <c r="M163">
        <f t="shared" si="25"/>
        <v>-45.632379348000001</v>
      </c>
      <c r="N163" s="9"/>
      <c r="O163" s="22">
        <v>0.67047100000000004</v>
      </c>
      <c r="P163" s="22">
        <v>70.094899999999996</v>
      </c>
      <c r="Q163" s="22">
        <v>-1.81732E-2</v>
      </c>
      <c r="R163" s="22">
        <v>153</v>
      </c>
      <c r="S163" s="22">
        <v>0.66976899999999995</v>
      </c>
      <c r="T163">
        <f t="shared" si="26"/>
        <v>18.173200000000001</v>
      </c>
      <c r="U163">
        <f t="shared" si="27"/>
        <v>12.184603577200001</v>
      </c>
      <c r="X163" s="9"/>
      <c r="Y163" s="22">
        <v>0.97961399999999998</v>
      </c>
      <c r="Z163" s="22">
        <v>104.301</v>
      </c>
      <c r="AA163" s="22">
        <v>-1.8277000000000002E-2</v>
      </c>
      <c r="AB163" s="22">
        <v>153</v>
      </c>
      <c r="AC163" s="22">
        <v>0.97930899999999999</v>
      </c>
      <c r="AD163">
        <f t="shared" si="28"/>
        <v>18.277000000000001</v>
      </c>
      <c r="AE163">
        <f t="shared" si="29"/>
        <v>17.904405078</v>
      </c>
      <c r="AF163" s="9"/>
      <c r="AG163" s="22">
        <v>0.67047100000000004</v>
      </c>
      <c r="AH163" s="22">
        <v>122.122</v>
      </c>
      <c r="AI163" s="22">
        <v>-1.8438699999999999E-2</v>
      </c>
      <c r="AJ163" s="22">
        <v>153</v>
      </c>
      <c r="AK163" s="22">
        <v>0.67004399999999997</v>
      </c>
      <c r="AL163">
        <f t="shared" si="30"/>
        <v>18.438699999999997</v>
      </c>
      <c r="AM163">
        <f t="shared" si="31"/>
        <v>12.362613627699998</v>
      </c>
      <c r="AP163" s="9"/>
      <c r="AQ163" s="22">
        <v>0.97961399999999998</v>
      </c>
      <c r="AR163" s="22">
        <v>156.39099999999999</v>
      </c>
      <c r="AS163" s="22">
        <v>4.6566799999999998E-2</v>
      </c>
      <c r="AT163" s="22">
        <v>153</v>
      </c>
      <c r="AU163" s="22">
        <v>0.37786900000000001</v>
      </c>
      <c r="AV163">
        <f t="shared" si="32"/>
        <v>-46.566800000000001</v>
      </c>
      <c r="AW163">
        <f t="shared" si="33"/>
        <v>-45.617489215200003</v>
      </c>
      <c r="AX163" s="9"/>
      <c r="AY163" s="22">
        <v>0.67047100000000004</v>
      </c>
      <c r="AZ163" s="22">
        <v>190.77799999999999</v>
      </c>
      <c r="BA163" s="22">
        <v>-1.7633099999999999E-2</v>
      </c>
      <c r="BB163" s="22">
        <v>153</v>
      </c>
      <c r="BC163" s="22">
        <v>0.66940299999999997</v>
      </c>
      <c r="BD163">
        <f t="shared" si="34"/>
        <v>17.633099999999999</v>
      </c>
      <c r="BE163">
        <f t="shared" si="35"/>
        <v>11.822482190100001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35.7958</v>
      </c>
      <c r="I164" s="22">
        <v>4.6581999999999998E-2</v>
      </c>
      <c r="J164" s="22">
        <v>154</v>
      </c>
      <c r="K164" s="22">
        <v>0.36654700000000001</v>
      </c>
      <c r="L164">
        <f t="shared" si="24"/>
        <v>-46.582000000000001</v>
      </c>
      <c r="M164">
        <f t="shared" si="25"/>
        <v>-45.397838978000003</v>
      </c>
      <c r="N164" s="9"/>
      <c r="O164" s="22">
        <v>0.67550699999999997</v>
      </c>
      <c r="P164" s="22">
        <v>70.104900000000001</v>
      </c>
      <c r="Q164" s="22">
        <v>-1.8176299999999999E-2</v>
      </c>
      <c r="R164" s="22">
        <v>154</v>
      </c>
      <c r="S164" s="22">
        <v>0.67483499999999996</v>
      </c>
      <c r="T164">
        <f t="shared" si="26"/>
        <v>18.176299999999998</v>
      </c>
      <c r="U164">
        <f t="shared" si="27"/>
        <v>12.278217884099998</v>
      </c>
      <c r="X164" s="9"/>
      <c r="Y164" s="22">
        <v>0.97457899999999997</v>
      </c>
      <c r="Z164" s="22">
        <v>104.31100000000001</v>
      </c>
      <c r="AA164" s="22">
        <v>-1.82831E-2</v>
      </c>
      <c r="AB164" s="22">
        <v>154</v>
      </c>
      <c r="AC164" s="22">
        <v>0.97259499999999999</v>
      </c>
      <c r="AD164">
        <f t="shared" si="28"/>
        <v>18.283100000000001</v>
      </c>
      <c r="AE164">
        <f t="shared" si="29"/>
        <v>17.818325314900001</v>
      </c>
      <c r="AF164" s="9"/>
      <c r="AG164" s="22">
        <v>0.67550699999999997</v>
      </c>
      <c r="AH164" s="22">
        <v>122.13200000000001</v>
      </c>
      <c r="AI164" s="22">
        <v>-1.8438699999999999E-2</v>
      </c>
      <c r="AJ164" s="22">
        <v>154</v>
      </c>
      <c r="AK164" s="22">
        <v>0.67483499999999996</v>
      </c>
      <c r="AL164">
        <f t="shared" si="30"/>
        <v>18.438699999999997</v>
      </c>
      <c r="AM164">
        <f t="shared" si="31"/>
        <v>12.455470920899998</v>
      </c>
      <c r="AP164" s="9"/>
      <c r="AQ164" s="22">
        <v>0.97457899999999997</v>
      </c>
      <c r="AR164" s="22">
        <v>156.40100000000001</v>
      </c>
      <c r="AS164" s="22">
        <v>4.6560699999999997E-2</v>
      </c>
      <c r="AT164" s="22">
        <v>154</v>
      </c>
      <c r="AU164" s="22">
        <v>0.38394200000000001</v>
      </c>
      <c r="AV164">
        <f t="shared" si="32"/>
        <v>-46.560699999999997</v>
      </c>
      <c r="AW164">
        <f t="shared" si="33"/>
        <v>-45.377080445299995</v>
      </c>
      <c r="AX164" s="9"/>
      <c r="AY164" s="22">
        <v>0.67550699999999997</v>
      </c>
      <c r="AZ164" s="22">
        <v>190.78800000000001</v>
      </c>
      <c r="BA164" s="22">
        <v>-1.75201E-2</v>
      </c>
      <c r="BB164" s="22">
        <v>154</v>
      </c>
      <c r="BC164" s="22">
        <v>0.67925999999999997</v>
      </c>
      <c r="BD164">
        <f t="shared" si="34"/>
        <v>17.520099999999999</v>
      </c>
      <c r="BE164">
        <f t="shared" si="35"/>
        <v>11.834950190699999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35.805900000000001</v>
      </c>
      <c r="I165" s="22">
        <v>4.6579000000000002E-2</v>
      </c>
      <c r="J165" s="22">
        <v>155</v>
      </c>
      <c r="K165" s="22">
        <v>0.36169400000000002</v>
      </c>
      <c r="L165">
        <f t="shared" si="24"/>
        <v>-46.579000000000001</v>
      </c>
      <c r="M165">
        <f t="shared" si="25"/>
        <v>-45.160343397000005</v>
      </c>
      <c r="N165" s="9"/>
      <c r="O165" s="22">
        <v>0.68054199999999998</v>
      </c>
      <c r="P165" s="22">
        <v>70.114999999999995</v>
      </c>
      <c r="Q165" s="22">
        <v>-1.8167099999999999E-2</v>
      </c>
      <c r="R165" s="22">
        <v>155</v>
      </c>
      <c r="S165" s="22">
        <v>0.68005400000000005</v>
      </c>
      <c r="T165">
        <f t="shared" si="26"/>
        <v>18.167099999999998</v>
      </c>
      <c r="U165">
        <f t="shared" si="27"/>
        <v>12.363474568199997</v>
      </c>
      <c r="X165" s="9"/>
      <c r="Y165" s="22">
        <v>0.96954300000000004</v>
      </c>
      <c r="Z165" s="22">
        <v>104.321</v>
      </c>
      <c r="AA165" s="22">
        <v>-1.82831E-2</v>
      </c>
      <c r="AB165" s="22">
        <v>155</v>
      </c>
      <c r="AC165" s="22">
        <v>0.96771200000000002</v>
      </c>
      <c r="AD165">
        <f t="shared" si="28"/>
        <v>18.283100000000001</v>
      </c>
      <c r="AE165">
        <f t="shared" si="29"/>
        <v>17.726251623300001</v>
      </c>
      <c r="AF165" s="9"/>
      <c r="AG165" s="22">
        <v>0.68054199999999998</v>
      </c>
      <c r="AH165" s="22">
        <v>122.142</v>
      </c>
      <c r="AI165" s="22">
        <v>-1.8438699999999999E-2</v>
      </c>
      <c r="AJ165" s="22">
        <v>155</v>
      </c>
      <c r="AK165" s="22">
        <v>0.67996199999999996</v>
      </c>
      <c r="AL165">
        <f t="shared" si="30"/>
        <v>18.438699999999997</v>
      </c>
      <c r="AM165">
        <f t="shared" si="31"/>
        <v>12.548309775399998</v>
      </c>
      <c r="AP165" s="9"/>
      <c r="AQ165" s="22">
        <v>0.96954300000000004</v>
      </c>
      <c r="AR165" s="22">
        <v>156.411</v>
      </c>
      <c r="AS165" s="22">
        <v>4.6557599999999998E-2</v>
      </c>
      <c r="AT165" s="22">
        <v>155</v>
      </c>
      <c r="AU165" s="22">
        <v>0.38211099999999998</v>
      </c>
      <c r="AV165">
        <f t="shared" si="32"/>
        <v>-46.557600000000001</v>
      </c>
      <c r="AW165">
        <f t="shared" si="33"/>
        <v>-45.1395951768</v>
      </c>
      <c r="AX165" s="9"/>
      <c r="AY165" s="22">
        <v>0.68054199999999998</v>
      </c>
      <c r="AZ165" s="22">
        <v>190.798</v>
      </c>
      <c r="BA165" s="22">
        <v>-1.72363E-2</v>
      </c>
      <c r="BB165" s="22">
        <v>155</v>
      </c>
      <c r="BC165" s="22">
        <v>0.67864999999999998</v>
      </c>
      <c r="BD165">
        <f t="shared" si="34"/>
        <v>17.2363</v>
      </c>
      <c r="BE165">
        <f t="shared" si="35"/>
        <v>11.7300260746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35.815899999999999</v>
      </c>
      <c r="I166" s="22">
        <v>4.6579000000000002E-2</v>
      </c>
      <c r="J166" s="22">
        <v>156</v>
      </c>
      <c r="K166" s="22">
        <v>0.36605799999999999</v>
      </c>
      <c r="L166">
        <f t="shared" si="24"/>
        <v>-46.579000000000001</v>
      </c>
      <c r="M166">
        <f t="shared" si="25"/>
        <v>-44.925818132000003</v>
      </c>
      <c r="N166" s="9"/>
      <c r="O166" s="22">
        <v>0.68557699999999999</v>
      </c>
      <c r="P166" s="22">
        <v>70.125100000000003</v>
      </c>
      <c r="Q166" s="22">
        <v>-1.8167099999999999E-2</v>
      </c>
      <c r="R166" s="22">
        <v>156</v>
      </c>
      <c r="S166" s="22">
        <v>0.68496699999999999</v>
      </c>
      <c r="T166">
        <f t="shared" si="26"/>
        <v>18.167099999999998</v>
      </c>
      <c r="U166">
        <f t="shared" si="27"/>
        <v>12.454945916699998</v>
      </c>
      <c r="X166" s="9"/>
      <c r="Y166" s="22">
        <v>0.96450800000000003</v>
      </c>
      <c r="Z166" s="22">
        <v>104.331</v>
      </c>
      <c r="AA166" s="22">
        <v>-1.82861E-2</v>
      </c>
      <c r="AB166" s="22">
        <v>156</v>
      </c>
      <c r="AC166" s="22">
        <v>0.96374499999999996</v>
      </c>
      <c r="AD166">
        <f t="shared" si="28"/>
        <v>18.286100000000001</v>
      </c>
      <c r="AE166">
        <f t="shared" si="29"/>
        <v>17.6370897388</v>
      </c>
      <c r="AF166" s="9"/>
      <c r="AG166" s="22">
        <v>0.68557699999999999</v>
      </c>
      <c r="AH166" s="22">
        <v>122.152</v>
      </c>
      <c r="AI166" s="22">
        <v>-1.84326E-2</v>
      </c>
      <c r="AJ166" s="22">
        <v>156</v>
      </c>
      <c r="AK166" s="22">
        <v>0.68417399999999995</v>
      </c>
      <c r="AL166">
        <f t="shared" si="30"/>
        <v>18.432600000000001</v>
      </c>
      <c r="AM166">
        <f t="shared" si="31"/>
        <v>12.6369666102</v>
      </c>
      <c r="AP166" s="9"/>
      <c r="AQ166" s="22">
        <v>0.96450800000000003</v>
      </c>
      <c r="AR166" s="22">
        <v>156.42099999999999</v>
      </c>
      <c r="AS166" s="22">
        <v>4.65485E-2</v>
      </c>
      <c r="AT166" s="22">
        <v>156</v>
      </c>
      <c r="AU166" s="22">
        <v>0.38281300000000001</v>
      </c>
      <c r="AV166">
        <f t="shared" si="32"/>
        <v>-46.548499999999997</v>
      </c>
      <c r="AW166">
        <f t="shared" si="33"/>
        <v>-44.896400637999996</v>
      </c>
      <c r="AX166" s="9"/>
      <c r="AY166" s="22">
        <v>0.68557699999999999</v>
      </c>
      <c r="AZ166" s="22">
        <v>190.80799999999999</v>
      </c>
      <c r="BA166" s="22">
        <v>-1.7471299999999999E-2</v>
      </c>
      <c r="BB166" s="22">
        <v>156</v>
      </c>
      <c r="BC166" s="22">
        <v>0.68545500000000004</v>
      </c>
      <c r="BD166">
        <f t="shared" si="34"/>
        <v>17.471299999999999</v>
      </c>
      <c r="BE166">
        <f t="shared" si="35"/>
        <v>11.977921440099999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35.826000000000001</v>
      </c>
      <c r="I167" s="22">
        <v>4.6575900000000003E-2</v>
      </c>
      <c r="J167" s="22">
        <v>157</v>
      </c>
      <c r="K167" s="22">
        <v>0.36471599999999998</v>
      </c>
      <c r="L167">
        <f t="shared" si="24"/>
        <v>-46.575900000000004</v>
      </c>
      <c r="M167">
        <f t="shared" si="25"/>
        <v>-44.688318500700007</v>
      </c>
      <c r="N167" s="9"/>
      <c r="O167" s="22">
        <v>0.69061300000000003</v>
      </c>
      <c r="P167" s="22">
        <v>70.135199999999998</v>
      </c>
      <c r="Q167" s="22">
        <v>-1.8161E-2</v>
      </c>
      <c r="R167" s="22">
        <v>157</v>
      </c>
      <c r="S167" s="22">
        <v>0.68951399999999996</v>
      </c>
      <c r="T167">
        <f t="shared" si="26"/>
        <v>18.161000000000001</v>
      </c>
      <c r="U167">
        <f t="shared" si="27"/>
        <v>12.542222693000001</v>
      </c>
      <c r="X167" s="9"/>
      <c r="Y167" s="22">
        <v>0.95947300000000002</v>
      </c>
      <c r="Z167" s="22">
        <v>104.34099999999999</v>
      </c>
      <c r="AA167" s="22">
        <v>-1.8289199999999999E-2</v>
      </c>
      <c r="AB167" s="22">
        <v>157</v>
      </c>
      <c r="AC167" s="22">
        <v>0.95764199999999999</v>
      </c>
      <c r="AD167">
        <f t="shared" si="28"/>
        <v>18.289199999999997</v>
      </c>
      <c r="AE167">
        <f t="shared" si="29"/>
        <v>17.547993591599997</v>
      </c>
      <c r="AF167" s="9"/>
      <c r="AG167" s="22">
        <v>0.69061300000000003</v>
      </c>
      <c r="AH167" s="22">
        <v>122.16200000000001</v>
      </c>
      <c r="AI167" s="22">
        <v>-1.8429600000000001E-2</v>
      </c>
      <c r="AJ167" s="22">
        <v>157</v>
      </c>
      <c r="AK167" s="22">
        <v>0.69039899999999998</v>
      </c>
      <c r="AL167">
        <f t="shared" si="30"/>
        <v>18.429600000000001</v>
      </c>
      <c r="AM167">
        <f t="shared" si="31"/>
        <v>12.727721344800001</v>
      </c>
      <c r="AP167" s="9"/>
      <c r="AQ167" s="22">
        <v>0.95947300000000002</v>
      </c>
      <c r="AR167" s="22">
        <v>156.43100000000001</v>
      </c>
      <c r="AS167" s="22">
        <v>4.6554600000000002E-2</v>
      </c>
      <c r="AT167" s="22">
        <v>157</v>
      </c>
      <c r="AU167" s="22">
        <v>0.38723800000000003</v>
      </c>
      <c r="AV167">
        <f t="shared" si="32"/>
        <v>-46.554600000000001</v>
      </c>
      <c r="AW167">
        <f t="shared" si="33"/>
        <v>-44.667881725800001</v>
      </c>
      <c r="AX167" s="9"/>
      <c r="AY167" s="22">
        <v>0.69061300000000003</v>
      </c>
      <c r="AZ167" s="22">
        <v>190.81800000000001</v>
      </c>
      <c r="BA167" s="22">
        <v>-1.7269900000000001E-2</v>
      </c>
      <c r="BB167" s="22">
        <v>157</v>
      </c>
      <c r="BC167" s="22">
        <v>0.696411</v>
      </c>
      <c r="BD167">
        <f t="shared" si="34"/>
        <v>17.2699</v>
      </c>
      <c r="BE167">
        <f t="shared" si="35"/>
        <v>11.9268174487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35.836100000000002</v>
      </c>
      <c r="I168" s="22">
        <v>4.6566799999999998E-2</v>
      </c>
      <c r="J168" s="22">
        <v>158</v>
      </c>
      <c r="K168" s="22">
        <v>0.36550899999999997</v>
      </c>
      <c r="L168">
        <f t="shared" si="24"/>
        <v>-46.566800000000001</v>
      </c>
      <c r="M168">
        <f t="shared" si="25"/>
        <v>-44.445076891600003</v>
      </c>
      <c r="N168" s="9"/>
      <c r="O168" s="22">
        <v>0.69564800000000004</v>
      </c>
      <c r="P168" s="22">
        <v>70.145200000000003</v>
      </c>
      <c r="Q168" s="22">
        <v>-1.8158000000000001E-2</v>
      </c>
      <c r="R168" s="22">
        <v>158</v>
      </c>
      <c r="S168" s="22">
        <v>0.69506800000000002</v>
      </c>
      <c r="T168">
        <f t="shared" si="26"/>
        <v>18.158000000000001</v>
      </c>
      <c r="U168">
        <f t="shared" si="27"/>
        <v>12.631576384000002</v>
      </c>
      <c r="X168" s="9"/>
      <c r="Y168" s="22">
        <v>0.95443699999999998</v>
      </c>
      <c r="Z168" s="22">
        <v>104.351</v>
      </c>
      <c r="AA168" s="22">
        <v>-1.8292200000000002E-2</v>
      </c>
      <c r="AB168" s="22">
        <v>158</v>
      </c>
      <c r="AC168" s="22">
        <v>0.95367400000000002</v>
      </c>
      <c r="AD168">
        <f t="shared" si="28"/>
        <v>18.292200000000001</v>
      </c>
      <c r="AE168">
        <f t="shared" si="29"/>
        <v>17.458752491400002</v>
      </c>
      <c r="AF168" s="9"/>
      <c r="AG168" s="22">
        <v>0.69564800000000004</v>
      </c>
      <c r="AH168" s="22">
        <v>122.172</v>
      </c>
      <c r="AI168" s="22">
        <v>-1.8429600000000001E-2</v>
      </c>
      <c r="AJ168" s="22">
        <v>158</v>
      </c>
      <c r="AK168" s="22">
        <v>0.69448900000000002</v>
      </c>
      <c r="AL168">
        <f t="shared" si="30"/>
        <v>18.429600000000001</v>
      </c>
      <c r="AM168">
        <f t="shared" si="31"/>
        <v>12.820514380800001</v>
      </c>
      <c r="AP168" s="9"/>
      <c r="AQ168" s="22">
        <v>0.95443699999999998</v>
      </c>
      <c r="AR168" s="22">
        <v>156.441</v>
      </c>
      <c r="AS168" s="22">
        <v>4.6542399999999998E-2</v>
      </c>
      <c r="AT168" s="22">
        <v>158</v>
      </c>
      <c r="AU168" s="22">
        <v>0.38205</v>
      </c>
      <c r="AV168">
        <f t="shared" si="32"/>
        <v>-46.542400000000001</v>
      </c>
      <c r="AW168">
        <f t="shared" si="33"/>
        <v>-44.421788628800002</v>
      </c>
      <c r="AX168" s="9"/>
      <c r="AY168" s="22">
        <v>0.69564800000000004</v>
      </c>
      <c r="AZ168" s="22">
        <v>190.82900000000001</v>
      </c>
      <c r="BA168" s="22">
        <v>-1.7169199999999999E-2</v>
      </c>
      <c r="BB168" s="22">
        <v>158</v>
      </c>
      <c r="BC168" s="22">
        <v>0.67297399999999996</v>
      </c>
      <c r="BD168">
        <f t="shared" si="34"/>
        <v>17.1692</v>
      </c>
      <c r="BE168">
        <f t="shared" si="35"/>
        <v>11.943719641600001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35.846200000000003</v>
      </c>
      <c r="I169" s="22">
        <v>4.6554600000000002E-2</v>
      </c>
      <c r="J169" s="22">
        <v>159</v>
      </c>
      <c r="K169" s="22">
        <v>0.36651600000000001</v>
      </c>
      <c r="L169">
        <f t="shared" si="24"/>
        <v>-46.554600000000001</v>
      </c>
      <c r="M169">
        <f t="shared" si="25"/>
        <v>-44.199030349200001</v>
      </c>
      <c r="N169" s="9"/>
      <c r="O169" s="22">
        <v>0.70068399999999997</v>
      </c>
      <c r="P169" s="22">
        <v>70.155299999999997</v>
      </c>
      <c r="Q169" s="22">
        <v>-1.8154900000000002E-2</v>
      </c>
      <c r="R169" s="22">
        <v>159</v>
      </c>
      <c r="S169" s="22">
        <v>0.69992100000000002</v>
      </c>
      <c r="T169">
        <f t="shared" si="26"/>
        <v>18.154900000000001</v>
      </c>
      <c r="U169">
        <f t="shared" si="27"/>
        <v>12.7208479516</v>
      </c>
      <c r="X169" s="9"/>
      <c r="Y169" s="22">
        <v>0.94940199999999997</v>
      </c>
      <c r="Z169" s="22">
        <v>104.361</v>
      </c>
      <c r="AA169" s="22">
        <v>-1.82953E-2</v>
      </c>
      <c r="AB169" s="22">
        <v>159</v>
      </c>
      <c r="AC169" s="22">
        <v>0.94787600000000005</v>
      </c>
      <c r="AD169">
        <f t="shared" si="28"/>
        <v>18.295300000000001</v>
      </c>
      <c r="AE169">
        <f t="shared" si="29"/>
        <v>17.369594410600001</v>
      </c>
      <c r="AF169" s="9"/>
      <c r="AG169" s="22">
        <v>0.70068399999999997</v>
      </c>
      <c r="AH169" s="22">
        <v>122.182</v>
      </c>
      <c r="AI169" s="22">
        <v>-1.8426499999999998E-2</v>
      </c>
      <c r="AJ169" s="22">
        <v>159</v>
      </c>
      <c r="AK169" s="22">
        <v>0.69998199999999999</v>
      </c>
      <c r="AL169">
        <f t="shared" si="30"/>
        <v>18.426499999999997</v>
      </c>
      <c r="AM169">
        <f t="shared" si="31"/>
        <v>12.911153725999998</v>
      </c>
      <c r="AP169" s="9"/>
      <c r="AQ169" s="22">
        <v>0.94940199999999997</v>
      </c>
      <c r="AR169" s="22">
        <v>156.45099999999999</v>
      </c>
      <c r="AS169" s="22">
        <v>4.6524000000000003E-2</v>
      </c>
      <c r="AT169" s="22">
        <v>159</v>
      </c>
      <c r="AU169" s="22">
        <v>0.38424700000000001</v>
      </c>
      <c r="AV169">
        <f t="shared" si="32"/>
        <v>-46.524000000000001</v>
      </c>
      <c r="AW169">
        <f t="shared" si="33"/>
        <v>-44.169978647999997</v>
      </c>
      <c r="AX169" s="9"/>
      <c r="AY169" s="22">
        <v>0.70068399999999997</v>
      </c>
      <c r="AZ169" s="22">
        <v>190.839</v>
      </c>
      <c r="BA169" s="22">
        <v>-1.7337000000000002E-2</v>
      </c>
      <c r="BB169" s="22">
        <v>159</v>
      </c>
      <c r="BC169" s="22">
        <v>0.70632899999999998</v>
      </c>
      <c r="BD169">
        <f t="shared" si="34"/>
        <v>17.337000000000003</v>
      </c>
      <c r="BE169">
        <f t="shared" si="35"/>
        <v>12.147758508000003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35.856200000000001</v>
      </c>
      <c r="I170" s="22">
        <v>4.65637E-2</v>
      </c>
      <c r="J170" s="22">
        <v>160</v>
      </c>
      <c r="K170" s="22">
        <v>0.36969000000000002</v>
      </c>
      <c r="L170">
        <f t="shared" si="24"/>
        <v>-46.563699999999997</v>
      </c>
      <c r="M170">
        <f t="shared" si="25"/>
        <v>-43.973175114199996</v>
      </c>
      <c r="N170" s="9"/>
      <c r="O170" s="22">
        <v>0.70571899999999999</v>
      </c>
      <c r="P170" s="22">
        <v>70.165400000000005</v>
      </c>
      <c r="Q170" s="22">
        <v>-1.8154900000000002E-2</v>
      </c>
      <c r="R170" s="22">
        <v>160</v>
      </c>
      <c r="S170" s="22">
        <v>0.70550500000000005</v>
      </c>
      <c r="T170">
        <f t="shared" si="26"/>
        <v>18.154900000000001</v>
      </c>
      <c r="U170">
        <f t="shared" si="27"/>
        <v>12.8122578731</v>
      </c>
      <c r="X170" s="9"/>
      <c r="Y170" s="22">
        <v>0.94436600000000004</v>
      </c>
      <c r="Z170" s="22">
        <v>104.372</v>
      </c>
      <c r="AA170" s="22">
        <v>-1.82983E-2</v>
      </c>
      <c r="AB170" s="22">
        <v>160</v>
      </c>
      <c r="AC170" s="22">
        <v>0.94329799999999997</v>
      </c>
      <c r="AD170">
        <f t="shared" si="28"/>
        <v>18.298300000000001</v>
      </c>
      <c r="AE170">
        <f t="shared" si="29"/>
        <v>17.280292377800002</v>
      </c>
      <c r="AF170" s="9"/>
      <c r="AG170" s="22">
        <v>0.70571899999999999</v>
      </c>
      <c r="AH170" s="22">
        <v>122.19199999999999</v>
      </c>
      <c r="AI170" s="22">
        <v>-1.8423499999999999E-2</v>
      </c>
      <c r="AJ170" s="22">
        <v>160</v>
      </c>
      <c r="AK170" s="22">
        <v>0.704681</v>
      </c>
      <c r="AL170">
        <f t="shared" si="30"/>
        <v>18.423500000000001</v>
      </c>
      <c r="AM170">
        <f t="shared" si="31"/>
        <v>13.001813996500001</v>
      </c>
      <c r="AP170" s="9"/>
      <c r="AQ170" s="22">
        <v>0.94436600000000004</v>
      </c>
      <c r="AR170" s="22">
        <v>156.46199999999999</v>
      </c>
      <c r="AS170" s="22">
        <v>4.6508800000000003E-2</v>
      </c>
      <c r="AT170" s="22">
        <v>160</v>
      </c>
      <c r="AU170" s="22">
        <v>0.38501000000000002</v>
      </c>
      <c r="AV170">
        <f t="shared" si="32"/>
        <v>-46.508800000000001</v>
      </c>
      <c r="AW170">
        <f t="shared" si="33"/>
        <v>-43.921329420799999</v>
      </c>
      <c r="AX170" s="9"/>
      <c r="AY170" s="22">
        <v>0.70571899999999999</v>
      </c>
      <c r="AZ170" s="22">
        <v>190.84899999999999</v>
      </c>
      <c r="BA170" s="22">
        <v>-1.69312E-2</v>
      </c>
      <c r="BB170" s="22">
        <v>160</v>
      </c>
      <c r="BC170" s="22">
        <v>0.70764199999999999</v>
      </c>
      <c r="BD170">
        <f t="shared" si="34"/>
        <v>16.9312</v>
      </c>
      <c r="BE170">
        <f t="shared" si="35"/>
        <v>11.9486695328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35.866300000000003</v>
      </c>
      <c r="I171" s="22">
        <v>4.6560699999999997E-2</v>
      </c>
      <c r="J171" s="22">
        <v>161</v>
      </c>
      <c r="K171" s="22">
        <v>0.37146000000000001</v>
      </c>
      <c r="L171">
        <f t="shared" si="24"/>
        <v>-46.560699999999997</v>
      </c>
      <c r="M171">
        <f t="shared" si="25"/>
        <v>-43.735908891699999</v>
      </c>
      <c r="N171" s="9"/>
      <c r="O171" s="22">
        <v>0.710754</v>
      </c>
      <c r="P171" s="22">
        <v>70.175399999999996</v>
      </c>
      <c r="Q171" s="22">
        <v>-1.8158000000000001E-2</v>
      </c>
      <c r="R171" s="22">
        <v>161</v>
      </c>
      <c r="S171" s="22">
        <v>0.71026599999999995</v>
      </c>
      <c r="T171">
        <f t="shared" si="26"/>
        <v>18.158000000000001</v>
      </c>
      <c r="U171">
        <f t="shared" si="27"/>
        <v>12.905871132000001</v>
      </c>
      <c r="X171" s="9"/>
      <c r="Y171" s="22">
        <v>0.93933100000000003</v>
      </c>
      <c r="Z171" s="22">
        <v>104.38200000000001</v>
      </c>
      <c r="AA171" s="22">
        <v>-1.82983E-2</v>
      </c>
      <c r="AB171" s="22">
        <v>161</v>
      </c>
      <c r="AC171" s="22">
        <v>0.937805</v>
      </c>
      <c r="AD171">
        <f t="shared" si="28"/>
        <v>18.298300000000001</v>
      </c>
      <c r="AE171">
        <f t="shared" si="29"/>
        <v>17.188160437300002</v>
      </c>
      <c r="AF171" s="9"/>
      <c r="AG171" s="22">
        <v>0.710754</v>
      </c>
      <c r="AH171" s="22">
        <v>122.202</v>
      </c>
      <c r="AI171" s="22">
        <v>-1.84204E-2</v>
      </c>
      <c r="AJ171" s="22">
        <v>161</v>
      </c>
      <c r="AK171" s="22">
        <v>0.71026599999999995</v>
      </c>
      <c r="AL171">
        <f t="shared" si="30"/>
        <v>18.420400000000001</v>
      </c>
      <c r="AM171">
        <f t="shared" si="31"/>
        <v>13.092372981600001</v>
      </c>
      <c r="AP171" s="9"/>
      <c r="AQ171" s="22">
        <v>0.93933100000000003</v>
      </c>
      <c r="AR171" s="22">
        <v>156.47200000000001</v>
      </c>
      <c r="AS171" s="22">
        <v>4.6469099999999999E-2</v>
      </c>
      <c r="AT171" s="22">
        <v>161</v>
      </c>
      <c r="AU171" s="22">
        <v>0.38473499999999999</v>
      </c>
      <c r="AV171">
        <f t="shared" si="32"/>
        <v>-46.469099999999997</v>
      </c>
      <c r="AW171">
        <f t="shared" si="33"/>
        <v>-43.649866172099998</v>
      </c>
      <c r="AX171" s="9"/>
      <c r="AY171" s="22">
        <v>0.710754</v>
      </c>
      <c r="AZ171" s="22">
        <v>190.85900000000001</v>
      </c>
      <c r="BA171" s="22">
        <v>-1.7129499999999999E-2</v>
      </c>
      <c r="BB171" s="22">
        <v>161</v>
      </c>
      <c r="BC171" s="22">
        <v>0.70361300000000004</v>
      </c>
      <c r="BD171">
        <f t="shared" si="34"/>
        <v>17.1295</v>
      </c>
      <c r="BE171">
        <f t="shared" si="35"/>
        <v>12.174860643000001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35.876399999999997</v>
      </c>
      <c r="I172" s="22">
        <v>4.6560699999999997E-2</v>
      </c>
      <c r="J172" s="22">
        <v>162</v>
      </c>
      <c r="K172" s="22">
        <v>0.36584499999999998</v>
      </c>
      <c r="L172">
        <f t="shared" si="24"/>
        <v>-46.560699999999997</v>
      </c>
      <c r="M172">
        <f t="shared" si="25"/>
        <v>-43.501475767199999</v>
      </c>
      <c r="N172" s="9"/>
      <c r="O172" s="22">
        <v>0.71579000000000004</v>
      </c>
      <c r="P172" s="22">
        <v>70.185500000000005</v>
      </c>
      <c r="Q172" s="22">
        <v>-1.8161E-2</v>
      </c>
      <c r="R172" s="22">
        <v>162</v>
      </c>
      <c r="S172" s="22">
        <v>0.71523999999999999</v>
      </c>
      <c r="T172">
        <f t="shared" si="26"/>
        <v>18.161000000000001</v>
      </c>
      <c r="U172">
        <f t="shared" si="27"/>
        <v>12.999462190000001</v>
      </c>
      <c r="X172" s="9"/>
      <c r="Y172" s="22">
        <v>0.93429600000000002</v>
      </c>
      <c r="Z172" s="22">
        <v>104.392</v>
      </c>
      <c r="AA172" s="22">
        <v>-1.8301399999999999E-2</v>
      </c>
      <c r="AB172" s="22">
        <v>162</v>
      </c>
      <c r="AC172" s="22">
        <v>0.93353299999999995</v>
      </c>
      <c r="AD172">
        <f t="shared" si="28"/>
        <v>18.301399999999997</v>
      </c>
      <c r="AE172">
        <f t="shared" si="29"/>
        <v>17.098924814399997</v>
      </c>
      <c r="AF172" s="9"/>
      <c r="AG172" s="22">
        <v>0.71579000000000004</v>
      </c>
      <c r="AH172" s="22">
        <v>122.21299999999999</v>
      </c>
      <c r="AI172" s="22">
        <v>-1.84174E-2</v>
      </c>
      <c r="AJ172" s="22">
        <v>162</v>
      </c>
      <c r="AK172" s="22">
        <v>0.71523999999999999</v>
      </c>
      <c r="AL172">
        <f t="shared" si="30"/>
        <v>18.417400000000001</v>
      </c>
      <c r="AM172">
        <f t="shared" si="31"/>
        <v>13.182990746000002</v>
      </c>
      <c r="AP172" s="9"/>
      <c r="AQ172" s="22">
        <v>0.93429600000000002</v>
      </c>
      <c r="AR172" s="22">
        <v>156.482</v>
      </c>
      <c r="AS172" s="22">
        <v>4.63562E-2</v>
      </c>
      <c r="AT172" s="22">
        <v>162</v>
      </c>
      <c r="AU172" s="22">
        <v>0.38427699999999998</v>
      </c>
      <c r="AV172">
        <f t="shared" si="32"/>
        <v>-46.356200000000001</v>
      </c>
      <c r="AW172">
        <f t="shared" si="33"/>
        <v>-43.310412235200005</v>
      </c>
      <c r="AX172" s="9"/>
      <c r="AY172" s="22">
        <v>0.71579000000000004</v>
      </c>
      <c r="AZ172" s="22">
        <v>190.869</v>
      </c>
      <c r="BA172" s="22">
        <v>-1.72485E-2</v>
      </c>
      <c r="BB172" s="22">
        <v>162</v>
      </c>
      <c r="BC172" s="22">
        <v>0.72100799999999998</v>
      </c>
      <c r="BD172">
        <f t="shared" si="34"/>
        <v>17.2485</v>
      </c>
      <c r="BE172">
        <f t="shared" si="35"/>
        <v>12.346303815000001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35.886400000000002</v>
      </c>
      <c r="I173" s="22">
        <v>4.6560699999999997E-2</v>
      </c>
      <c r="J173" s="22">
        <v>163</v>
      </c>
      <c r="K173" s="22">
        <v>0.35555999999999999</v>
      </c>
      <c r="L173">
        <f t="shared" si="24"/>
        <v>-46.560699999999997</v>
      </c>
      <c r="M173">
        <f t="shared" si="25"/>
        <v>-43.266996081999999</v>
      </c>
      <c r="N173" s="9"/>
      <c r="O173" s="22">
        <v>0.72082500000000005</v>
      </c>
      <c r="P173" s="22">
        <v>70.195599999999999</v>
      </c>
      <c r="Q173" s="22">
        <v>-1.8151899999999999E-2</v>
      </c>
      <c r="R173" s="22">
        <v>163</v>
      </c>
      <c r="S173" s="22">
        <v>0.71978799999999998</v>
      </c>
      <c r="T173">
        <f t="shared" si="26"/>
        <v>18.151899999999998</v>
      </c>
      <c r="U173">
        <f t="shared" si="27"/>
        <v>13.084343317499998</v>
      </c>
      <c r="X173" s="9"/>
      <c r="Y173" s="22">
        <v>0.92925999999999997</v>
      </c>
      <c r="Z173" s="22">
        <v>104.402</v>
      </c>
      <c r="AA173" s="22">
        <v>-1.8304399999999998E-2</v>
      </c>
      <c r="AB173" s="22">
        <v>163</v>
      </c>
      <c r="AC173" s="22">
        <v>0.92895499999999998</v>
      </c>
      <c r="AD173">
        <f t="shared" si="28"/>
        <v>18.304399999999998</v>
      </c>
      <c r="AE173">
        <f t="shared" si="29"/>
        <v>17.009546743999998</v>
      </c>
      <c r="AF173" s="9"/>
      <c r="AG173" s="22">
        <v>0.72082500000000005</v>
      </c>
      <c r="AH173" s="22">
        <v>122.223</v>
      </c>
      <c r="AI173" s="22">
        <v>-1.8414300000000002E-2</v>
      </c>
      <c r="AJ173" s="22">
        <v>163</v>
      </c>
      <c r="AK173" s="22">
        <v>0.72021500000000005</v>
      </c>
      <c r="AL173">
        <f t="shared" si="30"/>
        <v>18.414300000000001</v>
      </c>
      <c r="AM173">
        <f t="shared" si="31"/>
        <v>13.273487797500001</v>
      </c>
      <c r="AP173" s="9"/>
      <c r="AQ173" s="22">
        <v>0.92925999999999997</v>
      </c>
      <c r="AR173" s="22">
        <v>156.49199999999999</v>
      </c>
      <c r="AS173" s="22">
        <v>4.6380600000000001E-2</v>
      </c>
      <c r="AT173" s="22">
        <v>163</v>
      </c>
      <c r="AU173" s="22">
        <v>0.38394200000000001</v>
      </c>
      <c r="AV173">
        <f t="shared" si="32"/>
        <v>-46.380600000000001</v>
      </c>
      <c r="AW173">
        <f t="shared" si="33"/>
        <v>-43.099636355999998</v>
      </c>
      <c r="AX173" s="9"/>
      <c r="AY173" s="22">
        <v>0.72082500000000005</v>
      </c>
      <c r="AZ173" s="22">
        <v>190.87899999999999</v>
      </c>
      <c r="BA173" s="22">
        <v>-1.67023E-2</v>
      </c>
      <c r="BB173" s="22">
        <v>163</v>
      </c>
      <c r="BC173" s="22">
        <v>0.72778299999999996</v>
      </c>
      <c r="BD173">
        <f t="shared" si="34"/>
        <v>16.702300000000001</v>
      </c>
      <c r="BE173">
        <f t="shared" si="35"/>
        <v>12.039435397500002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35.896500000000003</v>
      </c>
      <c r="I174" s="22">
        <v>4.6554600000000002E-2</v>
      </c>
      <c r="J174" s="22">
        <v>164</v>
      </c>
      <c r="K174" s="22">
        <v>0.36511199999999999</v>
      </c>
      <c r="L174">
        <f t="shared" si="24"/>
        <v>-46.554600000000001</v>
      </c>
      <c r="M174">
        <f t="shared" si="25"/>
        <v>-43.026925184999996</v>
      </c>
      <c r="N174" s="9"/>
      <c r="O174" s="22">
        <v>0.72586099999999998</v>
      </c>
      <c r="P174" s="22">
        <v>70.205699999999993</v>
      </c>
      <c r="Q174" s="22">
        <v>-1.8142700000000001E-2</v>
      </c>
      <c r="R174" s="22">
        <v>164</v>
      </c>
      <c r="S174" s="22">
        <v>0.72479199999999999</v>
      </c>
      <c r="T174">
        <f t="shared" si="26"/>
        <v>18.142700000000001</v>
      </c>
      <c r="U174">
        <f t="shared" si="27"/>
        <v>13.169078364700001</v>
      </c>
      <c r="X174" s="9"/>
      <c r="Y174" s="22">
        <v>0.92422499999999996</v>
      </c>
      <c r="Z174" s="22">
        <v>104.41200000000001</v>
      </c>
      <c r="AA174" s="22">
        <v>-1.8307500000000001E-2</v>
      </c>
      <c r="AB174" s="22">
        <v>164</v>
      </c>
      <c r="AC174" s="22">
        <v>0.92285200000000001</v>
      </c>
      <c r="AD174">
        <f t="shared" si="28"/>
        <v>18.307500000000001</v>
      </c>
      <c r="AE174">
        <f t="shared" si="29"/>
        <v>16.920249187500001</v>
      </c>
      <c r="AF174" s="9"/>
      <c r="AG174" s="22">
        <v>0.72586099999999998</v>
      </c>
      <c r="AH174" s="22">
        <v>122.233</v>
      </c>
      <c r="AI174" s="22">
        <v>-1.8414300000000002E-2</v>
      </c>
      <c r="AJ174" s="22">
        <v>164</v>
      </c>
      <c r="AK174" s="22">
        <v>0.725769</v>
      </c>
      <c r="AL174">
        <f t="shared" si="30"/>
        <v>18.414300000000001</v>
      </c>
      <c r="AM174">
        <f t="shared" si="31"/>
        <v>13.3662222123</v>
      </c>
      <c r="AP174" s="9"/>
      <c r="AQ174" s="22">
        <v>0.92422499999999996</v>
      </c>
      <c r="AR174" s="22">
        <v>156.50200000000001</v>
      </c>
      <c r="AS174" s="22">
        <v>4.6514899999999998E-2</v>
      </c>
      <c r="AT174" s="22">
        <v>164</v>
      </c>
      <c r="AU174" s="22">
        <v>0.38336199999999998</v>
      </c>
      <c r="AV174">
        <f t="shared" si="32"/>
        <v>-46.514899999999997</v>
      </c>
      <c r="AW174">
        <f t="shared" si="33"/>
        <v>-42.990233452499993</v>
      </c>
      <c r="AX174" s="9"/>
      <c r="AY174" s="22">
        <v>0.72586099999999998</v>
      </c>
      <c r="AZ174" s="22">
        <v>190.88900000000001</v>
      </c>
      <c r="BA174" s="22">
        <v>-1.7263799999999999E-2</v>
      </c>
      <c r="BB174" s="22">
        <v>164</v>
      </c>
      <c r="BC174" s="22">
        <v>0.72677599999999998</v>
      </c>
      <c r="BD174">
        <f t="shared" si="34"/>
        <v>17.2638</v>
      </c>
      <c r="BE174">
        <f t="shared" si="35"/>
        <v>12.531119131799999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35.906599999999997</v>
      </c>
      <c r="I175" s="22">
        <v>4.6554600000000002E-2</v>
      </c>
      <c r="J175" s="22">
        <v>165</v>
      </c>
      <c r="K175" s="22">
        <v>0.36309799999999998</v>
      </c>
      <c r="L175">
        <f t="shared" si="24"/>
        <v>-46.554600000000001</v>
      </c>
      <c r="M175">
        <f t="shared" si="25"/>
        <v>-42.792476219400001</v>
      </c>
      <c r="N175" s="9"/>
      <c r="O175" s="22">
        <v>0.73089599999999999</v>
      </c>
      <c r="P175" s="22">
        <v>70.215699999999998</v>
      </c>
      <c r="Q175" s="22">
        <v>-1.8136599999999999E-2</v>
      </c>
      <c r="R175" s="22">
        <v>165</v>
      </c>
      <c r="S175" s="22">
        <v>0.72997999999999996</v>
      </c>
      <c r="T175">
        <f t="shared" si="26"/>
        <v>18.136599999999998</v>
      </c>
      <c r="U175">
        <f t="shared" si="27"/>
        <v>13.255968393599998</v>
      </c>
      <c r="X175" s="9"/>
      <c r="Y175" s="22">
        <v>0.91918900000000003</v>
      </c>
      <c r="Z175" s="22">
        <v>104.422</v>
      </c>
      <c r="AA175" s="22">
        <v>-1.83105E-2</v>
      </c>
      <c r="AB175" s="22">
        <v>165</v>
      </c>
      <c r="AC175" s="22">
        <v>0.91827400000000003</v>
      </c>
      <c r="AD175">
        <f t="shared" si="28"/>
        <v>18.310500000000001</v>
      </c>
      <c r="AE175">
        <f t="shared" si="29"/>
        <v>16.830810184500002</v>
      </c>
      <c r="AF175" s="9"/>
      <c r="AG175" s="22">
        <v>0.73089599999999999</v>
      </c>
      <c r="AH175" s="22">
        <v>122.24299999999999</v>
      </c>
      <c r="AI175" s="22">
        <v>-1.8411299999999999E-2</v>
      </c>
      <c r="AJ175" s="22">
        <v>165</v>
      </c>
      <c r="AK175" s="22">
        <v>0.73025499999999999</v>
      </c>
      <c r="AL175">
        <f t="shared" si="30"/>
        <v>18.411299999999997</v>
      </c>
      <c r="AM175">
        <f t="shared" si="31"/>
        <v>13.456745524799997</v>
      </c>
      <c r="AP175" s="9"/>
      <c r="AQ175" s="22">
        <v>0.91918900000000003</v>
      </c>
      <c r="AR175" s="22">
        <v>156.512</v>
      </c>
      <c r="AS175" s="22">
        <v>4.6527100000000002E-2</v>
      </c>
      <c r="AT175" s="22">
        <v>165</v>
      </c>
      <c r="AU175" s="22">
        <v>0.38314799999999999</v>
      </c>
      <c r="AV175">
        <f t="shared" si="32"/>
        <v>-46.527100000000004</v>
      </c>
      <c r="AW175">
        <f t="shared" si="33"/>
        <v>-42.767198521900006</v>
      </c>
      <c r="AX175" s="9"/>
      <c r="AY175" s="22">
        <v>0.73089599999999999</v>
      </c>
      <c r="AZ175" s="22">
        <v>190.899</v>
      </c>
      <c r="BA175" s="22">
        <v>-1.6616800000000001E-2</v>
      </c>
      <c r="BB175" s="22">
        <v>165</v>
      </c>
      <c r="BC175" s="22">
        <v>0.73333700000000002</v>
      </c>
      <c r="BD175">
        <f t="shared" si="34"/>
        <v>16.616800000000001</v>
      </c>
      <c r="BE175">
        <f t="shared" si="35"/>
        <v>12.1451526528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35.916600000000003</v>
      </c>
      <c r="I176" s="22">
        <v>4.6551500000000003E-2</v>
      </c>
      <c r="J176" s="22">
        <v>166</v>
      </c>
      <c r="K176" s="22">
        <v>0.36792000000000002</v>
      </c>
      <c r="L176">
        <f t="shared" si="24"/>
        <v>-46.551500000000004</v>
      </c>
      <c r="M176">
        <f t="shared" si="25"/>
        <v>-42.555239931000003</v>
      </c>
      <c r="N176" s="9"/>
      <c r="O176" s="22">
        <v>0.735931</v>
      </c>
      <c r="P176" s="22">
        <v>70.225800000000007</v>
      </c>
      <c r="Q176" s="22">
        <v>-1.8136599999999999E-2</v>
      </c>
      <c r="R176" s="22">
        <v>166</v>
      </c>
      <c r="S176" s="22">
        <v>0.73574799999999996</v>
      </c>
      <c r="T176">
        <f t="shared" si="26"/>
        <v>18.136599999999998</v>
      </c>
      <c r="U176">
        <f t="shared" si="27"/>
        <v>13.347286174599999</v>
      </c>
      <c r="X176" s="9"/>
      <c r="Y176" s="22">
        <v>0.91415400000000002</v>
      </c>
      <c r="Z176" s="22">
        <v>104.432</v>
      </c>
      <c r="AA176" s="22">
        <v>-1.8313599999999999E-2</v>
      </c>
      <c r="AB176" s="22">
        <v>166</v>
      </c>
      <c r="AC176" s="22">
        <v>0.91339099999999995</v>
      </c>
      <c r="AD176">
        <f t="shared" si="28"/>
        <v>18.313600000000001</v>
      </c>
      <c r="AE176">
        <f t="shared" si="29"/>
        <v>16.741450694400001</v>
      </c>
      <c r="AF176" s="9"/>
      <c r="AG176" s="22">
        <v>0.735931</v>
      </c>
      <c r="AH176" s="22">
        <v>122.253</v>
      </c>
      <c r="AI176" s="22">
        <v>-1.84082E-2</v>
      </c>
      <c r="AJ176" s="22">
        <v>166</v>
      </c>
      <c r="AK176" s="22">
        <v>0.734985</v>
      </c>
      <c r="AL176">
        <f t="shared" si="30"/>
        <v>18.408200000000001</v>
      </c>
      <c r="AM176">
        <f t="shared" si="31"/>
        <v>13.547165034200001</v>
      </c>
      <c r="AP176" s="9"/>
      <c r="AQ176" s="22">
        <v>0.91415400000000002</v>
      </c>
      <c r="AR176" s="22">
        <v>156.52199999999999</v>
      </c>
      <c r="AS176" s="22">
        <v>4.6517900000000001E-2</v>
      </c>
      <c r="AT176" s="22">
        <v>166</v>
      </c>
      <c r="AU176" s="22">
        <v>0.387268</v>
      </c>
      <c r="AV176">
        <f t="shared" si="32"/>
        <v>-46.517899999999997</v>
      </c>
      <c r="AW176">
        <f t="shared" si="33"/>
        <v>-42.524524356599997</v>
      </c>
      <c r="AX176" s="9"/>
      <c r="AY176" s="22">
        <v>0.735931</v>
      </c>
      <c r="AZ176" s="22">
        <v>190.90899999999999</v>
      </c>
      <c r="BA176" s="22">
        <v>-1.6680899999999999E-2</v>
      </c>
      <c r="BB176" s="22">
        <v>166</v>
      </c>
      <c r="BC176" s="22">
        <v>0.73721300000000001</v>
      </c>
      <c r="BD176">
        <f t="shared" si="34"/>
        <v>16.680899999999998</v>
      </c>
      <c r="BE176">
        <f t="shared" si="35"/>
        <v>12.275991417899998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35.926699999999997</v>
      </c>
      <c r="I177" s="22">
        <v>4.6542399999999998E-2</v>
      </c>
      <c r="J177" s="22">
        <v>167</v>
      </c>
      <c r="K177" s="22">
        <v>0.36120600000000003</v>
      </c>
      <c r="L177">
        <f t="shared" si="24"/>
        <v>-46.542400000000001</v>
      </c>
      <c r="M177">
        <f t="shared" si="25"/>
        <v>-42.312580145600002</v>
      </c>
      <c r="N177" s="9"/>
      <c r="O177" s="22">
        <v>0.74096700000000004</v>
      </c>
      <c r="P177" s="22">
        <v>70.235900000000001</v>
      </c>
      <c r="Q177" s="22">
        <v>-1.8130500000000001E-2</v>
      </c>
      <c r="R177" s="22">
        <v>167</v>
      </c>
      <c r="S177" s="22">
        <v>0.73965499999999995</v>
      </c>
      <c r="T177">
        <f t="shared" si="26"/>
        <v>18.130500000000001</v>
      </c>
      <c r="U177">
        <f t="shared" si="27"/>
        <v>13.434102193500001</v>
      </c>
      <c r="X177" s="9"/>
      <c r="Y177" s="22">
        <v>0.90911900000000001</v>
      </c>
      <c r="Z177" s="22">
        <v>104.44199999999999</v>
      </c>
      <c r="AA177" s="22">
        <v>-1.8313599999999999E-2</v>
      </c>
      <c r="AB177" s="22">
        <v>167</v>
      </c>
      <c r="AC177" s="22">
        <v>0.90820299999999998</v>
      </c>
      <c r="AD177">
        <f t="shared" si="28"/>
        <v>18.313600000000001</v>
      </c>
      <c r="AE177">
        <f t="shared" si="29"/>
        <v>16.649241718400003</v>
      </c>
      <c r="AF177" s="9"/>
      <c r="AG177" s="22">
        <v>0.74096700000000004</v>
      </c>
      <c r="AH177" s="22">
        <v>122.26300000000001</v>
      </c>
      <c r="AI177" s="22">
        <v>-1.84082E-2</v>
      </c>
      <c r="AJ177" s="22">
        <v>167</v>
      </c>
      <c r="AK177" s="22">
        <v>0.740479</v>
      </c>
      <c r="AL177">
        <f t="shared" si="30"/>
        <v>18.408200000000001</v>
      </c>
      <c r="AM177">
        <f t="shared" si="31"/>
        <v>13.639868729400002</v>
      </c>
      <c r="AP177" s="9"/>
      <c r="AQ177" s="22">
        <v>0.90911900000000001</v>
      </c>
      <c r="AR177" s="22">
        <v>156.53200000000001</v>
      </c>
      <c r="AS177" s="22">
        <v>4.6508800000000003E-2</v>
      </c>
      <c r="AT177" s="22">
        <v>167</v>
      </c>
      <c r="AU177" s="22">
        <v>0.379608</v>
      </c>
      <c r="AV177">
        <f t="shared" si="32"/>
        <v>-46.508800000000001</v>
      </c>
      <c r="AW177">
        <f t="shared" si="33"/>
        <v>-42.282033747200003</v>
      </c>
      <c r="AX177" s="9"/>
      <c r="AY177" s="22">
        <v>0.74096700000000004</v>
      </c>
      <c r="AZ177" s="22">
        <v>190.91900000000001</v>
      </c>
      <c r="BA177" s="22">
        <v>-1.6296399999999999E-2</v>
      </c>
      <c r="BB177" s="22">
        <v>167</v>
      </c>
      <c r="BC177" s="22">
        <v>0.74887099999999995</v>
      </c>
      <c r="BD177">
        <f t="shared" si="34"/>
        <v>16.296399999999998</v>
      </c>
      <c r="BE177">
        <f t="shared" si="35"/>
        <v>12.0750946188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35.936799999999998</v>
      </c>
      <c r="I178" s="22">
        <v>4.6545400000000001E-2</v>
      </c>
      <c r="J178" s="22">
        <v>168</v>
      </c>
      <c r="K178" s="22">
        <v>0.36257899999999998</v>
      </c>
      <c r="L178">
        <f t="shared" si="24"/>
        <v>-46.545400000000001</v>
      </c>
      <c r="M178">
        <f t="shared" si="25"/>
        <v>-42.080904868200001</v>
      </c>
      <c r="N178" s="9"/>
      <c r="O178" s="22">
        <v>0.74600200000000005</v>
      </c>
      <c r="P178" s="22">
        <v>70.245900000000006</v>
      </c>
      <c r="Q178" s="22">
        <v>-1.8127399999999998E-2</v>
      </c>
      <c r="R178" s="22">
        <v>168</v>
      </c>
      <c r="S178" s="22">
        <v>0.74572799999999995</v>
      </c>
      <c r="T178">
        <f t="shared" si="26"/>
        <v>18.127399999999998</v>
      </c>
      <c r="U178">
        <f t="shared" si="27"/>
        <v>13.523076654799999</v>
      </c>
      <c r="X178" s="9"/>
      <c r="Y178" s="22">
        <v>0.90408299999999997</v>
      </c>
      <c r="Z178" s="22">
        <v>104.452</v>
      </c>
      <c r="AA178" s="22">
        <v>-1.8316700000000002E-2</v>
      </c>
      <c r="AB178" s="22">
        <v>168</v>
      </c>
      <c r="AC178" s="22">
        <v>0.90362500000000001</v>
      </c>
      <c r="AD178">
        <f t="shared" si="28"/>
        <v>18.316700000000001</v>
      </c>
      <c r="AE178">
        <f t="shared" si="29"/>
        <v>16.559817086100001</v>
      </c>
      <c r="AF178" s="9"/>
      <c r="AG178" s="22">
        <v>0.74600200000000005</v>
      </c>
      <c r="AH178" s="22">
        <v>122.273</v>
      </c>
      <c r="AI178" s="22">
        <v>-1.84052E-2</v>
      </c>
      <c r="AJ178" s="22">
        <v>168</v>
      </c>
      <c r="AK178" s="22">
        <v>0.74533099999999997</v>
      </c>
      <c r="AL178">
        <f t="shared" si="30"/>
        <v>18.405200000000001</v>
      </c>
      <c r="AM178">
        <f t="shared" si="31"/>
        <v>13.730316010400001</v>
      </c>
      <c r="AP178" s="9"/>
      <c r="AQ178" s="22">
        <v>0.90408299999999997</v>
      </c>
      <c r="AR178" s="22">
        <v>156.542</v>
      </c>
      <c r="AS178" s="22">
        <v>4.6017500000000003E-2</v>
      </c>
      <c r="AT178" s="22">
        <v>168</v>
      </c>
      <c r="AU178" s="22">
        <v>0.37539699999999998</v>
      </c>
      <c r="AV178">
        <f t="shared" si="32"/>
        <v>-46.017500000000005</v>
      </c>
      <c r="AW178">
        <f t="shared" si="33"/>
        <v>-41.603639452500005</v>
      </c>
      <c r="AX178" s="9"/>
      <c r="AY178" s="22">
        <v>0.74600200000000005</v>
      </c>
      <c r="AZ178" s="22">
        <v>190.929</v>
      </c>
      <c r="BA178" s="22">
        <v>-1.5152000000000001E-2</v>
      </c>
      <c r="BB178" s="22">
        <v>168</v>
      </c>
      <c r="BC178" s="22">
        <v>0.74569700000000005</v>
      </c>
      <c r="BD178">
        <f t="shared" si="34"/>
        <v>15.152000000000001</v>
      </c>
      <c r="BE178">
        <f t="shared" si="35"/>
        <v>11.303422304000001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35.946899999999999</v>
      </c>
      <c r="I179" s="22">
        <v>4.6545400000000001E-2</v>
      </c>
      <c r="J179" s="22">
        <v>169</v>
      </c>
      <c r="K179" s="22">
        <v>0.36343399999999998</v>
      </c>
      <c r="L179">
        <f t="shared" si="24"/>
        <v>-46.545400000000001</v>
      </c>
      <c r="M179">
        <f t="shared" si="25"/>
        <v>-41.846548779199999</v>
      </c>
      <c r="N179" s="9"/>
      <c r="O179" s="22">
        <v>0.75103799999999998</v>
      </c>
      <c r="P179" s="22">
        <v>70.256</v>
      </c>
      <c r="Q179" s="22">
        <v>-1.81213E-2</v>
      </c>
      <c r="R179" s="22">
        <v>169</v>
      </c>
      <c r="S179" s="22">
        <v>0.75097700000000001</v>
      </c>
      <c r="T179">
        <f t="shared" si="26"/>
        <v>18.121300000000002</v>
      </c>
      <c r="U179">
        <f t="shared" si="27"/>
        <v>13.6097849094</v>
      </c>
      <c r="X179" s="9"/>
      <c r="Y179" s="22">
        <v>0.89904799999999996</v>
      </c>
      <c r="Z179" s="22">
        <v>104.462</v>
      </c>
      <c r="AA179" s="22">
        <v>-1.83228E-2</v>
      </c>
      <c r="AB179" s="22">
        <v>169</v>
      </c>
      <c r="AC179" s="22">
        <v>0.89813200000000004</v>
      </c>
      <c r="AD179">
        <f t="shared" si="28"/>
        <v>18.322800000000001</v>
      </c>
      <c r="AE179">
        <f t="shared" si="29"/>
        <v>16.4730766944</v>
      </c>
      <c r="AF179" s="9"/>
      <c r="AG179" s="22">
        <v>0.75103799999999998</v>
      </c>
      <c r="AH179" s="22">
        <v>122.283</v>
      </c>
      <c r="AI179" s="22">
        <v>-1.8402100000000001E-2</v>
      </c>
      <c r="AJ179" s="22">
        <v>169</v>
      </c>
      <c r="AK179" s="22">
        <v>0.75027500000000003</v>
      </c>
      <c r="AL179">
        <f t="shared" si="30"/>
        <v>18.402100000000001</v>
      </c>
      <c r="AM179">
        <f t="shared" si="31"/>
        <v>13.8206763798</v>
      </c>
      <c r="AP179" s="9"/>
      <c r="AQ179" s="22">
        <v>0.89904799999999996</v>
      </c>
      <c r="AR179" s="22">
        <v>156.55199999999999</v>
      </c>
      <c r="AS179" s="22">
        <v>4.59076E-2</v>
      </c>
      <c r="AT179" s="22">
        <v>169</v>
      </c>
      <c r="AU179" s="22">
        <v>0.37792999999999999</v>
      </c>
      <c r="AV179">
        <f t="shared" si="32"/>
        <v>-45.907600000000002</v>
      </c>
      <c r="AW179">
        <f t="shared" si="33"/>
        <v>-41.273135964799998</v>
      </c>
      <c r="AX179" s="9"/>
      <c r="AY179" s="22">
        <v>0.75103799999999998</v>
      </c>
      <c r="AZ179" s="22">
        <v>190.93899999999999</v>
      </c>
      <c r="BA179" s="22">
        <v>-1.53198E-2</v>
      </c>
      <c r="BB179" s="22">
        <v>169</v>
      </c>
      <c r="BC179" s="22">
        <v>0.744537</v>
      </c>
      <c r="BD179">
        <f t="shared" si="34"/>
        <v>15.319799999999999</v>
      </c>
      <c r="BE179">
        <f t="shared" si="35"/>
        <v>11.505751952399999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35.956899999999997</v>
      </c>
      <c r="I180" s="22">
        <v>4.6542399999999998E-2</v>
      </c>
      <c r="J180" s="22">
        <v>170</v>
      </c>
      <c r="K180" s="22">
        <v>0.35592699999999999</v>
      </c>
      <c r="L180">
        <f t="shared" si="24"/>
        <v>-46.542400000000001</v>
      </c>
      <c r="M180">
        <f t="shared" si="25"/>
        <v>-41.609464108800005</v>
      </c>
      <c r="N180" s="9"/>
      <c r="O180" s="22">
        <v>0.756073</v>
      </c>
      <c r="P180" s="22">
        <v>70.266099999999994</v>
      </c>
      <c r="Q180" s="22">
        <v>-1.8115200000000001E-2</v>
      </c>
      <c r="R180" s="22">
        <v>170</v>
      </c>
      <c r="S180" s="22">
        <v>0.75561500000000004</v>
      </c>
      <c r="T180">
        <f t="shared" si="26"/>
        <v>18.115200000000002</v>
      </c>
      <c r="U180">
        <f t="shared" si="27"/>
        <v>13.6964136096</v>
      </c>
      <c r="X180" s="9"/>
      <c r="Y180" s="22">
        <v>0.89401200000000003</v>
      </c>
      <c r="Z180" s="22">
        <v>104.47199999999999</v>
      </c>
      <c r="AA180" s="22">
        <v>-1.83258E-2</v>
      </c>
      <c r="AB180" s="22">
        <v>170</v>
      </c>
      <c r="AC180" s="22">
        <v>0.89202899999999996</v>
      </c>
      <c r="AD180">
        <f t="shared" si="28"/>
        <v>18.325800000000001</v>
      </c>
      <c r="AE180">
        <f t="shared" si="29"/>
        <v>16.383485109600002</v>
      </c>
      <c r="AF180" s="9"/>
      <c r="AG180" s="22">
        <v>0.756073</v>
      </c>
      <c r="AH180" s="22">
        <v>122.29300000000001</v>
      </c>
      <c r="AI180" s="22">
        <v>-1.8398999999999999E-2</v>
      </c>
      <c r="AJ180" s="22">
        <v>170</v>
      </c>
      <c r="AK180" s="22">
        <v>0.75500500000000004</v>
      </c>
      <c r="AL180">
        <f t="shared" si="30"/>
        <v>18.398999999999997</v>
      </c>
      <c r="AM180">
        <f t="shared" si="31"/>
        <v>13.910987126999999</v>
      </c>
      <c r="AP180" s="9"/>
      <c r="AQ180" s="22">
        <v>0.89401200000000003</v>
      </c>
      <c r="AR180" s="22">
        <v>156.56200000000001</v>
      </c>
      <c r="AS180" s="22">
        <v>4.6496599999999999E-2</v>
      </c>
      <c r="AT180" s="22">
        <v>170</v>
      </c>
      <c r="AU180" s="22">
        <v>0.37335200000000002</v>
      </c>
      <c r="AV180">
        <f t="shared" si="32"/>
        <v>-46.496600000000001</v>
      </c>
      <c r="AW180">
        <f t="shared" si="33"/>
        <v>-41.568518359199999</v>
      </c>
      <c r="AX180" s="9"/>
      <c r="AY180" s="22">
        <v>0.756073</v>
      </c>
      <c r="AZ180" s="22">
        <v>190.94900000000001</v>
      </c>
      <c r="BA180" s="22">
        <v>-1.24939E-2</v>
      </c>
      <c r="BB180" s="22">
        <v>170</v>
      </c>
      <c r="BC180" s="22">
        <v>0.75103799999999998</v>
      </c>
      <c r="BD180">
        <f t="shared" si="34"/>
        <v>12.4939</v>
      </c>
      <c r="BE180">
        <f t="shared" si="35"/>
        <v>9.4463004546999993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35.966999999999999</v>
      </c>
      <c r="I181" s="22">
        <v>4.6536300000000003E-2</v>
      </c>
      <c r="J181" s="22">
        <v>171</v>
      </c>
      <c r="K181" s="22">
        <v>0.36010700000000001</v>
      </c>
      <c r="L181">
        <f t="shared" si="24"/>
        <v>-46.536300000000004</v>
      </c>
      <c r="M181">
        <f t="shared" si="25"/>
        <v>-41.369700365100002</v>
      </c>
      <c r="N181" s="9"/>
      <c r="O181" s="22">
        <v>0.76110800000000001</v>
      </c>
      <c r="P181" s="22">
        <v>70.276200000000003</v>
      </c>
      <c r="Q181" s="22">
        <v>-1.81091E-2</v>
      </c>
      <c r="R181" s="22">
        <v>171</v>
      </c>
      <c r="S181" s="22">
        <v>0.75958300000000001</v>
      </c>
      <c r="T181">
        <f t="shared" si="26"/>
        <v>18.109099999999998</v>
      </c>
      <c r="U181">
        <f t="shared" si="27"/>
        <v>13.782980882799999</v>
      </c>
      <c r="X181" s="9"/>
      <c r="Y181" s="22">
        <v>0.88897700000000002</v>
      </c>
      <c r="Z181" s="22">
        <v>104.482</v>
      </c>
      <c r="AA181" s="22">
        <v>-1.83258E-2</v>
      </c>
      <c r="AB181" s="22">
        <v>171</v>
      </c>
      <c r="AC181" s="22">
        <v>0.88806200000000002</v>
      </c>
      <c r="AD181">
        <f t="shared" si="28"/>
        <v>18.325800000000001</v>
      </c>
      <c r="AE181">
        <f t="shared" si="29"/>
        <v>16.291214706600002</v>
      </c>
      <c r="AF181" s="9"/>
      <c r="AG181" s="22">
        <v>0.76110800000000001</v>
      </c>
      <c r="AH181" s="22">
        <v>122.303</v>
      </c>
      <c r="AI181" s="22">
        <v>-1.8398999999999999E-2</v>
      </c>
      <c r="AJ181" s="22">
        <v>171</v>
      </c>
      <c r="AK181" s="22">
        <v>0.76019300000000001</v>
      </c>
      <c r="AL181">
        <f t="shared" si="30"/>
        <v>18.398999999999997</v>
      </c>
      <c r="AM181">
        <f t="shared" si="31"/>
        <v>14.003626091999998</v>
      </c>
      <c r="AP181" s="9"/>
      <c r="AQ181" s="22">
        <v>0.88897700000000002</v>
      </c>
      <c r="AR181" s="22">
        <v>156.572</v>
      </c>
      <c r="AS181" s="22">
        <v>4.64935E-2</v>
      </c>
      <c r="AT181" s="22">
        <v>171</v>
      </c>
      <c r="AU181" s="22">
        <v>0.37542700000000001</v>
      </c>
      <c r="AV181">
        <f t="shared" si="32"/>
        <v>-46.493499999999997</v>
      </c>
      <c r="AW181">
        <f t="shared" si="33"/>
        <v>-41.331652149500002</v>
      </c>
      <c r="AX181" s="9"/>
      <c r="AY181" s="22">
        <v>0.76110800000000001</v>
      </c>
      <c r="AZ181" s="22">
        <v>190.959</v>
      </c>
      <c r="BA181" s="22">
        <v>-1.40961E-2</v>
      </c>
      <c r="BB181" s="22">
        <v>171</v>
      </c>
      <c r="BC181" s="22">
        <v>0.75347900000000001</v>
      </c>
      <c r="BD181">
        <f t="shared" si="34"/>
        <v>14.0961</v>
      </c>
      <c r="BE181">
        <f t="shared" si="35"/>
        <v>10.728654478799999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35.9771</v>
      </c>
      <c r="I182" s="22">
        <v>4.6536300000000003E-2</v>
      </c>
      <c r="J182" s="22">
        <v>172</v>
      </c>
      <c r="K182" s="22">
        <v>0.36447099999999999</v>
      </c>
      <c r="L182">
        <f t="shared" si="24"/>
        <v>-46.536300000000004</v>
      </c>
      <c r="M182">
        <f t="shared" si="25"/>
        <v>-41.135390094600005</v>
      </c>
      <c r="N182" s="9"/>
      <c r="O182" s="22">
        <v>0.76614400000000005</v>
      </c>
      <c r="P182" s="22">
        <v>70.286199999999994</v>
      </c>
      <c r="Q182" s="22">
        <v>-1.8115200000000001E-2</v>
      </c>
      <c r="R182" s="22">
        <v>172</v>
      </c>
      <c r="S182" s="22">
        <v>0.76477099999999998</v>
      </c>
      <c r="T182">
        <f t="shared" si="26"/>
        <v>18.115200000000002</v>
      </c>
      <c r="U182">
        <f t="shared" si="27"/>
        <v>13.878851788800002</v>
      </c>
      <c r="X182" s="9"/>
      <c r="Y182" s="22">
        <v>0.88394200000000001</v>
      </c>
      <c r="Z182" s="22">
        <v>104.492</v>
      </c>
      <c r="AA182" s="22">
        <v>-1.83258E-2</v>
      </c>
      <c r="AB182" s="22">
        <v>172</v>
      </c>
      <c r="AC182" s="22">
        <v>0.88348400000000005</v>
      </c>
      <c r="AD182">
        <f t="shared" si="28"/>
        <v>18.325800000000001</v>
      </c>
      <c r="AE182">
        <f t="shared" si="29"/>
        <v>16.198944303600001</v>
      </c>
      <c r="AF182" s="9"/>
      <c r="AG182" s="22">
        <v>0.76614400000000005</v>
      </c>
      <c r="AH182" s="22">
        <v>122.313</v>
      </c>
      <c r="AI182" s="22">
        <v>-1.8398999999999999E-2</v>
      </c>
      <c r="AJ182" s="22">
        <v>172</v>
      </c>
      <c r="AK182" s="22">
        <v>0.76568599999999998</v>
      </c>
      <c r="AL182">
        <f t="shared" si="30"/>
        <v>18.398999999999997</v>
      </c>
      <c r="AM182">
        <f t="shared" si="31"/>
        <v>14.096283455999998</v>
      </c>
      <c r="AP182" s="9"/>
      <c r="AQ182" s="22">
        <v>0.88394200000000001</v>
      </c>
      <c r="AR182" s="22">
        <v>156.58199999999999</v>
      </c>
      <c r="AS182" s="22">
        <v>4.58649E-2</v>
      </c>
      <c r="AT182" s="22">
        <v>172</v>
      </c>
      <c r="AU182" s="22">
        <v>0.37619000000000002</v>
      </c>
      <c r="AV182">
        <f t="shared" si="32"/>
        <v>-45.864899999999999</v>
      </c>
      <c r="AW182">
        <f t="shared" si="33"/>
        <v>-40.541911435799996</v>
      </c>
      <c r="AX182" s="9"/>
      <c r="AY182" s="22">
        <v>0.76614400000000005</v>
      </c>
      <c r="AZ182" s="22">
        <v>190.97</v>
      </c>
      <c r="BA182" s="22">
        <v>-1.5152000000000001E-2</v>
      </c>
      <c r="BB182" s="22">
        <v>172</v>
      </c>
      <c r="BC182" s="22">
        <v>0.76934800000000003</v>
      </c>
      <c r="BD182">
        <f t="shared" si="34"/>
        <v>15.152000000000001</v>
      </c>
      <c r="BE182">
        <f t="shared" si="35"/>
        <v>11.608613888000001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35.987099999999998</v>
      </c>
      <c r="I183" s="22">
        <v>4.6533199999999997E-2</v>
      </c>
      <c r="J183" s="22">
        <v>173</v>
      </c>
      <c r="K183" s="22">
        <v>0.366425</v>
      </c>
      <c r="L183">
        <f t="shared" si="24"/>
        <v>-46.533199999999994</v>
      </c>
      <c r="M183">
        <f t="shared" si="25"/>
        <v>-40.898308679199992</v>
      </c>
      <c r="N183" s="9"/>
      <c r="O183" s="22">
        <v>0.77117899999999995</v>
      </c>
      <c r="P183" s="22">
        <v>70.296300000000002</v>
      </c>
      <c r="Q183" s="22">
        <v>-1.81061E-2</v>
      </c>
      <c r="R183" s="22">
        <v>173</v>
      </c>
      <c r="S183" s="22">
        <v>0.77117899999999995</v>
      </c>
      <c r="T183">
        <f t="shared" si="26"/>
        <v>18.106100000000001</v>
      </c>
      <c r="U183">
        <f t="shared" si="27"/>
        <v>13.963044091900001</v>
      </c>
      <c r="X183" s="9"/>
      <c r="Y183" s="22">
        <v>0.87890599999999997</v>
      </c>
      <c r="Z183" s="22">
        <v>104.502</v>
      </c>
      <c r="AA183" s="22">
        <v>-1.8331900000000002E-2</v>
      </c>
      <c r="AB183" s="22">
        <v>173</v>
      </c>
      <c r="AC183" s="22">
        <v>0.87768599999999997</v>
      </c>
      <c r="AD183">
        <f t="shared" si="28"/>
        <v>18.331900000000001</v>
      </c>
      <c r="AE183">
        <f t="shared" si="29"/>
        <v>16.112016901400001</v>
      </c>
      <c r="AF183" s="9"/>
      <c r="AG183" s="22">
        <v>0.77117899999999995</v>
      </c>
      <c r="AH183" s="22">
        <v>122.32299999999999</v>
      </c>
      <c r="AI183" s="22">
        <v>-1.8395999999999999E-2</v>
      </c>
      <c r="AJ183" s="22">
        <v>173</v>
      </c>
      <c r="AK183" s="22">
        <v>0.77087399999999995</v>
      </c>
      <c r="AL183">
        <f t="shared" si="30"/>
        <v>18.396000000000001</v>
      </c>
      <c r="AM183">
        <f t="shared" si="31"/>
        <v>14.186608884</v>
      </c>
      <c r="AP183" s="9"/>
      <c r="AQ183" s="22">
        <v>0.87890599999999997</v>
      </c>
      <c r="AR183" s="22">
        <v>156.59200000000001</v>
      </c>
      <c r="AS183" s="22">
        <v>4.6411099999999997E-2</v>
      </c>
      <c r="AT183" s="22">
        <v>173</v>
      </c>
      <c r="AU183" s="22">
        <v>0.37567099999999998</v>
      </c>
      <c r="AV183">
        <f t="shared" si="32"/>
        <v>-46.411099999999998</v>
      </c>
      <c r="AW183">
        <f t="shared" si="33"/>
        <v>-40.790994256599994</v>
      </c>
      <c r="AX183" s="9"/>
      <c r="AY183" s="22">
        <v>0.77117899999999995</v>
      </c>
      <c r="AZ183" s="22">
        <v>190.98</v>
      </c>
      <c r="BA183" s="22">
        <v>-1.4825400000000001E-2</v>
      </c>
      <c r="BB183" s="22">
        <v>173</v>
      </c>
      <c r="BC183" s="22">
        <v>0.77026399999999995</v>
      </c>
      <c r="BD183">
        <f t="shared" si="34"/>
        <v>14.8254</v>
      </c>
      <c r="BE183">
        <f t="shared" si="35"/>
        <v>11.433037146599998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35.997199999999999</v>
      </c>
      <c r="I184" s="22">
        <v>4.6530200000000001E-2</v>
      </c>
      <c r="J184" s="22">
        <v>174</v>
      </c>
      <c r="K184" s="22">
        <v>0.365784</v>
      </c>
      <c r="L184">
        <f t="shared" si="24"/>
        <v>-46.530200000000001</v>
      </c>
      <c r="M184">
        <f t="shared" si="25"/>
        <v>-40.661392404200001</v>
      </c>
      <c r="N184" s="9"/>
      <c r="O184" s="22">
        <v>0.77621499999999999</v>
      </c>
      <c r="P184" s="22">
        <v>70.306399999999996</v>
      </c>
      <c r="Q184" s="22">
        <v>-1.8112199999999998E-2</v>
      </c>
      <c r="R184" s="22">
        <v>174</v>
      </c>
      <c r="S184" s="22">
        <v>0.774841</v>
      </c>
      <c r="T184">
        <f t="shared" si="26"/>
        <v>18.112199999999998</v>
      </c>
      <c r="U184">
        <f t="shared" si="27"/>
        <v>14.058961322999998</v>
      </c>
      <c r="X184" s="9"/>
      <c r="Y184" s="22">
        <v>0.87387099999999995</v>
      </c>
      <c r="Z184" s="22">
        <v>104.51300000000001</v>
      </c>
      <c r="AA184" s="22">
        <v>-1.8335000000000001E-2</v>
      </c>
      <c r="AB184" s="22">
        <v>174</v>
      </c>
      <c r="AC184" s="22">
        <v>0.87188699999999997</v>
      </c>
      <c r="AD184">
        <f t="shared" si="28"/>
        <v>18.335000000000001</v>
      </c>
      <c r="AE184">
        <f t="shared" si="29"/>
        <v>16.022424784999998</v>
      </c>
      <c r="AF184" s="9"/>
      <c r="AG184" s="22">
        <v>0.77621499999999999</v>
      </c>
      <c r="AH184" s="22">
        <v>122.333</v>
      </c>
      <c r="AI184" s="22">
        <v>-1.8395999999999999E-2</v>
      </c>
      <c r="AJ184" s="22">
        <v>174</v>
      </c>
      <c r="AK184" s="22">
        <v>0.77545200000000003</v>
      </c>
      <c r="AL184">
        <f t="shared" si="30"/>
        <v>18.396000000000001</v>
      </c>
      <c r="AM184">
        <f t="shared" si="31"/>
        <v>14.279251140000001</v>
      </c>
      <c r="AP184" s="9"/>
      <c r="AQ184" s="22">
        <v>0.87387099999999995</v>
      </c>
      <c r="AR184" s="22">
        <v>156.60300000000001</v>
      </c>
      <c r="AS184" s="22">
        <v>4.62616E-2</v>
      </c>
      <c r="AT184" s="22">
        <v>174</v>
      </c>
      <c r="AU184" s="22">
        <v>0.37756299999999998</v>
      </c>
      <c r="AV184">
        <f t="shared" si="32"/>
        <v>-46.261600000000001</v>
      </c>
      <c r="AW184">
        <f t="shared" si="33"/>
        <v>-40.426670653599999</v>
      </c>
      <c r="AX184" s="9"/>
      <c r="AY184" s="22">
        <v>0.77621499999999999</v>
      </c>
      <c r="AZ184" s="22">
        <v>190.99</v>
      </c>
      <c r="BA184" s="22">
        <v>-1.4242599999999999E-2</v>
      </c>
      <c r="BB184" s="22">
        <v>174</v>
      </c>
      <c r="BC184" s="22">
        <v>0.77758799999999995</v>
      </c>
      <c r="BD184">
        <f t="shared" si="34"/>
        <v>14.242599999999999</v>
      </c>
      <c r="BE184">
        <f t="shared" si="35"/>
        <v>11.055319759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36.007300000000001</v>
      </c>
      <c r="I185" s="22">
        <v>4.6530200000000001E-2</v>
      </c>
      <c r="J185" s="22">
        <v>175</v>
      </c>
      <c r="K185" s="22">
        <v>0.36520399999999997</v>
      </c>
      <c r="L185">
        <f t="shared" si="24"/>
        <v>-46.530200000000001</v>
      </c>
      <c r="M185">
        <f t="shared" si="25"/>
        <v>-40.427066317000005</v>
      </c>
      <c r="N185" s="9"/>
      <c r="O185" s="22">
        <v>0.78125</v>
      </c>
      <c r="P185" s="22">
        <v>70.316400000000002</v>
      </c>
      <c r="Q185" s="22">
        <v>-1.8096899999999999E-2</v>
      </c>
      <c r="R185" s="22">
        <v>175</v>
      </c>
      <c r="S185" s="22">
        <v>0.78125</v>
      </c>
      <c r="T185">
        <f t="shared" si="26"/>
        <v>18.096899999999998</v>
      </c>
      <c r="U185">
        <f t="shared" si="27"/>
        <v>14.138203124999999</v>
      </c>
      <c r="X185" s="9"/>
      <c r="Y185" s="22">
        <v>0.86883500000000002</v>
      </c>
      <c r="Z185" s="22">
        <v>104.523</v>
      </c>
      <c r="AA185" s="22">
        <v>-1.8338E-2</v>
      </c>
      <c r="AB185" s="22">
        <v>175</v>
      </c>
      <c r="AC185" s="22">
        <v>0.86792000000000002</v>
      </c>
      <c r="AD185">
        <f t="shared" si="28"/>
        <v>18.338000000000001</v>
      </c>
      <c r="AE185">
        <f t="shared" si="29"/>
        <v>15.932696230000001</v>
      </c>
      <c r="AF185" s="9"/>
      <c r="AG185" s="22">
        <v>0.78125</v>
      </c>
      <c r="AH185" s="22">
        <v>122.343</v>
      </c>
      <c r="AI185" s="22">
        <v>-1.83929E-2</v>
      </c>
      <c r="AJ185" s="22">
        <v>175</v>
      </c>
      <c r="AK185" s="22">
        <v>0.78002899999999997</v>
      </c>
      <c r="AL185">
        <f t="shared" si="30"/>
        <v>18.392900000000001</v>
      </c>
      <c r="AM185">
        <f t="shared" si="31"/>
        <v>14.369453125000001</v>
      </c>
      <c r="AP185" s="9"/>
      <c r="AQ185" s="22">
        <v>0.86883500000000002</v>
      </c>
      <c r="AR185" s="22">
        <v>156.613</v>
      </c>
      <c r="AS185" s="22">
        <v>4.5873999999999998E-2</v>
      </c>
      <c r="AT185" s="22">
        <v>175</v>
      </c>
      <c r="AU185" s="22">
        <v>0.37683100000000003</v>
      </c>
      <c r="AV185">
        <f t="shared" si="32"/>
        <v>-45.873999999999995</v>
      </c>
      <c r="AW185">
        <f t="shared" si="33"/>
        <v>-39.856936789999999</v>
      </c>
      <c r="AX185" s="9"/>
      <c r="AY185" s="22">
        <v>0.78125</v>
      </c>
      <c r="AZ185" s="22">
        <v>191</v>
      </c>
      <c r="BA185" s="22">
        <v>-1.32751E-2</v>
      </c>
      <c r="BB185" s="22">
        <v>175</v>
      </c>
      <c r="BC185" s="22">
        <v>0.77911399999999997</v>
      </c>
      <c r="BD185">
        <f t="shared" si="34"/>
        <v>13.2751</v>
      </c>
      <c r="BE185">
        <f t="shared" si="35"/>
        <v>10.371171875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36.017400000000002</v>
      </c>
      <c r="I186" s="22">
        <v>4.6524000000000003E-2</v>
      </c>
      <c r="J186" s="22">
        <v>176</v>
      </c>
      <c r="K186" s="22">
        <v>0.36511199999999999</v>
      </c>
      <c r="L186">
        <f t="shared" si="24"/>
        <v>-46.524000000000001</v>
      </c>
      <c r="M186">
        <f t="shared" si="25"/>
        <v>-40.187431199999999</v>
      </c>
      <c r="N186" s="9"/>
      <c r="O186" s="22">
        <v>0.78628500000000001</v>
      </c>
      <c r="P186" s="22">
        <v>70.326499999999996</v>
      </c>
      <c r="Q186" s="22">
        <v>-1.8115200000000001E-2</v>
      </c>
      <c r="R186" s="22">
        <v>176</v>
      </c>
      <c r="S186" s="22">
        <v>0.78521700000000005</v>
      </c>
      <c r="T186">
        <f t="shared" si="26"/>
        <v>18.115200000000002</v>
      </c>
      <c r="U186">
        <f t="shared" si="27"/>
        <v>14.243710032000001</v>
      </c>
      <c r="X186" s="9"/>
      <c r="Y186" s="22">
        <v>0.86380000000000001</v>
      </c>
      <c r="Z186" s="22">
        <v>104.533</v>
      </c>
      <c r="AA186" s="22">
        <v>-1.8338E-2</v>
      </c>
      <c r="AB186" s="22">
        <v>176</v>
      </c>
      <c r="AC186" s="22">
        <v>0.86334200000000005</v>
      </c>
      <c r="AD186">
        <f t="shared" si="28"/>
        <v>18.338000000000001</v>
      </c>
      <c r="AE186">
        <f t="shared" si="29"/>
        <v>15.8403644</v>
      </c>
      <c r="AF186" s="9"/>
      <c r="AG186" s="22">
        <v>0.78628500000000001</v>
      </c>
      <c r="AH186" s="22">
        <v>122.354</v>
      </c>
      <c r="AI186" s="22">
        <v>-1.8389900000000001E-2</v>
      </c>
      <c r="AJ186" s="22">
        <v>176</v>
      </c>
      <c r="AK186" s="22">
        <v>0.78643799999999997</v>
      </c>
      <c r="AL186">
        <f t="shared" si="30"/>
        <v>18.389900000000001</v>
      </c>
      <c r="AM186">
        <f t="shared" si="31"/>
        <v>14.459702521500001</v>
      </c>
      <c r="AP186" s="9"/>
      <c r="AQ186" s="22">
        <v>0.86380000000000001</v>
      </c>
      <c r="AR186" s="22">
        <v>156.62299999999999</v>
      </c>
      <c r="AS186" s="22">
        <v>4.6194499999999999E-2</v>
      </c>
      <c r="AT186" s="22">
        <v>176</v>
      </c>
      <c r="AU186" s="22">
        <v>0.38070700000000002</v>
      </c>
      <c r="AV186">
        <f t="shared" si="32"/>
        <v>-46.194499999999998</v>
      </c>
      <c r="AW186">
        <f t="shared" si="33"/>
        <v>-39.902809099999999</v>
      </c>
      <c r="AX186" s="9"/>
      <c r="AY186" s="22">
        <v>0.78628500000000001</v>
      </c>
      <c r="AZ186" s="22">
        <v>191.01</v>
      </c>
      <c r="BA186" s="22">
        <v>-1.41724E-2</v>
      </c>
      <c r="BB186" s="22">
        <v>176</v>
      </c>
      <c r="BC186" s="22">
        <v>0.78430200000000005</v>
      </c>
      <c r="BD186">
        <f t="shared" si="34"/>
        <v>14.1724</v>
      </c>
      <c r="BE186">
        <f t="shared" si="35"/>
        <v>11.143545533999999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36.0274</v>
      </c>
      <c r="I187" s="22">
        <v>4.6524000000000003E-2</v>
      </c>
      <c r="J187" s="22">
        <v>177</v>
      </c>
      <c r="K187" s="22">
        <v>0.354462</v>
      </c>
      <c r="L187">
        <f t="shared" si="24"/>
        <v>-46.524000000000001</v>
      </c>
      <c r="M187">
        <f t="shared" si="25"/>
        <v>-39.953182859999998</v>
      </c>
      <c r="N187" s="9"/>
      <c r="O187" s="22">
        <v>0.79132100000000005</v>
      </c>
      <c r="P187" s="22">
        <v>70.336600000000004</v>
      </c>
      <c r="Q187" s="22">
        <v>-1.80939E-2</v>
      </c>
      <c r="R187" s="22">
        <v>177</v>
      </c>
      <c r="S187" s="22">
        <v>0.79040500000000002</v>
      </c>
      <c r="T187">
        <f t="shared" si="26"/>
        <v>18.093899999999998</v>
      </c>
      <c r="U187">
        <f t="shared" si="27"/>
        <v>14.3180830419</v>
      </c>
      <c r="X187" s="9"/>
      <c r="Y187" s="22">
        <v>0.858765</v>
      </c>
      <c r="Z187" s="22">
        <v>104.54300000000001</v>
      </c>
      <c r="AA187" s="22">
        <v>-1.8338E-2</v>
      </c>
      <c r="AB187" s="22">
        <v>177</v>
      </c>
      <c r="AC187" s="22">
        <v>0.85845899999999997</v>
      </c>
      <c r="AD187">
        <f t="shared" si="28"/>
        <v>18.338000000000001</v>
      </c>
      <c r="AE187">
        <f t="shared" si="29"/>
        <v>15.748032570000001</v>
      </c>
      <c r="AF187" s="9"/>
      <c r="AG187" s="22">
        <v>0.79132100000000005</v>
      </c>
      <c r="AH187" s="22">
        <v>122.364</v>
      </c>
      <c r="AI187" s="22">
        <v>-1.8386799999999998E-2</v>
      </c>
      <c r="AJ187" s="22">
        <v>177</v>
      </c>
      <c r="AK187" s="22">
        <v>0.79010000000000002</v>
      </c>
      <c r="AL187">
        <f t="shared" si="30"/>
        <v>18.386799999999997</v>
      </c>
      <c r="AM187">
        <f t="shared" si="31"/>
        <v>14.549860962799999</v>
      </c>
      <c r="AP187" s="9"/>
      <c r="AQ187" s="22">
        <v>0.858765</v>
      </c>
      <c r="AR187" s="22">
        <v>156.63300000000001</v>
      </c>
      <c r="AS187" s="22">
        <v>4.5813E-2</v>
      </c>
      <c r="AT187" s="22">
        <v>177</v>
      </c>
      <c r="AU187" s="22">
        <v>0.37631199999999998</v>
      </c>
      <c r="AV187">
        <f t="shared" si="32"/>
        <v>-45.813000000000002</v>
      </c>
      <c r="AW187">
        <f t="shared" si="33"/>
        <v>-39.342600945000001</v>
      </c>
      <c r="AX187" s="9"/>
      <c r="AY187" s="22">
        <v>0.79132100000000005</v>
      </c>
      <c r="AZ187" s="22">
        <v>191.02</v>
      </c>
      <c r="BA187" s="22">
        <v>-1.3665800000000001E-2</v>
      </c>
      <c r="BB187" s="22">
        <v>177</v>
      </c>
      <c r="BC187" s="22">
        <v>0.78216600000000003</v>
      </c>
      <c r="BD187">
        <f t="shared" si="34"/>
        <v>13.665800000000001</v>
      </c>
      <c r="BE187">
        <f t="shared" si="35"/>
        <v>10.814034521800002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36.037500000000001</v>
      </c>
      <c r="I188" s="22">
        <v>4.6517900000000001E-2</v>
      </c>
      <c r="J188" s="22">
        <v>178</v>
      </c>
      <c r="K188" s="22">
        <v>0.363983</v>
      </c>
      <c r="L188">
        <f t="shared" si="24"/>
        <v>-46.517899999999997</v>
      </c>
      <c r="M188">
        <f t="shared" si="25"/>
        <v>-39.713680249099994</v>
      </c>
      <c r="N188" s="9"/>
      <c r="O188" s="22">
        <v>0.79635599999999995</v>
      </c>
      <c r="P188" s="22">
        <v>70.346599999999995</v>
      </c>
      <c r="Q188" s="22">
        <v>-1.80939E-2</v>
      </c>
      <c r="R188" s="22">
        <v>178</v>
      </c>
      <c r="S188" s="22">
        <v>0.79620400000000002</v>
      </c>
      <c r="T188">
        <f t="shared" si="26"/>
        <v>18.093899999999998</v>
      </c>
      <c r="U188">
        <f t="shared" si="27"/>
        <v>14.409185828399998</v>
      </c>
      <c r="X188" s="9"/>
      <c r="Y188" s="22">
        <v>0.85372899999999996</v>
      </c>
      <c r="Z188" s="22">
        <v>104.553</v>
      </c>
      <c r="AA188" s="22">
        <v>-1.8344099999999999E-2</v>
      </c>
      <c r="AB188" s="22">
        <v>178</v>
      </c>
      <c r="AC188" s="22">
        <v>0.852966</v>
      </c>
      <c r="AD188">
        <f t="shared" si="28"/>
        <v>18.344099999999997</v>
      </c>
      <c r="AE188">
        <f t="shared" si="29"/>
        <v>15.660890148899997</v>
      </c>
      <c r="AF188" s="9"/>
      <c r="AG188" s="22">
        <v>0.79635599999999995</v>
      </c>
      <c r="AH188" s="22">
        <v>122.374</v>
      </c>
      <c r="AI188" s="22">
        <v>-1.8383799999999999E-2</v>
      </c>
      <c r="AJ188" s="22">
        <v>178</v>
      </c>
      <c r="AK188" s="22">
        <v>0.794983</v>
      </c>
      <c r="AL188">
        <f t="shared" si="30"/>
        <v>18.383799999999997</v>
      </c>
      <c r="AM188">
        <f t="shared" si="31"/>
        <v>14.640049432799996</v>
      </c>
      <c r="AP188" s="9"/>
      <c r="AQ188" s="22">
        <v>0.85372899999999996</v>
      </c>
      <c r="AR188" s="22">
        <v>156.643</v>
      </c>
      <c r="AS188" s="22">
        <v>4.6130400000000002E-2</v>
      </c>
      <c r="AT188" s="22">
        <v>178</v>
      </c>
      <c r="AU188" s="22">
        <v>0.37936399999999998</v>
      </c>
      <c r="AV188">
        <f t="shared" si="32"/>
        <v>-46.130400000000002</v>
      </c>
      <c r="AW188">
        <f t="shared" si="33"/>
        <v>-39.382860261600001</v>
      </c>
      <c r="AX188" s="9"/>
      <c r="AY188" s="22">
        <v>0.79635599999999995</v>
      </c>
      <c r="AZ188" s="22">
        <v>191.03</v>
      </c>
      <c r="BA188" s="22">
        <v>-1.1184700000000001E-2</v>
      </c>
      <c r="BB188" s="22">
        <v>178</v>
      </c>
      <c r="BC188" s="22">
        <v>0.79071000000000002</v>
      </c>
      <c r="BD188">
        <f t="shared" si="34"/>
        <v>11.184700000000001</v>
      </c>
      <c r="BE188">
        <f t="shared" si="35"/>
        <v>8.907002953200001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36.047600000000003</v>
      </c>
      <c r="I189" s="22">
        <v>4.6514899999999998E-2</v>
      </c>
      <c r="J189" s="22">
        <v>179</v>
      </c>
      <c r="K189" s="22">
        <v>0.35787999999999998</v>
      </c>
      <c r="L189">
        <f t="shared" si="24"/>
        <v>-46.514899999999997</v>
      </c>
      <c r="M189">
        <f t="shared" si="25"/>
        <v>-39.476916540599994</v>
      </c>
      <c r="N189" s="9"/>
      <c r="O189" s="22">
        <v>0.80139199999999999</v>
      </c>
      <c r="P189" s="22">
        <v>70.356700000000004</v>
      </c>
      <c r="Q189" s="22">
        <v>-1.81061E-2</v>
      </c>
      <c r="R189" s="22">
        <v>179</v>
      </c>
      <c r="S189" s="22">
        <v>0.79986599999999997</v>
      </c>
      <c r="T189">
        <f t="shared" si="26"/>
        <v>18.106100000000001</v>
      </c>
      <c r="U189">
        <f t="shared" si="27"/>
        <v>14.5100836912</v>
      </c>
      <c r="X189" s="9"/>
      <c r="Y189" s="22">
        <v>0.84869399999999995</v>
      </c>
      <c r="Z189" s="22">
        <v>104.563</v>
      </c>
      <c r="AA189" s="22">
        <v>-1.8347200000000001E-2</v>
      </c>
      <c r="AB189" s="22">
        <v>179</v>
      </c>
      <c r="AC189" s="22">
        <v>0.84808300000000003</v>
      </c>
      <c r="AD189">
        <f t="shared" si="28"/>
        <v>18.347200000000001</v>
      </c>
      <c r="AE189">
        <f t="shared" si="29"/>
        <v>15.5711585568</v>
      </c>
      <c r="AF189" s="9"/>
      <c r="AG189" s="22">
        <v>0.80139199999999999</v>
      </c>
      <c r="AH189" s="22">
        <v>122.384</v>
      </c>
      <c r="AI189" s="22">
        <v>-1.83807E-2</v>
      </c>
      <c r="AJ189" s="22">
        <v>179</v>
      </c>
      <c r="AK189" s="22">
        <v>0.80078099999999997</v>
      </c>
      <c r="AL189">
        <f t="shared" si="30"/>
        <v>18.380700000000001</v>
      </c>
      <c r="AM189">
        <f t="shared" si="31"/>
        <v>14.730145934400001</v>
      </c>
      <c r="AP189" s="9"/>
      <c r="AQ189" s="22">
        <v>0.84869399999999995</v>
      </c>
      <c r="AR189" s="22">
        <v>156.65299999999999</v>
      </c>
      <c r="AS189" s="22">
        <v>4.6017500000000003E-2</v>
      </c>
      <c r="AT189" s="22">
        <v>179</v>
      </c>
      <c r="AU189" s="22">
        <v>0.382996</v>
      </c>
      <c r="AV189">
        <f t="shared" si="32"/>
        <v>-46.017500000000005</v>
      </c>
      <c r="AW189">
        <f t="shared" si="33"/>
        <v>-39.054776145000005</v>
      </c>
      <c r="AX189" s="9"/>
      <c r="AY189" s="22">
        <v>0.80139199999999999</v>
      </c>
      <c r="AZ189" s="22">
        <v>191.04</v>
      </c>
      <c r="BA189" s="22">
        <v>-1.41602E-2</v>
      </c>
      <c r="BB189" s="22">
        <v>179</v>
      </c>
      <c r="BC189" s="22">
        <v>0.81573499999999999</v>
      </c>
      <c r="BD189">
        <f t="shared" si="34"/>
        <v>14.1602</v>
      </c>
      <c r="BE189">
        <f t="shared" si="35"/>
        <v>11.347870998399999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36.057600000000001</v>
      </c>
      <c r="I190" s="22">
        <v>4.6511799999999999E-2</v>
      </c>
      <c r="J190" s="22">
        <v>180</v>
      </c>
      <c r="K190" s="22">
        <v>0.36480699999999999</v>
      </c>
      <c r="L190">
        <f t="shared" si="24"/>
        <v>-46.511800000000001</v>
      </c>
      <c r="M190">
        <f t="shared" si="25"/>
        <v>-39.240052164400005</v>
      </c>
      <c r="N190" s="9"/>
      <c r="O190" s="22">
        <v>0.806427</v>
      </c>
      <c r="P190" s="22">
        <v>70.366799999999998</v>
      </c>
      <c r="Q190" s="22">
        <v>-1.8115200000000001E-2</v>
      </c>
      <c r="R190" s="22">
        <v>180</v>
      </c>
      <c r="S190" s="22">
        <v>0.80566400000000005</v>
      </c>
      <c r="T190">
        <f t="shared" si="26"/>
        <v>18.115200000000002</v>
      </c>
      <c r="U190">
        <f t="shared" si="27"/>
        <v>14.608586390400001</v>
      </c>
      <c r="X190" s="9"/>
      <c r="Y190" s="22">
        <v>0.84365800000000002</v>
      </c>
      <c r="Z190" s="22">
        <v>104.57299999999999</v>
      </c>
      <c r="AA190" s="22">
        <v>-1.8353299999999999E-2</v>
      </c>
      <c r="AB190" s="22">
        <v>180</v>
      </c>
      <c r="AC190" s="22">
        <v>0.84228499999999995</v>
      </c>
      <c r="AD190">
        <f t="shared" si="28"/>
        <v>18.353300000000001</v>
      </c>
      <c r="AE190">
        <f t="shared" si="29"/>
        <v>15.483908371400002</v>
      </c>
      <c r="AF190" s="9"/>
      <c r="AG190" s="22">
        <v>0.806427</v>
      </c>
      <c r="AH190" s="22">
        <v>122.39400000000001</v>
      </c>
      <c r="AI190" s="22">
        <v>-1.83777E-2</v>
      </c>
      <c r="AJ190" s="22">
        <v>180</v>
      </c>
      <c r="AK190" s="22">
        <v>0.80596900000000005</v>
      </c>
      <c r="AL190">
        <f t="shared" si="30"/>
        <v>18.377700000000001</v>
      </c>
      <c r="AM190">
        <f t="shared" si="31"/>
        <v>14.820273477900001</v>
      </c>
      <c r="AP190" s="9"/>
      <c r="AQ190" s="22">
        <v>0.84365800000000002</v>
      </c>
      <c r="AR190" s="22">
        <v>156.66300000000001</v>
      </c>
      <c r="AS190" s="22">
        <v>4.5986899999999997E-2</v>
      </c>
      <c r="AT190" s="22">
        <v>180</v>
      </c>
      <c r="AU190" s="22">
        <v>0.37875399999999998</v>
      </c>
      <c r="AV190">
        <f t="shared" si="32"/>
        <v>-45.986899999999999</v>
      </c>
      <c r="AW190">
        <f t="shared" si="33"/>
        <v>-38.797216080200002</v>
      </c>
      <c r="AX190" s="9"/>
      <c r="AY190" s="22">
        <v>0.806427</v>
      </c>
      <c r="AZ190" s="22">
        <v>191.05</v>
      </c>
      <c r="BA190" s="22">
        <v>-1.3736E-2</v>
      </c>
      <c r="BB190" s="22">
        <v>180</v>
      </c>
      <c r="BC190" s="22">
        <v>0.80413800000000002</v>
      </c>
      <c r="BD190">
        <f t="shared" si="34"/>
        <v>13.736000000000001</v>
      </c>
      <c r="BE190">
        <f t="shared" si="35"/>
        <v>11.077081272000001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36.067700000000002</v>
      </c>
      <c r="I191" s="22">
        <v>4.6508800000000003E-2</v>
      </c>
      <c r="J191" s="22">
        <v>181</v>
      </c>
      <c r="K191" s="22">
        <v>0.36731000000000003</v>
      </c>
      <c r="L191">
        <f t="shared" si="24"/>
        <v>-46.508800000000001</v>
      </c>
      <c r="M191">
        <f t="shared" si="25"/>
        <v>-39.003349382400003</v>
      </c>
      <c r="N191" s="9"/>
      <c r="O191" s="22">
        <v>0.81146200000000002</v>
      </c>
      <c r="P191" s="22">
        <v>70.376900000000006</v>
      </c>
      <c r="Q191" s="22">
        <v>-1.81091E-2</v>
      </c>
      <c r="R191" s="22">
        <v>181</v>
      </c>
      <c r="S191" s="22">
        <v>0.80963099999999999</v>
      </c>
      <c r="T191">
        <f t="shared" si="26"/>
        <v>18.109099999999998</v>
      </c>
      <c r="U191">
        <f t="shared" si="27"/>
        <v>14.694846504199999</v>
      </c>
      <c r="X191" s="9"/>
      <c r="Y191" s="22">
        <v>0.83862300000000001</v>
      </c>
      <c r="Z191" s="22">
        <v>104.583</v>
      </c>
      <c r="AA191" s="22">
        <v>-1.8356299999999999E-2</v>
      </c>
      <c r="AB191" s="22">
        <v>181</v>
      </c>
      <c r="AC191" s="22">
        <v>0.83801300000000001</v>
      </c>
      <c r="AD191">
        <f t="shared" si="28"/>
        <v>18.356299999999997</v>
      </c>
      <c r="AE191">
        <f t="shared" si="29"/>
        <v>15.394015374899999</v>
      </c>
      <c r="AF191" s="9"/>
      <c r="AG191" s="22">
        <v>0.81146200000000002</v>
      </c>
      <c r="AH191" s="22">
        <v>122.404</v>
      </c>
      <c r="AI191" s="22">
        <v>-1.8374600000000001E-2</v>
      </c>
      <c r="AJ191" s="22">
        <v>181</v>
      </c>
      <c r="AK191" s="22">
        <v>0.80993700000000002</v>
      </c>
      <c r="AL191">
        <f t="shared" si="30"/>
        <v>18.374600000000001</v>
      </c>
      <c r="AM191">
        <f t="shared" si="31"/>
        <v>14.910289665200001</v>
      </c>
      <c r="AP191" s="9"/>
      <c r="AQ191" s="22">
        <v>0.83862300000000001</v>
      </c>
      <c r="AR191" s="22">
        <v>156.673</v>
      </c>
      <c r="AS191" s="22">
        <v>4.5950299999999999E-2</v>
      </c>
      <c r="AT191" s="22">
        <v>181</v>
      </c>
      <c r="AU191" s="22">
        <v>0.38366699999999998</v>
      </c>
      <c r="AV191">
        <f t="shared" si="32"/>
        <v>-45.950299999999999</v>
      </c>
      <c r="AW191">
        <f t="shared" si="33"/>
        <v>-38.534978436899998</v>
      </c>
      <c r="AX191" s="9"/>
      <c r="AY191" s="22">
        <v>0.81146200000000002</v>
      </c>
      <c r="AZ191" s="22">
        <v>191.06</v>
      </c>
      <c r="BA191" s="22">
        <v>-1.3595599999999999E-2</v>
      </c>
      <c r="BB191" s="22">
        <v>181</v>
      </c>
      <c r="BC191" s="22">
        <v>0.81420899999999996</v>
      </c>
      <c r="BD191">
        <f t="shared" si="34"/>
        <v>13.595599999999999</v>
      </c>
      <c r="BE191">
        <f t="shared" si="35"/>
        <v>11.032312767199999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36.077800000000003</v>
      </c>
      <c r="I192" s="22">
        <v>4.6502700000000001E-2</v>
      </c>
      <c r="J192" s="22">
        <v>182</v>
      </c>
      <c r="K192" s="22">
        <v>0.36618000000000001</v>
      </c>
      <c r="L192">
        <f t="shared" si="24"/>
        <v>-46.502700000000004</v>
      </c>
      <c r="M192">
        <f t="shared" si="25"/>
        <v>-38.764092687600005</v>
      </c>
      <c r="N192" s="9"/>
      <c r="O192" s="22">
        <v>0.81649799999999995</v>
      </c>
      <c r="P192" s="22">
        <v>70.386899999999997</v>
      </c>
      <c r="Q192" s="22">
        <v>-1.8103000000000001E-2</v>
      </c>
      <c r="R192" s="22">
        <v>182</v>
      </c>
      <c r="S192" s="22">
        <v>0.81512499999999999</v>
      </c>
      <c r="T192">
        <f t="shared" si="26"/>
        <v>18.103000000000002</v>
      </c>
      <c r="U192">
        <f t="shared" si="27"/>
        <v>14.781063294000001</v>
      </c>
      <c r="X192" s="9"/>
      <c r="Y192" s="22">
        <v>0.833588</v>
      </c>
      <c r="Z192" s="22">
        <v>104.593</v>
      </c>
      <c r="AA192" s="22">
        <v>-1.8359400000000001E-2</v>
      </c>
      <c r="AB192" s="22">
        <v>182</v>
      </c>
      <c r="AC192" s="22">
        <v>0.83221400000000001</v>
      </c>
      <c r="AD192">
        <f t="shared" si="28"/>
        <v>18.359400000000001</v>
      </c>
      <c r="AE192">
        <f t="shared" si="29"/>
        <v>15.3041755272</v>
      </c>
      <c r="AF192" s="9"/>
      <c r="AG192" s="22">
        <v>0.81649799999999995</v>
      </c>
      <c r="AH192" s="22">
        <v>122.414</v>
      </c>
      <c r="AI192" s="22">
        <v>-1.8371599999999998E-2</v>
      </c>
      <c r="AJ192" s="22">
        <v>182</v>
      </c>
      <c r="AK192" s="22">
        <v>0.81603999999999999</v>
      </c>
      <c r="AL192">
        <f t="shared" si="30"/>
        <v>18.371599999999997</v>
      </c>
      <c r="AM192">
        <f t="shared" si="31"/>
        <v>15.000374656799996</v>
      </c>
      <c r="AP192" s="9"/>
      <c r="AQ192" s="22">
        <v>0.833588</v>
      </c>
      <c r="AR192" s="22">
        <v>156.68299999999999</v>
      </c>
      <c r="AS192" s="22">
        <v>4.59351E-2</v>
      </c>
      <c r="AT192" s="22">
        <v>182</v>
      </c>
      <c r="AU192" s="22">
        <v>0.37838699999999997</v>
      </c>
      <c r="AV192">
        <f t="shared" si="32"/>
        <v>-45.935099999999998</v>
      </c>
      <c r="AW192">
        <f t="shared" si="33"/>
        <v>-38.290948138799997</v>
      </c>
      <c r="AX192" s="9"/>
      <c r="AY192" s="22">
        <v>0.81649799999999995</v>
      </c>
      <c r="AZ192" s="22">
        <v>191.07</v>
      </c>
      <c r="BA192" s="22">
        <v>-1.31714E-2</v>
      </c>
      <c r="BB192" s="22">
        <v>182</v>
      </c>
      <c r="BC192" s="22">
        <v>0.81848100000000001</v>
      </c>
      <c r="BD192">
        <f t="shared" si="34"/>
        <v>13.1714</v>
      </c>
      <c r="BE192">
        <f t="shared" si="35"/>
        <v>10.754421757199999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36.087899999999998</v>
      </c>
      <c r="I193" s="22">
        <v>4.6499600000000002E-2</v>
      </c>
      <c r="J193" s="22">
        <v>183</v>
      </c>
      <c r="K193" s="22">
        <v>0.35546899999999998</v>
      </c>
      <c r="L193">
        <f t="shared" si="24"/>
        <v>-46.499600000000001</v>
      </c>
      <c r="M193">
        <f t="shared" si="25"/>
        <v>-38.527336579199996</v>
      </c>
      <c r="N193" s="9"/>
      <c r="O193" s="22">
        <v>0.82153299999999996</v>
      </c>
      <c r="P193" s="22">
        <v>70.397000000000006</v>
      </c>
      <c r="Q193" s="22">
        <v>-1.8103000000000001E-2</v>
      </c>
      <c r="R193" s="22">
        <v>183</v>
      </c>
      <c r="S193" s="22">
        <v>0.82031299999999996</v>
      </c>
      <c r="T193">
        <f t="shared" si="26"/>
        <v>18.103000000000002</v>
      </c>
      <c r="U193">
        <f t="shared" si="27"/>
        <v>14.872211899</v>
      </c>
      <c r="X193" s="9"/>
      <c r="Y193" s="22">
        <v>0.82855199999999996</v>
      </c>
      <c r="Z193" s="22">
        <v>104.60299999999999</v>
      </c>
      <c r="AA193" s="22">
        <v>-1.8362400000000001E-2</v>
      </c>
      <c r="AB193" s="22">
        <v>183</v>
      </c>
      <c r="AC193" s="22">
        <v>0.82824699999999996</v>
      </c>
      <c r="AD193">
        <f t="shared" si="28"/>
        <v>18.362400000000001</v>
      </c>
      <c r="AE193">
        <f t="shared" si="29"/>
        <v>15.2142032448</v>
      </c>
      <c r="AF193" s="9"/>
      <c r="AG193" s="22">
        <v>0.82153299999999996</v>
      </c>
      <c r="AH193" s="22">
        <v>122.42400000000001</v>
      </c>
      <c r="AI193" s="22">
        <v>-1.8371599999999998E-2</v>
      </c>
      <c r="AJ193" s="22">
        <v>183</v>
      </c>
      <c r="AK193" s="22">
        <v>0.82061799999999996</v>
      </c>
      <c r="AL193">
        <f t="shared" si="30"/>
        <v>18.371599999999997</v>
      </c>
      <c r="AM193">
        <f t="shared" si="31"/>
        <v>15.092875662799997</v>
      </c>
      <c r="AP193" s="9"/>
      <c r="AQ193" s="22">
        <v>0.82855199999999996</v>
      </c>
      <c r="AR193" s="22">
        <v>156.69300000000001</v>
      </c>
      <c r="AS193" s="22">
        <v>4.5916699999999998E-2</v>
      </c>
      <c r="AT193" s="22">
        <v>183</v>
      </c>
      <c r="AU193" s="22">
        <v>0.37521399999999999</v>
      </c>
      <c r="AV193">
        <f t="shared" si="32"/>
        <v>-45.916699999999999</v>
      </c>
      <c r="AW193">
        <f t="shared" si="33"/>
        <v>-38.044373618399995</v>
      </c>
      <c r="AX193" s="9"/>
      <c r="AY193" s="22">
        <v>0.82153299999999996</v>
      </c>
      <c r="AZ193" s="22">
        <v>191.08</v>
      </c>
      <c r="BA193" s="22">
        <v>-8.0871599999999995E-3</v>
      </c>
      <c r="BB193" s="22">
        <v>183</v>
      </c>
      <c r="BC193" s="22">
        <v>0.81573499999999999</v>
      </c>
      <c r="BD193">
        <f t="shared" si="34"/>
        <v>8.087159999999999</v>
      </c>
      <c r="BE193">
        <f t="shared" si="35"/>
        <v>6.6438688162799986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36.097900000000003</v>
      </c>
      <c r="I194" s="22">
        <v>4.6490499999999997E-2</v>
      </c>
      <c r="J194" s="22">
        <v>184</v>
      </c>
      <c r="K194" s="22">
        <v>0.36675999999999997</v>
      </c>
      <c r="L194">
        <f t="shared" si="24"/>
        <v>-46.490499999999997</v>
      </c>
      <c r="M194">
        <f t="shared" si="25"/>
        <v>-38.2857170885</v>
      </c>
      <c r="N194" s="9"/>
      <c r="O194" s="22">
        <v>0.826569</v>
      </c>
      <c r="P194" s="22">
        <v>70.4071</v>
      </c>
      <c r="Q194" s="22">
        <v>-1.81091E-2</v>
      </c>
      <c r="R194" s="22">
        <v>184</v>
      </c>
      <c r="S194" s="22">
        <v>0.82672100000000004</v>
      </c>
      <c r="T194">
        <f t="shared" si="26"/>
        <v>18.109099999999998</v>
      </c>
      <c r="U194">
        <f t="shared" si="27"/>
        <v>14.968420677899998</v>
      </c>
      <c r="X194" s="9"/>
      <c r="Y194" s="22">
        <v>0.82351700000000005</v>
      </c>
      <c r="Z194" s="22">
        <v>104.613</v>
      </c>
      <c r="AA194" s="22">
        <v>-1.83655E-2</v>
      </c>
      <c r="AB194" s="22">
        <v>184</v>
      </c>
      <c r="AC194" s="22">
        <v>0.82153299999999996</v>
      </c>
      <c r="AD194">
        <f t="shared" si="28"/>
        <v>18.365500000000001</v>
      </c>
      <c r="AE194">
        <f t="shared" si="29"/>
        <v>15.124301463500002</v>
      </c>
      <c r="AF194" s="9"/>
      <c r="AG194" s="22">
        <v>0.826569</v>
      </c>
      <c r="AH194" s="22">
        <v>122.434</v>
      </c>
      <c r="AI194" s="22">
        <v>-1.8368499999999999E-2</v>
      </c>
      <c r="AJ194" s="22">
        <v>184</v>
      </c>
      <c r="AK194" s="22">
        <v>0.82428000000000001</v>
      </c>
      <c r="AL194">
        <f t="shared" si="30"/>
        <v>18.368500000000001</v>
      </c>
      <c r="AM194">
        <f t="shared" si="31"/>
        <v>15.1828326765</v>
      </c>
      <c r="AP194" s="9"/>
      <c r="AQ194" s="22">
        <v>0.82351700000000005</v>
      </c>
      <c r="AR194" s="22">
        <v>156.703</v>
      </c>
      <c r="AS194" s="22">
        <v>4.5928999999999998E-2</v>
      </c>
      <c r="AT194" s="22">
        <v>184</v>
      </c>
      <c r="AU194" s="22">
        <v>0.38119500000000001</v>
      </c>
      <c r="AV194">
        <f t="shared" si="32"/>
        <v>-45.928999999999995</v>
      </c>
      <c r="AW194">
        <f t="shared" si="33"/>
        <v>-37.823312293000001</v>
      </c>
      <c r="AX194" s="9"/>
      <c r="AY194" s="22">
        <v>0.826569</v>
      </c>
      <c r="AZ194" s="22">
        <v>191.09</v>
      </c>
      <c r="BA194" s="22">
        <v>-7.1380599999999999E-3</v>
      </c>
      <c r="BB194" s="22">
        <v>184</v>
      </c>
      <c r="BC194" s="22">
        <v>0.83526599999999995</v>
      </c>
      <c r="BD194">
        <f t="shared" si="34"/>
        <v>7.1380600000000003</v>
      </c>
      <c r="BE194">
        <f t="shared" si="35"/>
        <v>5.9000991161399998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36.107999999999997</v>
      </c>
      <c r="I195" s="22">
        <v>4.6499600000000002E-2</v>
      </c>
      <c r="J195" s="22">
        <v>185</v>
      </c>
      <c r="K195" s="22">
        <v>0.35995500000000002</v>
      </c>
      <c r="L195">
        <f t="shared" si="24"/>
        <v>-46.499600000000001</v>
      </c>
      <c r="M195">
        <f t="shared" si="25"/>
        <v>-38.0590391076</v>
      </c>
      <c r="N195" s="9"/>
      <c r="O195" s="22">
        <v>0.83160400000000001</v>
      </c>
      <c r="P195" s="22">
        <v>70.417100000000005</v>
      </c>
      <c r="Q195" s="22">
        <v>-1.8103000000000001E-2</v>
      </c>
      <c r="R195" s="22">
        <v>185</v>
      </c>
      <c r="S195" s="22">
        <v>0.83190900000000001</v>
      </c>
      <c r="T195">
        <f t="shared" si="26"/>
        <v>18.103000000000002</v>
      </c>
      <c r="U195">
        <f t="shared" si="27"/>
        <v>15.054527212000002</v>
      </c>
      <c r="X195" s="9"/>
      <c r="Y195" s="22">
        <v>0.81848100000000001</v>
      </c>
      <c r="Z195" s="22">
        <v>104.623</v>
      </c>
      <c r="AA195" s="22">
        <v>-1.83655E-2</v>
      </c>
      <c r="AB195" s="22">
        <v>185</v>
      </c>
      <c r="AC195" s="22">
        <v>0.81787100000000001</v>
      </c>
      <c r="AD195">
        <f t="shared" si="28"/>
        <v>18.365500000000001</v>
      </c>
      <c r="AE195">
        <f t="shared" si="29"/>
        <v>15.031812805500001</v>
      </c>
      <c r="AF195" s="9"/>
      <c r="AG195" s="22">
        <v>0.83160400000000001</v>
      </c>
      <c r="AH195" s="22">
        <v>122.444</v>
      </c>
      <c r="AI195" s="22">
        <v>-1.83655E-2</v>
      </c>
      <c r="AJ195" s="22">
        <v>185</v>
      </c>
      <c r="AK195" s="22">
        <v>0.83099400000000001</v>
      </c>
      <c r="AL195">
        <f t="shared" si="30"/>
        <v>18.365500000000001</v>
      </c>
      <c r="AM195">
        <f t="shared" si="31"/>
        <v>15.272823262000001</v>
      </c>
      <c r="AP195" s="9"/>
      <c r="AQ195" s="22">
        <v>0.81848100000000001</v>
      </c>
      <c r="AR195" s="22">
        <v>156.71299999999999</v>
      </c>
      <c r="AS195" s="22">
        <v>4.5840499999999999E-2</v>
      </c>
      <c r="AT195" s="22">
        <v>185</v>
      </c>
      <c r="AU195" s="22">
        <v>0.37643399999999999</v>
      </c>
      <c r="AV195">
        <f t="shared" si="32"/>
        <v>-45.840499999999999</v>
      </c>
      <c r="AW195">
        <f t="shared" si="33"/>
        <v>-37.519578280499999</v>
      </c>
      <c r="AX195" s="9"/>
      <c r="AY195" s="22">
        <v>0.83160400000000001</v>
      </c>
      <c r="AZ195" s="22">
        <v>191.1</v>
      </c>
      <c r="BA195" s="22">
        <v>-1.13983E-2</v>
      </c>
      <c r="BB195" s="22">
        <v>185</v>
      </c>
      <c r="BC195" s="22">
        <v>0.82611100000000004</v>
      </c>
      <c r="BD195">
        <f t="shared" si="34"/>
        <v>11.398300000000001</v>
      </c>
      <c r="BE195">
        <f t="shared" si="35"/>
        <v>9.478871873200001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36.118099999999998</v>
      </c>
      <c r="I196" s="22">
        <v>4.64935E-2</v>
      </c>
      <c r="J196" s="22">
        <v>186</v>
      </c>
      <c r="K196" s="22">
        <v>0.36260999999999999</v>
      </c>
      <c r="L196">
        <f t="shared" si="24"/>
        <v>-46.493499999999997</v>
      </c>
      <c r="M196">
        <f t="shared" si="25"/>
        <v>-37.819951601</v>
      </c>
      <c r="N196" s="9"/>
      <c r="O196" s="22">
        <v>0.83663900000000002</v>
      </c>
      <c r="P196" s="22">
        <v>70.427199999999999</v>
      </c>
      <c r="Q196" s="22">
        <v>-1.8087800000000001E-2</v>
      </c>
      <c r="R196" s="22">
        <v>186</v>
      </c>
      <c r="S196" s="22">
        <v>0.83679199999999998</v>
      </c>
      <c r="T196">
        <f t="shared" si="26"/>
        <v>18.087800000000001</v>
      </c>
      <c r="U196">
        <f t="shared" si="27"/>
        <v>15.132958904200002</v>
      </c>
      <c r="X196" s="9"/>
      <c r="Y196" s="22">
        <v>0.813446</v>
      </c>
      <c r="Z196" s="22">
        <v>104.633</v>
      </c>
      <c r="AA196" s="22">
        <v>-1.8371599999999998E-2</v>
      </c>
      <c r="AB196" s="22">
        <v>186</v>
      </c>
      <c r="AC196" s="22">
        <v>0.81268300000000004</v>
      </c>
      <c r="AD196">
        <f t="shared" si="28"/>
        <v>18.371599999999997</v>
      </c>
      <c r="AE196">
        <f t="shared" si="29"/>
        <v>14.944304533599999</v>
      </c>
      <c r="AF196" s="9"/>
      <c r="AG196" s="22">
        <v>0.83663900000000002</v>
      </c>
      <c r="AH196" s="22">
        <v>122.45399999999999</v>
      </c>
      <c r="AI196" s="22">
        <v>-1.8362400000000001E-2</v>
      </c>
      <c r="AJ196" s="22">
        <v>186</v>
      </c>
      <c r="AK196" s="22">
        <v>0.83648699999999998</v>
      </c>
      <c r="AL196">
        <f t="shared" si="30"/>
        <v>18.362400000000001</v>
      </c>
      <c r="AM196">
        <f t="shared" si="31"/>
        <v>15.362699973600002</v>
      </c>
      <c r="AP196" s="9"/>
      <c r="AQ196" s="22">
        <v>0.813446</v>
      </c>
      <c r="AR196" s="22">
        <v>156.72300000000001</v>
      </c>
      <c r="AS196" s="22">
        <v>4.58374E-2</v>
      </c>
      <c r="AT196" s="22">
        <v>186</v>
      </c>
      <c r="AU196" s="22">
        <v>0.37826500000000002</v>
      </c>
      <c r="AV196">
        <f t="shared" si="32"/>
        <v>-45.837400000000002</v>
      </c>
      <c r="AW196">
        <f t="shared" si="33"/>
        <v>-37.286249680400005</v>
      </c>
      <c r="AX196" s="9"/>
      <c r="AY196" s="22">
        <v>0.83663900000000002</v>
      </c>
      <c r="AZ196" s="22">
        <v>191.11099999999999</v>
      </c>
      <c r="BA196" s="22">
        <v>-5.1208499999999997E-3</v>
      </c>
      <c r="BB196" s="22">
        <v>186</v>
      </c>
      <c r="BC196" s="22">
        <v>0.82397500000000001</v>
      </c>
      <c r="BD196">
        <f t="shared" si="34"/>
        <v>5.1208499999999999</v>
      </c>
      <c r="BE196">
        <f t="shared" si="35"/>
        <v>4.28430282315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36.128100000000003</v>
      </c>
      <c r="I197" s="22">
        <v>4.64783E-2</v>
      </c>
      <c r="J197" s="22">
        <v>187</v>
      </c>
      <c r="K197" s="22">
        <v>0.36550899999999997</v>
      </c>
      <c r="L197">
        <f t="shared" si="24"/>
        <v>-46.478299999999997</v>
      </c>
      <c r="M197">
        <f t="shared" si="25"/>
        <v>-37.573568981299999</v>
      </c>
      <c r="N197" s="9"/>
      <c r="O197" s="22">
        <v>0.84167499999999995</v>
      </c>
      <c r="P197" s="22">
        <v>70.437299999999993</v>
      </c>
      <c r="Q197" s="22">
        <v>-1.8096899999999999E-2</v>
      </c>
      <c r="R197" s="22">
        <v>187</v>
      </c>
      <c r="S197" s="22">
        <v>0.84136999999999995</v>
      </c>
      <c r="T197">
        <f t="shared" si="26"/>
        <v>18.096899999999998</v>
      </c>
      <c r="U197">
        <f t="shared" si="27"/>
        <v>15.231708307499998</v>
      </c>
      <c r="X197" s="9"/>
      <c r="Y197" s="22">
        <v>0.80841099999999999</v>
      </c>
      <c r="Z197" s="22">
        <v>104.643</v>
      </c>
      <c r="AA197" s="22">
        <v>-1.8374600000000001E-2</v>
      </c>
      <c r="AB197" s="22">
        <v>187</v>
      </c>
      <c r="AC197" s="22">
        <v>0.80779999999999996</v>
      </c>
      <c r="AD197">
        <f t="shared" si="28"/>
        <v>18.374600000000001</v>
      </c>
      <c r="AE197">
        <f t="shared" si="29"/>
        <v>14.8542287606</v>
      </c>
      <c r="AF197" s="9"/>
      <c r="AG197" s="22">
        <v>0.84167499999999995</v>
      </c>
      <c r="AH197" s="22">
        <v>122.464</v>
      </c>
      <c r="AI197" s="22">
        <v>-1.8359400000000001E-2</v>
      </c>
      <c r="AJ197" s="22">
        <v>187</v>
      </c>
      <c r="AK197" s="22">
        <v>0.84075900000000003</v>
      </c>
      <c r="AL197">
        <f t="shared" si="30"/>
        <v>18.359400000000001</v>
      </c>
      <c r="AM197">
        <f t="shared" si="31"/>
        <v>15.452647995</v>
      </c>
      <c r="AP197" s="9"/>
      <c r="AQ197" s="22">
        <v>0.80841099999999999</v>
      </c>
      <c r="AR197" s="22">
        <v>156.733</v>
      </c>
      <c r="AS197" s="22">
        <v>4.5828199999999999E-2</v>
      </c>
      <c r="AT197" s="22">
        <v>187</v>
      </c>
      <c r="AU197" s="22">
        <v>0.37780799999999998</v>
      </c>
      <c r="AV197">
        <f t="shared" si="32"/>
        <v>-45.828200000000002</v>
      </c>
      <c r="AW197">
        <f t="shared" si="33"/>
        <v>-37.048020990200001</v>
      </c>
      <c r="AX197" s="9"/>
      <c r="AY197" s="22">
        <v>0.84167499999999995</v>
      </c>
      <c r="AZ197" s="22">
        <v>191.12100000000001</v>
      </c>
      <c r="BA197" s="22">
        <v>-8.6151100000000005E-3</v>
      </c>
      <c r="BB197" s="22">
        <v>187</v>
      </c>
      <c r="BC197" s="22">
        <v>0.86212200000000005</v>
      </c>
      <c r="BD197">
        <f t="shared" si="34"/>
        <v>8.6151099999999996</v>
      </c>
      <c r="BE197">
        <f t="shared" si="35"/>
        <v>7.2511227092499988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36.138199999999998</v>
      </c>
      <c r="I198" s="22">
        <v>4.6487399999999998E-2</v>
      </c>
      <c r="J198" s="22">
        <v>188</v>
      </c>
      <c r="K198" s="22">
        <v>0.367645</v>
      </c>
      <c r="L198">
        <f t="shared" si="24"/>
        <v>-46.487400000000001</v>
      </c>
      <c r="M198">
        <f t="shared" si="25"/>
        <v>-37.346814975000001</v>
      </c>
      <c r="N198" s="9"/>
      <c r="O198" s="22">
        <v>0.84670999999999996</v>
      </c>
      <c r="P198" s="22">
        <v>70.447400000000002</v>
      </c>
      <c r="Q198" s="22">
        <v>-1.8112199999999998E-2</v>
      </c>
      <c r="R198" s="22">
        <v>188</v>
      </c>
      <c r="S198" s="22">
        <v>0.84716800000000003</v>
      </c>
      <c r="T198">
        <f t="shared" si="26"/>
        <v>18.112199999999998</v>
      </c>
      <c r="U198">
        <f t="shared" si="27"/>
        <v>15.335780861999998</v>
      </c>
      <c r="X198" s="9"/>
      <c r="Y198" s="22">
        <v>0.80337499999999995</v>
      </c>
      <c r="Z198" s="22">
        <v>104.654</v>
      </c>
      <c r="AA198" s="22">
        <v>-1.83777E-2</v>
      </c>
      <c r="AB198" s="22">
        <v>188</v>
      </c>
      <c r="AC198" s="22">
        <v>0.80291699999999999</v>
      </c>
      <c r="AD198">
        <f t="shared" si="28"/>
        <v>18.377700000000001</v>
      </c>
      <c r="AE198">
        <f t="shared" si="29"/>
        <v>14.764184737499999</v>
      </c>
      <c r="AF198" s="9"/>
      <c r="AG198" s="22">
        <v>0.84670999999999996</v>
      </c>
      <c r="AH198" s="22">
        <v>122.474</v>
      </c>
      <c r="AI198" s="22">
        <v>-1.8356299999999999E-2</v>
      </c>
      <c r="AJ198" s="22">
        <v>188</v>
      </c>
      <c r="AK198" s="22">
        <v>0.846252</v>
      </c>
      <c r="AL198">
        <f t="shared" si="30"/>
        <v>18.356299999999997</v>
      </c>
      <c r="AM198">
        <f t="shared" si="31"/>
        <v>15.542462772999997</v>
      </c>
      <c r="AP198" s="9"/>
      <c r="AQ198" s="22">
        <v>0.80337499999999995</v>
      </c>
      <c r="AR198" s="22">
        <v>156.744</v>
      </c>
      <c r="AS198" s="22">
        <v>4.5831299999999998E-2</v>
      </c>
      <c r="AT198" s="22">
        <v>188</v>
      </c>
      <c r="AU198" s="22">
        <v>0.37762499999999999</v>
      </c>
      <c r="AV198">
        <f t="shared" si="32"/>
        <v>-45.831299999999999</v>
      </c>
      <c r="AW198">
        <f t="shared" si="33"/>
        <v>-36.819720637499998</v>
      </c>
      <c r="AX198" s="9"/>
      <c r="AY198" s="22">
        <v>0.84670999999999996</v>
      </c>
      <c r="AZ198" s="22">
        <v>191.131</v>
      </c>
      <c r="BA198" s="22">
        <v>-1.56677E-2</v>
      </c>
      <c r="BB198" s="22">
        <v>188</v>
      </c>
      <c r="BC198" s="22">
        <v>0.85540799999999995</v>
      </c>
      <c r="BD198">
        <f t="shared" si="34"/>
        <v>15.6677</v>
      </c>
      <c r="BE198">
        <f t="shared" si="35"/>
        <v>13.265998266999999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36.148299999999999</v>
      </c>
      <c r="I199" s="22">
        <v>4.6484400000000002E-2</v>
      </c>
      <c r="J199" s="22">
        <v>189</v>
      </c>
      <c r="K199" s="22">
        <v>0.36151100000000003</v>
      </c>
      <c r="L199">
        <f t="shared" si="24"/>
        <v>-46.484400000000001</v>
      </c>
      <c r="M199">
        <f t="shared" si="25"/>
        <v>-37.110355896000002</v>
      </c>
      <c r="N199" s="9"/>
      <c r="O199" s="22">
        <v>0.851746</v>
      </c>
      <c r="P199" s="22">
        <v>70.457400000000007</v>
      </c>
      <c r="Q199" s="22">
        <v>-1.8100000000000002E-2</v>
      </c>
      <c r="R199" s="22">
        <v>189</v>
      </c>
      <c r="S199" s="22">
        <v>0.85143999999999997</v>
      </c>
      <c r="T199">
        <f t="shared" si="26"/>
        <v>18.100000000000001</v>
      </c>
      <c r="U199">
        <f t="shared" si="27"/>
        <v>15.416602600000001</v>
      </c>
      <c r="X199" s="9"/>
      <c r="Y199" s="22">
        <v>0.79834000000000005</v>
      </c>
      <c r="Z199" s="22">
        <v>104.664</v>
      </c>
      <c r="AA199" s="22">
        <v>-1.83777E-2</v>
      </c>
      <c r="AB199" s="22">
        <v>189</v>
      </c>
      <c r="AC199" s="22">
        <v>0.79711900000000002</v>
      </c>
      <c r="AD199">
        <f t="shared" si="28"/>
        <v>18.377700000000001</v>
      </c>
      <c r="AE199">
        <f t="shared" si="29"/>
        <v>14.671653018000002</v>
      </c>
      <c r="AF199" s="9"/>
      <c r="AG199" s="22">
        <v>0.851746</v>
      </c>
      <c r="AH199" s="22">
        <v>122.48399999999999</v>
      </c>
      <c r="AI199" s="22">
        <v>-1.8350200000000001E-2</v>
      </c>
      <c r="AJ199" s="22">
        <v>189</v>
      </c>
      <c r="AK199" s="22">
        <v>0.85113499999999997</v>
      </c>
      <c r="AL199">
        <f t="shared" si="30"/>
        <v>18.350200000000001</v>
      </c>
      <c r="AM199">
        <f t="shared" si="31"/>
        <v>15.629709449200002</v>
      </c>
      <c r="AP199" s="9"/>
      <c r="AQ199" s="22">
        <v>0.79834000000000005</v>
      </c>
      <c r="AR199" s="22">
        <v>156.75399999999999</v>
      </c>
      <c r="AS199" s="22">
        <v>4.5825200000000003E-2</v>
      </c>
      <c r="AT199" s="22">
        <v>189</v>
      </c>
      <c r="AU199" s="22">
        <v>0.380554</v>
      </c>
      <c r="AV199">
        <f t="shared" si="32"/>
        <v>-45.825200000000002</v>
      </c>
      <c r="AW199">
        <f t="shared" si="33"/>
        <v>-36.584090168000003</v>
      </c>
      <c r="AX199" s="9"/>
      <c r="AY199" s="22">
        <v>0.851746</v>
      </c>
      <c r="AZ199" s="22">
        <v>191.14099999999999</v>
      </c>
      <c r="BA199" s="22">
        <v>-1.01654E-2</v>
      </c>
      <c r="BB199" s="22">
        <v>189</v>
      </c>
      <c r="BC199" s="22">
        <v>0.84503200000000001</v>
      </c>
      <c r="BD199">
        <f t="shared" si="34"/>
        <v>10.1654</v>
      </c>
      <c r="BE199">
        <f t="shared" si="35"/>
        <v>8.6583387884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36.1584</v>
      </c>
      <c r="I200" s="22">
        <v>4.64783E-2</v>
      </c>
      <c r="J200" s="22">
        <v>190</v>
      </c>
      <c r="K200" s="22">
        <v>0.36904900000000002</v>
      </c>
      <c r="L200">
        <f t="shared" si="24"/>
        <v>-46.478299999999997</v>
      </c>
      <c r="M200">
        <f t="shared" si="25"/>
        <v>-36.871421303200002</v>
      </c>
      <c r="N200" s="9"/>
      <c r="O200" s="22">
        <v>0.85678100000000001</v>
      </c>
      <c r="P200" s="22">
        <v>70.467500000000001</v>
      </c>
      <c r="Q200" s="22">
        <v>-1.8100000000000002E-2</v>
      </c>
      <c r="R200" s="22">
        <v>190</v>
      </c>
      <c r="S200" s="22">
        <v>0.85601799999999995</v>
      </c>
      <c r="T200">
        <f t="shared" si="26"/>
        <v>18.100000000000001</v>
      </c>
      <c r="U200">
        <f t="shared" si="27"/>
        <v>15.507736100000001</v>
      </c>
      <c r="X200" s="9"/>
      <c r="Y200" s="22">
        <v>0.79330400000000001</v>
      </c>
      <c r="Z200" s="22">
        <v>104.67400000000001</v>
      </c>
      <c r="AA200" s="22">
        <v>-1.83807E-2</v>
      </c>
      <c r="AB200" s="22">
        <v>190</v>
      </c>
      <c r="AC200" s="22">
        <v>0.79162600000000005</v>
      </c>
      <c r="AD200">
        <f t="shared" si="28"/>
        <v>18.380700000000001</v>
      </c>
      <c r="AE200">
        <f t="shared" si="29"/>
        <v>14.581482832800001</v>
      </c>
      <c r="AF200" s="9"/>
      <c r="AG200" s="22">
        <v>0.85678100000000001</v>
      </c>
      <c r="AH200" s="22">
        <v>122.495</v>
      </c>
      <c r="AI200" s="22">
        <v>-1.8350200000000001E-2</v>
      </c>
      <c r="AJ200" s="22">
        <v>190</v>
      </c>
      <c r="AK200" s="22">
        <v>0.85571299999999995</v>
      </c>
      <c r="AL200">
        <f t="shared" si="30"/>
        <v>18.350200000000001</v>
      </c>
      <c r="AM200">
        <f t="shared" si="31"/>
        <v>15.722102706200001</v>
      </c>
      <c r="AP200" s="9"/>
      <c r="AQ200" s="22">
        <v>0.79330400000000001</v>
      </c>
      <c r="AR200" s="22">
        <v>156.76400000000001</v>
      </c>
      <c r="AS200" s="22">
        <v>4.57855E-2</v>
      </c>
      <c r="AT200" s="22">
        <v>190</v>
      </c>
      <c r="AU200" s="22">
        <v>0.38098100000000001</v>
      </c>
      <c r="AV200">
        <f t="shared" si="32"/>
        <v>-45.785499999999999</v>
      </c>
      <c r="AW200">
        <f t="shared" si="33"/>
        <v>-36.321820291999998</v>
      </c>
      <c r="AX200" s="9"/>
      <c r="AY200" s="22">
        <v>0.85678100000000001</v>
      </c>
      <c r="AZ200" s="22">
        <v>191.15100000000001</v>
      </c>
      <c r="BA200" s="22">
        <v>-1.2912E-2</v>
      </c>
      <c r="BB200" s="22">
        <v>190</v>
      </c>
      <c r="BC200" s="22">
        <v>0.85632299999999995</v>
      </c>
      <c r="BD200">
        <f t="shared" si="34"/>
        <v>12.911999999999999</v>
      </c>
      <c r="BE200">
        <f t="shared" si="35"/>
        <v>11.062756272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36.168399999999998</v>
      </c>
      <c r="I201" s="22">
        <v>4.6466100000000003E-2</v>
      </c>
      <c r="J201" s="22">
        <v>191</v>
      </c>
      <c r="K201" s="22">
        <v>0.36517300000000003</v>
      </c>
      <c r="L201">
        <f t="shared" si="24"/>
        <v>-46.466100000000004</v>
      </c>
      <c r="M201">
        <f t="shared" si="25"/>
        <v>-36.627786180900003</v>
      </c>
      <c r="N201" s="9"/>
      <c r="O201" s="22">
        <v>0.86181600000000003</v>
      </c>
      <c r="P201" s="22">
        <v>70.477599999999995</v>
      </c>
      <c r="Q201" s="22">
        <v>-1.8096899999999999E-2</v>
      </c>
      <c r="R201" s="22">
        <v>191</v>
      </c>
      <c r="S201" s="22">
        <v>0.86151100000000003</v>
      </c>
      <c r="T201">
        <f t="shared" si="26"/>
        <v>18.096899999999998</v>
      </c>
      <c r="U201">
        <f t="shared" si="27"/>
        <v>15.596197970399999</v>
      </c>
      <c r="X201" s="9"/>
      <c r="Y201" s="22">
        <v>0.788269</v>
      </c>
      <c r="Z201" s="22">
        <v>104.684</v>
      </c>
      <c r="AA201" s="22">
        <v>-1.8383799999999999E-2</v>
      </c>
      <c r="AB201" s="22">
        <v>191</v>
      </c>
      <c r="AC201" s="22">
        <v>0.78704799999999997</v>
      </c>
      <c r="AD201">
        <f t="shared" si="28"/>
        <v>18.383799999999997</v>
      </c>
      <c r="AE201">
        <f t="shared" si="29"/>
        <v>14.491379642199998</v>
      </c>
      <c r="AF201" s="9"/>
      <c r="AG201" s="22">
        <v>0.86181600000000003</v>
      </c>
      <c r="AH201" s="22">
        <v>122.505</v>
      </c>
      <c r="AI201" s="22">
        <v>-1.8347200000000001E-2</v>
      </c>
      <c r="AJ201" s="22">
        <v>191</v>
      </c>
      <c r="AK201" s="22">
        <v>0.86090100000000003</v>
      </c>
      <c r="AL201">
        <f t="shared" si="30"/>
        <v>18.347200000000001</v>
      </c>
      <c r="AM201">
        <f t="shared" si="31"/>
        <v>15.811910515200001</v>
      </c>
      <c r="AP201" s="9"/>
      <c r="AQ201" s="22">
        <v>0.788269</v>
      </c>
      <c r="AR201" s="22">
        <v>156.774</v>
      </c>
      <c r="AS201" s="22">
        <v>4.5797699999999997E-2</v>
      </c>
      <c r="AT201" s="22">
        <v>191</v>
      </c>
      <c r="AU201" s="22">
        <v>0.379303</v>
      </c>
      <c r="AV201">
        <f t="shared" si="32"/>
        <v>-45.797699999999999</v>
      </c>
      <c r="AW201">
        <f t="shared" si="33"/>
        <v>-36.100907181300002</v>
      </c>
      <c r="AX201" s="9"/>
      <c r="AY201" s="22">
        <v>0.86181600000000003</v>
      </c>
      <c r="AZ201" s="22">
        <v>191.161</v>
      </c>
      <c r="BA201" s="22">
        <v>-1.0263100000000001E-2</v>
      </c>
      <c r="BB201" s="22">
        <v>191</v>
      </c>
      <c r="BC201" s="22">
        <v>0.85479700000000003</v>
      </c>
      <c r="BD201">
        <f t="shared" si="34"/>
        <v>10.263100000000001</v>
      </c>
      <c r="BE201">
        <f t="shared" si="35"/>
        <v>8.8449037896000018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36.1785</v>
      </c>
      <c r="I202" s="22">
        <v>4.6469099999999999E-2</v>
      </c>
      <c r="J202" s="22">
        <v>192</v>
      </c>
      <c r="K202" s="22">
        <v>0.36227399999999998</v>
      </c>
      <c r="L202">
        <f t="shared" si="24"/>
        <v>-46.469099999999997</v>
      </c>
      <c r="M202">
        <f t="shared" si="25"/>
        <v>-36.396179069399999</v>
      </c>
      <c r="N202" s="9"/>
      <c r="O202" s="22">
        <v>0.86685199999999996</v>
      </c>
      <c r="P202" s="22">
        <v>70.4876</v>
      </c>
      <c r="Q202" s="22">
        <v>-1.8100000000000002E-2</v>
      </c>
      <c r="R202" s="22">
        <v>192</v>
      </c>
      <c r="S202" s="22">
        <v>0.86517299999999997</v>
      </c>
      <c r="T202">
        <f t="shared" si="26"/>
        <v>18.100000000000001</v>
      </c>
      <c r="U202">
        <f t="shared" si="27"/>
        <v>15.6900212</v>
      </c>
      <c r="X202" s="9"/>
      <c r="Y202" s="22">
        <v>0.78323399999999999</v>
      </c>
      <c r="Z202" s="22">
        <v>104.694</v>
      </c>
      <c r="AA202" s="22">
        <v>-1.8386799999999998E-2</v>
      </c>
      <c r="AB202" s="22">
        <v>192</v>
      </c>
      <c r="AC202" s="22">
        <v>0.78308100000000003</v>
      </c>
      <c r="AD202">
        <f t="shared" si="28"/>
        <v>18.386799999999997</v>
      </c>
      <c r="AE202">
        <f t="shared" si="29"/>
        <v>14.401166911199997</v>
      </c>
      <c r="AF202" s="9"/>
      <c r="AG202" s="22">
        <v>0.86685199999999996</v>
      </c>
      <c r="AH202" s="22">
        <v>122.515</v>
      </c>
      <c r="AI202" s="22">
        <v>-1.8350200000000001E-2</v>
      </c>
      <c r="AJ202" s="22">
        <v>192</v>
      </c>
      <c r="AK202" s="22">
        <v>0.866394</v>
      </c>
      <c r="AL202">
        <f t="shared" si="30"/>
        <v>18.350200000000001</v>
      </c>
      <c r="AM202">
        <f t="shared" si="31"/>
        <v>15.9069075704</v>
      </c>
      <c r="AP202" s="9"/>
      <c r="AQ202" s="22">
        <v>0.78323399999999999</v>
      </c>
      <c r="AR202" s="22">
        <v>156.78399999999999</v>
      </c>
      <c r="AS202" s="22">
        <v>4.5745800000000003E-2</v>
      </c>
      <c r="AT202" s="22">
        <v>192</v>
      </c>
      <c r="AU202" s="22">
        <v>0.37603799999999998</v>
      </c>
      <c r="AV202">
        <f t="shared" si="32"/>
        <v>-45.745800000000003</v>
      </c>
      <c r="AW202">
        <f t="shared" si="33"/>
        <v>-35.829665917200003</v>
      </c>
      <c r="AX202" s="9"/>
      <c r="AY202" s="22">
        <v>0.86685199999999996</v>
      </c>
      <c r="AZ202" s="22">
        <v>191.17099999999999</v>
      </c>
      <c r="BA202" s="22">
        <v>3.7338299999999998E-2</v>
      </c>
      <c r="BB202" s="22">
        <v>192</v>
      </c>
      <c r="BC202" s="22">
        <v>0.84258999999999995</v>
      </c>
      <c r="BD202">
        <f t="shared" si="34"/>
        <v>-37.338299999999997</v>
      </c>
      <c r="BE202">
        <f t="shared" si="35"/>
        <v>-32.366780031599994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36.188600000000001</v>
      </c>
      <c r="I203" s="22">
        <v>4.6408100000000001E-2</v>
      </c>
      <c r="J203" s="22">
        <v>193</v>
      </c>
      <c r="K203" s="22">
        <v>0.37075799999999998</v>
      </c>
      <c r="L203">
        <f t="shared" si="24"/>
        <v>-46.408099999999997</v>
      </c>
      <c r="M203">
        <f t="shared" si="25"/>
        <v>-36.114690603799993</v>
      </c>
      <c r="N203" s="9"/>
      <c r="O203" s="22">
        <v>0.87188699999999997</v>
      </c>
      <c r="P203" s="22">
        <v>70.497699999999995</v>
      </c>
      <c r="Q203" s="22">
        <v>-1.8090800000000001E-2</v>
      </c>
      <c r="R203" s="22">
        <v>193</v>
      </c>
      <c r="S203" s="22">
        <v>0.87066699999999997</v>
      </c>
      <c r="T203">
        <f t="shared" si="26"/>
        <v>18.090800000000002</v>
      </c>
      <c r="U203">
        <f t="shared" si="27"/>
        <v>15.773133339600001</v>
      </c>
      <c r="X203" s="9"/>
      <c r="Y203" s="22">
        <v>0.77819799999999995</v>
      </c>
      <c r="Z203" s="22">
        <v>104.70399999999999</v>
      </c>
      <c r="AA203" s="22">
        <v>-1.8389900000000001E-2</v>
      </c>
      <c r="AB203" s="22">
        <v>193</v>
      </c>
      <c r="AC203" s="22">
        <v>0.77758799999999995</v>
      </c>
      <c r="AD203">
        <f t="shared" si="28"/>
        <v>18.389900000000001</v>
      </c>
      <c r="AE203">
        <f t="shared" si="29"/>
        <v>14.3109834002</v>
      </c>
      <c r="AF203" s="9"/>
      <c r="AG203" s="22">
        <v>0.87188699999999997</v>
      </c>
      <c r="AH203" s="22">
        <v>122.52500000000001</v>
      </c>
      <c r="AI203" s="22">
        <v>-1.8344099999999999E-2</v>
      </c>
      <c r="AJ203" s="22">
        <v>193</v>
      </c>
      <c r="AK203" s="22">
        <v>0.87097199999999997</v>
      </c>
      <c r="AL203">
        <f t="shared" si="30"/>
        <v>18.344099999999997</v>
      </c>
      <c r="AM203">
        <f t="shared" si="31"/>
        <v>15.993982316699997</v>
      </c>
      <c r="AP203" s="9"/>
      <c r="AQ203" s="22">
        <v>0.77819799999999995</v>
      </c>
      <c r="AR203" s="22">
        <v>156.79400000000001</v>
      </c>
      <c r="AS203" s="22">
        <v>4.5687899999999997E-2</v>
      </c>
      <c r="AT203" s="22">
        <v>193</v>
      </c>
      <c r="AU203" s="22">
        <v>0.37875399999999998</v>
      </c>
      <c r="AV203">
        <f t="shared" si="32"/>
        <v>-45.687899999999999</v>
      </c>
      <c r="AW203">
        <f t="shared" si="33"/>
        <v>-35.554232404199993</v>
      </c>
      <c r="AX203" s="9"/>
      <c r="AY203" s="22">
        <v>0.87188699999999997</v>
      </c>
      <c r="AZ203" s="22">
        <v>191.18100000000001</v>
      </c>
      <c r="BA203" s="22">
        <v>2.4670399999999999E-2</v>
      </c>
      <c r="BB203" s="22">
        <v>193</v>
      </c>
      <c r="BC203" s="22">
        <v>0.89111300000000004</v>
      </c>
      <c r="BD203">
        <f t="shared" si="34"/>
        <v>-24.670399999999997</v>
      </c>
      <c r="BE203">
        <f t="shared" si="35"/>
        <v>-21.509801044799996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36.198599999999999</v>
      </c>
      <c r="I204" s="22">
        <v>4.6429400000000003E-2</v>
      </c>
      <c r="J204" s="22">
        <v>194</v>
      </c>
      <c r="K204" s="22">
        <v>0.36950699999999997</v>
      </c>
      <c r="L204">
        <f t="shared" ref="L204:L267" si="36">-I204/$F$2*1000</f>
        <v>-46.429400000000001</v>
      </c>
      <c r="M204">
        <f t="shared" ref="M204:M267" si="37">L204*G204</f>
        <v>-35.8974941922</v>
      </c>
      <c r="N204" s="9"/>
      <c r="O204" s="22">
        <v>0.87692300000000001</v>
      </c>
      <c r="P204" s="22">
        <v>70.507800000000003</v>
      </c>
      <c r="Q204" s="22">
        <v>-1.8096899999999999E-2</v>
      </c>
      <c r="R204" s="22">
        <v>194</v>
      </c>
      <c r="S204" s="22">
        <v>0.87554900000000002</v>
      </c>
      <c r="T204">
        <f t="shared" ref="T204:T267" si="38">-Q204/$F$2*1000</f>
        <v>18.096899999999998</v>
      </c>
      <c r="U204">
        <f t="shared" ref="U204:U267" si="39">T204*O204</f>
        <v>15.869587838699998</v>
      </c>
      <c r="X204" s="9"/>
      <c r="Y204" s="22">
        <v>0.77316300000000004</v>
      </c>
      <c r="Z204" s="22">
        <v>104.714</v>
      </c>
      <c r="AA204" s="22">
        <v>-1.83929E-2</v>
      </c>
      <c r="AB204" s="22">
        <v>194</v>
      </c>
      <c r="AC204" s="22">
        <v>0.77209499999999998</v>
      </c>
      <c r="AD204">
        <f t="shared" ref="AD204:AD267" si="40">-AA204/$F$2*1000</f>
        <v>18.392900000000001</v>
      </c>
      <c r="AE204">
        <f t="shared" ref="AE204:AE267" si="41">AD204*Y204</f>
        <v>14.220709742700002</v>
      </c>
      <c r="AF204" s="9"/>
      <c r="AG204" s="22">
        <v>0.87692300000000001</v>
      </c>
      <c r="AH204" s="22">
        <v>122.535</v>
      </c>
      <c r="AI204" s="22">
        <v>-1.8344099999999999E-2</v>
      </c>
      <c r="AJ204" s="22">
        <v>194</v>
      </c>
      <c r="AK204" s="22">
        <v>0.87554900000000002</v>
      </c>
      <c r="AL204">
        <f t="shared" ref="AL204:AL267" si="42">-AI204/$F$2*1000</f>
        <v>18.344099999999997</v>
      </c>
      <c r="AM204">
        <f t="shared" ref="AM204:AM267" si="43">AL204*AG204</f>
        <v>16.0863632043</v>
      </c>
      <c r="AP204" s="9"/>
      <c r="AQ204" s="22">
        <v>0.77316300000000004</v>
      </c>
      <c r="AR204" s="22">
        <v>156.804</v>
      </c>
      <c r="AS204" s="22">
        <v>4.5681800000000002E-2</v>
      </c>
      <c r="AT204" s="22">
        <v>194</v>
      </c>
      <c r="AU204" s="22">
        <v>0.37478600000000001</v>
      </c>
      <c r="AV204">
        <f t="shared" ref="AV204:AV267" si="44">-AS204/$F$2*1000</f>
        <v>-45.681800000000003</v>
      </c>
      <c r="AW204">
        <f t="shared" ref="AW204:AW267" si="45">AV204*AQ204</f>
        <v>-35.319477533400004</v>
      </c>
      <c r="AX204" s="9"/>
      <c r="AY204" s="22">
        <v>0.87692300000000001</v>
      </c>
      <c r="AZ204" s="22">
        <v>191.191</v>
      </c>
      <c r="BA204" s="22">
        <v>4.93713E-2</v>
      </c>
      <c r="BB204" s="22">
        <v>194</v>
      </c>
      <c r="BC204" s="22">
        <v>0.88653599999999999</v>
      </c>
      <c r="BD204">
        <f t="shared" ref="BD204:BD267" si="46">-BA204/$F$2*1000</f>
        <v>-49.371299999999998</v>
      </c>
      <c r="BE204">
        <f t="shared" ref="BE204:BE267" si="47">BD204*AY204</f>
        <v>-43.2948285099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36.2087</v>
      </c>
      <c r="I205" s="22">
        <v>4.6435499999999998E-2</v>
      </c>
      <c r="J205" s="22">
        <v>195</v>
      </c>
      <c r="K205" s="22">
        <v>0.37173499999999998</v>
      </c>
      <c r="L205">
        <f t="shared" si="36"/>
        <v>-46.435499999999998</v>
      </c>
      <c r="M205">
        <f t="shared" si="37"/>
        <v>-35.668361308499996</v>
      </c>
      <c r="N205" s="9"/>
      <c r="O205" s="22">
        <v>0.88195800000000002</v>
      </c>
      <c r="P205" s="22">
        <v>70.517899999999997</v>
      </c>
      <c r="Q205" s="22">
        <v>-1.8096899999999999E-2</v>
      </c>
      <c r="R205" s="22">
        <v>195</v>
      </c>
      <c r="S205" s="22">
        <v>0.88165300000000002</v>
      </c>
      <c r="T205">
        <f t="shared" si="38"/>
        <v>18.096899999999998</v>
      </c>
      <c r="U205">
        <f t="shared" si="39"/>
        <v>15.960705730199999</v>
      </c>
      <c r="X205" s="9"/>
      <c r="Y205" s="22">
        <v>0.768127</v>
      </c>
      <c r="Z205" s="22">
        <v>104.724</v>
      </c>
      <c r="AA205" s="22">
        <v>-1.8395999999999999E-2</v>
      </c>
      <c r="AB205" s="22">
        <v>195</v>
      </c>
      <c r="AC205" s="22">
        <v>0.767517</v>
      </c>
      <c r="AD205">
        <f t="shared" si="40"/>
        <v>18.396000000000001</v>
      </c>
      <c r="AE205">
        <f t="shared" si="41"/>
        <v>14.130464292000001</v>
      </c>
      <c r="AF205" s="9"/>
      <c r="AG205" s="22">
        <v>0.88195800000000002</v>
      </c>
      <c r="AH205" s="22">
        <v>122.545</v>
      </c>
      <c r="AI205" s="22">
        <v>-1.8341099999999999E-2</v>
      </c>
      <c r="AJ205" s="22">
        <v>195</v>
      </c>
      <c r="AK205" s="22">
        <v>0.88073699999999999</v>
      </c>
      <c r="AL205">
        <f t="shared" si="42"/>
        <v>18.341099999999997</v>
      </c>
      <c r="AM205">
        <f t="shared" si="43"/>
        <v>16.176079873799999</v>
      </c>
      <c r="AP205" s="9"/>
      <c r="AQ205" s="22">
        <v>0.768127</v>
      </c>
      <c r="AR205" s="22">
        <v>156.81399999999999</v>
      </c>
      <c r="AS205" s="22">
        <v>4.5660399999999997E-2</v>
      </c>
      <c r="AT205" s="22">
        <v>195</v>
      </c>
      <c r="AU205" s="22">
        <v>0.378998</v>
      </c>
      <c r="AV205">
        <f t="shared" si="44"/>
        <v>-45.660399999999996</v>
      </c>
      <c r="AW205">
        <f t="shared" si="45"/>
        <v>-35.072986070799999</v>
      </c>
      <c r="AX205" s="9"/>
      <c r="AY205" s="22">
        <v>0.88195800000000002</v>
      </c>
      <c r="AZ205" s="22">
        <v>191.20099999999999</v>
      </c>
      <c r="BA205" s="22">
        <v>7.1579000000000004E-2</v>
      </c>
      <c r="BB205" s="22">
        <v>195</v>
      </c>
      <c r="BC205" s="22">
        <v>0.87921099999999996</v>
      </c>
      <c r="BD205">
        <f t="shared" si="46"/>
        <v>-71.579000000000008</v>
      </c>
      <c r="BE205">
        <f t="shared" si="47"/>
        <v>-63.129671682000009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36.218800000000002</v>
      </c>
      <c r="I206" s="22">
        <v>4.6438599999999997E-2</v>
      </c>
      <c r="J206" s="22">
        <v>196</v>
      </c>
      <c r="K206" s="22">
        <v>0.362091</v>
      </c>
      <c r="L206">
        <f t="shared" si="36"/>
        <v>-46.438599999999994</v>
      </c>
      <c r="M206">
        <f t="shared" si="37"/>
        <v>-35.436924151199996</v>
      </c>
      <c r="N206" s="9"/>
      <c r="O206" s="22">
        <v>0.88699300000000003</v>
      </c>
      <c r="P206" s="22">
        <v>70.527900000000002</v>
      </c>
      <c r="Q206" s="22">
        <v>-1.8100000000000002E-2</v>
      </c>
      <c r="R206" s="22">
        <v>196</v>
      </c>
      <c r="S206" s="22">
        <v>0.88531499999999996</v>
      </c>
      <c r="T206">
        <f t="shared" si="38"/>
        <v>18.100000000000001</v>
      </c>
      <c r="U206">
        <f t="shared" si="39"/>
        <v>16.054573300000001</v>
      </c>
      <c r="X206" s="9"/>
      <c r="Y206" s="22">
        <v>0.76309199999999999</v>
      </c>
      <c r="Z206" s="22">
        <v>104.73399999999999</v>
      </c>
      <c r="AA206" s="22">
        <v>-1.8395999999999999E-2</v>
      </c>
      <c r="AB206" s="22">
        <v>196</v>
      </c>
      <c r="AC206" s="22">
        <v>0.76263400000000003</v>
      </c>
      <c r="AD206">
        <f t="shared" si="40"/>
        <v>18.396000000000001</v>
      </c>
      <c r="AE206">
        <f t="shared" si="41"/>
        <v>14.037840432000001</v>
      </c>
      <c r="AF206" s="9"/>
      <c r="AG206" s="22">
        <v>0.88699300000000003</v>
      </c>
      <c r="AH206" s="22">
        <v>122.55500000000001</v>
      </c>
      <c r="AI206" s="22">
        <v>-1.8341099999999999E-2</v>
      </c>
      <c r="AJ206" s="22">
        <v>196</v>
      </c>
      <c r="AK206" s="22">
        <v>0.88653599999999999</v>
      </c>
      <c r="AL206">
        <f t="shared" si="42"/>
        <v>18.341099999999997</v>
      </c>
      <c r="AM206">
        <f t="shared" si="43"/>
        <v>16.268427312299998</v>
      </c>
      <c r="AP206" s="9"/>
      <c r="AQ206" s="22">
        <v>0.76309199999999999</v>
      </c>
      <c r="AR206" s="22">
        <v>156.82400000000001</v>
      </c>
      <c r="AS206" s="22">
        <v>4.5626800000000002E-2</v>
      </c>
      <c r="AT206" s="22">
        <v>196</v>
      </c>
      <c r="AU206" s="22">
        <v>0.379944</v>
      </c>
      <c r="AV206">
        <f t="shared" si="44"/>
        <v>-45.626800000000003</v>
      </c>
      <c r="AW206">
        <f t="shared" si="45"/>
        <v>-34.817446065600002</v>
      </c>
      <c r="AX206" s="9"/>
      <c r="AY206" s="22">
        <v>0.88699300000000003</v>
      </c>
      <c r="AZ206" s="22">
        <v>191.21100000000001</v>
      </c>
      <c r="BA206" s="22">
        <v>-1.8221999999999999E-2</v>
      </c>
      <c r="BB206" s="22">
        <v>196</v>
      </c>
      <c r="BC206" s="22">
        <v>0.88592499999999996</v>
      </c>
      <c r="BD206">
        <f t="shared" si="46"/>
        <v>18.221999999999998</v>
      </c>
      <c r="BE206">
        <f t="shared" si="47"/>
        <v>16.162786445999998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36.2288</v>
      </c>
      <c r="I207" s="22">
        <v>4.6435499999999998E-2</v>
      </c>
      <c r="J207" s="22">
        <v>197</v>
      </c>
      <c r="K207" s="22">
        <v>0.36645499999999998</v>
      </c>
      <c r="L207">
        <f t="shared" si="36"/>
        <v>-46.435499999999998</v>
      </c>
      <c r="M207">
        <f t="shared" si="37"/>
        <v>-35.200755823499996</v>
      </c>
      <c r="N207" s="9"/>
      <c r="O207" s="22">
        <v>0.89202899999999996</v>
      </c>
      <c r="P207" s="22">
        <v>70.537999999999997</v>
      </c>
      <c r="Q207" s="22">
        <v>-1.8096899999999999E-2</v>
      </c>
      <c r="R207" s="22">
        <v>197</v>
      </c>
      <c r="S207" s="22">
        <v>0.89172399999999996</v>
      </c>
      <c r="T207">
        <f t="shared" si="38"/>
        <v>18.096899999999998</v>
      </c>
      <c r="U207">
        <f t="shared" si="39"/>
        <v>16.142959610099997</v>
      </c>
      <c r="X207" s="9"/>
      <c r="Y207" s="22">
        <v>0.75805699999999998</v>
      </c>
      <c r="Z207" s="22">
        <v>104.744</v>
      </c>
      <c r="AA207" s="22">
        <v>-1.8402100000000001E-2</v>
      </c>
      <c r="AB207" s="22">
        <v>197</v>
      </c>
      <c r="AC207" s="22">
        <v>0.75744599999999995</v>
      </c>
      <c r="AD207">
        <f t="shared" si="40"/>
        <v>18.402100000000001</v>
      </c>
      <c r="AE207">
        <f t="shared" si="41"/>
        <v>13.949840719700001</v>
      </c>
      <c r="AF207" s="9"/>
      <c r="AG207" s="22">
        <v>0.89202899999999996</v>
      </c>
      <c r="AH207" s="22">
        <v>122.565</v>
      </c>
      <c r="AI207" s="22">
        <v>-1.8338E-2</v>
      </c>
      <c r="AJ207" s="22">
        <v>197</v>
      </c>
      <c r="AK207" s="22">
        <v>0.89172399999999996</v>
      </c>
      <c r="AL207">
        <f t="shared" si="42"/>
        <v>18.338000000000001</v>
      </c>
      <c r="AM207">
        <f t="shared" si="43"/>
        <v>16.358027801999999</v>
      </c>
      <c r="AP207" s="9"/>
      <c r="AQ207" s="22">
        <v>0.75805699999999998</v>
      </c>
      <c r="AR207" s="22">
        <v>156.834</v>
      </c>
      <c r="AS207" s="22">
        <v>4.5645100000000001E-2</v>
      </c>
      <c r="AT207" s="22">
        <v>197</v>
      </c>
      <c r="AU207" s="22">
        <v>0.37823499999999999</v>
      </c>
      <c r="AV207">
        <f t="shared" si="44"/>
        <v>-45.645099999999999</v>
      </c>
      <c r="AW207">
        <f t="shared" si="45"/>
        <v>-34.601587570699998</v>
      </c>
      <c r="AX207" s="9"/>
      <c r="AY207" s="22">
        <v>0.89202899999999996</v>
      </c>
      <c r="AZ207" s="22">
        <v>191.221</v>
      </c>
      <c r="BA207" s="22">
        <v>-1.8221999999999999E-2</v>
      </c>
      <c r="BB207" s="22">
        <v>197</v>
      </c>
      <c r="BC207" s="22">
        <v>0.89141800000000004</v>
      </c>
      <c r="BD207">
        <f t="shared" si="46"/>
        <v>18.221999999999998</v>
      </c>
      <c r="BE207">
        <f t="shared" si="47"/>
        <v>16.254552437999997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36.238900000000001</v>
      </c>
      <c r="I208" s="22">
        <v>4.6435499999999998E-2</v>
      </c>
      <c r="J208" s="22">
        <v>198</v>
      </c>
      <c r="K208" s="22">
        <v>0.369751</v>
      </c>
      <c r="L208">
        <f t="shared" si="36"/>
        <v>-46.435499999999998</v>
      </c>
      <c r="M208">
        <f t="shared" si="37"/>
        <v>-34.966906645500003</v>
      </c>
      <c r="N208" s="9"/>
      <c r="O208" s="22">
        <v>0.89706399999999997</v>
      </c>
      <c r="P208" s="22">
        <v>70.548100000000005</v>
      </c>
      <c r="Q208" s="22">
        <v>-1.8090800000000001E-2</v>
      </c>
      <c r="R208" s="22">
        <v>198</v>
      </c>
      <c r="S208" s="22">
        <v>0.89630100000000001</v>
      </c>
      <c r="T208">
        <f t="shared" si="38"/>
        <v>18.090800000000002</v>
      </c>
      <c r="U208">
        <f t="shared" si="39"/>
        <v>16.2286054112</v>
      </c>
      <c r="X208" s="9"/>
      <c r="Y208" s="22">
        <v>0.75302100000000005</v>
      </c>
      <c r="Z208" s="22">
        <v>104.754</v>
      </c>
      <c r="AA208" s="22">
        <v>-1.84052E-2</v>
      </c>
      <c r="AB208" s="22">
        <v>198</v>
      </c>
      <c r="AC208" s="22">
        <v>0.75225799999999998</v>
      </c>
      <c r="AD208">
        <f t="shared" si="40"/>
        <v>18.405200000000001</v>
      </c>
      <c r="AE208">
        <f t="shared" si="41"/>
        <v>13.859502109200001</v>
      </c>
      <c r="AF208" s="9"/>
      <c r="AG208" s="22">
        <v>0.89706399999999997</v>
      </c>
      <c r="AH208" s="22">
        <v>122.575</v>
      </c>
      <c r="AI208" s="22">
        <v>-1.8338E-2</v>
      </c>
      <c r="AJ208" s="22">
        <v>198</v>
      </c>
      <c r="AK208" s="22">
        <v>0.89630100000000001</v>
      </c>
      <c r="AL208">
        <f t="shared" si="42"/>
        <v>18.338000000000001</v>
      </c>
      <c r="AM208">
        <f t="shared" si="43"/>
        <v>16.450359632000001</v>
      </c>
      <c r="AP208" s="9"/>
      <c r="AQ208" s="22">
        <v>0.75302100000000005</v>
      </c>
      <c r="AR208" s="22">
        <v>156.84399999999999</v>
      </c>
      <c r="AS208" s="22">
        <v>4.5629900000000001E-2</v>
      </c>
      <c r="AT208" s="22">
        <v>198</v>
      </c>
      <c r="AU208" s="22">
        <v>0.38015700000000002</v>
      </c>
      <c r="AV208">
        <f t="shared" si="44"/>
        <v>-45.629899999999999</v>
      </c>
      <c r="AW208">
        <f t="shared" si="45"/>
        <v>-34.360272927899999</v>
      </c>
      <c r="AX208" s="9"/>
      <c r="AY208" s="22">
        <v>0.89706399999999997</v>
      </c>
      <c r="AZ208" s="22">
        <v>191.23099999999999</v>
      </c>
      <c r="BA208" s="22">
        <v>-1.8225100000000001E-2</v>
      </c>
      <c r="BB208" s="22">
        <v>198</v>
      </c>
      <c r="BC208" s="22">
        <v>0.89630100000000001</v>
      </c>
      <c r="BD208">
        <f t="shared" si="46"/>
        <v>18.225100000000001</v>
      </c>
      <c r="BE208">
        <f t="shared" si="47"/>
        <v>16.3490811064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36.249000000000002</v>
      </c>
      <c r="I209" s="22">
        <v>4.6429400000000003E-2</v>
      </c>
      <c r="J209" s="22">
        <v>199</v>
      </c>
      <c r="K209" s="22">
        <v>0.36526500000000001</v>
      </c>
      <c r="L209">
        <f t="shared" si="36"/>
        <v>-46.429400000000001</v>
      </c>
      <c r="M209">
        <f t="shared" si="37"/>
        <v>-34.728541188400001</v>
      </c>
      <c r="N209" s="9"/>
      <c r="O209" s="22">
        <v>0.90210000000000001</v>
      </c>
      <c r="P209" s="22">
        <v>70.558099999999996</v>
      </c>
      <c r="Q209" s="22">
        <v>-1.8087800000000001E-2</v>
      </c>
      <c r="R209" s="22">
        <v>199</v>
      </c>
      <c r="S209" s="22">
        <v>0.90026899999999999</v>
      </c>
      <c r="T209">
        <f t="shared" si="38"/>
        <v>18.087800000000001</v>
      </c>
      <c r="U209">
        <f t="shared" si="39"/>
        <v>16.31700438</v>
      </c>
      <c r="X209" s="9"/>
      <c r="Y209" s="22">
        <v>0.74798600000000004</v>
      </c>
      <c r="Z209" s="22">
        <v>104.764</v>
      </c>
      <c r="AA209" s="22">
        <v>-1.84052E-2</v>
      </c>
      <c r="AB209" s="22">
        <v>199</v>
      </c>
      <c r="AC209" s="22">
        <v>0.74755899999999997</v>
      </c>
      <c r="AD209">
        <f t="shared" si="40"/>
        <v>18.405200000000001</v>
      </c>
      <c r="AE209">
        <f t="shared" si="41"/>
        <v>13.766831927200002</v>
      </c>
      <c r="AF209" s="9"/>
      <c r="AG209" s="22">
        <v>0.90210000000000001</v>
      </c>
      <c r="AH209" s="22">
        <v>122.58499999999999</v>
      </c>
      <c r="AI209" s="22">
        <v>-1.8331900000000002E-2</v>
      </c>
      <c r="AJ209" s="22">
        <v>199</v>
      </c>
      <c r="AK209" s="22">
        <v>0.90087899999999999</v>
      </c>
      <c r="AL209">
        <f t="shared" si="42"/>
        <v>18.331900000000001</v>
      </c>
      <c r="AM209">
        <f t="shared" si="43"/>
        <v>16.537206990000001</v>
      </c>
      <c r="AP209" s="9"/>
      <c r="AQ209" s="22">
        <v>0.74798600000000004</v>
      </c>
      <c r="AR209" s="22">
        <v>156.85400000000001</v>
      </c>
      <c r="AS209" s="22">
        <v>4.5614599999999998E-2</v>
      </c>
      <c r="AT209" s="22">
        <v>199</v>
      </c>
      <c r="AU209" s="22">
        <v>0.37796000000000002</v>
      </c>
      <c r="AV209">
        <f t="shared" si="44"/>
        <v>-45.614599999999996</v>
      </c>
      <c r="AW209">
        <f t="shared" si="45"/>
        <v>-34.119082195600001</v>
      </c>
      <c r="AX209" s="9"/>
      <c r="AY209" s="22">
        <v>0.90210000000000001</v>
      </c>
      <c r="AZ209" s="22">
        <v>191.24100000000001</v>
      </c>
      <c r="BA209" s="22">
        <v>-1.8218999999999999E-2</v>
      </c>
      <c r="BB209" s="22">
        <v>199</v>
      </c>
      <c r="BC209" s="22">
        <v>0.90179399999999998</v>
      </c>
      <c r="BD209">
        <f t="shared" si="46"/>
        <v>18.218999999999998</v>
      </c>
      <c r="BE209">
        <f t="shared" si="47"/>
        <v>16.435359899999998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36.259099999999997</v>
      </c>
      <c r="I210" s="22">
        <v>4.6420299999999998E-2</v>
      </c>
      <c r="J210" s="22">
        <v>200</v>
      </c>
      <c r="K210" s="22">
        <v>0.364838</v>
      </c>
      <c r="L210">
        <f t="shared" si="36"/>
        <v>-46.420299999999997</v>
      </c>
      <c r="M210">
        <f t="shared" si="37"/>
        <v>-34.487961884999997</v>
      </c>
      <c r="N210" s="9"/>
      <c r="O210" s="22">
        <v>0.90713500000000002</v>
      </c>
      <c r="P210" s="22">
        <v>70.568200000000004</v>
      </c>
      <c r="Q210" s="22">
        <v>-1.8084699999999999E-2</v>
      </c>
      <c r="R210" s="22">
        <v>200</v>
      </c>
      <c r="S210" s="22">
        <v>0.90576199999999996</v>
      </c>
      <c r="T210">
        <f t="shared" si="38"/>
        <v>18.084699999999998</v>
      </c>
      <c r="U210">
        <f t="shared" si="39"/>
        <v>16.4052643345</v>
      </c>
      <c r="X210" s="9"/>
      <c r="Y210" s="22">
        <v>0.74295</v>
      </c>
      <c r="Z210" s="22">
        <v>104.774</v>
      </c>
      <c r="AA210" s="22">
        <v>-1.84052E-2</v>
      </c>
      <c r="AB210" s="22">
        <v>200</v>
      </c>
      <c r="AC210" s="22">
        <v>0.74218799999999996</v>
      </c>
      <c r="AD210">
        <f t="shared" si="40"/>
        <v>18.405200000000001</v>
      </c>
      <c r="AE210">
        <f t="shared" si="41"/>
        <v>13.674143340000001</v>
      </c>
      <c r="AF210" s="9"/>
      <c r="AG210" s="22">
        <v>0.90713500000000002</v>
      </c>
      <c r="AH210" s="22">
        <v>122.595</v>
      </c>
      <c r="AI210" s="22">
        <v>-1.8331900000000002E-2</v>
      </c>
      <c r="AJ210" s="22">
        <v>200</v>
      </c>
      <c r="AK210" s="22">
        <v>0.90606699999999996</v>
      </c>
      <c r="AL210">
        <f t="shared" si="42"/>
        <v>18.331900000000001</v>
      </c>
      <c r="AM210">
        <f t="shared" si="43"/>
        <v>16.629508106500001</v>
      </c>
      <c r="AP210" s="9"/>
      <c r="AQ210" s="22">
        <v>0.74295</v>
      </c>
      <c r="AR210" s="22">
        <v>156.864</v>
      </c>
      <c r="AS210" s="22">
        <v>4.5626800000000002E-2</v>
      </c>
      <c r="AT210" s="22">
        <v>200</v>
      </c>
      <c r="AU210" s="22">
        <v>0.37875399999999998</v>
      </c>
      <c r="AV210">
        <f t="shared" si="44"/>
        <v>-45.626800000000003</v>
      </c>
      <c r="AW210">
        <f t="shared" si="45"/>
        <v>-33.89843106</v>
      </c>
      <c r="AX210" s="9"/>
      <c r="AY210" s="22">
        <v>0.90713500000000002</v>
      </c>
      <c r="AZ210" s="22">
        <v>191.25200000000001</v>
      </c>
      <c r="BA210" s="22">
        <v>-1.82159E-2</v>
      </c>
      <c r="BB210" s="22">
        <v>200</v>
      </c>
      <c r="BC210" s="22">
        <v>0.90637199999999996</v>
      </c>
      <c r="BD210">
        <f t="shared" si="46"/>
        <v>18.215900000000001</v>
      </c>
      <c r="BE210">
        <f t="shared" si="47"/>
        <v>16.524280446500001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36.269100000000002</v>
      </c>
      <c r="I211" s="22">
        <v>4.6417199999999999E-2</v>
      </c>
      <c r="J211" s="22">
        <v>201</v>
      </c>
      <c r="K211" s="22">
        <v>0.36614999999999998</v>
      </c>
      <c r="L211">
        <f t="shared" si="36"/>
        <v>-46.417200000000001</v>
      </c>
      <c r="M211">
        <f t="shared" si="37"/>
        <v>-34.251948138000003</v>
      </c>
      <c r="N211" s="9"/>
      <c r="O211" s="22">
        <v>0.91217000000000004</v>
      </c>
      <c r="P211" s="22">
        <v>70.578299999999999</v>
      </c>
      <c r="Q211" s="22">
        <v>-1.8069499999999999E-2</v>
      </c>
      <c r="R211" s="22">
        <v>201</v>
      </c>
      <c r="S211" s="22">
        <v>0.91156000000000004</v>
      </c>
      <c r="T211">
        <f t="shared" si="38"/>
        <v>18.069499999999998</v>
      </c>
      <c r="U211">
        <f t="shared" si="39"/>
        <v>16.482455814999998</v>
      </c>
      <c r="X211" s="9"/>
      <c r="Y211" s="22">
        <v>0.73791499999999999</v>
      </c>
      <c r="Z211" s="22">
        <v>104.78400000000001</v>
      </c>
      <c r="AA211" s="22">
        <v>-1.84082E-2</v>
      </c>
      <c r="AB211" s="22">
        <v>201</v>
      </c>
      <c r="AC211" s="22">
        <v>0.73684700000000003</v>
      </c>
      <c r="AD211">
        <f t="shared" si="40"/>
        <v>18.408200000000001</v>
      </c>
      <c r="AE211">
        <f t="shared" si="41"/>
        <v>13.583686903</v>
      </c>
      <c r="AF211" s="9"/>
      <c r="AG211" s="22">
        <v>0.91217000000000004</v>
      </c>
      <c r="AH211" s="22">
        <v>122.605</v>
      </c>
      <c r="AI211" s="22">
        <v>-1.8328899999999999E-2</v>
      </c>
      <c r="AJ211" s="22">
        <v>201</v>
      </c>
      <c r="AK211" s="22">
        <v>0.91125500000000004</v>
      </c>
      <c r="AL211">
        <f t="shared" si="42"/>
        <v>18.328899999999997</v>
      </c>
      <c r="AM211">
        <f t="shared" si="43"/>
        <v>16.719072712999999</v>
      </c>
      <c r="AP211" s="9"/>
      <c r="AQ211" s="22">
        <v>0.73791499999999999</v>
      </c>
      <c r="AR211" s="22">
        <v>156.874</v>
      </c>
      <c r="AS211" s="22">
        <v>4.5574999999999997E-2</v>
      </c>
      <c r="AT211" s="22">
        <v>201</v>
      </c>
      <c r="AU211" s="22">
        <v>0.38104199999999999</v>
      </c>
      <c r="AV211">
        <f t="shared" si="44"/>
        <v>-45.574999999999996</v>
      </c>
      <c r="AW211">
        <f t="shared" si="45"/>
        <v>-33.630476124999994</v>
      </c>
      <c r="AX211" s="9"/>
      <c r="AY211" s="22">
        <v>0.91217000000000004</v>
      </c>
      <c r="AZ211" s="22">
        <v>191.262</v>
      </c>
      <c r="BA211" s="22">
        <v>-1.80786E-2</v>
      </c>
      <c r="BB211" s="22">
        <v>201</v>
      </c>
      <c r="BC211" s="22">
        <v>0.91339099999999995</v>
      </c>
      <c r="BD211">
        <f t="shared" si="46"/>
        <v>18.078600000000002</v>
      </c>
      <c r="BE211">
        <f t="shared" si="47"/>
        <v>16.490756562000001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36.279200000000003</v>
      </c>
      <c r="I212" s="22">
        <v>4.6414200000000003E-2</v>
      </c>
      <c r="J212" s="22">
        <v>202</v>
      </c>
      <c r="K212" s="22">
        <v>0.37081900000000001</v>
      </c>
      <c r="L212">
        <f t="shared" si="36"/>
        <v>-46.414200000000001</v>
      </c>
      <c r="M212">
        <f t="shared" si="37"/>
        <v>-34.016038895999998</v>
      </c>
      <c r="N212" s="9"/>
      <c r="O212" s="22">
        <v>0.91720599999999997</v>
      </c>
      <c r="P212" s="22">
        <v>70.588399999999993</v>
      </c>
      <c r="Q212" s="22">
        <v>-1.8072499999999998E-2</v>
      </c>
      <c r="R212" s="22">
        <v>202</v>
      </c>
      <c r="S212" s="22">
        <v>0.91705300000000001</v>
      </c>
      <c r="T212">
        <f t="shared" si="38"/>
        <v>18.072499999999998</v>
      </c>
      <c r="U212">
        <f t="shared" si="39"/>
        <v>16.576205434999999</v>
      </c>
      <c r="X212" s="9"/>
      <c r="Y212" s="22">
        <v>0.73287999999999998</v>
      </c>
      <c r="Z212" s="22">
        <v>104.795</v>
      </c>
      <c r="AA212" s="22">
        <v>-1.8411299999999999E-2</v>
      </c>
      <c r="AB212" s="22">
        <v>202</v>
      </c>
      <c r="AC212" s="22">
        <v>0.73254399999999997</v>
      </c>
      <c r="AD212">
        <f t="shared" si="40"/>
        <v>18.411299999999997</v>
      </c>
      <c r="AE212">
        <f t="shared" si="41"/>
        <v>13.493273543999997</v>
      </c>
      <c r="AF212" s="9"/>
      <c r="AG212" s="22">
        <v>0.91720599999999997</v>
      </c>
      <c r="AH212" s="22">
        <v>122.61499999999999</v>
      </c>
      <c r="AI212" s="22">
        <v>-1.8328899999999999E-2</v>
      </c>
      <c r="AJ212" s="22">
        <v>202</v>
      </c>
      <c r="AK212" s="22">
        <v>0.91613800000000001</v>
      </c>
      <c r="AL212">
        <f t="shared" si="42"/>
        <v>18.328899999999997</v>
      </c>
      <c r="AM212">
        <f t="shared" si="43"/>
        <v>16.811377053399998</v>
      </c>
      <c r="AP212" s="9"/>
      <c r="AQ212" s="22">
        <v>0.73287999999999998</v>
      </c>
      <c r="AR212" s="22">
        <v>156.88399999999999</v>
      </c>
      <c r="AS212" s="22">
        <v>4.5599399999999998E-2</v>
      </c>
      <c r="AT212" s="22">
        <v>202</v>
      </c>
      <c r="AU212" s="22">
        <v>0.37942500000000001</v>
      </c>
      <c r="AV212">
        <f t="shared" si="44"/>
        <v>-45.599399999999996</v>
      </c>
      <c r="AW212">
        <f t="shared" si="45"/>
        <v>-33.418888271999997</v>
      </c>
      <c r="AX212" s="9"/>
      <c r="AY212" s="22">
        <v>0.91720599999999997</v>
      </c>
      <c r="AZ212" s="22">
        <v>191.27199999999999</v>
      </c>
      <c r="BA212" s="22">
        <v>-1.8081699999999999E-2</v>
      </c>
      <c r="BB212" s="22">
        <v>202</v>
      </c>
      <c r="BC212" s="22">
        <v>0.91552699999999998</v>
      </c>
      <c r="BD212">
        <f t="shared" si="46"/>
        <v>18.081699999999998</v>
      </c>
      <c r="BE212">
        <f t="shared" si="47"/>
        <v>16.584643730199996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36.289299999999997</v>
      </c>
      <c r="I213" s="22">
        <v>4.6408100000000001E-2</v>
      </c>
      <c r="J213" s="22">
        <v>203</v>
      </c>
      <c r="K213" s="22">
        <v>0.37234499999999998</v>
      </c>
      <c r="L213">
        <f t="shared" si="36"/>
        <v>-46.408099999999997</v>
      </c>
      <c r="M213">
        <f t="shared" si="37"/>
        <v>-33.777857136400002</v>
      </c>
      <c r="N213" s="9"/>
      <c r="O213" s="22">
        <v>0.92224099999999998</v>
      </c>
      <c r="P213" s="22">
        <v>70.598399999999998</v>
      </c>
      <c r="Q213" s="22">
        <v>-1.8057299999999998E-2</v>
      </c>
      <c r="R213" s="22">
        <v>203</v>
      </c>
      <c r="S213" s="22">
        <v>0.92132599999999998</v>
      </c>
      <c r="T213">
        <f t="shared" si="38"/>
        <v>18.057299999999998</v>
      </c>
      <c r="U213">
        <f t="shared" si="39"/>
        <v>16.653182409299998</v>
      </c>
      <c r="X213" s="9"/>
      <c r="Y213" s="22">
        <v>0.72784400000000005</v>
      </c>
      <c r="Z213" s="22">
        <v>104.80500000000001</v>
      </c>
      <c r="AA213" s="22">
        <v>-1.8411299999999999E-2</v>
      </c>
      <c r="AB213" s="22">
        <v>203</v>
      </c>
      <c r="AC213" s="22">
        <v>0.72711199999999998</v>
      </c>
      <c r="AD213">
        <f t="shared" si="40"/>
        <v>18.411299999999997</v>
      </c>
      <c r="AE213">
        <f t="shared" si="41"/>
        <v>13.400554237199998</v>
      </c>
      <c r="AF213" s="9"/>
      <c r="AG213" s="22">
        <v>0.92224099999999998</v>
      </c>
      <c r="AH213" s="22">
        <v>122.625</v>
      </c>
      <c r="AI213" s="22">
        <v>-1.83258E-2</v>
      </c>
      <c r="AJ213" s="22">
        <v>203</v>
      </c>
      <c r="AK213" s="22">
        <v>0.92193599999999998</v>
      </c>
      <c r="AL213">
        <f t="shared" si="42"/>
        <v>18.325800000000001</v>
      </c>
      <c r="AM213">
        <f t="shared" si="43"/>
        <v>16.9008041178</v>
      </c>
      <c r="AP213" s="9"/>
      <c r="AQ213" s="22">
        <v>0.72784400000000005</v>
      </c>
      <c r="AR213" s="22">
        <v>156.89500000000001</v>
      </c>
      <c r="AS213" s="22">
        <v>4.5559700000000002E-2</v>
      </c>
      <c r="AT213" s="22">
        <v>203</v>
      </c>
      <c r="AU213" s="22">
        <v>0.38363599999999998</v>
      </c>
      <c r="AV213">
        <f t="shared" si="44"/>
        <v>-45.559699999999999</v>
      </c>
      <c r="AW213">
        <f t="shared" si="45"/>
        <v>-33.160354286800001</v>
      </c>
      <c r="AX213" s="9"/>
      <c r="AY213" s="22">
        <v>0.92224099999999998</v>
      </c>
      <c r="AZ213" s="22">
        <v>191.28200000000001</v>
      </c>
      <c r="BA213" s="22">
        <v>-1.8096899999999999E-2</v>
      </c>
      <c r="BB213" s="22">
        <v>203</v>
      </c>
      <c r="BC213" s="22">
        <v>0.90789799999999998</v>
      </c>
      <c r="BD213">
        <f t="shared" si="46"/>
        <v>18.096899999999998</v>
      </c>
      <c r="BE213">
        <f t="shared" si="47"/>
        <v>16.689703152899998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36.299300000000002</v>
      </c>
      <c r="I214" s="22">
        <v>4.6405000000000002E-2</v>
      </c>
      <c r="J214" s="22">
        <v>204</v>
      </c>
      <c r="K214" s="22">
        <v>0.36480699999999999</v>
      </c>
      <c r="L214">
        <f t="shared" si="36"/>
        <v>-46.405000000000001</v>
      </c>
      <c r="M214">
        <f t="shared" si="37"/>
        <v>-33.541951645000005</v>
      </c>
      <c r="N214" s="9"/>
      <c r="O214" s="22">
        <v>0.92727700000000002</v>
      </c>
      <c r="P214" s="22">
        <v>70.608500000000006</v>
      </c>
      <c r="Q214" s="22">
        <v>-1.8060300000000001E-2</v>
      </c>
      <c r="R214" s="22">
        <v>204</v>
      </c>
      <c r="S214" s="22">
        <v>0.92681899999999995</v>
      </c>
      <c r="T214">
        <f t="shared" si="38"/>
        <v>18.060300000000002</v>
      </c>
      <c r="U214">
        <f t="shared" si="39"/>
        <v>16.746900803100001</v>
      </c>
      <c r="X214" s="9"/>
      <c r="Y214" s="22">
        <v>0.72280900000000003</v>
      </c>
      <c r="Z214" s="22">
        <v>104.815</v>
      </c>
      <c r="AA214" s="22">
        <v>-1.8414300000000002E-2</v>
      </c>
      <c r="AB214" s="22">
        <v>204</v>
      </c>
      <c r="AC214" s="22">
        <v>0.72174099999999997</v>
      </c>
      <c r="AD214">
        <f t="shared" si="40"/>
        <v>18.414300000000001</v>
      </c>
      <c r="AE214">
        <f t="shared" si="41"/>
        <v>13.3100217687</v>
      </c>
      <c r="AF214" s="9"/>
      <c r="AG214" s="22">
        <v>0.92727700000000002</v>
      </c>
      <c r="AH214" s="22">
        <v>122.636</v>
      </c>
      <c r="AI214" s="22">
        <v>-1.83228E-2</v>
      </c>
      <c r="AJ214" s="22">
        <v>204</v>
      </c>
      <c r="AK214" s="22">
        <v>0.92681899999999995</v>
      </c>
      <c r="AL214">
        <f t="shared" si="42"/>
        <v>18.322800000000001</v>
      </c>
      <c r="AM214">
        <f t="shared" si="43"/>
        <v>16.9903110156</v>
      </c>
      <c r="AP214" s="9"/>
      <c r="AQ214" s="22">
        <v>0.72280900000000003</v>
      </c>
      <c r="AR214" s="22">
        <v>156.905</v>
      </c>
      <c r="AS214" s="22">
        <v>4.56482E-2</v>
      </c>
      <c r="AT214" s="22">
        <v>204</v>
      </c>
      <c r="AU214" s="22">
        <v>0.38073699999999999</v>
      </c>
      <c r="AV214">
        <f t="shared" si="44"/>
        <v>-45.648200000000003</v>
      </c>
      <c r="AW214">
        <f t="shared" si="45"/>
        <v>-32.994929793800004</v>
      </c>
      <c r="AX214" s="9"/>
      <c r="AY214" s="22">
        <v>0.92727700000000002</v>
      </c>
      <c r="AZ214" s="22">
        <v>191.292</v>
      </c>
      <c r="BA214" s="22">
        <v>-1.8087800000000001E-2</v>
      </c>
      <c r="BB214" s="22">
        <v>204</v>
      </c>
      <c r="BC214" s="22">
        <v>0.92590300000000003</v>
      </c>
      <c r="BD214">
        <f t="shared" si="46"/>
        <v>18.087800000000001</v>
      </c>
      <c r="BE214">
        <f t="shared" si="47"/>
        <v>16.772400920600003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36.309399999999997</v>
      </c>
      <c r="I215" s="22">
        <v>4.63989E-2</v>
      </c>
      <c r="J215" s="22">
        <v>205</v>
      </c>
      <c r="K215" s="22">
        <v>0.37048300000000001</v>
      </c>
      <c r="L215">
        <f t="shared" si="36"/>
        <v>-46.398899999999998</v>
      </c>
      <c r="M215">
        <f t="shared" si="37"/>
        <v>-33.303877649699999</v>
      </c>
      <c r="N215" s="9"/>
      <c r="O215" s="22">
        <v>0.93231200000000003</v>
      </c>
      <c r="P215" s="22">
        <v>70.618600000000001</v>
      </c>
      <c r="Q215" s="22">
        <v>-1.80511E-2</v>
      </c>
      <c r="R215" s="22">
        <v>205</v>
      </c>
      <c r="S215" s="22">
        <v>0.93200700000000003</v>
      </c>
      <c r="T215">
        <f t="shared" si="38"/>
        <v>18.051100000000002</v>
      </c>
      <c r="U215">
        <f t="shared" si="39"/>
        <v>16.829257143200003</v>
      </c>
      <c r="X215" s="9"/>
      <c r="Y215" s="22">
        <v>0.71777299999999999</v>
      </c>
      <c r="Z215" s="22">
        <v>104.825</v>
      </c>
      <c r="AA215" s="22">
        <v>-1.84174E-2</v>
      </c>
      <c r="AB215" s="22">
        <v>205</v>
      </c>
      <c r="AC215" s="22">
        <v>0.71758999999999995</v>
      </c>
      <c r="AD215">
        <f t="shared" si="40"/>
        <v>18.417400000000001</v>
      </c>
      <c r="AE215">
        <f t="shared" si="41"/>
        <v>13.2195124502</v>
      </c>
      <c r="AF215" s="9"/>
      <c r="AG215" s="22">
        <v>0.93231200000000003</v>
      </c>
      <c r="AH215" s="22">
        <v>122.646</v>
      </c>
      <c r="AI215" s="22">
        <v>-1.8319700000000001E-2</v>
      </c>
      <c r="AJ215" s="22">
        <v>205</v>
      </c>
      <c r="AK215" s="22">
        <v>0.931396</v>
      </c>
      <c r="AL215">
        <f t="shared" si="42"/>
        <v>18.319700000000001</v>
      </c>
      <c r="AM215">
        <f t="shared" si="43"/>
        <v>17.079676146400001</v>
      </c>
      <c r="AP215" s="9"/>
      <c r="AQ215" s="22">
        <v>0.71777299999999999</v>
      </c>
      <c r="AR215" s="22">
        <v>156.91499999999999</v>
      </c>
      <c r="AS215" s="22">
        <v>4.5587200000000001E-2</v>
      </c>
      <c r="AT215" s="22">
        <v>205</v>
      </c>
      <c r="AU215" s="22">
        <v>0.38287399999999999</v>
      </c>
      <c r="AV215">
        <f t="shared" si="44"/>
        <v>-45.587200000000003</v>
      </c>
      <c r="AW215">
        <f t="shared" si="45"/>
        <v>-32.721261305600002</v>
      </c>
      <c r="AX215" s="9"/>
      <c r="AY215" s="22">
        <v>0.93231200000000003</v>
      </c>
      <c r="AZ215" s="22">
        <v>191.30199999999999</v>
      </c>
      <c r="BA215" s="22">
        <v>-1.8084699999999999E-2</v>
      </c>
      <c r="BB215" s="22">
        <v>205</v>
      </c>
      <c r="BC215" s="22">
        <v>0.930786</v>
      </c>
      <c r="BD215">
        <f t="shared" si="46"/>
        <v>18.084699999999998</v>
      </c>
      <c r="BE215">
        <f t="shared" si="47"/>
        <v>16.860582826399998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36.319499999999998</v>
      </c>
      <c r="I216" s="22">
        <v>4.6392799999999998E-2</v>
      </c>
      <c r="J216" s="22">
        <v>206</v>
      </c>
      <c r="K216" s="22">
        <v>0.37045299999999998</v>
      </c>
      <c r="L216">
        <f t="shared" si="36"/>
        <v>-46.392800000000001</v>
      </c>
      <c r="M216">
        <f t="shared" si="37"/>
        <v>-33.065911486399997</v>
      </c>
      <c r="N216" s="9"/>
      <c r="O216" s="22">
        <v>0.93734700000000004</v>
      </c>
      <c r="P216" s="22">
        <v>70.628600000000006</v>
      </c>
      <c r="Q216" s="22">
        <v>-1.8060300000000001E-2</v>
      </c>
      <c r="R216" s="22">
        <v>206</v>
      </c>
      <c r="S216" s="22">
        <v>0.93566899999999997</v>
      </c>
      <c r="T216">
        <f t="shared" si="38"/>
        <v>18.060300000000002</v>
      </c>
      <c r="U216">
        <f t="shared" si="39"/>
        <v>16.928768024100002</v>
      </c>
      <c r="X216" s="9"/>
      <c r="Y216" s="22">
        <v>0.71273799999999998</v>
      </c>
      <c r="Z216" s="22">
        <v>104.83499999999999</v>
      </c>
      <c r="AA216" s="22">
        <v>-1.84204E-2</v>
      </c>
      <c r="AB216" s="22">
        <v>206</v>
      </c>
      <c r="AC216" s="22">
        <v>0.71194500000000005</v>
      </c>
      <c r="AD216">
        <f t="shared" si="40"/>
        <v>18.420400000000001</v>
      </c>
      <c r="AE216">
        <f t="shared" si="41"/>
        <v>13.128919055200001</v>
      </c>
      <c r="AF216" s="9"/>
      <c r="AG216" s="22">
        <v>0.93734700000000004</v>
      </c>
      <c r="AH216" s="22">
        <v>122.65600000000001</v>
      </c>
      <c r="AI216" s="22">
        <v>-1.8316700000000002E-2</v>
      </c>
      <c r="AJ216" s="22">
        <v>206</v>
      </c>
      <c r="AK216" s="22">
        <v>0.93658399999999997</v>
      </c>
      <c r="AL216">
        <f t="shared" si="42"/>
        <v>18.316700000000001</v>
      </c>
      <c r="AM216">
        <f t="shared" si="43"/>
        <v>17.1691037949</v>
      </c>
      <c r="AP216" s="9"/>
      <c r="AQ216" s="22">
        <v>0.71273799999999998</v>
      </c>
      <c r="AR216" s="22">
        <v>156.92500000000001</v>
      </c>
      <c r="AS216" s="22">
        <v>4.5599399999999998E-2</v>
      </c>
      <c r="AT216" s="22">
        <v>206</v>
      </c>
      <c r="AU216" s="22">
        <v>0.38333099999999998</v>
      </c>
      <c r="AV216">
        <f t="shared" si="44"/>
        <v>-45.599399999999996</v>
      </c>
      <c r="AW216">
        <f t="shared" si="45"/>
        <v>-32.500425157199999</v>
      </c>
      <c r="AX216" s="9"/>
      <c r="AY216" s="22">
        <v>0.93734700000000004</v>
      </c>
      <c r="AZ216" s="22">
        <v>191.31200000000001</v>
      </c>
      <c r="BA216" s="22">
        <v>-1.8084699999999999E-2</v>
      </c>
      <c r="BB216" s="22">
        <v>206</v>
      </c>
      <c r="BC216" s="22">
        <v>0.93811</v>
      </c>
      <c r="BD216">
        <f t="shared" si="46"/>
        <v>18.084699999999998</v>
      </c>
      <c r="BE216">
        <f t="shared" si="47"/>
        <v>16.951639290899998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36.329599999999999</v>
      </c>
      <c r="I217" s="22">
        <v>4.63989E-2</v>
      </c>
      <c r="J217" s="22">
        <v>207</v>
      </c>
      <c r="K217" s="22">
        <v>0.370087</v>
      </c>
      <c r="L217">
        <f t="shared" si="36"/>
        <v>-46.398899999999998</v>
      </c>
      <c r="M217">
        <f t="shared" si="37"/>
        <v>-32.836640726699997</v>
      </c>
      <c r="N217" s="9"/>
      <c r="O217" s="22">
        <v>0.94238299999999997</v>
      </c>
      <c r="P217" s="22">
        <v>70.6387</v>
      </c>
      <c r="Q217" s="22">
        <v>-1.8048100000000001E-2</v>
      </c>
      <c r="R217" s="22">
        <v>207</v>
      </c>
      <c r="S217" s="22">
        <v>0.94085700000000005</v>
      </c>
      <c r="T217">
        <f t="shared" si="38"/>
        <v>18.048100000000002</v>
      </c>
      <c r="U217">
        <f t="shared" si="39"/>
        <v>17.0082226223</v>
      </c>
      <c r="X217" s="9"/>
      <c r="Y217" s="22">
        <v>0.70770299999999997</v>
      </c>
      <c r="Z217" s="22">
        <v>104.845</v>
      </c>
      <c r="AA217" s="22">
        <v>-1.8423499999999999E-2</v>
      </c>
      <c r="AB217" s="22">
        <v>207</v>
      </c>
      <c r="AC217" s="22">
        <v>0.70672599999999997</v>
      </c>
      <c r="AD217">
        <f t="shared" si="40"/>
        <v>18.423500000000001</v>
      </c>
      <c r="AE217">
        <f t="shared" si="41"/>
        <v>13.0383662205</v>
      </c>
      <c r="AF217" s="9"/>
      <c r="AG217" s="22">
        <v>0.94238299999999997</v>
      </c>
      <c r="AH217" s="22">
        <v>122.666</v>
      </c>
      <c r="AI217" s="22">
        <v>-1.8313599999999999E-2</v>
      </c>
      <c r="AJ217" s="22">
        <v>207</v>
      </c>
      <c r="AK217" s="22">
        <v>0.94238299999999997</v>
      </c>
      <c r="AL217">
        <f t="shared" si="42"/>
        <v>18.313600000000001</v>
      </c>
      <c r="AM217">
        <f t="shared" si="43"/>
        <v>17.2584253088</v>
      </c>
      <c r="AP217" s="9"/>
      <c r="AQ217" s="22">
        <v>0.70770299999999997</v>
      </c>
      <c r="AR217" s="22">
        <v>156.935</v>
      </c>
      <c r="AS217" s="22">
        <v>4.5608500000000003E-2</v>
      </c>
      <c r="AT217" s="22">
        <v>207</v>
      </c>
      <c r="AU217" s="22">
        <v>0.38195800000000002</v>
      </c>
      <c r="AV217">
        <f t="shared" si="44"/>
        <v>-45.608500000000006</v>
      </c>
      <c r="AW217">
        <f t="shared" si="45"/>
        <v>-32.277272275500003</v>
      </c>
      <c r="AX217" s="9"/>
      <c r="AY217" s="22">
        <v>0.94238299999999997</v>
      </c>
      <c r="AZ217" s="22">
        <v>191.322</v>
      </c>
      <c r="BA217" s="22">
        <v>-1.80664E-2</v>
      </c>
      <c r="BB217" s="22">
        <v>207</v>
      </c>
      <c r="BC217" s="22">
        <v>0.93627899999999997</v>
      </c>
      <c r="BD217">
        <f t="shared" si="46"/>
        <v>18.066400000000002</v>
      </c>
      <c r="BE217">
        <f t="shared" si="47"/>
        <v>17.025468231200001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36.339599999999997</v>
      </c>
      <c r="I218" s="22">
        <v>4.63989E-2</v>
      </c>
      <c r="J218" s="22">
        <v>208</v>
      </c>
      <c r="K218" s="22">
        <v>0.36969000000000002</v>
      </c>
      <c r="L218">
        <f t="shared" si="36"/>
        <v>-46.398899999999998</v>
      </c>
      <c r="M218">
        <f t="shared" si="37"/>
        <v>-32.6029758663</v>
      </c>
      <c r="N218" s="9"/>
      <c r="O218" s="22">
        <v>0.94741799999999998</v>
      </c>
      <c r="P218" s="22">
        <v>70.648799999999994</v>
      </c>
      <c r="Q218" s="22">
        <v>-1.80664E-2</v>
      </c>
      <c r="R218" s="22">
        <v>208</v>
      </c>
      <c r="S218" s="22">
        <v>0.94665500000000002</v>
      </c>
      <c r="T218">
        <f t="shared" si="38"/>
        <v>18.066400000000002</v>
      </c>
      <c r="U218">
        <f t="shared" si="39"/>
        <v>17.116432555199999</v>
      </c>
      <c r="X218" s="9"/>
      <c r="Y218" s="22">
        <v>0.70266700000000004</v>
      </c>
      <c r="Z218" s="22">
        <v>104.855</v>
      </c>
      <c r="AA218" s="22">
        <v>-1.8423499999999999E-2</v>
      </c>
      <c r="AB218" s="22">
        <v>208</v>
      </c>
      <c r="AC218" s="22">
        <v>0.70141600000000004</v>
      </c>
      <c r="AD218">
        <f t="shared" si="40"/>
        <v>18.423500000000001</v>
      </c>
      <c r="AE218">
        <f t="shared" si="41"/>
        <v>12.945585474500001</v>
      </c>
      <c r="AF218" s="9"/>
      <c r="AG218" s="22">
        <v>0.94741799999999998</v>
      </c>
      <c r="AH218" s="22">
        <v>122.676</v>
      </c>
      <c r="AI218" s="22">
        <v>-1.83105E-2</v>
      </c>
      <c r="AJ218" s="22">
        <v>208</v>
      </c>
      <c r="AK218" s="22">
        <v>0.94574000000000003</v>
      </c>
      <c r="AL218">
        <f t="shared" si="42"/>
        <v>18.310500000000001</v>
      </c>
      <c r="AM218">
        <f t="shared" si="43"/>
        <v>17.347697288999999</v>
      </c>
      <c r="AP218" s="9"/>
      <c r="AQ218" s="22">
        <v>0.70266700000000004</v>
      </c>
      <c r="AR218" s="22">
        <v>156.94499999999999</v>
      </c>
      <c r="AS218" s="22">
        <v>4.5614599999999998E-2</v>
      </c>
      <c r="AT218" s="22">
        <v>208</v>
      </c>
      <c r="AU218" s="22">
        <v>0.382019</v>
      </c>
      <c r="AV218">
        <f t="shared" si="44"/>
        <v>-45.614599999999996</v>
      </c>
      <c r="AW218">
        <f t="shared" si="45"/>
        <v>-32.051874138199999</v>
      </c>
      <c r="AX218" s="9"/>
      <c r="AY218" s="22">
        <v>0.94741799999999998</v>
      </c>
      <c r="AZ218" s="22">
        <v>191.33199999999999</v>
      </c>
      <c r="BA218" s="22">
        <v>-1.8069499999999999E-2</v>
      </c>
      <c r="BB218" s="22">
        <v>208</v>
      </c>
      <c r="BC218" s="22">
        <v>0.94146700000000005</v>
      </c>
      <c r="BD218">
        <f t="shared" si="46"/>
        <v>18.069499999999998</v>
      </c>
      <c r="BE218">
        <f t="shared" si="47"/>
        <v>17.119369550999998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36.349699999999999</v>
      </c>
      <c r="I219" s="22">
        <v>4.6392799999999998E-2</v>
      </c>
      <c r="J219" s="22">
        <v>209</v>
      </c>
      <c r="K219" s="22">
        <v>0.36691299999999999</v>
      </c>
      <c r="L219">
        <f t="shared" si="36"/>
        <v>-46.392800000000001</v>
      </c>
      <c r="M219">
        <f t="shared" si="37"/>
        <v>-32.365101849600002</v>
      </c>
      <c r="N219" s="9"/>
      <c r="O219" s="22">
        <v>0.95245400000000002</v>
      </c>
      <c r="P219" s="22">
        <v>70.658799999999999</v>
      </c>
      <c r="Q219" s="22">
        <v>-1.8044999999999999E-2</v>
      </c>
      <c r="R219" s="22">
        <v>209</v>
      </c>
      <c r="S219" s="22">
        <v>0.95153799999999999</v>
      </c>
      <c r="T219">
        <f t="shared" si="38"/>
        <v>18.044999999999998</v>
      </c>
      <c r="U219">
        <f t="shared" si="39"/>
        <v>17.187032429999999</v>
      </c>
      <c r="X219" s="9"/>
      <c r="Y219" s="22">
        <v>0.69763200000000003</v>
      </c>
      <c r="Z219" s="22">
        <v>104.86499999999999</v>
      </c>
      <c r="AA219" s="22">
        <v>-1.8426499999999998E-2</v>
      </c>
      <c r="AB219" s="22">
        <v>209</v>
      </c>
      <c r="AC219" s="22">
        <v>0.69699100000000003</v>
      </c>
      <c r="AD219">
        <f t="shared" si="40"/>
        <v>18.426499999999997</v>
      </c>
      <c r="AE219">
        <f t="shared" si="41"/>
        <v>12.854916047999998</v>
      </c>
      <c r="AF219" s="9"/>
      <c r="AG219" s="22">
        <v>0.95245400000000002</v>
      </c>
      <c r="AH219" s="22">
        <v>122.68600000000001</v>
      </c>
      <c r="AI219" s="22">
        <v>-1.8307500000000001E-2</v>
      </c>
      <c r="AJ219" s="22">
        <v>209</v>
      </c>
      <c r="AK219" s="22">
        <v>0.95153799999999999</v>
      </c>
      <c r="AL219">
        <f t="shared" si="42"/>
        <v>18.307500000000001</v>
      </c>
      <c r="AM219">
        <f t="shared" si="43"/>
        <v>17.437051605000001</v>
      </c>
      <c r="AP219" s="9"/>
      <c r="AQ219" s="22">
        <v>0.69763200000000003</v>
      </c>
      <c r="AR219" s="22">
        <v>156.95500000000001</v>
      </c>
      <c r="AS219" s="22">
        <v>4.5642099999999998E-2</v>
      </c>
      <c r="AT219" s="22">
        <v>209</v>
      </c>
      <c r="AU219" s="22">
        <v>0.38446000000000002</v>
      </c>
      <c r="AV219">
        <f t="shared" si="44"/>
        <v>-45.642099999999999</v>
      </c>
      <c r="AW219">
        <f t="shared" si="45"/>
        <v>-31.841389507200002</v>
      </c>
      <c r="AX219" s="9"/>
      <c r="AY219" s="22">
        <v>0.95245400000000002</v>
      </c>
      <c r="AZ219" s="22">
        <v>191.34200000000001</v>
      </c>
      <c r="BA219" s="22">
        <v>-1.80664E-2</v>
      </c>
      <c r="BB219" s="22">
        <v>209</v>
      </c>
      <c r="BC219" s="22">
        <v>0.95153799999999999</v>
      </c>
      <c r="BD219">
        <f t="shared" si="46"/>
        <v>18.066400000000002</v>
      </c>
      <c r="BE219">
        <f t="shared" si="47"/>
        <v>17.207414945600004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36.3598</v>
      </c>
      <c r="I220" s="22">
        <v>4.6386700000000003E-2</v>
      </c>
      <c r="J220" s="22">
        <v>210</v>
      </c>
      <c r="K220" s="22">
        <v>0.37570199999999998</v>
      </c>
      <c r="L220">
        <f t="shared" si="36"/>
        <v>-46.386700000000005</v>
      </c>
      <c r="M220">
        <f t="shared" si="37"/>
        <v>-32.127242873200004</v>
      </c>
      <c r="N220" s="9"/>
      <c r="O220" s="22">
        <v>0.95748900000000003</v>
      </c>
      <c r="P220" s="22">
        <v>70.668899999999994</v>
      </c>
      <c r="Q220" s="22">
        <v>-1.80237E-2</v>
      </c>
      <c r="R220" s="22">
        <v>210</v>
      </c>
      <c r="S220" s="22">
        <v>0.95672599999999997</v>
      </c>
      <c r="T220">
        <f t="shared" si="38"/>
        <v>18.023700000000002</v>
      </c>
      <c r="U220">
        <f t="shared" si="39"/>
        <v>17.257494489300001</v>
      </c>
      <c r="X220" s="9"/>
      <c r="Y220" s="22">
        <v>0.69259599999999999</v>
      </c>
      <c r="Z220" s="22">
        <v>104.875</v>
      </c>
      <c r="AA220" s="22">
        <v>-1.8429600000000001E-2</v>
      </c>
      <c r="AB220" s="22">
        <v>210</v>
      </c>
      <c r="AC220" s="22">
        <v>0.69213899999999995</v>
      </c>
      <c r="AD220">
        <f t="shared" si="40"/>
        <v>18.429600000000001</v>
      </c>
      <c r="AE220">
        <f t="shared" si="41"/>
        <v>12.764267241600001</v>
      </c>
      <c r="AF220" s="9"/>
      <c r="AG220" s="22">
        <v>0.95748900000000003</v>
      </c>
      <c r="AH220" s="22">
        <v>122.696</v>
      </c>
      <c r="AI220" s="22">
        <v>-1.8301399999999999E-2</v>
      </c>
      <c r="AJ220" s="22">
        <v>210</v>
      </c>
      <c r="AK220" s="22">
        <v>0.95672599999999997</v>
      </c>
      <c r="AL220">
        <f t="shared" si="42"/>
        <v>18.301399999999997</v>
      </c>
      <c r="AM220">
        <f t="shared" si="43"/>
        <v>17.523389184599999</v>
      </c>
      <c r="AP220" s="9"/>
      <c r="AQ220" s="22">
        <v>0.69259599999999999</v>
      </c>
      <c r="AR220" s="22">
        <v>156.965</v>
      </c>
      <c r="AS220" s="22">
        <v>4.56055E-2</v>
      </c>
      <c r="AT220" s="22">
        <v>210</v>
      </c>
      <c r="AU220" s="22">
        <v>0.38345299999999999</v>
      </c>
      <c r="AV220">
        <f t="shared" si="44"/>
        <v>-45.605499999999999</v>
      </c>
      <c r="AW220">
        <f t="shared" si="45"/>
        <v>-31.586186877999999</v>
      </c>
      <c r="AX220" s="9"/>
      <c r="AY220" s="22">
        <v>0.95748900000000003</v>
      </c>
      <c r="AZ220" s="22">
        <v>191.352</v>
      </c>
      <c r="BA220" s="22">
        <v>-1.8060300000000001E-2</v>
      </c>
      <c r="BB220" s="22">
        <v>210</v>
      </c>
      <c r="BC220" s="22">
        <v>0.95642099999999997</v>
      </c>
      <c r="BD220">
        <f t="shared" si="46"/>
        <v>18.060300000000002</v>
      </c>
      <c r="BE220">
        <f t="shared" si="47"/>
        <v>17.292538586700001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36.369799999999998</v>
      </c>
      <c r="I221" s="22">
        <v>4.6386700000000003E-2</v>
      </c>
      <c r="J221" s="22">
        <v>211</v>
      </c>
      <c r="K221" s="22">
        <v>0.36770599999999998</v>
      </c>
      <c r="L221">
        <f t="shared" si="36"/>
        <v>-46.386700000000005</v>
      </c>
      <c r="M221">
        <f t="shared" si="37"/>
        <v>-31.893685838700002</v>
      </c>
      <c r="N221" s="9"/>
      <c r="O221" s="22">
        <v>0.96252400000000005</v>
      </c>
      <c r="P221" s="22">
        <v>70.679000000000002</v>
      </c>
      <c r="Q221" s="22">
        <v>-1.79962E-2</v>
      </c>
      <c r="R221" s="22">
        <v>211</v>
      </c>
      <c r="S221" s="22">
        <v>0.96221900000000005</v>
      </c>
      <c r="T221">
        <f t="shared" si="38"/>
        <v>17.996200000000002</v>
      </c>
      <c r="U221">
        <f t="shared" si="39"/>
        <v>17.321774408800003</v>
      </c>
      <c r="X221" s="9"/>
      <c r="Y221" s="22">
        <v>0.68756099999999998</v>
      </c>
      <c r="Z221" s="22">
        <v>104.88500000000001</v>
      </c>
      <c r="AA221" s="22">
        <v>-1.84326E-2</v>
      </c>
      <c r="AB221" s="22">
        <v>211</v>
      </c>
      <c r="AC221" s="22">
        <v>0.68670699999999996</v>
      </c>
      <c r="AD221">
        <f t="shared" si="40"/>
        <v>18.432600000000001</v>
      </c>
      <c r="AE221">
        <f t="shared" si="41"/>
        <v>12.673536888599999</v>
      </c>
      <c r="AF221" s="9"/>
      <c r="AG221" s="22">
        <v>0.96252400000000005</v>
      </c>
      <c r="AH221" s="22">
        <v>122.706</v>
      </c>
      <c r="AI221" s="22">
        <v>-1.82983E-2</v>
      </c>
      <c r="AJ221" s="22">
        <v>211</v>
      </c>
      <c r="AK221" s="22">
        <v>0.96160900000000005</v>
      </c>
      <c r="AL221">
        <f t="shared" si="42"/>
        <v>18.298300000000001</v>
      </c>
      <c r="AM221">
        <f t="shared" si="43"/>
        <v>17.612552909200001</v>
      </c>
      <c r="AP221" s="9"/>
      <c r="AQ221" s="22">
        <v>0.68756099999999998</v>
      </c>
      <c r="AR221" s="22">
        <v>156.97499999999999</v>
      </c>
      <c r="AS221" s="22">
        <v>4.5626800000000002E-2</v>
      </c>
      <c r="AT221" s="22">
        <v>211</v>
      </c>
      <c r="AU221" s="22">
        <v>0.38034099999999998</v>
      </c>
      <c r="AV221">
        <f t="shared" si="44"/>
        <v>-45.626800000000003</v>
      </c>
      <c r="AW221">
        <f t="shared" si="45"/>
        <v>-31.371208234800001</v>
      </c>
      <c r="AX221" s="9"/>
      <c r="AY221" s="22">
        <v>0.96252400000000005</v>
      </c>
      <c r="AZ221" s="22">
        <v>191.36199999999999</v>
      </c>
      <c r="BA221" s="22">
        <v>-1.8057299999999998E-2</v>
      </c>
      <c r="BB221" s="22">
        <v>211</v>
      </c>
      <c r="BC221" s="22">
        <v>0.96221900000000005</v>
      </c>
      <c r="BD221">
        <f t="shared" si="46"/>
        <v>18.057299999999998</v>
      </c>
      <c r="BE221">
        <f t="shared" si="47"/>
        <v>17.380584625199997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36.379899999999999</v>
      </c>
      <c r="I222" s="22">
        <v>4.6380600000000001E-2</v>
      </c>
      <c r="J222" s="22">
        <v>212</v>
      </c>
      <c r="K222" s="22">
        <v>0.36383100000000002</v>
      </c>
      <c r="L222">
        <f t="shared" si="36"/>
        <v>-46.380600000000001</v>
      </c>
      <c r="M222">
        <f t="shared" si="37"/>
        <v>-31.655965395599999</v>
      </c>
      <c r="N222" s="9"/>
      <c r="O222" s="22">
        <v>0.96755999999999998</v>
      </c>
      <c r="P222" s="22">
        <v>70.689099999999996</v>
      </c>
      <c r="Q222" s="22">
        <v>-1.80115E-2</v>
      </c>
      <c r="R222" s="22">
        <v>212</v>
      </c>
      <c r="S222" s="22">
        <v>0.96649200000000002</v>
      </c>
      <c r="T222">
        <f t="shared" si="38"/>
        <v>18.011499999999998</v>
      </c>
      <c r="U222">
        <f t="shared" si="39"/>
        <v>17.427206939999998</v>
      </c>
      <c r="X222" s="9"/>
      <c r="Y222" s="22">
        <v>0.68252599999999997</v>
      </c>
      <c r="Z222" s="22">
        <v>104.895</v>
      </c>
      <c r="AA222" s="22">
        <v>-1.84326E-2</v>
      </c>
      <c r="AB222" s="22">
        <v>212</v>
      </c>
      <c r="AC222" s="22">
        <v>0.68191500000000005</v>
      </c>
      <c r="AD222">
        <f t="shared" si="40"/>
        <v>18.432600000000001</v>
      </c>
      <c r="AE222">
        <f t="shared" si="41"/>
        <v>12.5807287476</v>
      </c>
      <c r="AF222" s="9"/>
      <c r="AG222" s="22">
        <v>0.96755999999999998</v>
      </c>
      <c r="AH222" s="22">
        <v>122.71599999999999</v>
      </c>
      <c r="AI222" s="22">
        <v>-1.8292200000000002E-2</v>
      </c>
      <c r="AJ222" s="22">
        <v>212</v>
      </c>
      <c r="AK222" s="22">
        <v>0.96618700000000002</v>
      </c>
      <c r="AL222">
        <f t="shared" si="42"/>
        <v>18.292200000000001</v>
      </c>
      <c r="AM222">
        <f t="shared" si="43"/>
        <v>17.698801032000002</v>
      </c>
      <c r="AP222" s="9"/>
      <c r="AQ222" s="22">
        <v>0.68252599999999997</v>
      </c>
      <c r="AR222" s="22">
        <v>156.98500000000001</v>
      </c>
      <c r="AS222" s="22">
        <v>4.5651200000000003E-2</v>
      </c>
      <c r="AT222" s="22">
        <v>212</v>
      </c>
      <c r="AU222" s="22">
        <v>0.38073699999999999</v>
      </c>
      <c r="AV222">
        <f t="shared" si="44"/>
        <v>-45.651200000000003</v>
      </c>
      <c r="AW222">
        <f t="shared" si="45"/>
        <v>-31.158130931199999</v>
      </c>
      <c r="AX222" s="9"/>
      <c r="AY222" s="22">
        <v>0.96755999999999998</v>
      </c>
      <c r="AZ222" s="22">
        <v>191.37200000000001</v>
      </c>
      <c r="BA222" s="22">
        <v>-1.8054199999999999E-2</v>
      </c>
      <c r="BB222" s="22">
        <v>212</v>
      </c>
      <c r="BC222" s="22">
        <v>0.97045899999999996</v>
      </c>
      <c r="BD222">
        <f t="shared" si="46"/>
        <v>18.054199999999998</v>
      </c>
      <c r="BE222">
        <f t="shared" si="47"/>
        <v>17.468521751999997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36.39</v>
      </c>
      <c r="I223" s="22">
        <v>4.6368399999999997E-2</v>
      </c>
      <c r="J223" s="22">
        <v>213</v>
      </c>
      <c r="K223" s="22">
        <v>0.36932399999999999</v>
      </c>
      <c r="L223">
        <f t="shared" si="36"/>
        <v>-46.368399999999994</v>
      </c>
      <c r="M223">
        <f t="shared" si="37"/>
        <v>-31.414127315999998</v>
      </c>
      <c r="N223" s="9"/>
      <c r="O223" s="22">
        <v>0.97259499999999999</v>
      </c>
      <c r="P223" s="22">
        <v>70.699100000000001</v>
      </c>
      <c r="Q223" s="22">
        <v>-1.7923000000000001E-2</v>
      </c>
      <c r="R223" s="22">
        <v>213</v>
      </c>
      <c r="S223" s="22">
        <v>0.97381600000000001</v>
      </c>
      <c r="T223">
        <f t="shared" si="38"/>
        <v>17.923000000000002</v>
      </c>
      <c r="U223">
        <f t="shared" si="39"/>
        <v>17.431820185000003</v>
      </c>
      <c r="X223" s="9"/>
      <c r="Y223" s="22">
        <v>0.67749000000000004</v>
      </c>
      <c r="Z223" s="22">
        <v>104.905</v>
      </c>
      <c r="AA223" s="22">
        <v>-1.8435699999999999E-2</v>
      </c>
      <c r="AB223" s="22">
        <v>213</v>
      </c>
      <c r="AC223" s="22">
        <v>0.67645299999999997</v>
      </c>
      <c r="AD223">
        <f t="shared" si="40"/>
        <v>18.435700000000001</v>
      </c>
      <c r="AE223">
        <f t="shared" si="41"/>
        <v>12.490002393000001</v>
      </c>
      <c r="AF223" s="9"/>
      <c r="AG223" s="22">
        <v>0.97259499999999999</v>
      </c>
      <c r="AH223" s="22">
        <v>122.726</v>
      </c>
      <c r="AI223" s="22">
        <v>-1.8289199999999999E-2</v>
      </c>
      <c r="AJ223" s="22">
        <v>213</v>
      </c>
      <c r="AK223" s="22">
        <v>0.97076399999999996</v>
      </c>
      <c r="AL223">
        <f t="shared" si="42"/>
        <v>18.289199999999997</v>
      </c>
      <c r="AM223">
        <f t="shared" si="43"/>
        <v>17.787984473999998</v>
      </c>
      <c r="AP223" s="9"/>
      <c r="AQ223" s="22">
        <v>0.67749000000000004</v>
      </c>
      <c r="AR223" s="22">
        <v>156.995</v>
      </c>
      <c r="AS223" s="22">
        <v>4.5632899999999997E-2</v>
      </c>
      <c r="AT223" s="22">
        <v>213</v>
      </c>
      <c r="AU223" s="22">
        <v>0.38479600000000003</v>
      </c>
      <c r="AV223">
        <f t="shared" si="44"/>
        <v>-45.632899999999999</v>
      </c>
      <c r="AW223">
        <f t="shared" si="45"/>
        <v>-30.915833421000002</v>
      </c>
      <c r="AX223" s="9"/>
      <c r="AY223" s="22">
        <v>0.97259499999999999</v>
      </c>
      <c r="AZ223" s="22">
        <v>191.38200000000001</v>
      </c>
      <c r="BA223" s="22">
        <v>-1.8057299999999998E-2</v>
      </c>
      <c r="BB223" s="22">
        <v>213</v>
      </c>
      <c r="BC223" s="22">
        <v>0.97351100000000002</v>
      </c>
      <c r="BD223">
        <f t="shared" si="46"/>
        <v>18.057299999999998</v>
      </c>
      <c r="BE223">
        <f t="shared" si="47"/>
        <v>17.562439693499996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36.400100000000002</v>
      </c>
      <c r="I224" s="22">
        <v>4.6365400000000001E-2</v>
      </c>
      <c r="J224" s="22">
        <v>214</v>
      </c>
      <c r="K224" s="22">
        <v>0.36785899999999999</v>
      </c>
      <c r="L224">
        <f t="shared" si="36"/>
        <v>-46.365400000000001</v>
      </c>
      <c r="M224">
        <f t="shared" si="37"/>
        <v>-31.178645057000001</v>
      </c>
      <c r="N224" s="9"/>
      <c r="O224" s="22">
        <v>0.97763100000000003</v>
      </c>
      <c r="P224" s="22">
        <v>70.709199999999996</v>
      </c>
      <c r="Q224" s="22">
        <v>-1.7987099999999999E-2</v>
      </c>
      <c r="R224" s="22">
        <v>214</v>
      </c>
      <c r="S224" s="22">
        <v>0.97747799999999996</v>
      </c>
      <c r="T224">
        <f t="shared" si="38"/>
        <v>17.987099999999998</v>
      </c>
      <c r="U224">
        <f t="shared" si="39"/>
        <v>17.584746560099997</v>
      </c>
      <c r="X224" s="9"/>
      <c r="Y224" s="22">
        <v>0.67245500000000002</v>
      </c>
      <c r="Z224" s="22">
        <v>104.91500000000001</v>
      </c>
      <c r="AA224" s="22">
        <v>-1.8438699999999999E-2</v>
      </c>
      <c r="AB224" s="22">
        <v>214</v>
      </c>
      <c r="AC224" s="22">
        <v>0.67169199999999996</v>
      </c>
      <c r="AD224">
        <f t="shared" si="40"/>
        <v>18.438699999999997</v>
      </c>
      <c r="AE224">
        <f t="shared" si="41"/>
        <v>12.399196008499999</v>
      </c>
      <c r="AF224" s="9"/>
      <c r="AG224" s="22">
        <v>0.97763100000000003</v>
      </c>
      <c r="AH224" s="22">
        <v>122.736</v>
      </c>
      <c r="AI224" s="22">
        <v>-1.8289199999999999E-2</v>
      </c>
      <c r="AJ224" s="22">
        <v>214</v>
      </c>
      <c r="AK224" s="22">
        <v>0.97717299999999996</v>
      </c>
      <c r="AL224">
        <f t="shared" si="42"/>
        <v>18.289199999999997</v>
      </c>
      <c r="AM224">
        <f t="shared" si="43"/>
        <v>17.880088885199999</v>
      </c>
      <c r="AP224" s="9"/>
      <c r="AQ224" s="22">
        <v>0.67245500000000002</v>
      </c>
      <c r="AR224" s="22">
        <v>157.005</v>
      </c>
      <c r="AS224" s="22">
        <v>4.5651200000000003E-2</v>
      </c>
      <c r="AT224" s="22">
        <v>214</v>
      </c>
      <c r="AU224" s="22">
        <v>0.38293500000000003</v>
      </c>
      <c r="AV224">
        <f t="shared" si="44"/>
        <v>-45.651200000000003</v>
      </c>
      <c r="AW224">
        <f t="shared" si="45"/>
        <v>-30.698377696000001</v>
      </c>
      <c r="AX224" s="9"/>
      <c r="AY224" s="22">
        <v>0.97763100000000003</v>
      </c>
      <c r="AZ224" s="22">
        <v>191.393</v>
      </c>
      <c r="BA224" s="22">
        <v>-1.8044999999999999E-2</v>
      </c>
      <c r="BB224" s="22">
        <v>214</v>
      </c>
      <c r="BC224" s="22">
        <v>0.97503700000000004</v>
      </c>
      <c r="BD224">
        <f t="shared" si="46"/>
        <v>18.044999999999998</v>
      </c>
      <c r="BE224">
        <f t="shared" si="47"/>
        <v>17.641351394999997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36.4101</v>
      </c>
      <c r="I225" s="22">
        <v>4.6359299999999999E-2</v>
      </c>
      <c r="J225" s="22">
        <v>215</v>
      </c>
      <c r="K225" s="22">
        <v>0.37484699999999999</v>
      </c>
      <c r="L225">
        <f t="shared" si="36"/>
        <v>-46.359299999999998</v>
      </c>
      <c r="M225">
        <f t="shared" si="37"/>
        <v>-30.941077646699998</v>
      </c>
      <c r="N225" s="9"/>
      <c r="O225" s="22">
        <v>0.98266600000000004</v>
      </c>
      <c r="P225" s="22">
        <v>70.719300000000004</v>
      </c>
      <c r="Q225" s="22">
        <v>-1.7871100000000001E-2</v>
      </c>
      <c r="R225" s="22">
        <v>215</v>
      </c>
      <c r="S225" s="22">
        <v>0.98236100000000004</v>
      </c>
      <c r="T225">
        <f t="shared" si="38"/>
        <v>17.871100000000002</v>
      </c>
      <c r="U225">
        <f t="shared" si="39"/>
        <v>17.561322352600001</v>
      </c>
      <c r="X225" s="9"/>
      <c r="Y225" s="22">
        <v>0.66741899999999998</v>
      </c>
      <c r="Z225" s="22">
        <v>104.925</v>
      </c>
      <c r="AA225" s="22">
        <v>-1.8441800000000001E-2</v>
      </c>
      <c r="AB225" s="22">
        <v>215</v>
      </c>
      <c r="AC225" s="22">
        <v>0.66680899999999999</v>
      </c>
      <c r="AD225">
        <f t="shared" si="40"/>
        <v>18.441800000000001</v>
      </c>
      <c r="AE225">
        <f t="shared" si="41"/>
        <v>12.308407714199999</v>
      </c>
      <c r="AF225" s="9"/>
      <c r="AG225" s="22">
        <v>0.98266600000000004</v>
      </c>
      <c r="AH225" s="22">
        <v>122.746</v>
      </c>
      <c r="AI225" s="22">
        <v>-1.82861E-2</v>
      </c>
      <c r="AJ225" s="22">
        <v>215</v>
      </c>
      <c r="AK225" s="22">
        <v>0.98175000000000001</v>
      </c>
      <c r="AL225">
        <f t="shared" si="42"/>
        <v>18.286100000000001</v>
      </c>
      <c r="AM225">
        <f t="shared" si="43"/>
        <v>17.969128742600002</v>
      </c>
      <c r="AP225" s="9"/>
      <c r="AQ225" s="22">
        <v>0.66741899999999998</v>
      </c>
      <c r="AR225" s="22">
        <v>157.01499999999999</v>
      </c>
      <c r="AS225" s="22">
        <v>4.5626800000000002E-2</v>
      </c>
      <c r="AT225" s="22">
        <v>215</v>
      </c>
      <c r="AU225" s="22">
        <v>0.37664799999999998</v>
      </c>
      <c r="AV225">
        <f t="shared" si="44"/>
        <v>-45.626800000000003</v>
      </c>
      <c r="AW225">
        <f t="shared" si="45"/>
        <v>-30.452193229200002</v>
      </c>
      <c r="AX225" s="9"/>
      <c r="AY225" s="22">
        <v>0.98266600000000004</v>
      </c>
      <c r="AZ225" s="22">
        <v>191.40299999999999</v>
      </c>
      <c r="BA225" s="22">
        <v>-1.8041999999999999E-2</v>
      </c>
      <c r="BB225" s="22">
        <v>215</v>
      </c>
      <c r="BC225" s="22">
        <v>0.98266600000000004</v>
      </c>
      <c r="BD225">
        <f t="shared" si="46"/>
        <v>18.041999999999998</v>
      </c>
      <c r="BE225">
        <f t="shared" si="47"/>
        <v>17.729259971999998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36.420200000000001</v>
      </c>
      <c r="I226" s="22">
        <v>4.6353100000000001E-2</v>
      </c>
      <c r="J226" s="22">
        <v>216</v>
      </c>
      <c r="K226" s="22">
        <v>0.36947600000000003</v>
      </c>
      <c r="L226">
        <f t="shared" si="36"/>
        <v>-46.353099999999998</v>
      </c>
      <c r="M226">
        <f t="shared" si="37"/>
        <v>-30.703551790399999</v>
      </c>
      <c r="N226" s="9"/>
      <c r="O226" s="22">
        <v>0.98770100000000005</v>
      </c>
      <c r="P226" s="22">
        <v>70.729299999999995</v>
      </c>
      <c r="Q226" s="22">
        <v>-1.7919899999999999E-2</v>
      </c>
      <c r="R226" s="22">
        <v>216</v>
      </c>
      <c r="S226" s="22">
        <v>0.98754900000000001</v>
      </c>
      <c r="T226">
        <f t="shared" si="38"/>
        <v>17.919899999999998</v>
      </c>
      <c r="U226">
        <f t="shared" si="39"/>
        <v>17.6995031499</v>
      </c>
      <c r="X226" s="9"/>
      <c r="Y226" s="22">
        <v>0.66238399999999997</v>
      </c>
      <c r="Z226" s="22">
        <v>104.935</v>
      </c>
      <c r="AA226" s="22">
        <v>-1.8444800000000001E-2</v>
      </c>
      <c r="AB226" s="22">
        <v>216</v>
      </c>
      <c r="AC226" s="22">
        <v>0.66180399999999995</v>
      </c>
      <c r="AD226">
        <f t="shared" si="40"/>
        <v>18.444800000000001</v>
      </c>
      <c r="AE226">
        <f t="shared" si="41"/>
        <v>12.217540403199999</v>
      </c>
      <c r="AF226" s="9"/>
      <c r="AG226" s="22">
        <v>0.98770100000000005</v>
      </c>
      <c r="AH226" s="22">
        <v>122.756</v>
      </c>
      <c r="AI226" s="22">
        <v>-1.82831E-2</v>
      </c>
      <c r="AJ226" s="22">
        <v>216</v>
      </c>
      <c r="AK226" s="22">
        <v>0.98632799999999998</v>
      </c>
      <c r="AL226">
        <f t="shared" si="42"/>
        <v>18.283100000000001</v>
      </c>
      <c r="AM226">
        <f t="shared" si="43"/>
        <v>18.058236153100001</v>
      </c>
      <c r="AP226" s="9"/>
      <c r="AQ226" s="22">
        <v>0.66238399999999997</v>
      </c>
      <c r="AR226" s="22">
        <v>157.02500000000001</v>
      </c>
      <c r="AS226" s="22">
        <v>4.5623799999999999E-2</v>
      </c>
      <c r="AT226" s="22">
        <v>216</v>
      </c>
      <c r="AU226" s="22">
        <v>0.383606</v>
      </c>
      <c r="AV226">
        <f t="shared" si="44"/>
        <v>-45.623799999999996</v>
      </c>
      <c r="AW226">
        <f t="shared" si="45"/>
        <v>-30.220475139199994</v>
      </c>
      <c r="AX226" s="9"/>
      <c r="AY226" s="22">
        <v>0.98770100000000005</v>
      </c>
      <c r="AZ226" s="22">
        <v>191.41300000000001</v>
      </c>
      <c r="BA226" s="22">
        <v>-1.80389E-2</v>
      </c>
      <c r="BB226" s="22">
        <v>216</v>
      </c>
      <c r="BC226" s="22">
        <v>0.98632799999999998</v>
      </c>
      <c r="BD226">
        <f t="shared" si="46"/>
        <v>18.038900000000002</v>
      </c>
      <c r="BE226">
        <f t="shared" si="47"/>
        <v>17.817039568900004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36.430300000000003</v>
      </c>
      <c r="I227" s="22">
        <v>4.6344000000000003E-2</v>
      </c>
      <c r="J227" s="22">
        <v>217</v>
      </c>
      <c r="K227" s="22">
        <v>0.37210100000000002</v>
      </c>
      <c r="L227">
        <f t="shared" si="36"/>
        <v>-46.344000000000001</v>
      </c>
      <c r="M227">
        <f t="shared" si="37"/>
        <v>-30.464182055999999</v>
      </c>
      <c r="N227" s="9"/>
      <c r="O227" s="22">
        <v>0.99273699999999998</v>
      </c>
      <c r="P227" s="22">
        <v>70.739400000000003</v>
      </c>
      <c r="Q227" s="22">
        <v>-1.7810099999999999E-2</v>
      </c>
      <c r="R227" s="22">
        <v>217</v>
      </c>
      <c r="S227" s="22">
        <v>0.99212599999999995</v>
      </c>
      <c r="T227">
        <f t="shared" si="38"/>
        <v>17.810099999999998</v>
      </c>
      <c r="U227">
        <f t="shared" si="39"/>
        <v>17.680745243699999</v>
      </c>
      <c r="X227" s="9"/>
      <c r="Y227" s="22">
        <v>0.65734899999999996</v>
      </c>
      <c r="Z227" s="22">
        <v>104.946</v>
      </c>
      <c r="AA227" s="22">
        <v>-1.84479E-2</v>
      </c>
      <c r="AB227" s="22">
        <v>217</v>
      </c>
      <c r="AC227" s="22">
        <v>0.65667699999999996</v>
      </c>
      <c r="AD227">
        <f t="shared" si="40"/>
        <v>18.447900000000001</v>
      </c>
      <c r="AE227">
        <f t="shared" si="41"/>
        <v>12.1267086171</v>
      </c>
      <c r="AF227" s="9"/>
      <c r="AG227" s="22">
        <v>0.99273699999999998</v>
      </c>
      <c r="AH227" s="22">
        <v>122.76600000000001</v>
      </c>
      <c r="AI227" s="22">
        <v>-1.8280000000000001E-2</v>
      </c>
      <c r="AJ227" s="22">
        <v>217</v>
      </c>
      <c r="AK227" s="22">
        <v>0.99273699999999998</v>
      </c>
      <c r="AL227">
        <f t="shared" si="42"/>
        <v>18.28</v>
      </c>
      <c r="AM227">
        <f t="shared" si="43"/>
        <v>18.14723236</v>
      </c>
      <c r="AP227" s="9"/>
      <c r="AQ227" s="22">
        <v>0.65734899999999996</v>
      </c>
      <c r="AR227" s="22">
        <v>157.036</v>
      </c>
      <c r="AS227" s="22">
        <v>4.5578E-2</v>
      </c>
      <c r="AT227" s="22">
        <v>217</v>
      </c>
      <c r="AU227" s="22">
        <v>0.38186599999999998</v>
      </c>
      <c r="AV227">
        <f t="shared" si="44"/>
        <v>-45.578000000000003</v>
      </c>
      <c r="AW227">
        <f t="shared" si="45"/>
        <v>-29.960652721999999</v>
      </c>
      <c r="AX227" s="9"/>
      <c r="AY227" s="22">
        <v>0.99273699999999998</v>
      </c>
      <c r="AZ227" s="22">
        <v>191.423</v>
      </c>
      <c r="BA227" s="22">
        <v>-1.8035900000000001E-2</v>
      </c>
      <c r="BB227" s="22">
        <v>217</v>
      </c>
      <c r="BC227" s="22">
        <v>0.99151599999999995</v>
      </c>
      <c r="BD227">
        <f t="shared" si="46"/>
        <v>18.035900000000002</v>
      </c>
      <c r="BE227">
        <f t="shared" si="47"/>
        <v>17.904905258300001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36.440300000000001</v>
      </c>
      <c r="I228" s="22">
        <v>4.6340899999999997E-2</v>
      </c>
      <c r="J228" s="22">
        <v>218</v>
      </c>
      <c r="K228" s="22">
        <v>0.36999500000000002</v>
      </c>
      <c r="L228">
        <f t="shared" si="36"/>
        <v>-46.340899999999998</v>
      </c>
      <c r="M228">
        <f t="shared" si="37"/>
        <v>-30.228771501699999</v>
      </c>
      <c r="N228" s="9"/>
      <c r="O228" s="22">
        <v>0.99777199999999999</v>
      </c>
      <c r="P228" s="22">
        <v>70.749499999999998</v>
      </c>
      <c r="Q228" s="22">
        <v>-1.79443E-2</v>
      </c>
      <c r="R228" s="22">
        <v>218</v>
      </c>
      <c r="S228" s="22">
        <v>0.99761999999999995</v>
      </c>
      <c r="T228">
        <f t="shared" si="38"/>
        <v>17.944299999999998</v>
      </c>
      <c r="U228">
        <f t="shared" si="39"/>
        <v>17.9043200996</v>
      </c>
      <c r="X228" s="9"/>
      <c r="Y228" s="22">
        <v>0.65231300000000003</v>
      </c>
      <c r="Z228" s="22">
        <v>104.956</v>
      </c>
      <c r="AA228" s="22">
        <v>-1.8450899999999999E-2</v>
      </c>
      <c r="AB228" s="22">
        <v>218</v>
      </c>
      <c r="AC228" s="22">
        <v>0.65188599999999997</v>
      </c>
      <c r="AD228">
        <f t="shared" si="40"/>
        <v>18.450900000000001</v>
      </c>
      <c r="AE228">
        <f t="shared" si="41"/>
        <v>12.035761931700002</v>
      </c>
      <c r="AF228" s="9"/>
      <c r="AG228" s="22">
        <v>0.99777199999999999</v>
      </c>
      <c r="AH228" s="22">
        <v>122.776</v>
      </c>
      <c r="AI228" s="22">
        <v>-1.8280000000000001E-2</v>
      </c>
      <c r="AJ228" s="22">
        <v>218</v>
      </c>
      <c r="AK228" s="22">
        <v>0.99670400000000003</v>
      </c>
      <c r="AL228">
        <f t="shared" si="42"/>
        <v>18.28</v>
      </c>
      <c r="AM228">
        <f t="shared" si="43"/>
        <v>18.239272160000002</v>
      </c>
      <c r="AP228" s="9"/>
      <c r="AQ228" s="22">
        <v>0.65231300000000003</v>
      </c>
      <c r="AR228" s="22">
        <v>157.04599999999999</v>
      </c>
      <c r="AS228" s="22">
        <v>4.56055E-2</v>
      </c>
      <c r="AT228" s="22">
        <v>218</v>
      </c>
      <c r="AU228" s="22">
        <v>0.37423699999999999</v>
      </c>
      <c r="AV228">
        <f t="shared" si="44"/>
        <v>-45.605499999999999</v>
      </c>
      <c r="AW228">
        <f t="shared" si="45"/>
        <v>-29.749060521500002</v>
      </c>
      <c r="AX228" s="9"/>
      <c r="AY228" s="22">
        <v>0.99777199999999999</v>
      </c>
      <c r="AZ228" s="22">
        <v>191.43299999999999</v>
      </c>
      <c r="BA228" s="22">
        <v>-1.8032800000000002E-2</v>
      </c>
      <c r="BB228" s="22">
        <v>218</v>
      </c>
      <c r="BC228" s="22">
        <v>0.99639900000000003</v>
      </c>
      <c r="BD228">
        <f t="shared" si="46"/>
        <v>18.032800000000002</v>
      </c>
      <c r="BE228">
        <f t="shared" si="47"/>
        <v>17.992622921600002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36.450400000000002</v>
      </c>
      <c r="I229" s="22">
        <v>4.6337900000000001E-2</v>
      </c>
      <c r="J229" s="22">
        <v>219</v>
      </c>
      <c r="K229" s="22">
        <v>0.37634299999999998</v>
      </c>
      <c r="L229">
        <f t="shared" si="36"/>
        <v>-46.337900000000005</v>
      </c>
      <c r="M229">
        <f t="shared" si="37"/>
        <v>-29.993503236200002</v>
      </c>
      <c r="N229" s="9"/>
      <c r="O229" s="22">
        <v>1.00281</v>
      </c>
      <c r="P229" s="22">
        <v>70.759600000000006</v>
      </c>
      <c r="Q229" s="22">
        <v>-1.79413E-2</v>
      </c>
      <c r="R229" s="22">
        <v>219</v>
      </c>
      <c r="S229" s="22">
        <v>1.00159</v>
      </c>
      <c r="T229">
        <f t="shared" si="38"/>
        <v>17.941300000000002</v>
      </c>
      <c r="U229">
        <f t="shared" si="39"/>
        <v>17.991715053</v>
      </c>
      <c r="X229" s="9"/>
      <c r="Y229" s="22">
        <v>0.64727800000000002</v>
      </c>
      <c r="Z229" s="22">
        <v>104.96599999999999</v>
      </c>
      <c r="AA229" s="22">
        <v>-1.8454000000000002E-2</v>
      </c>
      <c r="AB229" s="22">
        <v>219</v>
      </c>
      <c r="AC229" s="22">
        <v>0.64654500000000004</v>
      </c>
      <c r="AD229">
        <f t="shared" si="40"/>
        <v>18.454000000000001</v>
      </c>
      <c r="AE229">
        <f t="shared" si="41"/>
        <v>11.944868212000001</v>
      </c>
      <c r="AF229" s="9"/>
      <c r="AG229" s="22">
        <v>1.00281</v>
      </c>
      <c r="AH229" s="22">
        <v>122.78700000000001</v>
      </c>
      <c r="AI229" s="22">
        <v>-1.8277000000000002E-2</v>
      </c>
      <c r="AJ229" s="22">
        <v>219</v>
      </c>
      <c r="AK229" s="22">
        <v>1.00159</v>
      </c>
      <c r="AL229">
        <f t="shared" si="42"/>
        <v>18.277000000000001</v>
      </c>
      <c r="AM229">
        <f t="shared" si="43"/>
        <v>18.32835837</v>
      </c>
      <c r="AP229" s="9"/>
      <c r="AQ229" s="22">
        <v>0.64727800000000002</v>
      </c>
      <c r="AR229" s="22">
        <v>157.05600000000001</v>
      </c>
      <c r="AS229" s="22">
        <v>4.5532200000000002E-2</v>
      </c>
      <c r="AT229" s="22">
        <v>219</v>
      </c>
      <c r="AU229" s="22">
        <v>0.38195800000000002</v>
      </c>
      <c r="AV229">
        <f t="shared" si="44"/>
        <v>-45.532200000000003</v>
      </c>
      <c r="AW229">
        <f t="shared" si="45"/>
        <v>-29.471991351600003</v>
      </c>
      <c r="AX229" s="9"/>
      <c r="AY229" s="22">
        <v>1.00281</v>
      </c>
      <c r="AZ229" s="22">
        <v>191.44300000000001</v>
      </c>
      <c r="BA229" s="22">
        <v>-1.8014499999999999E-2</v>
      </c>
      <c r="BB229" s="22">
        <v>219</v>
      </c>
      <c r="BC229" s="22">
        <v>1.00342</v>
      </c>
      <c r="BD229">
        <f t="shared" si="46"/>
        <v>18.014499999999998</v>
      </c>
      <c r="BE229">
        <f t="shared" si="47"/>
        <v>18.065120744999998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36.460500000000003</v>
      </c>
      <c r="I230" s="22">
        <v>4.6334800000000002E-2</v>
      </c>
      <c r="J230" s="22">
        <v>220</v>
      </c>
      <c r="K230" s="22">
        <v>0.37619000000000002</v>
      </c>
      <c r="L230">
        <f t="shared" si="36"/>
        <v>-46.334800000000001</v>
      </c>
      <c r="M230">
        <f t="shared" si="37"/>
        <v>-29.758154621599999</v>
      </c>
      <c r="N230" s="9"/>
      <c r="O230" s="22">
        <v>1.0078400000000001</v>
      </c>
      <c r="P230" s="22">
        <v>70.769599999999997</v>
      </c>
      <c r="Q230" s="22">
        <v>-1.7871100000000001E-2</v>
      </c>
      <c r="R230" s="22">
        <v>220</v>
      </c>
      <c r="S230" s="22">
        <v>1.00769</v>
      </c>
      <c r="T230">
        <f t="shared" si="38"/>
        <v>17.871100000000002</v>
      </c>
      <c r="U230">
        <f t="shared" si="39"/>
        <v>18.011209424000004</v>
      </c>
      <c r="X230" s="9"/>
      <c r="Y230" s="22">
        <v>0.64224199999999998</v>
      </c>
      <c r="Z230" s="22">
        <v>104.976</v>
      </c>
      <c r="AA230" s="22">
        <v>-1.8457000000000001E-2</v>
      </c>
      <c r="AB230" s="22">
        <v>220</v>
      </c>
      <c r="AC230" s="22">
        <v>0.64154100000000003</v>
      </c>
      <c r="AD230">
        <f t="shared" si="40"/>
        <v>18.457000000000001</v>
      </c>
      <c r="AE230">
        <f t="shared" si="41"/>
        <v>11.853860594</v>
      </c>
      <c r="AF230" s="9"/>
      <c r="AG230" s="22">
        <v>1.0078400000000001</v>
      </c>
      <c r="AH230" s="22">
        <v>122.797</v>
      </c>
      <c r="AI230" s="22">
        <v>-1.8273899999999999E-2</v>
      </c>
      <c r="AJ230" s="22">
        <v>220</v>
      </c>
      <c r="AK230" s="22">
        <v>1.00739</v>
      </c>
      <c r="AL230">
        <f t="shared" si="42"/>
        <v>18.273899999999998</v>
      </c>
      <c r="AM230">
        <f t="shared" si="43"/>
        <v>18.417167375999998</v>
      </c>
      <c r="AP230" s="9"/>
      <c r="AQ230" s="22">
        <v>0.64224199999999998</v>
      </c>
      <c r="AR230" s="22">
        <v>157.066</v>
      </c>
      <c r="AS230" s="22">
        <v>4.5538299999999997E-2</v>
      </c>
      <c r="AT230" s="22">
        <v>220</v>
      </c>
      <c r="AU230" s="22">
        <v>0.37847900000000001</v>
      </c>
      <c r="AV230">
        <f t="shared" si="44"/>
        <v>-45.5383</v>
      </c>
      <c r="AW230">
        <f t="shared" si="45"/>
        <v>-29.246608868599999</v>
      </c>
      <c r="AX230" s="9"/>
      <c r="AY230" s="22">
        <v>1.0078400000000001</v>
      </c>
      <c r="AZ230" s="22">
        <v>191.453</v>
      </c>
      <c r="BA230" s="22">
        <v>-1.8020600000000001E-2</v>
      </c>
      <c r="BB230" s="22">
        <v>220</v>
      </c>
      <c r="BC230" s="22">
        <v>1.00586</v>
      </c>
      <c r="BD230">
        <f t="shared" si="46"/>
        <v>18.020600000000002</v>
      </c>
      <c r="BE230">
        <f t="shared" si="47"/>
        <v>18.161881504000004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36.470599999999997</v>
      </c>
      <c r="I231" s="22">
        <v>4.6331799999999999E-2</v>
      </c>
      <c r="J231" s="22">
        <v>221</v>
      </c>
      <c r="K231" s="22">
        <v>0.376556</v>
      </c>
      <c r="L231">
        <f t="shared" si="36"/>
        <v>-46.331800000000001</v>
      </c>
      <c r="M231">
        <f t="shared" si="37"/>
        <v>-29.522947282600001</v>
      </c>
      <c r="N231" s="9"/>
      <c r="O231" s="22">
        <v>1.01288</v>
      </c>
      <c r="P231" s="22">
        <v>70.779700000000005</v>
      </c>
      <c r="Q231" s="22">
        <v>-1.78345E-2</v>
      </c>
      <c r="R231" s="22">
        <v>221</v>
      </c>
      <c r="S231" s="22">
        <v>1.01257</v>
      </c>
      <c r="T231">
        <f t="shared" si="38"/>
        <v>17.834499999999998</v>
      </c>
      <c r="U231">
        <f t="shared" si="39"/>
        <v>18.064208359999999</v>
      </c>
      <c r="X231" s="9"/>
      <c r="Y231" s="22">
        <v>0.63720699999999997</v>
      </c>
      <c r="Z231" s="22">
        <v>104.986</v>
      </c>
      <c r="AA231" s="22">
        <v>-1.84601E-2</v>
      </c>
      <c r="AB231" s="22">
        <v>221</v>
      </c>
      <c r="AC231" s="22">
        <v>0.63693200000000005</v>
      </c>
      <c r="AD231">
        <f t="shared" si="40"/>
        <v>18.460100000000001</v>
      </c>
      <c r="AE231">
        <f t="shared" si="41"/>
        <v>11.7629049407</v>
      </c>
      <c r="AF231" s="9"/>
      <c r="AG231" s="22">
        <v>1.01288</v>
      </c>
      <c r="AH231" s="22">
        <v>122.807</v>
      </c>
      <c r="AI231" s="22">
        <v>-1.82709E-2</v>
      </c>
      <c r="AJ231" s="22">
        <v>221</v>
      </c>
      <c r="AK231" s="22">
        <v>1.01227</v>
      </c>
      <c r="AL231">
        <f t="shared" si="42"/>
        <v>18.270900000000001</v>
      </c>
      <c r="AM231">
        <f t="shared" si="43"/>
        <v>18.506229192000003</v>
      </c>
      <c r="AP231" s="9"/>
      <c r="AQ231" s="22">
        <v>0.63720699999999997</v>
      </c>
      <c r="AR231" s="22">
        <v>157.07599999999999</v>
      </c>
      <c r="AS231" s="22">
        <v>4.5556600000000003E-2</v>
      </c>
      <c r="AT231" s="22">
        <v>221</v>
      </c>
      <c r="AU231" s="22">
        <v>0.38220199999999999</v>
      </c>
      <c r="AV231">
        <f t="shared" si="44"/>
        <v>-45.556600000000003</v>
      </c>
      <c r="AW231">
        <f t="shared" si="45"/>
        <v>-29.0289844162</v>
      </c>
      <c r="AX231" s="9"/>
      <c r="AY231" s="22">
        <v>1.01288</v>
      </c>
      <c r="AZ231" s="22">
        <v>191.46299999999999</v>
      </c>
      <c r="BA231" s="22">
        <v>-1.8017600000000002E-2</v>
      </c>
      <c r="BB231" s="22">
        <v>221</v>
      </c>
      <c r="BC231" s="22">
        <v>1.01257</v>
      </c>
      <c r="BD231">
        <f t="shared" si="46"/>
        <v>18.017600000000002</v>
      </c>
      <c r="BE231">
        <f t="shared" si="47"/>
        <v>18.249666688000001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36.480600000000003</v>
      </c>
      <c r="I232" s="22">
        <v>4.6344000000000003E-2</v>
      </c>
      <c r="J232" s="22">
        <v>222</v>
      </c>
      <c r="K232" s="22">
        <v>0.37457299999999999</v>
      </c>
      <c r="L232">
        <f t="shared" si="36"/>
        <v>-46.344000000000001</v>
      </c>
      <c r="M232">
        <f t="shared" si="37"/>
        <v>-29.297379167999999</v>
      </c>
      <c r="N232" s="9"/>
      <c r="O232" s="22">
        <v>1.0179100000000001</v>
      </c>
      <c r="P232" s="22">
        <v>70.7898</v>
      </c>
      <c r="Q232" s="22">
        <v>-1.74133E-2</v>
      </c>
      <c r="R232" s="22">
        <v>222</v>
      </c>
      <c r="S232" s="22">
        <v>1.01471</v>
      </c>
      <c r="T232">
        <f t="shared" si="38"/>
        <v>17.4133</v>
      </c>
      <c r="U232">
        <f t="shared" si="39"/>
        <v>17.725172203</v>
      </c>
      <c r="X232" s="9"/>
      <c r="Y232" s="22">
        <v>0.63217199999999996</v>
      </c>
      <c r="Z232" s="22">
        <v>104.996</v>
      </c>
      <c r="AA232" s="22">
        <v>-1.84601E-2</v>
      </c>
      <c r="AB232" s="22">
        <v>222</v>
      </c>
      <c r="AC232" s="22">
        <v>0.63101200000000002</v>
      </c>
      <c r="AD232">
        <f t="shared" si="40"/>
        <v>18.460100000000001</v>
      </c>
      <c r="AE232">
        <f t="shared" si="41"/>
        <v>11.669958337199999</v>
      </c>
      <c r="AF232" s="9"/>
      <c r="AG232" s="22">
        <v>1.0179100000000001</v>
      </c>
      <c r="AH232" s="22">
        <v>122.81699999999999</v>
      </c>
      <c r="AI232" s="22">
        <v>-1.8267800000000001E-2</v>
      </c>
      <c r="AJ232" s="22">
        <v>222</v>
      </c>
      <c r="AK232" s="22">
        <v>1.01837</v>
      </c>
      <c r="AL232">
        <f t="shared" si="42"/>
        <v>18.267800000000001</v>
      </c>
      <c r="AM232">
        <f t="shared" si="43"/>
        <v>18.594976298000002</v>
      </c>
      <c r="AP232" s="9"/>
      <c r="AQ232" s="22">
        <v>0.63217199999999996</v>
      </c>
      <c r="AR232" s="22">
        <v>157.08600000000001</v>
      </c>
      <c r="AS232" s="22">
        <v>4.56055E-2</v>
      </c>
      <c r="AT232" s="22">
        <v>222</v>
      </c>
      <c r="AU232" s="22">
        <v>0.38626100000000002</v>
      </c>
      <c r="AV232">
        <f t="shared" si="44"/>
        <v>-45.605499999999999</v>
      </c>
      <c r="AW232">
        <f t="shared" si="45"/>
        <v>-28.830520145999998</v>
      </c>
      <c r="AX232" s="9"/>
      <c r="AY232" s="22">
        <v>1.0179100000000001</v>
      </c>
      <c r="AZ232" s="22">
        <v>191.47300000000001</v>
      </c>
      <c r="BA232" s="22">
        <v>-1.8014499999999999E-2</v>
      </c>
      <c r="BB232" s="22">
        <v>222</v>
      </c>
      <c r="BC232" s="22">
        <v>1.01685</v>
      </c>
      <c r="BD232">
        <f t="shared" si="46"/>
        <v>18.014499999999998</v>
      </c>
      <c r="BE232">
        <f t="shared" si="47"/>
        <v>18.337139695000001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36.490699999999997</v>
      </c>
      <c r="I233" s="22">
        <v>4.6344000000000003E-2</v>
      </c>
      <c r="J233" s="22">
        <v>223</v>
      </c>
      <c r="K233" s="22">
        <v>0.37380999999999998</v>
      </c>
      <c r="L233">
        <f t="shared" si="36"/>
        <v>-46.344000000000001</v>
      </c>
      <c r="M233">
        <f t="shared" si="37"/>
        <v>-29.063990784000001</v>
      </c>
      <c r="N233" s="9"/>
      <c r="O233" s="22">
        <v>1.02295</v>
      </c>
      <c r="P233" s="22">
        <v>70.799800000000005</v>
      </c>
      <c r="Q233" s="22">
        <v>-1.7617799999999999E-2</v>
      </c>
      <c r="R233" s="22">
        <v>223</v>
      </c>
      <c r="S233" s="22">
        <v>1.02325</v>
      </c>
      <c r="T233">
        <f t="shared" si="38"/>
        <v>17.617799999999999</v>
      </c>
      <c r="U233">
        <f t="shared" si="39"/>
        <v>18.022128509999998</v>
      </c>
      <c r="X233" s="9"/>
      <c r="Y233" s="22">
        <v>0.62713600000000003</v>
      </c>
      <c r="Z233" s="22">
        <v>105.006</v>
      </c>
      <c r="AA233" s="22">
        <v>-1.84601E-2</v>
      </c>
      <c r="AB233" s="22">
        <v>223</v>
      </c>
      <c r="AC233" s="22">
        <v>0.62628200000000001</v>
      </c>
      <c r="AD233">
        <f t="shared" si="40"/>
        <v>18.460100000000001</v>
      </c>
      <c r="AE233">
        <f t="shared" si="41"/>
        <v>11.576993273600001</v>
      </c>
      <c r="AF233" s="9"/>
      <c r="AG233" s="22">
        <v>1.02295</v>
      </c>
      <c r="AH233" s="22">
        <v>122.827</v>
      </c>
      <c r="AI233" s="22">
        <v>-1.8267800000000001E-2</v>
      </c>
      <c r="AJ233" s="22">
        <v>223</v>
      </c>
      <c r="AK233" s="22">
        <v>1.02173</v>
      </c>
      <c r="AL233">
        <f t="shared" si="42"/>
        <v>18.267800000000001</v>
      </c>
      <c r="AM233">
        <f t="shared" si="43"/>
        <v>18.687046010000003</v>
      </c>
      <c r="AP233" s="9"/>
      <c r="AQ233" s="22">
        <v>0.62713600000000003</v>
      </c>
      <c r="AR233" s="22">
        <v>157.096</v>
      </c>
      <c r="AS233" s="22">
        <v>4.5593300000000003E-2</v>
      </c>
      <c r="AT233" s="22">
        <v>223</v>
      </c>
      <c r="AU233" s="22">
        <v>0.385376</v>
      </c>
      <c r="AV233">
        <f t="shared" si="44"/>
        <v>-45.593300000000006</v>
      </c>
      <c r="AW233">
        <f t="shared" si="45"/>
        <v>-28.593199788800007</v>
      </c>
      <c r="AX233" s="9"/>
      <c r="AY233" s="22">
        <v>1.02295</v>
      </c>
      <c r="AZ233" s="22">
        <v>191.483</v>
      </c>
      <c r="BA233" s="22">
        <v>-1.80237E-2</v>
      </c>
      <c r="BB233" s="22">
        <v>223</v>
      </c>
      <c r="BC233" s="22">
        <v>1.01898</v>
      </c>
      <c r="BD233">
        <f t="shared" si="46"/>
        <v>18.023700000000002</v>
      </c>
      <c r="BE233">
        <f t="shared" si="47"/>
        <v>18.437343915000003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36.500799999999998</v>
      </c>
      <c r="I234" s="22">
        <v>4.6346999999999999E-2</v>
      </c>
      <c r="J234" s="22">
        <v>224</v>
      </c>
      <c r="K234" s="22">
        <v>0.37658700000000001</v>
      </c>
      <c r="L234">
        <f t="shared" si="36"/>
        <v>-46.347000000000001</v>
      </c>
      <c r="M234">
        <f t="shared" si="37"/>
        <v>-28.832515047000001</v>
      </c>
      <c r="N234" s="9"/>
      <c r="O234" s="22">
        <v>1.0279799999999999</v>
      </c>
      <c r="P234" s="22">
        <v>70.809899999999999</v>
      </c>
      <c r="Q234" s="22">
        <v>-1.7687999999999999E-2</v>
      </c>
      <c r="R234" s="22">
        <v>224</v>
      </c>
      <c r="S234" s="22">
        <v>1.02783</v>
      </c>
      <c r="T234">
        <f t="shared" si="38"/>
        <v>17.687999999999999</v>
      </c>
      <c r="U234">
        <f t="shared" si="39"/>
        <v>18.182910239999998</v>
      </c>
      <c r="X234" s="9"/>
      <c r="Y234" s="22">
        <v>0.62210100000000002</v>
      </c>
      <c r="Z234" s="22">
        <v>105.01600000000001</v>
      </c>
      <c r="AA234" s="22">
        <v>-1.84631E-2</v>
      </c>
      <c r="AB234" s="22">
        <v>224</v>
      </c>
      <c r="AC234" s="22">
        <v>0.62188699999999997</v>
      </c>
      <c r="AD234">
        <f t="shared" si="40"/>
        <v>18.463100000000001</v>
      </c>
      <c r="AE234">
        <f t="shared" si="41"/>
        <v>11.485912973100001</v>
      </c>
      <c r="AF234" s="9"/>
      <c r="AG234" s="22">
        <v>1.0279799999999999</v>
      </c>
      <c r="AH234" s="22">
        <v>122.837</v>
      </c>
      <c r="AI234" s="22">
        <v>-1.8267800000000001E-2</v>
      </c>
      <c r="AJ234" s="22">
        <v>224</v>
      </c>
      <c r="AK234" s="22">
        <v>1.02783</v>
      </c>
      <c r="AL234">
        <f t="shared" si="42"/>
        <v>18.267800000000001</v>
      </c>
      <c r="AM234">
        <f t="shared" si="43"/>
        <v>18.778933043999999</v>
      </c>
      <c r="AP234" s="9"/>
      <c r="AQ234" s="22">
        <v>0.62210100000000002</v>
      </c>
      <c r="AR234" s="22">
        <v>157.10599999999999</v>
      </c>
      <c r="AS234" s="22">
        <v>4.5614599999999998E-2</v>
      </c>
      <c r="AT234" s="22">
        <v>224</v>
      </c>
      <c r="AU234" s="22">
        <v>0.38461299999999998</v>
      </c>
      <c r="AV234">
        <f t="shared" si="44"/>
        <v>-45.614599999999996</v>
      </c>
      <c r="AW234">
        <f t="shared" si="45"/>
        <v>-28.376888274599999</v>
      </c>
      <c r="AX234" s="9"/>
      <c r="AY234" s="22">
        <v>1.0279799999999999</v>
      </c>
      <c r="AZ234" s="22">
        <v>191.49299999999999</v>
      </c>
      <c r="BA234" s="22">
        <v>-1.8008400000000001E-2</v>
      </c>
      <c r="BB234" s="22">
        <v>224</v>
      </c>
      <c r="BC234" s="22">
        <v>1.02905</v>
      </c>
      <c r="BD234">
        <f t="shared" si="46"/>
        <v>18.008400000000002</v>
      </c>
      <c r="BE234">
        <f t="shared" si="47"/>
        <v>18.512275032000002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36.510800000000003</v>
      </c>
      <c r="I235" s="22">
        <v>4.6346999999999999E-2</v>
      </c>
      <c r="J235" s="22">
        <v>225</v>
      </c>
      <c r="K235" s="22">
        <v>0.37170399999999998</v>
      </c>
      <c r="L235">
        <f t="shared" si="36"/>
        <v>-46.347000000000001</v>
      </c>
      <c r="M235">
        <f t="shared" si="37"/>
        <v>-28.599111555</v>
      </c>
      <c r="N235" s="9"/>
      <c r="O235" s="22">
        <v>1.03302</v>
      </c>
      <c r="P235" s="22">
        <v>70.819999999999993</v>
      </c>
      <c r="Q235" s="22">
        <v>-1.7633099999999999E-2</v>
      </c>
      <c r="R235" s="22">
        <v>225</v>
      </c>
      <c r="S235" s="22">
        <v>1.03088</v>
      </c>
      <c r="T235">
        <f t="shared" si="38"/>
        <v>17.633099999999999</v>
      </c>
      <c r="U235">
        <f t="shared" si="39"/>
        <v>18.215344962</v>
      </c>
      <c r="X235" s="9"/>
      <c r="Y235" s="22">
        <v>0.61706499999999997</v>
      </c>
      <c r="Z235" s="22">
        <v>105.026</v>
      </c>
      <c r="AA235" s="22">
        <v>-1.8466199999999999E-2</v>
      </c>
      <c r="AB235" s="22">
        <v>225</v>
      </c>
      <c r="AC235" s="22">
        <v>0.61581399999999997</v>
      </c>
      <c r="AD235">
        <f t="shared" si="40"/>
        <v>18.466199999999997</v>
      </c>
      <c r="AE235">
        <f t="shared" si="41"/>
        <v>11.394845702999998</v>
      </c>
      <c r="AF235" s="9"/>
      <c r="AG235" s="22">
        <v>1.03302</v>
      </c>
      <c r="AH235" s="22">
        <v>122.84699999999999</v>
      </c>
      <c r="AI235" s="22">
        <v>-1.8264800000000001E-2</v>
      </c>
      <c r="AJ235" s="22">
        <v>225</v>
      </c>
      <c r="AK235" s="22">
        <v>1.0318000000000001</v>
      </c>
      <c r="AL235">
        <f t="shared" si="42"/>
        <v>18.264800000000001</v>
      </c>
      <c r="AM235">
        <f t="shared" si="43"/>
        <v>18.867903696000003</v>
      </c>
      <c r="AP235" s="9"/>
      <c r="AQ235" s="22">
        <v>0.61706499999999997</v>
      </c>
      <c r="AR235" s="22">
        <v>157.11600000000001</v>
      </c>
      <c r="AS235" s="22">
        <v>4.5562699999999998E-2</v>
      </c>
      <c r="AT235" s="22">
        <v>225</v>
      </c>
      <c r="AU235" s="22">
        <v>0.38381999999999999</v>
      </c>
      <c r="AV235">
        <f t="shared" si="44"/>
        <v>-45.5627</v>
      </c>
      <c r="AW235">
        <f t="shared" si="45"/>
        <v>-28.115147475499999</v>
      </c>
      <c r="AX235" s="9"/>
      <c r="AY235" s="22">
        <v>1.03302</v>
      </c>
      <c r="AZ235" s="22">
        <v>191.50299999999999</v>
      </c>
      <c r="BA235" s="22">
        <v>-1.80115E-2</v>
      </c>
      <c r="BB235" s="22">
        <v>225</v>
      </c>
      <c r="BC235" s="22">
        <v>1.0318000000000001</v>
      </c>
      <c r="BD235">
        <f t="shared" si="46"/>
        <v>18.011499999999998</v>
      </c>
      <c r="BE235">
        <f t="shared" si="47"/>
        <v>18.606239729999999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36.520899999999997</v>
      </c>
      <c r="I236" s="22">
        <v>4.6337900000000001E-2</v>
      </c>
      <c r="J236" s="22">
        <v>226</v>
      </c>
      <c r="K236" s="22">
        <v>0.36614999999999998</v>
      </c>
      <c r="L236">
        <f t="shared" si="36"/>
        <v>-46.337900000000005</v>
      </c>
      <c r="M236">
        <f t="shared" si="37"/>
        <v>-28.360184937</v>
      </c>
      <c r="N236" s="9"/>
      <c r="O236" s="22">
        <v>1.03806</v>
      </c>
      <c r="P236" s="22">
        <v>70.830100000000002</v>
      </c>
      <c r="Q236" s="22">
        <v>-1.74255E-2</v>
      </c>
      <c r="R236" s="22">
        <v>226</v>
      </c>
      <c r="S236" s="22">
        <v>1.03668</v>
      </c>
      <c r="T236">
        <f t="shared" si="38"/>
        <v>17.4255</v>
      </c>
      <c r="U236">
        <f t="shared" si="39"/>
        <v>18.088714530000001</v>
      </c>
      <c r="X236" s="9"/>
      <c r="Y236" s="22">
        <v>0.61202999999999996</v>
      </c>
      <c r="Z236" s="22">
        <v>105.036</v>
      </c>
      <c r="AA236" s="22">
        <v>-1.8469200000000002E-2</v>
      </c>
      <c r="AB236" s="22">
        <v>226</v>
      </c>
      <c r="AC236" s="22">
        <v>0.61145000000000005</v>
      </c>
      <c r="AD236">
        <f t="shared" si="40"/>
        <v>18.469200000000001</v>
      </c>
      <c r="AE236">
        <f t="shared" si="41"/>
        <v>11.303704476</v>
      </c>
      <c r="AF236" s="9"/>
      <c r="AG236" s="22">
        <v>1.03806</v>
      </c>
      <c r="AH236" s="22">
        <v>122.857</v>
      </c>
      <c r="AI236" s="22">
        <v>-1.8261699999999999E-2</v>
      </c>
      <c r="AJ236" s="22">
        <v>226</v>
      </c>
      <c r="AK236" s="22">
        <v>1.03668</v>
      </c>
      <c r="AL236">
        <f t="shared" si="42"/>
        <v>18.261699999999998</v>
      </c>
      <c r="AM236">
        <f t="shared" si="43"/>
        <v>18.956740301999996</v>
      </c>
      <c r="AP236" s="9"/>
      <c r="AQ236" s="22">
        <v>0.61202999999999996</v>
      </c>
      <c r="AR236" s="22">
        <v>157.126</v>
      </c>
      <c r="AS236" s="22">
        <v>4.5529199999999999E-2</v>
      </c>
      <c r="AT236" s="22">
        <v>226</v>
      </c>
      <c r="AU236" s="22">
        <v>0.382019</v>
      </c>
      <c r="AV236">
        <f t="shared" si="44"/>
        <v>-45.529199999999996</v>
      </c>
      <c r="AW236">
        <f t="shared" si="45"/>
        <v>-27.865236275999997</v>
      </c>
      <c r="AX236" s="9"/>
      <c r="AY236" s="22">
        <v>1.03806</v>
      </c>
      <c r="AZ236" s="22">
        <v>191.51300000000001</v>
      </c>
      <c r="BA236" s="22">
        <v>-1.8002299999999999E-2</v>
      </c>
      <c r="BB236" s="22">
        <v>226</v>
      </c>
      <c r="BC236" s="22">
        <v>1.0369900000000001</v>
      </c>
      <c r="BD236">
        <f t="shared" si="46"/>
        <v>18.002299999999998</v>
      </c>
      <c r="BE236">
        <f t="shared" si="47"/>
        <v>18.687467537999996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36.530999999999999</v>
      </c>
      <c r="I237" s="22">
        <v>4.6337900000000001E-2</v>
      </c>
      <c r="J237" s="22">
        <v>227</v>
      </c>
      <c r="K237" s="22">
        <v>0.37512200000000001</v>
      </c>
      <c r="L237">
        <f t="shared" si="36"/>
        <v>-46.337900000000005</v>
      </c>
      <c r="M237">
        <f t="shared" si="37"/>
        <v>-28.126873610500002</v>
      </c>
      <c r="N237" s="9"/>
      <c r="O237" s="22">
        <v>1.0430900000000001</v>
      </c>
      <c r="P237" s="22">
        <v>70.840100000000007</v>
      </c>
      <c r="Q237" s="22">
        <v>-1.78619E-2</v>
      </c>
      <c r="R237" s="22">
        <v>227</v>
      </c>
      <c r="S237" s="22">
        <v>1.0424800000000001</v>
      </c>
      <c r="T237">
        <f t="shared" si="38"/>
        <v>17.861899999999999</v>
      </c>
      <c r="U237">
        <f t="shared" si="39"/>
        <v>18.631569271</v>
      </c>
      <c r="X237" s="9"/>
      <c r="Y237" s="22">
        <v>0.60699499999999995</v>
      </c>
      <c r="Z237" s="22">
        <v>105.04600000000001</v>
      </c>
      <c r="AA237" s="22">
        <v>-1.8469200000000002E-2</v>
      </c>
      <c r="AB237" s="22">
        <v>227</v>
      </c>
      <c r="AC237" s="22">
        <v>0.60641500000000004</v>
      </c>
      <c r="AD237">
        <f t="shared" si="40"/>
        <v>18.469200000000001</v>
      </c>
      <c r="AE237">
        <f t="shared" si="41"/>
        <v>11.210712054</v>
      </c>
      <c r="AF237" s="9"/>
      <c r="AG237" s="22">
        <v>1.0430900000000001</v>
      </c>
      <c r="AH237" s="22">
        <v>122.867</v>
      </c>
      <c r="AI237" s="22">
        <v>-1.8258699999999999E-2</v>
      </c>
      <c r="AJ237" s="22">
        <v>227</v>
      </c>
      <c r="AK237" s="22">
        <v>1.0418700000000001</v>
      </c>
      <c r="AL237">
        <f t="shared" si="42"/>
        <v>18.258699999999997</v>
      </c>
      <c r="AM237">
        <f t="shared" si="43"/>
        <v>19.045467382999998</v>
      </c>
      <c r="AP237" s="9"/>
      <c r="AQ237" s="22">
        <v>0.60699499999999995</v>
      </c>
      <c r="AR237" s="22">
        <v>157.136</v>
      </c>
      <c r="AS237" s="22">
        <v>4.5581099999999999E-2</v>
      </c>
      <c r="AT237" s="22">
        <v>227</v>
      </c>
      <c r="AU237" s="22">
        <v>0.38375900000000002</v>
      </c>
      <c r="AV237">
        <f t="shared" si="44"/>
        <v>-45.581099999999999</v>
      </c>
      <c r="AW237">
        <f t="shared" si="45"/>
        <v>-27.667499794499996</v>
      </c>
      <c r="AX237" s="9"/>
      <c r="AY237" s="22">
        <v>1.0430900000000001</v>
      </c>
      <c r="AZ237" s="22">
        <v>191.523</v>
      </c>
      <c r="BA237" s="22">
        <v>-1.8005400000000001E-2</v>
      </c>
      <c r="BB237" s="22">
        <v>227</v>
      </c>
      <c r="BC237" s="22">
        <v>1.03912</v>
      </c>
      <c r="BD237">
        <f t="shared" si="46"/>
        <v>18.005400000000002</v>
      </c>
      <c r="BE237">
        <f t="shared" si="47"/>
        <v>18.781252686000002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36.5411</v>
      </c>
      <c r="I238" s="22">
        <v>4.6331799999999999E-2</v>
      </c>
      <c r="J238" s="22">
        <v>228</v>
      </c>
      <c r="K238" s="22">
        <v>0.378693</v>
      </c>
      <c r="L238">
        <f t="shared" si="36"/>
        <v>-46.331800000000001</v>
      </c>
      <c r="M238">
        <f t="shared" si="37"/>
        <v>-27.889843996200003</v>
      </c>
      <c r="N238" s="9"/>
      <c r="O238" s="22">
        <v>1.04813</v>
      </c>
      <c r="P238" s="22">
        <v>70.850200000000001</v>
      </c>
      <c r="Q238" s="22">
        <v>-1.79291E-2</v>
      </c>
      <c r="R238" s="22">
        <v>228</v>
      </c>
      <c r="S238" s="22">
        <v>1.0467500000000001</v>
      </c>
      <c r="T238">
        <f t="shared" si="38"/>
        <v>17.929099999999998</v>
      </c>
      <c r="U238">
        <f t="shared" si="39"/>
        <v>18.792027582999999</v>
      </c>
      <c r="X238" s="9"/>
      <c r="Y238" s="22">
        <v>0.60195900000000002</v>
      </c>
      <c r="Z238" s="22">
        <v>105.056</v>
      </c>
      <c r="AA238" s="22">
        <v>-1.8472300000000001E-2</v>
      </c>
      <c r="AB238" s="22">
        <v>228</v>
      </c>
      <c r="AC238" s="22">
        <v>0.60131800000000002</v>
      </c>
      <c r="AD238">
        <f t="shared" si="40"/>
        <v>18.472300000000001</v>
      </c>
      <c r="AE238">
        <f t="shared" si="41"/>
        <v>11.1195672357</v>
      </c>
      <c r="AF238" s="9"/>
      <c r="AG238" s="22">
        <v>1.04813</v>
      </c>
      <c r="AH238" s="22">
        <v>122.877</v>
      </c>
      <c r="AI238" s="22">
        <v>-1.82556E-2</v>
      </c>
      <c r="AJ238" s="22">
        <v>228</v>
      </c>
      <c r="AK238" s="22">
        <v>1.0467500000000001</v>
      </c>
      <c r="AL238">
        <f t="shared" si="42"/>
        <v>18.255600000000001</v>
      </c>
      <c r="AM238">
        <f t="shared" si="43"/>
        <v>19.134242028000003</v>
      </c>
      <c r="AP238" s="9"/>
      <c r="AQ238" s="22">
        <v>0.60195900000000002</v>
      </c>
      <c r="AR238" s="22">
        <v>157.14599999999999</v>
      </c>
      <c r="AS238" s="22">
        <v>4.5578E-2</v>
      </c>
      <c r="AT238" s="22">
        <v>228</v>
      </c>
      <c r="AU238" s="22">
        <v>0.38049300000000003</v>
      </c>
      <c r="AV238">
        <f t="shared" si="44"/>
        <v>-45.578000000000003</v>
      </c>
      <c r="AW238">
        <f t="shared" si="45"/>
        <v>-27.436087302000004</v>
      </c>
      <c r="AX238" s="9"/>
      <c r="AY238" s="22">
        <v>1.04813</v>
      </c>
      <c r="AZ238" s="22">
        <v>191.53299999999999</v>
      </c>
      <c r="BA238" s="22">
        <v>-1.8002299999999999E-2</v>
      </c>
      <c r="BB238" s="22">
        <v>228</v>
      </c>
      <c r="BC238" s="22">
        <v>1.0446200000000001</v>
      </c>
      <c r="BD238">
        <f t="shared" si="46"/>
        <v>18.002299999999998</v>
      </c>
      <c r="BE238">
        <f t="shared" si="47"/>
        <v>18.868750699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36.551099999999998</v>
      </c>
      <c r="I239" s="22">
        <v>4.6322599999999998E-2</v>
      </c>
      <c r="J239" s="22">
        <v>229</v>
      </c>
      <c r="K239" s="22">
        <v>0.37646499999999999</v>
      </c>
      <c r="L239">
        <f t="shared" si="36"/>
        <v>-46.322600000000001</v>
      </c>
      <c r="M239">
        <f t="shared" si="37"/>
        <v>-27.651071682400001</v>
      </c>
      <c r="N239" s="9"/>
      <c r="O239" s="22">
        <v>1.0531600000000001</v>
      </c>
      <c r="P239" s="22">
        <v>70.860299999999995</v>
      </c>
      <c r="Q239" s="22">
        <v>-1.78741E-2</v>
      </c>
      <c r="R239" s="22">
        <v>229</v>
      </c>
      <c r="S239" s="22">
        <v>1.0522499999999999</v>
      </c>
      <c r="T239">
        <f t="shared" si="38"/>
        <v>17.874100000000002</v>
      </c>
      <c r="U239">
        <f t="shared" si="39"/>
        <v>18.824287156000004</v>
      </c>
      <c r="X239" s="9"/>
      <c r="Y239" s="22">
        <v>0.59692400000000001</v>
      </c>
      <c r="Z239" s="22">
        <v>105.066</v>
      </c>
      <c r="AA239" s="22">
        <v>-1.8478399999999999E-2</v>
      </c>
      <c r="AB239" s="22">
        <v>229</v>
      </c>
      <c r="AC239" s="22">
        <v>0.59670999999999996</v>
      </c>
      <c r="AD239">
        <f t="shared" si="40"/>
        <v>18.478400000000001</v>
      </c>
      <c r="AE239">
        <f t="shared" si="41"/>
        <v>11.0302004416</v>
      </c>
      <c r="AF239" s="9"/>
      <c r="AG239" s="22">
        <v>1.0531600000000001</v>
      </c>
      <c r="AH239" s="22">
        <v>122.887</v>
      </c>
      <c r="AI239" s="22">
        <v>-1.82556E-2</v>
      </c>
      <c r="AJ239" s="22">
        <v>229</v>
      </c>
      <c r="AK239" s="22">
        <v>1.0522499999999999</v>
      </c>
      <c r="AL239">
        <f t="shared" si="42"/>
        <v>18.255600000000001</v>
      </c>
      <c r="AM239">
        <f t="shared" si="43"/>
        <v>19.226067696000001</v>
      </c>
      <c r="AP239" s="9"/>
      <c r="AQ239" s="22">
        <v>0.59692400000000001</v>
      </c>
      <c r="AR239" s="22">
        <v>157.15600000000001</v>
      </c>
      <c r="AS239" s="22">
        <v>4.5550500000000001E-2</v>
      </c>
      <c r="AT239" s="22">
        <v>229</v>
      </c>
      <c r="AU239" s="22">
        <v>0.38327</v>
      </c>
      <c r="AV239">
        <f t="shared" si="44"/>
        <v>-45.5505</v>
      </c>
      <c r="AW239">
        <f t="shared" si="45"/>
        <v>-27.190186661999999</v>
      </c>
      <c r="AX239" s="9"/>
      <c r="AY239" s="22">
        <v>1.0531600000000001</v>
      </c>
      <c r="AZ239" s="22">
        <v>191.54400000000001</v>
      </c>
      <c r="BA239" s="22">
        <v>-1.7984E-2</v>
      </c>
      <c r="BB239" s="22">
        <v>229</v>
      </c>
      <c r="BC239" s="22">
        <v>1.0516399999999999</v>
      </c>
      <c r="BD239">
        <f t="shared" si="46"/>
        <v>17.984000000000002</v>
      </c>
      <c r="BE239">
        <f t="shared" si="47"/>
        <v>18.940029440000004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36.561199999999999</v>
      </c>
      <c r="I240" s="22">
        <v>4.6319600000000002E-2</v>
      </c>
      <c r="J240" s="22">
        <v>230</v>
      </c>
      <c r="K240" s="22">
        <v>0.37725799999999998</v>
      </c>
      <c r="L240">
        <f t="shared" si="36"/>
        <v>-46.319600000000001</v>
      </c>
      <c r="M240">
        <f t="shared" si="37"/>
        <v>-27.4160154048</v>
      </c>
      <c r="N240" s="9"/>
      <c r="O240" s="22">
        <v>1.0582</v>
      </c>
      <c r="P240" s="22">
        <v>70.8703</v>
      </c>
      <c r="Q240" s="22">
        <v>-1.78467E-2</v>
      </c>
      <c r="R240" s="22">
        <v>230</v>
      </c>
      <c r="S240" s="22">
        <v>1.0574300000000001</v>
      </c>
      <c r="T240">
        <f t="shared" si="38"/>
        <v>17.846699999999998</v>
      </c>
      <c r="U240">
        <f t="shared" si="39"/>
        <v>18.885377939999998</v>
      </c>
      <c r="X240" s="9"/>
      <c r="Y240" s="22">
        <v>0.59188799999999997</v>
      </c>
      <c r="Z240" s="22">
        <v>105.07599999999999</v>
      </c>
      <c r="AA240" s="22">
        <v>-1.8478399999999999E-2</v>
      </c>
      <c r="AB240" s="22">
        <v>230</v>
      </c>
      <c r="AC240" s="22">
        <v>0.59127799999999997</v>
      </c>
      <c r="AD240">
        <f t="shared" si="40"/>
        <v>18.478400000000001</v>
      </c>
      <c r="AE240">
        <f t="shared" si="41"/>
        <v>10.937143219199999</v>
      </c>
      <c r="AF240" s="9"/>
      <c r="AG240" s="22">
        <v>1.0582</v>
      </c>
      <c r="AH240" s="22">
        <v>122.89700000000001</v>
      </c>
      <c r="AI240" s="22">
        <v>-1.8252600000000001E-2</v>
      </c>
      <c r="AJ240" s="22">
        <v>230</v>
      </c>
      <c r="AK240" s="22">
        <v>1.0577399999999999</v>
      </c>
      <c r="AL240">
        <f t="shared" si="42"/>
        <v>18.252600000000001</v>
      </c>
      <c r="AM240">
        <f t="shared" si="43"/>
        <v>19.314901320000001</v>
      </c>
      <c r="AP240" s="9"/>
      <c r="AQ240" s="22">
        <v>0.59188799999999997</v>
      </c>
      <c r="AR240" s="22">
        <v>157.166</v>
      </c>
      <c r="AS240" s="22">
        <v>4.5565799999999997E-2</v>
      </c>
      <c r="AT240" s="22">
        <v>230</v>
      </c>
      <c r="AU240" s="22">
        <v>0.38250699999999999</v>
      </c>
      <c r="AV240">
        <f t="shared" si="44"/>
        <v>-45.565799999999996</v>
      </c>
      <c r="AW240">
        <f t="shared" si="45"/>
        <v>-26.969850230399995</v>
      </c>
      <c r="AX240" s="9"/>
      <c r="AY240" s="22">
        <v>1.0582</v>
      </c>
      <c r="AZ240" s="22">
        <v>191.554</v>
      </c>
      <c r="BA240" s="22">
        <v>-1.7981E-2</v>
      </c>
      <c r="BB240" s="22">
        <v>230</v>
      </c>
      <c r="BC240" s="22">
        <v>1.0626199999999999</v>
      </c>
      <c r="BD240">
        <f t="shared" si="46"/>
        <v>17.981000000000002</v>
      </c>
      <c r="BE240">
        <f t="shared" si="47"/>
        <v>19.027494200000003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36.571300000000001</v>
      </c>
      <c r="I241" s="22">
        <v>4.6316499999999997E-2</v>
      </c>
      <c r="J241" s="22">
        <v>231</v>
      </c>
      <c r="K241" s="22">
        <v>0.37338300000000002</v>
      </c>
      <c r="L241">
        <f t="shared" si="36"/>
        <v>-46.316499999999998</v>
      </c>
      <c r="M241">
        <f t="shared" si="37"/>
        <v>-27.180976974499998</v>
      </c>
      <c r="N241" s="9"/>
      <c r="O241" s="22">
        <v>1.0632299999999999</v>
      </c>
      <c r="P241" s="22">
        <v>70.880399999999995</v>
      </c>
      <c r="Q241" s="22">
        <v>-1.7733800000000001E-2</v>
      </c>
      <c r="R241" s="22">
        <v>231</v>
      </c>
      <c r="S241" s="22">
        <v>1.0620099999999999</v>
      </c>
      <c r="T241">
        <f t="shared" si="38"/>
        <v>17.733800000000002</v>
      </c>
      <c r="U241">
        <f t="shared" si="39"/>
        <v>18.855108174000001</v>
      </c>
      <c r="X241" s="9"/>
      <c r="Y241" s="22">
        <v>0.58685299999999996</v>
      </c>
      <c r="Z241" s="22">
        <v>105.087</v>
      </c>
      <c r="AA241" s="22">
        <v>-1.8481399999999999E-2</v>
      </c>
      <c r="AB241" s="22">
        <v>231</v>
      </c>
      <c r="AC241" s="22">
        <v>0.58627300000000004</v>
      </c>
      <c r="AD241">
        <f t="shared" si="40"/>
        <v>18.481399999999997</v>
      </c>
      <c r="AE241">
        <f t="shared" si="41"/>
        <v>10.845865034199997</v>
      </c>
      <c r="AF241" s="9"/>
      <c r="AG241" s="22">
        <v>1.0632299999999999</v>
      </c>
      <c r="AH241" s="22">
        <v>122.907</v>
      </c>
      <c r="AI241" s="22">
        <v>-1.8249499999999998E-2</v>
      </c>
      <c r="AJ241" s="22">
        <v>231</v>
      </c>
      <c r="AK241" s="22">
        <v>1.0623199999999999</v>
      </c>
      <c r="AL241">
        <f t="shared" si="42"/>
        <v>18.249499999999998</v>
      </c>
      <c r="AM241">
        <f t="shared" si="43"/>
        <v>19.403415884999994</v>
      </c>
      <c r="AP241" s="9"/>
      <c r="AQ241" s="22">
        <v>0.58685299999999996</v>
      </c>
      <c r="AR241" s="22">
        <v>157.17699999999999</v>
      </c>
      <c r="AS241" s="22">
        <v>4.5596299999999999E-2</v>
      </c>
      <c r="AT241" s="22">
        <v>231</v>
      </c>
      <c r="AU241" s="22">
        <v>0.38470500000000002</v>
      </c>
      <c r="AV241">
        <f t="shared" si="44"/>
        <v>-45.596299999999999</v>
      </c>
      <c r="AW241">
        <f t="shared" si="45"/>
        <v>-26.758325443899999</v>
      </c>
      <c r="AX241" s="9"/>
      <c r="AY241" s="22">
        <v>1.0632299999999999</v>
      </c>
      <c r="AZ241" s="22">
        <v>191.56399999999999</v>
      </c>
      <c r="BA241" s="22">
        <v>-1.7977900000000002E-2</v>
      </c>
      <c r="BB241" s="22">
        <v>231</v>
      </c>
      <c r="BC241" s="22">
        <v>1.0632299999999999</v>
      </c>
      <c r="BD241">
        <f t="shared" si="46"/>
        <v>17.977900000000002</v>
      </c>
      <c r="BE241">
        <f t="shared" si="47"/>
        <v>19.114642617000001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36.581299999999999</v>
      </c>
      <c r="I242" s="22">
        <v>4.6316499999999997E-2</v>
      </c>
      <c r="J242" s="22">
        <v>232</v>
      </c>
      <c r="K242" s="22">
        <v>0.363983</v>
      </c>
      <c r="L242">
        <f t="shared" si="36"/>
        <v>-46.316499999999998</v>
      </c>
      <c r="M242">
        <f t="shared" si="37"/>
        <v>-26.947773396999995</v>
      </c>
      <c r="N242" s="9"/>
      <c r="O242" s="22">
        <v>1.0682700000000001</v>
      </c>
      <c r="P242" s="22">
        <v>70.890500000000003</v>
      </c>
      <c r="Q242" s="22">
        <v>-1.7807E-2</v>
      </c>
      <c r="R242" s="22">
        <v>232</v>
      </c>
      <c r="S242" s="22">
        <v>1.0662799999999999</v>
      </c>
      <c r="T242">
        <f t="shared" si="38"/>
        <v>17.806999999999999</v>
      </c>
      <c r="U242">
        <f t="shared" si="39"/>
        <v>19.02268389</v>
      </c>
      <c r="X242" s="9"/>
      <c r="Y242" s="22">
        <v>0.58181799999999995</v>
      </c>
      <c r="Z242" s="22">
        <v>105.09699999999999</v>
      </c>
      <c r="AA242" s="22">
        <v>-1.84875E-2</v>
      </c>
      <c r="AB242" s="22">
        <v>232</v>
      </c>
      <c r="AC242" s="22">
        <v>0.58120700000000003</v>
      </c>
      <c r="AD242">
        <f t="shared" si="40"/>
        <v>18.487500000000001</v>
      </c>
      <c r="AE242">
        <f t="shared" si="41"/>
        <v>10.756360274999999</v>
      </c>
      <c r="AF242" s="9"/>
      <c r="AG242" s="22">
        <v>1.0682700000000001</v>
      </c>
      <c r="AH242" s="22">
        <v>122.917</v>
      </c>
      <c r="AI242" s="22">
        <v>-1.8246499999999999E-2</v>
      </c>
      <c r="AJ242" s="22">
        <v>232</v>
      </c>
      <c r="AK242" s="22">
        <v>1.0678099999999999</v>
      </c>
      <c r="AL242">
        <f t="shared" si="42"/>
        <v>18.246499999999997</v>
      </c>
      <c r="AM242">
        <f t="shared" si="43"/>
        <v>19.492188554999998</v>
      </c>
      <c r="AP242" s="9"/>
      <c r="AQ242" s="22">
        <v>0.58181799999999995</v>
      </c>
      <c r="AR242" s="22">
        <v>157.18700000000001</v>
      </c>
      <c r="AS242" s="22">
        <v>4.5571899999999999E-2</v>
      </c>
      <c r="AT242" s="22">
        <v>232</v>
      </c>
      <c r="AU242" s="22">
        <v>0.38503999999999999</v>
      </c>
      <c r="AV242">
        <f t="shared" si="44"/>
        <v>-45.571899999999999</v>
      </c>
      <c r="AW242">
        <f t="shared" si="45"/>
        <v>-26.514551714199996</v>
      </c>
      <c r="AX242" s="9"/>
      <c r="AY242" s="22">
        <v>1.0682700000000001</v>
      </c>
      <c r="AZ242" s="22">
        <v>191.57400000000001</v>
      </c>
      <c r="BA242" s="22">
        <v>-1.7974899999999999E-2</v>
      </c>
      <c r="BB242" s="22">
        <v>232</v>
      </c>
      <c r="BC242" s="22">
        <v>1.06812</v>
      </c>
      <c r="BD242">
        <f t="shared" si="46"/>
        <v>17.974899999999998</v>
      </c>
      <c r="BE242">
        <f t="shared" si="47"/>
        <v>19.202046422999999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36.5914</v>
      </c>
      <c r="I243" s="22">
        <v>4.6310400000000002E-2</v>
      </c>
      <c r="J243" s="22">
        <v>233</v>
      </c>
      <c r="K243" s="22">
        <v>0.37234499999999998</v>
      </c>
      <c r="L243">
        <f t="shared" si="36"/>
        <v>-46.310400000000001</v>
      </c>
      <c r="M243">
        <f t="shared" si="37"/>
        <v>-26.7110051328</v>
      </c>
      <c r="N243" s="9"/>
      <c r="O243" s="22">
        <v>1.0732999999999999</v>
      </c>
      <c r="P243" s="22">
        <v>70.900599999999997</v>
      </c>
      <c r="Q243" s="22">
        <v>-1.73981E-2</v>
      </c>
      <c r="R243" s="22">
        <v>233</v>
      </c>
      <c r="S243" s="22">
        <v>1.07239</v>
      </c>
      <c r="T243">
        <f t="shared" si="38"/>
        <v>17.398099999999999</v>
      </c>
      <c r="U243">
        <f t="shared" si="39"/>
        <v>18.673380729999998</v>
      </c>
      <c r="X243" s="9"/>
      <c r="Y243" s="22">
        <v>0.57678200000000002</v>
      </c>
      <c r="Z243" s="22">
        <v>105.107</v>
      </c>
      <c r="AA243" s="22">
        <v>-1.84875E-2</v>
      </c>
      <c r="AB243" s="22">
        <v>233</v>
      </c>
      <c r="AC243" s="22">
        <v>0.57601899999999995</v>
      </c>
      <c r="AD243">
        <f t="shared" si="40"/>
        <v>18.487500000000001</v>
      </c>
      <c r="AE243">
        <f t="shared" si="41"/>
        <v>10.663257225000001</v>
      </c>
      <c r="AF243" s="9"/>
      <c r="AG243" s="22">
        <v>1.0732999999999999</v>
      </c>
      <c r="AH243" s="22">
        <v>122.928</v>
      </c>
      <c r="AI243" s="22">
        <v>-1.82434E-2</v>
      </c>
      <c r="AJ243" s="22">
        <v>233</v>
      </c>
      <c r="AK243" s="22">
        <v>1.073</v>
      </c>
      <c r="AL243">
        <f t="shared" si="42"/>
        <v>18.243400000000001</v>
      </c>
      <c r="AM243">
        <f t="shared" si="43"/>
        <v>19.58064122</v>
      </c>
      <c r="AP243" s="9"/>
      <c r="AQ243" s="22">
        <v>0.57678200000000002</v>
      </c>
      <c r="AR243" s="22">
        <v>157.197</v>
      </c>
      <c r="AS243" s="22">
        <v>4.5590199999999997E-2</v>
      </c>
      <c r="AT243" s="22">
        <v>233</v>
      </c>
      <c r="AU243" s="22">
        <v>0.379272</v>
      </c>
      <c r="AV243">
        <f t="shared" si="44"/>
        <v>-45.590199999999996</v>
      </c>
      <c r="AW243">
        <f t="shared" si="45"/>
        <v>-26.2956067364</v>
      </c>
      <c r="AX243" s="9"/>
      <c r="AY243" s="22">
        <v>1.0732999999999999</v>
      </c>
      <c r="AZ243" s="22">
        <v>191.584</v>
      </c>
      <c r="BA243" s="22">
        <v>-1.7974899999999999E-2</v>
      </c>
      <c r="BB243" s="22">
        <v>233</v>
      </c>
      <c r="BC243" s="22">
        <v>1.0708599999999999</v>
      </c>
      <c r="BD243">
        <f t="shared" si="46"/>
        <v>17.974899999999998</v>
      </c>
      <c r="BE243">
        <f t="shared" si="47"/>
        <v>19.292460169999998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36.601500000000001</v>
      </c>
      <c r="I244" s="22">
        <v>4.6307399999999999E-2</v>
      </c>
      <c r="J244" s="22">
        <v>234</v>
      </c>
      <c r="K244" s="22">
        <v>0.36792000000000002</v>
      </c>
      <c r="L244">
        <f t="shared" si="36"/>
        <v>-46.307400000000001</v>
      </c>
      <c r="M244">
        <f t="shared" si="37"/>
        <v>-26.476117027800001</v>
      </c>
      <c r="N244" s="9"/>
      <c r="O244" s="22">
        <v>1.0783400000000001</v>
      </c>
      <c r="P244" s="22">
        <v>70.910600000000002</v>
      </c>
      <c r="Q244" s="22">
        <v>-1.68396E-2</v>
      </c>
      <c r="R244" s="22">
        <v>234</v>
      </c>
      <c r="S244" s="22">
        <v>1.0751299999999999</v>
      </c>
      <c r="T244">
        <f t="shared" si="38"/>
        <v>16.839600000000001</v>
      </c>
      <c r="U244">
        <f t="shared" si="39"/>
        <v>18.158814264000004</v>
      </c>
      <c r="X244" s="9"/>
      <c r="Y244" s="22">
        <v>0.57174700000000001</v>
      </c>
      <c r="Z244" s="22">
        <v>105.117</v>
      </c>
      <c r="AA244" s="22">
        <v>-1.8493699999999998E-2</v>
      </c>
      <c r="AB244" s="22">
        <v>234</v>
      </c>
      <c r="AC244" s="22">
        <v>0.57113599999999998</v>
      </c>
      <c r="AD244">
        <f t="shared" si="40"/>
        <v>18.493699999999997</v>
      </c>
      <c r="AE244">
        <f t="shared" si="41"/>
        <v>10.573717493899998</v>
      </c>
      <c r="AF244" s="9"/>
      <c r="AG244" s="22">
        <v>1.0783400000000001</v>
      </c>
      <c r="AH244" s="22">
        <v>122.938</v>
      </c>
      <c r="AI244" s="22">
        <v>-1.82404E-2</v>
      </c>
      <c r="AJ244" s="22">
        <v>234</v>
      </c>
      <c r="AK244" s="22">
        <v>1.0772699999999999</v>
      </c>
      <c r="AL244">
        <f t="shared" si="42"/>
        <v>18.240400000000001</v>
      </c>
      <c r="AM244">
        <f t="shared" si="43"/>
        <v>19.669352936000003</v>
      </c>
      <c r="AP244" s="9"/>
      <c r="AQ244" s="22">
        <v>0.57174700000000001</v>
      </c>
      <c r="AR244" s="22">
        <v>157.20699999999999</v>
      </c>
      <c r="AS244" s="22">
        <v>4.5617699999999997E-2</v>
      </c>
      <c r="AT244" s="22">
        <v>234</v>
      </c>
      <c r="AU244" s="22">
        <v>0.37716699999999997</v>
      </c>
      <c r="AV244">
        <f t="shared" si="44"/>
        <v>-45.617699999999999</v>
      </c>
      <c r="AW244">
        <f t="shared" si="45"/>
        <v>-26.081783121899999</v>
      </c>
      <c r="AX244" s="9"/>
      <c r="AY244" s="22">
        <v>1.0783400000000001</v>
      </c>
      <c r="AZ244" s="22">
        <v>191.59399999999999</v>
      </c>
      <c r="BA244" s="22">
        <v>-1.7977900000000002E-2</v>
      </c>
      <c r="BB244" s="22">
        <v>234</v>
      </c>
      <c r="BC244" s="22">
        <v>1.07361</v>
      </c>
      <c r="BD244">
        <f t="shared" si="46"/>
        <v>17.977900000000002</v>
      </c>
      <c r="BE244">
        <f t="shared" si="47"/>
        <v>19.386288686000004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36.611499999999999</v>
      </c>
      <c r="I245" s="22">
        <v>4.6301299999999997E-2</v>
      </c>
      <c r="J245" s="22">
        <v>235</v>
      </c>
      <c r="K245" s="22">
        <v>0.366394</v>
      </c>
      <c r="L245">
        <f t="shared" si="36"/>
        <v>-46.301299999999998</v>
      </c>
      <c r="M245">
        <f t="shared" si="37"/>
        <v>-26.239456024299997</v>
      </c>
      <c r="N245" s="9"/>
      <c r="O245" s="22">
        <v>1.0833699999999999</v>
      </c>
      <c r="P245" s="22">
        <v>70.920699999999997</v>
      </c>
      <c r="Q245" s="22">
        <v>-1.71082E-2</v>
      </c>
      <c r="R245" s="22">
        <v>235</v>
      </c>
      <c r="S245" s="22">
        <v>1.0833699999999999</v>
      </c>
      <c r="T245">
        <f t="shared" si="38"/>
        <v>17.1082</v>
      </c>
      <c r="U245">
        <f t="shared" si="39"/>
        <v>18.534510634</v>
      </c>
      <c r="X245" s="9"/>
      <c r="Y245" s="22">
        <v>0.56671099999999996</v>
      </c>
      <c r="Z245" s="22">
        <v>105.127</v>
      </c>
      <c r="AA245" s="22">
        <v>-1.8493699999999998E-2</v>
      </c>
      <c r="AB245" s="22">
        <v>235</v>
      </c>
      <c r="AC245" s="22">
        <v>0.56646700000000005</v>
      </c>
      <c r="AD245">
        <f t="shared" si="40"/>
        <v>18.493699999999997</v>
      </c>
      <c r="AE245">
        <f t="shared" si="41"/>
        <v>10.480583220699998</v>
      </c>
      <c r="AF245" s="9"/>
      <c r="AG245" s="22">
        <v>1.0833699999999999</v>
      </c>
      <c r="AH245" s="22">
        <v>122.94799999999999</v>
      </c>
      <c r="AI245" s="22">
        <v>-1.8234299999999998E-2</v>
      </c>
      <c r="AJ245" s="22">
        <v>235</v>
      </c>
      <c r="AK245" s="22">
        <v>1.0815399999999999</v>
      </c>
      <c r="AL245">
        <f t="shared" si="42"/>
        <v>18.234299999999998</v>
      </c>
      <c r="AM245">
        <f t="shared" si="43"/>
        <v>19.754493590999996</v>
      </c>
      <c r="AP245" s="9"/>
      <c r="AQ245" s="22">
        <v>0.56671099999999996</v>
      </c>
      <c r="AR245" s="22">
        <v>157.21700000000001</v>
      </c>
      <c r="AS245" s="22">
        <v>4.5581099999999999E-2</v>
      </c>
      <c r="AT245" s="22">
        <v>235</v>
      </c>
      <c r="AU245" s="22">
        <v>0.37820399999999998</v>
      </c>
      <c r="AV245">
        <f t="shared" si="44"/>
        <v>-45.581099999999999</v>
      </c>
      <c r="AW245">
        <f t="shared" si="45"/>
        <v>-25.831310762099999</v>
      </c>
      <c r="AX245" s="9"/>
      <c r="AY245" s="22">
        <v>1.0833699999999999</v>
      </c>
      <c r="AZ245" s="22">
        <v>191.60400000000001</v>
      </c>
      <c r="BA245" s="22">
        <v>-1.7965700000000001E-2</v>
      </c>
      <c r="BB245" s="22">
        <v>235</v>
      </c>
      <c r="BC245" s="22">
        <v>1.0821499999999999</v>
      </c>
      <c r="BD245">
        <f t="shared" si="46"/>
        <v>17.965700000000002</v>
      </c>
      <c r="BE245">
        <f t="shared" si="47"/>
        <v>19.463500409000002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36.621600000000001</v>
      </c>
      <c r="I246" s="22">
        <v>4.6298199999999998E-2</v>
      </c>
      <c r="J246" s="22">
        <v>236</v>
      </c>
      <c r="K246" s="22">
        <v>0.36453200000000002</v>
      </c>
      <c r="L246">
        <f t="shared" si="36"/>
        <v>-46.298199999999994</v>
      </c>
      <c r="M246">
        <f t="shared" si="37"/>
        <v>-26.004587783199995</v>
      </c>
      <c r="N246" s="9"/>
      <c r="O246" s="22">
        <v>1.0884100000000001</v>
      </c>
      <c r="P246" s="22">
        <v>70.930800000000005</v>
      </c>
      <c r="Q246" s="22">
        <v>-1.7047099999999999E-2</v>
      </c>
      <c r="R246" s="22">
        <v>236</v>
      </c>
      <c r="S246" s="22">
        <v>1.08704</v>
      </c>
      <c r="T246">
        <f t="shared" si="38"/>
        <v>17.0471</v>
      </c>
      <c r="U246">
        <f t="shared" si="39"/>
        <v>18.554234111000003</v>
      </c>
      <c r="X246" s="9"/>
      <c r="Y246" s="22">
        <v>0.56167599999999995</v>
      </c>
      <c r="Z246" s="22">
        <v>105.137</v>
      </c>
      <c r="AA246" s="22">
        <v>-1.8493699999999998E-2</v>
      </c>
      <c r="AB246" s="22">
        <v>236</v>
      </c>
      <c r="AC246" s="22">
        <v>0.56008899999999995</v>
      </c>
      <c r="AD246">
        <f t="shared" si="40"/>
        <v>18.493699999999997</v>
      </c>
      <c r="AE246">
        <f t="shared" si="41"/>
        <v>10.387467441199997</v>
      </c>
      <c r="AF246" s="9"/>
      <c r="AG246" s="22">
        <v>1.0884100000000001</v>
      </c>
      <c r="AH246" s="22">
        <v>122.958</v>
      </c>
      <c r="AI246" s="22">
        <v>-1.8234299999999998E-2</v>
      </c>
      <c r="AJ246" s="22">
        <v>236</v>
      </c>
      <c r="AK246" s="22">
        <v>1.08643</v>
      </c>
      <c r="AL246">
        <f t="shared" si="42"/>
        <v>18.234299999999998</v>
      </c>
      <c r="AM246">
        <f t="shared" si="43"/>
        <v>19.846394462999999</v>
      </c>
      <c r="AP246" s="9"/>
      <c r="AQ246" s="22">
        <v>0.56167599999999995</v>
      </c>
      <c r="AR246" s="22">
        <v>157.227</v>
      </c>
      <c r="AS246" s="22">
        <v>4.5578E-2</v>
      </c>
      <c r="AT246" s="22">
        <v>236</v>
      </c>
      <c r="AU246" s="22">
        <v>0.355377</v>
      </c>
      <c r="AV246">
        <f t="shared" si="44"/>
        <v>-45.578000000000003</v>
      </c>
      <c r="AW246">
        <f t="shared" si="45"/>
        <v>-25.600068728</v>
      </c>
      <c r="AX246" s="9"/>
      <c r="AY246" s="22">
        <v>1.0884100000000001</v>
      </c>
      <c r="AZ246" s="22">
        <v>191.614</v>
      </c>
      <c r="BA246" s="22">
        <v>-1.7962599999999999E-2</v>
      </c>
      <c r="BB246" s="22">
        <v>236</v>
      </c>
      <c r="BC246" s="22">
        <v>1.08765</v>
      </c>
      <c r="BD246">
        <f t="shared" si="46"/>
        <v>17.962599999999998</v>
      </c>
      <c r="BE246">
        <f t="shared" si="47"/>
        <v>19.550673465999999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36.631700000000002</v>
      </c>
      <c r="I247" s="22">
        <v>4.6282999999999998E-2</v>
      </c>
      <c r="J247" s="22">
        <v>237</v>
      </c>
      <c r="K247" s="22">
        <v>0.371674</v>
      </c>
      <c r="L247">
        <f t="shared" si="36"/>
        <v>-46.283000000000001</v>
      </c>
      <c r="M247">
        <f t="shared" si="37"/>
        <v>-25.763015403000004</v>
      </c>
      <c r="N247" s="9"/>
      <c r="O247" s="22">
        <v>1.09344</v>
      </c>
      <c r="P247" s="22">
        <v>70.940799999999996</v>
      </c>
      <c r="Q247" s="22">
        <v>-1.73157E-2</v>
      </c>
      <c r="R247" s="22">
        <v>237</v>
      </c>
      <c r="S247" s="22">
        <v>1.09161</v>
      </c>
      <c r="T247">
        <f t="shared" si="38"/>
        <v>17.3157</v>
      </c>
      <c r="U247">
        <f t="shared" si="39"/>
        <v>18.933679007999999</v>
      </c>
      <c r="X247" s="9"/>
      <c r="Y247" s="22">
        <v>0.55664100000000005</v>
      </c>
      <c r="Z247" s="22">
        <v>105.14700000000001</v>
      </c>
      <c r="AA247" s="22">
        <v>-1.8493699999999998E-2</v>
      </c>
      <c r="AB247" s="22">
        <v>237</v>
      </c>
      <c r="AC247" s="22">
        <v>0.55600000000000005</v>
      </c>
      <c r="AD247">
        <f t="shared" si="40"/>
        <v>18.493699999999997</v>
      </c>
      <c r="AE247">
        <f t="shared" si="41"/>
        <v>10.294351661699999</v>
      </c>
      <c r="AF247" s="9"/>
      <c r="AG247" s="22">
        <v>1.09344</v>
      </c>
      <c r="AH247" s="22">
        <v>122.968</v>
      </c>
      <c r="AI247" s="22">
        <v>-1.8231199999999999E-2</v>
      </c>
      <c r="AJ247" s="22">
        <v>237</v>
      </c>
      <c r="AK247" s="22">
        <v>1.09192</v>
      </c>
      <c r="AL247">
        <f t="shared" si="42"/>
        <v>18.231200000000001</v>
      </c>
      <c r="AM247">
        <f t="shared" si="43"/>
        <v>19.934723328</v>
      </c>
      <c r="AP247" s="9"/>
      <c r="AQ247" s="22">
        <v>0.55664100000000005</v>
      </c>
      <c r="AR247" s="22">
        <v>157.23699999999999</v>
      </c>
      <c r="AS247" s="22">
        <v>4.5544399999999999E-2</v>
      </c>
      <c r="AT247" s="22">
        <v>237</v>
      </c>
      <c r="AU247" s="22">
        <v>0.38626100000000002</v>
      </c>
      <c r="AV247">
        <f t="shared" si="44"/>
        <v>-45.544399999999996</v>
      </c>
      <c r="AW247">
        <f t="shared" si="45"/>
        <v>-25.351880360399999</v>
      </c>
      <c r="AX247" s="9"/>
      <c r="AY247" s="22">
        <v>1.09344</v>
      </c>
      <c r="AZ247" s="22">
        <v>191.624</v>
      </c>
      <c r="BA247" s="22">
        <v>-1.7959599999999999E-2</v>
      </c>
      <c r="BB247" s="22">
        <v>237</v>
      </c>
      <c r="BC247" s="22">
        <v>1.09467</v>
      </c>
      <c r="BD247">
        <f t="shared" si="46"/>
        <v>17.959599999999998</v>
      </c>
      <c r="BE247">
        <f t="shared" si="47"/>
        <v>19.637745023999997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36.641800000000003</v>
      </c>
      <c r="I248" s="22">
        <v>4.6237199999999999E-2</v>
      </c>
      <c r="J248" s="22">
        <v>238</v>
      </c>
      <c r="K248" s="22">
        <v>0.37262000000000001</v>
      </c>
      <c r="L248">
        <f t="shared" si="36"/>
        <v>-46.237200000000001</v>
      </c>
      <c r="M248">
        <f t="shared" si="37"/>
        <v>-25.504670706000002</v>
      </c>
      <c r="N248" s="9"/>
      <c r="O248" s="22">
        <v>1.0984799999999999</v>
      </c>
      <c r="P248" s="22">
        <v>70.950900000000004</v>
      </c>
      <c r="Q248" s="22">
        <v>-1.7538499999999999E-2</v>
      </c>
      <c r="R248" s="22">
        <v>238</v>
      </c>
      <c r="S248" s="22">
        <v>1.09802</v>
      </c>
      <c r="T248">
        <f t="shared" si="38"/>
        <v>17.538499999999999</v>
      </c>
      <c r="U248">
        <f t="shared" si="39"/>
        <v>19.265691479999997</v>
      </c>
      <c r="X248" s="9"/>
      <c r="Y248" s="22">
        <v>0.55160500000000001</v>
      </c>
      <c r="Z248" s="22">
        <v>105.157</v>
      </c>
      <c r="AA248" s="22">
        <v>-1.8496700000000001E-2</v>
      </c>
      <c r="AB248" s="22">
        <v>238</v>
      </c>
      <c r="AC248" s="22">
        <v>0.55096400000000001</v>
      </c>
      <c r="AD248">
        <f t="shared" si="40"/>
        <v>18.496700000000001</v>
      </c>
      <c r="AE248">
        <f t="shared" si="41"/>
        <v>10.2028722035</v>
      </c>
      <c r="AF248" s="9"/>
      <c r="AG248" s="22">
        <v>1.0984799999999999</v>
      </c>
      <c r="AH248" s="22">
        <v>122.97799999999999</v>
      </c>
      <c r="AI248" s="22">
        <v>-1.8225100000000001E-2</v>
      </c>
      <c r="AJ248" s="22">
        <v>238</v>
      </c>
      <c r="AK248" s="22">
        <v>1.09741</v>
      </c>
      <c r="AL248">
        <f t="shared" si="42"/>
        <v>18.225100000000001</v>
      </c>
      <c r="AM248">
        <f t="shared" si="43"/>
        <v>20.019907847999999</v>
      </c>
      <c r="AP248" s="9"/>
      <c r="AQ248" s="22">
        <v>0.55160500000000001</v>
      </c>
      <c r="AR248" s="22">
        <v>157.24700000000001</v>
      </c>
      <c r="AS248" s="22">
        <v>4.5544399999999999E-2</v>
      </c>
      <c r="AT248" s="22">
        <v>238</v>
      </c>
      <c r="AU248" s="22">
        <v>0.38809199999999999</v>
      </c>
      <c r="AV248">
        <f t="shared" si="44"/>
        <v>-45.544399999999996</v>
      </c>
      <c r="AW248">
        <f t="shared" si="45"/>
        <v>-25.122518761999999</v>
      </c>
      <c r="AX248" s="9"/>
      <c r="AY248" s="22">
        <v>1.0984799999999999</v>
      </c>
      <c r="AZ248" s="22">
        <v>191.63399999999999</v>
      </c>
      <c r="BA248" s="22">
        <v>-1.79688E-2</v>
      </c>
      <c r="BB248" s="22">
        <v>238</v>
      </c>
      <c r="BC248" s="22">
        <v>1.09894</v>
      </c>
      <c r="BD248">
        <f t="shared" si="46"/>
        <v>17.968800000000002</v>
      </c>
      <c r="BE248">
        <f t="shared" si="47"/>
        <v>19.738367424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36.651800000000001</v>
      </c>
      <c r="I249" s="22">
        <v>4.6237199999999999E-2</v>
      </c>
      <c r="J249" s="22">
        <v>239</v>
      </c>
      <c r="K249" s="22">
        <v>0.37170399999999998</v>
      </c>
      <c r="L249">
        <f t="shared" si="36"/>
        <v>-46.237200000000001</v>
      </c>
      <c r="M249">
        <f t="shared" si="37"/>
        <v>-25.271866404000001</v>
      </c>
      <c r="N249" s="9"/>
      <c r="O249" s="22">
        <v>1.1035200000000001</v>
      </c>
      <c r="P249" s="22">
        <v>70.960999999999999</v>
      </c>
      <c r="Q249" s="22">
        <v>-1.6589400000000001E-2</v>
      </c>
      <c r="R249" s="22">
        <v>239</v>
      </c>
      <c r="S249" s="22">
        <v>1.1035200000000001</v>
      </c>
      <c r="T249">
        <f t="shared" si="38"/>
        <v>16.589400000000001</v>
      </c>
      <c r="U249">
        <f t="shared" si="39"/>
        <v>18.306734688000002</v>
      </c>
      <c r="X249" s="9"/>
      <c r="Y249" s="22">
        <v>0.54657</v>
      </c>
      <c r="Z249" s="22">
        <v>105.167</v>
      </c>
      <c r="AA249" s="22">
        <v>-1.84998E-2</v>
      </c>
      <c r="AB249" s="22">
        <v>239</v>
      </c>
      <c r="AC249" s="22">
        <v>0.54568499999999998</v>
      </c>
      <c r="AD249">
        <f t="shared" si="40"/>
        <v>18.4998</v>
      </c>
      <c r="AE249">
        <f t="shared" si="41"/>
        <v>10.111435686</v>
      </c>
      <c r="AF249" s="9"/>
      <c r="AG249" s="22">
        <v>1.1035200000000001</v>
      </c>
      <c r="AH249" s="22">
        <v>122.988</v>
      </c>
      <c r="AI249" s="22">
        <v>-1.8221999999999999E-2</v>
      </c>
      <c r="AJ249" s="22">
        <v>239</v>
      </c>
      <c r="AK249" s="22">
        <v>1.1029100000000001</v>
      </c>
      <c r="AL249">
        <f t="shared" si="42"/>
        <v>18.221999999999998</v>
      </c>
      <c r="AM249">
        <f t="shared" si="43"/>
        <v>20.10834144</v>
      </c>
      <c r="AP249" s="9"/>
      <c r="AQ249" s="22">
        <v>0.54657</v>
      </c>
      <c r="AR249" s="22">
        <v>157.25700000000001</v>
      </c>
      <c r="AS249" s="22">
        <v>4.55109E-2</v>
      </c>
      <c r="AT249" s="22">
        <v>239</v>
      </c>
      <c r="AU249" s="22">
        <v>0.38089000000000001</v>
      </c>
      <c r="AV249">
        <f t="shared" si="44"/>
        <v>-45.510899999999999</v>
      </c>
      <c r="AW249">
        <f t="shared" si="45"/>
        <v>-24.874892613</v>
      </c>
      <c r="AX249" s="9"/>
      <c r="AY249" s="22">
        <v>1.1035200000000001</v>
      </c>
      <c r="AZ249" s="22">
        <v>191.64400000000001</v>
      </c>
      <c r="BA249" s="22">
        <v>-1.7950399999999998E-2</v>
      </c>
      <c r="BB249" s="22">
        <v>239</v>
      </c>
      <c r="BC249" s="22">
        <v>1.10199</v>
      </c>
      <c r="BD249">
        <f t="shared" si="46"/>
        <v>17.950399999999998</v>
      </c>
      <c r="BE249">
        <f t="shared" si="47"/>
        <v>19.808625407999997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36.661900000000003</v>
      </c>
      <c r="I250" s="22">
        <v>4.62341E-2</v>
      </c>
      <c r="J250" s="22">
        <v>240</v>
      </c>
      <c r="K250" s="22">
        <v>0.36380000000000001</v>
      </c>
      <c r="L250">
        <f t="shared" si="36"/>
        <v>-46.234099999999998</v>
      </c>
      <c r="M250">
        <f t="shared" si="37"/>
        <v>-25.037337109399996</v>
      </c>
      <c r="N250" s="9"/>
      <c r="O250" s="22">
        <v>1.1085499999999999</v>
      </c>
      <c r="P250" s="22">
        <v>70.971100000000007</v>
      </c>
      <c r="Q250" s="22">
        <v>-1.7120400000000001E-2</v>
      </c>
      <c r="R250" s="22">
        <v>240</v>
      </c>
      <c r="S250" s="22">
        <v>1.1087</v>
      </c>
      <c r="T250">
        <f t="shared" si="38"/>
        <v>17.1204</v>
      </c>
      <c r="U250">
        <f t="shared" si="39"/>
        <v>18.978819419999997</v>
      </c>
      <c r="X250" s="9"/>
      <c r="Y250" s="22">
        <v>0.54153399999999996</v>
      </c>
      <c r="Z250" s="22">
        <v>105.17700000000001</v>
      </c>
      <c r="AA250" s="22">
        <v>-1.85028E-2</v>
      </c>
      <c r="AB250" s="22">
        <v>240</v>
      </c>
      <c r="AC250" s="22">
        <v>0.54153399999999996</v>
      </c>
      <c r="AD250">
        <f t="shared" si="40"/>
        <v>18.502800000000001</v>
      </c>
      <c r="AE250">
        <f t="shared" si="41"/>
        <v>10.0198952952</v>
      </c>
      <c r="AF250" s="9"/>
      <c r="AG250" s="22">
        <v>1.1085499999999999</v>
      </c>
      <c r="AH250" s="22">
        <v>122.998</v>
      </c>
      <c r="AI250" s="22">
        <v>-1.8218999999999999E-2</v>
      </c>
      <c r="AJ250" s="22">
        <v>240</v>
      </c>
      <c r="AK250" s="22">
        <v>1.1077900000000001</v>
      </c>
      <c r="AL250">
        <f t="shared" si="42"/>
        <v>18.218999999999998</v>
      </c>
      <c r="AM250">
        <f t="shared" si="43"/>
        <v>20.196672449999998</v>
      </c>
      <c r="AP250" s="9"/>
      <c r="AQ250" s="22">
        <v>0.54153399999999996</v>
      </c>
      <c r="AR250" s="22">
        <v>157.267</v>
      </c>
      <c r="AS250" s="22">
        <v>4.5492600000000001E-2</v>
      </c>
      <c r="AT250" s="22">
        <v>240</v>
      </c>
      <c r="AU250" s="22">
        <v>0.35775800000000002</v>
      </c>
      <c r="AV250">
        <f t="shared" si="44"/>
        <v>-45.492600000000003</v>
      </c>
      <c r="AW250">
        <f t="shared" si="45"/>
        <v>-24.635789648399999</v>
      </c>
      <c r="AX250" s="9"/>
      <c r="AY250" s="22">
        <v>1.1085499999999999</v>
      </c>
      <c r="AZ250" s="22">
        <v>191.654</v>
      </c>
      <c r="BA250" s="22">
        <v>-1.79413E-2</v>
      </c>
      <c r="BB250" s="22">
        <v>240</v>
      </c>
      <c r="BC250" s="22">
        <v>1.10565</v>
      </c>
      <c r="BD250">
        <f t="shared" si="46"/>
        <v>17.941300000000002</v>
      </c>
      <c r="BE250">
        <f t="shared" si="47"/>
        <v>19.888828114999999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36.671999999999997</v>
      </c>
      <c r="I251" s="22">
        <v>4.62341E-2</v>
      </c>
      <c r="J251" s="22">
        <v>241</v>
      </c>
      <c r="K251" s="22">
        <v>0.35818499999999998</v>
      </c>
      <c r="L251">
        <f t="shared" si="36"/>
        <v>-46.234099999999998</v>
      </c>
      <c r="M251">
        <f t="shared" si="37"/>
        <v>-24.804548415899998</v>
      </c>
      <c r="N251" s="9"/>
      <c r="O251" s="22">
        <v>1.1135900000000001</v>
      </c>
      <c r="P251" s="22">
        <v>70.981099999999998</v>
      </c>
      <c r="Q251" s="22">
        <v>-1.7349199999999999E-2</v>
      </c>
      <c r="R251" s="22">
        <v>241</v>
      </c>
      <c r="S251" s="22">
        <v>1.11328</v>
      </c>
      <c r="T251">
        <f t="shared" si="38"/>
        <v>17.3492</v>
      </c>
      <c r="U251">
        <f t="shared" si="39"/>
        <v>19.319895628000001</v>
      </c>
      <c r="X251" s="9"/>
      <c r="Y251" s="22">
        <v>0.53649899999999995</v>
      </c>
      <c r="Z251" s="22">
        <v>105.187</v>
      </c>
      <c r="AA251" s="22">
        <v>-1.8505899999999999E-2</v>
      </c>
      <c r="AB251" s="22">
        <v>241</v>
      </c>
      <c r="AC251" s="22">
        <v>0.53619399999999995</v>
      </c>
      <c r="AD251">
        <f t="shared" si="40"/>
        <v>18.5059</v>
      </c>
      <c r="AE251">
        <f t="shared" si="41"/>
        <v>9.9283968440999999</v>
      </c>
      <c r="AF251" s="9"/>
      <c r="AG251" s="22">
        <v>1.1135900000000001</v>
      </c>
      <c r="AH251" s="22">
        <v>123.008</v>
      </c>
      <c r="AI251" s="22">
        <v>-1.82159E-2</v>
      </c>
      <c r="AJ251" s="22">
        <v>241</v>
      </c>
      <c r="AK251" s="22">
        <v>1.11328</v>
      </c>
      <c r="AL251">
        <f t="shared" si="42"/>
        <v>18.215900000000001</v>
      </c>
      <c r="AM251">
        <f t="shared" si="43"/>
        <v>20.285044081000002</v>
      </c>
      <c r="AP251" s="9"/>
      <c r="AQ251" s="22">
        <v>0.53649899999999995</v>
      </c>
      <c r="AR251" s="22">
        <v>157.27699999999999</v>
      </c>
      <c r="AS251" s="22">
        <v>4.5474199999999999E-2</v>
      </c>
      <c r="AT251" s="22">
        <v>241</v>
      </c>
      <c r="AU251" s="22">
        <v>0.38769500000000001</v>
      </c>
      <c r="AV251">
        <f t="shared" si="44"/>
        <v>-45.474199999999996</v>
      </c>
      <c r="AW251">
        <f t="shared" si="45"/>
        <v>-24.396862825799996</v>
      </c>
      <c r="AX251" s="9"/>
      <c r="AY251" s="22">
        <v>1.1135900000000001</v>
      </c>
      <c r="AZ251" s="22">
        <v>191.66399999999999</v>
      </c>
      <c r="BA251" s="22">
        <v>-1.7938200000000001E-2</v>
      </c>
      <c r="BB251" s="22">
        <v>241</v>
      </c>
      <c r="BC251" s="22">
        <v>1.11053</v>
      </c>
      <c r="BD251">
        <f t="shared" si="46"/>
        <v>17.938200000000002</v>
      </c>
      <c r="BE251">
        <f t="shared" si="47"/>
        <v>19.975800138000004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36.682000000000002</v>
      </c>
      <c r="I252" s="22">
        <v>4.6231099999999997E-2</v>
      </c>
      <c r="J252" s="22">
        <v>242</v>
      </c>
      <c r="K252" s="22">
        <v>0.36520399999999997</v>
      </c>
      <c r="L252">
        <f t="shared" si="36"/>
        <v>-46.231099999999998</v>
      </c>
      <c r="M252">
        <f t="shared" si="37"/>
        <v>-24.570165330400002</v>
      </c>
      <c r="N252" s="9"/>
      <c r="O252" s="22">
        <v>1.1186199999999999</v>
      </c>
      <c r="P252" s="22">
        <v>70.991200000000006</v>
      </c>
      <c r="Q252" s="22">
        <v>-1.73828E-2</v>
      </c>
      <c r="R252" s="22">
        <v>242</v>
      </c>
      <c r="S252" s="22">
        <v>1.1178600000000001</v>
      </c>
      <c r="T252">
        <f t="shared" si="38"/>
        <v>17.3828</v>
      </c>
      <c r="U252">
        <f t="shared" si="39"/>
        <v>19.444747736</v>
      </c>
      <c r="X252" s="9"/>
      <c r="Y252" s="22">
        <v>0.53146400000000005</v>
      </c>
      <c r="Z252" s="22">
        <v>105.197</v>
      </c>
      <c r="AA252" s="22">
        <v>-1.8508899999999998E-2</v>
      </c>
      <c r="AB252" s="22">
        <v>242</v>
      </c>
      <c r="AC252" s="22">
        <v>0.53085300000000002</v>
      </c>
      <c r="AD252">
        <f t="shared" si="40"/>
        <v>18.508899999999997</v>
      </c>
      <c r="AE252">
        <f t="shared" si="41"/>
        <v>9.8368140295999993</v>
      </c>
      <c r="AF252" s="9"/>
      <c r="AG252" s="22">
        <v>1.1186199999999999</v>
      </c>
      <c r="AH252" s="22">
        <v>123.018</v>
      </c>
      <c r="AI252" s="22">
        <v>-1.82159E-2</v>
      </c>
      <c r="AJ252" s="22">
        <v>242</v>
      </c>
      <c r="AK252" s="22">
        <v>1.1178600000000001</v>
      </c>
      <c r="AL252">
        <f t="shared" si="42"/>
        <v>18.215900000000001</v>
      </c>
      <c r="AM252">
        <f t="shared" si="43"/>
        <v>20.376670058000002</v>
      </c>
      <c r="AP252" s="9"/>
      <c r="AQ252" s="22">
        <v>0.53146400000000005</v>
      </c>
      <c r="AR252" s="22">
        <v>157.28700000000001</v>
      </c>
      <c r="AS252" s="22">
        <v>4.54559E-2</v>
      </c>
      <c r="AT252" s="22">
        <v>242</v>
      </c>
      <c r="AU252" s="22">
        <v>0.38293500000000003</v>
      </c>
      <c r="AV252">
        <f t="shared" si="44"/>
        <v>-45.4559</v>
      </c>
      <c r="AW252">
        <f t="shared" si="45"/>
        <v>-24.158174437600003</v>
      </c>
      <c r="AX252" s="9"/>
      <c r="AY252" s="22">
        <v>1.1186199999999999</v>
      </c>
      <c r="AZ252" s="22">
        <v>191.67400000000001</v>
      </c>
      <c r="BA252" s="22">
        <v>-1.7935199999999998E-2</v>
      </c>
      <c r="BB252" s="22">
        <v>242</v>
      </c>
      <c r="BC252" s="22">
        <v>1.1190800000000001</v>
      </c>
      <c r="BD252">
        <f t="shared" si="46"/>
        <v>17.935199999999998</v>
      </c>
      <c r="BE252">
        <f t="shared" si="47"/>
        <v>20.062673423999996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36.692100000000003</v>
      </c>
      <c r="I253" s="22">
        <v>4.6225000000000002E-2</v>
      </c>
      <c r="J253" s="22">
        <v>243</v>
      </c>
      <c r="K253" s="22">
        <v>0.364014</v>
      </c>
      <c r="L253">
        <f t="shared" si="36"/>
        <v>-46.225000000000001</v>
      </c>
      <c r="M253">
        <f t="shared" si="37"/>
        <v>-24.334134300000002</v>
      </c>
      <c r="N253" s="9"/>
      <c r="O253" s="22">
        <v>1.1236600000000001</v>
      </c>
      <c r="P253" s="22">
        <v>71.001300000000001</v>
      </c>
      <c r="Q253" s="22">
        <v>-1.7578099999999999E-2</v>
      </c>
      <c r="R253" s="22">
        <v>243</v>
      </c>
      <c r="S253" s="22">
        <v>1.1227400000000001</v>
      </c>
      <c r="T253">
        <f t="shared" si="38"/>
        <v>17.578099999999999</v>
      </c>
      <c r="U253">
        <f t="shared" si="39"/>
        <v>19.751807846000002</v>
      </c>
      <c r="X253" s="9"/>
      <c r="Y253" s="22">
        <v>0.52642800000000001</v>
      </c>
      <c r="Z253" s="22">
        <v>105.20699999999999</v>
      </c>
      <c r="AA253" s="22">
        <v>-1.8508899999999998E-2</v>
      </c>
      <c r="AB253" s="22">
        <v>243</v>
      </c>
      <c r="AC253" s="22">
        <v>0.52606200000000003</v>
      </c>
      <c r="AD253">
        <f t="shared" si="40"/>
        <v>18.508899999999997</v>
      </c>
      <c r="AE253">
        <f t="shared" si="41"/>
        <v>9.743603209199998</v>
      </c>
      <c r="AF253" s="9"/>
      <c r="AG253" s="22">
        <v>1.1236600000000001</v>
      </c>
      <c r="AH253" s="22">
        <v>123.02800000000001</v>
      </c>
      <c r="AI253" s="22">
        <v>-1.8212900000000001E-2</v>
      </c>
      <c r="AJ253" s="22">
        <v>243</v>
      </c>
      <c r="AK253" s="22">
        <v>1.1230500000000001</v>
      </c>
      <c r="AL253">
        <f t="shared" si="42"/>
        <v>18.212900000000001</v>
      </c>
      <c r="AM253">
        <f t="shared" si="43"/>
        <v>20.465107214000003</v>
      </c>
      <c r="AP253" s="9"/>
      <c r="AQ253" s="22">
        <v>0.52642800000000001</v>
      </c>
      <c r="AR253" s="22">
        <v>157.297</v>
      </c>
      <c r="AS253" s="22">
        <v>4.5452899999999997E-2</v>
      </c>
      <c r="AT253" s="22">
        <v>243</v>
      </c>
      <c r="AU253" s="22">
        <v>0.38519300000000001</v>
      </c>
      <c r="AV253">
        <f t="shared" si="44"/>
        <v>-45.4529</v>
      </c>
      <c r="AW253">
        <f t="shared" si="45"/>
        <v>-23.9276792412</v>
      </c>
      <c r="AX253" s="9"/>
      <c r="AY253" s="22">
        <v>1.1236600000000001</v>
      </c>
      <c r="AZ253" s="22">
        <v>191.685</v>
      </c>
      <c r="BA253" s="22">
        <v>-1.7935199999999998E-2</v>
      </c>
      <c r="BB253" s="22">
        <v>243</v>
      </c>
      <c r="BC253" s="22">
        <v>1.1261000000000001</v>
      </c>
      <c r="BD253">
        <f t="shared" si="46"/>
        <v>17.935199999999998</v>
      </c>
      <c r="BE253">
        <f t="shared" si="47"/>
        <v>20.153066832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36.702199999999998</v>
      </c>
      <c r="I254" s="22">
        <v>4.6237199999999999E-2</v>
      </c>
      <c r="J254" s="22">
        <v>244</v>
      </c>
      <c r="K254" s="22">
        <v>0.365448</v>
      </c>
      <c r="L254">
        <f t="shared" si="36"/>
        <v>-46.237200000000001</v>
      </c>
      <c r="M254">
        <f t="shared" si="37"/>
        <v>-24.107752419600001</v>
      </c>
      <c r="N254" s="9"/>
      <c r="O254" s="22">
        <v>1.12869</v>
      </c>
      <c r="P254" s="22">
        <v>71.011300000000006</v>
      </c>
      <c r="Q254" s="22">
        <v>-1.6189599999999998E-2</v>
      </c>
      <c r="R254" s="22">
        <v>244</v>
      </c>
      <c r="S254" s="22">
        <v>1.1270100000000001</v>
      </c>
      <c r="T254">
        <f t="shared" si="38"/>
        <v>16.189599999999999</v>
      </c>
      <c r="U254">
        <f t="shared" si="39"/>
        <v>18.273039623999999</v>
      </c>
      <c r="X254" s="9"/>
      <c r="Y254" s="22">
        <v>0.521393</v>
      </c>
      <c r="Z254" s="22">
        <v>105.217</v>
      </c>
      <c r="AA254" s="22">
        <v>-1.8512000000000001E-2</v>
      </c>
      <c r="AB254" s="22">
        <v>244</v>
      </c>
      <c r="AC254" s="22">
        <v>0.52047699999999997</v>
      </c>
      <c r="AD254">
        <f t="shared" si="40"/>
        <v>18.512</v>
      </c>
      <c r="AE254">
        <f t="shared" si="41"/>
        <v>9.6520272160000005</v>
      </c>
      <c r="AF254" s="9"/>
      <c r="AG254" s="22">
        <v>1.12869</v>
      </c>
      <c r="AH254" s="22">
        <v>123.038</v>
      </c>
      <c r="AI254" s="22">
        <v>-1.8209800000000002E-2</v>
      </c>
      <c r="AJ254" s="22">
        <v>244</v>
      </c>
      <c r="AK254" s="22">
        <v>1.1273200000000001</v>
      </c>
      <c r="AL254">
        <f t="shared" si="42"/>
        <v>18.209800000000001</v>
      </c>
      <c r="AM254">
        <f t="shared" si="43"/>
        <v>20.553219162000001</v>
      </c>
      <c r="AP254" s="9"/>
      <c r="AQ254" s="22">
        <v>0.521393</v>
      </c>
      <c r="AR254" s="22">
        <v>157.30699999999999</v>
      </c>
      <c r="AS254" s="22">
        <v>4.5440700000000001E-2</v>
      </c>
      <c r="AT254" s="22">
        <v>244</v>
      </c>
      <c r="AU254" s="22">
        <v>0.38754300000000003</v>
      </c>
      <c r="AV254">
        <f t="shared" si="44"/>
        <v>-45.4407</v>
      </c>
      <c r="AW254">
        <f t="shared" si="45"/>
        <v>-23.6924628951</v>
      </c>
      <c r="AX254" s="9"/>
      <c r="AY254" s="22">
        <v>1.12869</v>
      </c>
      <c r="AZ254" s="22">
        <v>191.69499999999999</v>
      </c>
      <c r="BA254" s="22">
        <v>-1.79413E-2</v>
      </c>
      <c r="BB254" s="22">
        <v>244</v>
      </c>
      <c r="BC254" s="22">
        <v>1.1285400000000001</v>
      </c>
      <c r="BD254">
        <f t="shared" si="46"/>
        <v>17.941300000000002</v>
      </c>
      <c r="BE254">
        <f t="shared" si="47"/>
        <v>20.250165897000002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36.712299999999999</v>
      </c>
      <c r="I255" s="22">
        <v>4.6231099999999997E-2</v>
      </c>
      <c r="J255" s="22">
        <v>245</v>
      </c>
      <c r="K255" s="22">
        <v>0.36370799999999998</v>
      </c>
      <c r="L255">
        <f t="shared" si="36"/>
        <v>-46.231099999999998</v>
      </c>
      <c r="M255">
        <f t="shared" si="37"/>
        <v>-23.871752102699997</v>
      </c>
      <c r="N255" s="9"/>
      <c r="O255" s="22">
        <v>1.1337299999999999</v>
      </c>
      <c r="P255" s="22">
        <v>71.0214</v>
      </c>
      <c r="Q255" s="22">
        <v>-1.6067499999999998E-2</v>
      </c>
      <c r="R255" s="22">
        <v>245</v>
      </c>
      <c r="S255" s="22">
        <v>1.1325099999999999</v>
      </c>
      <c r="T255">
        <f t="shared" si="38"/>
        <v>16.067499999999999</v>
      </c>
      <c r="U255">
        <f t="shared" si="39"/>
        <v>18.216206774999996</v>
      </c>
      <c r="X255" s="9"/>
      <c r="Y255" s="22">
        <v>0.51635699999999995</v>
      </c>
      <c r="Z255" s="22">
        <v>105.22799999999999</v>
      </c>
      <c r="AA255" s="22">
        <v>-1.8512000000000001E-2</v>
      </c>
      <c r="AB255" s="22">
        <v>245</v>
      </c>
      <c r="AC255" s="22">
        <v>0.51590000000000003</v>
      </c>
      <c r="AD255">
        <f t="shared" si="40"/>
        <v>18.512</v>
      </c>
      <c r="AE255">
        <f t="shared" si="41"/>
        <v>9.5588007839999989</v>
      </c>
      <c r="AF255" s="9"/>
      <c r="AG255" s="22">
        <v>1.1337299999999999</v>
      </c>
      <c r="AH255" s="22">
        <v>123.048</v>
      </c>
      <c r="AI255" s="22">
        <v>-1.8209800000000002E-2</v>
      </c>
      <c r="AJ255" s="22">
        <v>245</v>
      </c>
      <c r="AK255" s="22">
        <v>1.1322000000000001</v>
      </c>
      <c r="AL255">
        <f t="shared" si="42"/>
        <v>18.209800000000001</v>
      </c>
      <c r="AM255">
        <f t="shared" si="43"/>
        <v>20.644996553999999</v>
      </c>
      <c r="AP255" s="9"/>
      <c r="AQ255" s="22">
        <v>0.51635699999999995</v>
      </c>
      <c r="AR255" s="22">
        <v>157.31800000000001</v>
      </c>
      <c r="AS255" s="22">
        <v>4.5462000000000002E-2</v>
      </c>
      <c r="AT255" s="22">
        <v>245</v>
      </c>
      <c r="AU255" s="22">
        <v>0.39093</v>
      </c>
      <c r="AV255">
        <f t="shared" si="44"/>
        <v>-45.462000000000003</v>
      </c>
      <c r="AW255">
        <f t="shared" si="45"/>
        <v>-23.474621933999998</v>
      </c>
      <c r="AX255" s="9"/>
      <c r="AY255" s="22">
        <v>1.1337299999999999</v>
      </c>
      <c r="AZ255" s="22">
        <v>191.70500000000001</v>
      </c>
      <c r="BA255" s="22">
        <v>-1.7959599999999999E-2</v>
      </c>
      <c r="BB255" s="22">
        <v>245</v>
      </c>
      <c r="BC255" s="22">
        <v>1.1291500000000001</v>
      </c>
      <c r="BD255">
        <f t="shared" si="46"/>
        <v>17.959599999999998</v>
      </c>
      <c r="BE255">
        <f t="shared" si="47"/>
        <v>20.361337307999996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36.722299999999997</v>
      </c>
      <c r="I256" s="22">
        <v>4.62189E-2</v>
      </c>
      <c r="J256" s="22">
        <v>246</v>
      </c>
      <c r="K256" s="22">
        <v>0.36319000000000001</v>
      </c>
      <c r="L256">
        <f t="shared" si="36"/>
        <v>-46.218899999999998</v>
      </c>
      <c r="M256">
        <f t="shared" si="37"/>
        <v>-23.632740385800002</v>
      </c>
      <c r="N256" s="9"/>
      <c r="O256" s="22">
        <v>1.13876</v>
      </c>
      <c r="P256" s="22">
        <v>71.031499999999994</v>
      </c>
      <c r="Q256" s="22">
        <v>-1.6744999999999999E-2</v>
      </c>
      <c r="R256" s="22">
        <v>246</v>
      </c>
      <c r="S256" s="22">
        <v>1.1383099999999999</v>
      </c>
      <c r="T256">
        <f t="shared" si="38"/>
        <v>16.745000000000001</v>
      </c>
      <c r="U256">
        <f t="shared" si="39"/>
        <v>19.0685362</v>
      </c>
      <c r="X256" s="9"/>
      <c r="Y256" s="22">
        <v>0.51132200000000005</v>
      </c>
      <c r="Z256" s="22">
        <v>105.238</v>
      </c>
      <c r="AA256" s="22">
        <v>-1.8515E-2</v>
      </c>
      <c r="AB256" s="22">
        <v>246</v>
      </c>
      <c r="AC256" s="22">
        <v>0.51113900000000001</v>
      </c>
      <c r="AD256">
        <f t="shared" si="40"/>
        <v>18.515000000000001</v>
      </c>
      <c r="AE256">
        <f t="shared" si="41"/>
        <v>9.4671268300000015</v>
      </c>
      <c r="AF256" s="9"/>
      <c r="AG256" s="22">
        <v>1.13876</v>
      </c>
      <c r="AH256" s="22">
        <v>123.05800000000001</v>
      </c>
      <c r="AI256" s="22">
        <v>-1.8206799999999999E-2</v>
      </c>
      <c r="AJ256" s="22">
        <v>246</v>
      </c>
      <c r="AK256" s="22">
        <v>1.1379999999999999</v>
      </c>
      <c r="AL256">
        <f t="shared" si="42"/>
        <v>18.206799999999998</v>
      </c>
      <c r="AM256">
        <f t="shared" si="43"/>
        <v>20.733175567999997</v>
      </c>
      <c r="AP256" s="9"/>
      <c r="AQ256" s="22">
        <v>0.51132200000000005</v>
      </c>
      <c r="AR256" s="22">
        <v>157.328</v>
      </c>
      <c r="AS256" s="22">
        <v>4.5449799999999999E-2</v>
      </c>
      <c r="AT256" s="22">
        <v>246</v>
      </c>
      <c r="AU256" s="22">
        <v>0.39047199999999999</v>
      </c>
      <c r="AV256">
        <f t="shared" si="44"/>
        <v>-45.449799999999996</v>
      </c>
      <c r="AW256">
        <f t="shared" si="45"/>
        <v>-23.239482635600002</v>
      </c>
      <c r="AX256" s="9"/>
      <c r="AY256" s="22">
        <v>1.13876</v>
      </c>
      <c r="AZ256" s="22">
        <v>191.715</v>
      </c>
      <c r="BA256" s="22">
        <v>-1.7947399999999999E-2</v>
      </c>
      <c r="BB256" s="22">
        <v>246</v>
      </c>
      <c r="BC256" s="22">
        <v>1.1334200000000001</v>
      </c>
      <c r="BD256">
        <f t="shared" si="46"/>
        <v>17.947399999999998</v>
      </c>
      <c r="BE256">
        <f t="shared" si="47"/>
        <v>20.437781223999998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36.732399999999998</v>
      </c>
      <c r="I257" s="22">
        <v>4.6215800000000001E-2</v>
      </c>
      <c r="J257" s="22">
        <v>247</v>
      </c>
      <c r="K257" s="22">
        <v>0.36456300000000003</v>
      </c>
      <c r="L257">
        <f t="shared" si="36"/>
        <v>-46.215800000000002</v>
      </c>
      <c r="M257">
        <f t="shared" si="37"/>
        <v>-23.398458734600002</v>
      </c>
      <c r="N257" s="9"/>
      <c r="O257" s="22">
        <v>1.1437999999999999</v>
      </c>
      <c r="P257" s="22">
        <v>71.041499999999999</v>
      </c>
      <c r="Q257" s="22">
        <v>-1.6787699999999999E-2</v>
      </c>
      <c r="R257" s="22">
        <v>247</v>
      </c>
      <c r="S257" s="22">
        <v>1.1437999999999999</v>
      </c>
      <c r="T257">
        <f t="shared" si="38"/>
        <v>16.787699999999997</v>
      </c>
      <c r="U257">
        <f t="shared" si="39"/>
        <v>19.201771259999997</v>
      </c>
      <c r="X257" s="9"/>
      <c r="Y257" s="22">
        <v>0.50628700000000004</v>
      </c>
      <c r="Z257" s="22">
        <v>105.248</v>
      </c>
      <c r="AA257" s="22">
        <v>-1.8518099999999999E-2</v>
      </c>
      <c r="AB257" s="22">
        <v>247</v>
      </c>
      <c r="AC257" s="22">
        <v>0.50552399999999997</v>
      </c>
      <c r="AD257">
        <f t="shared" si="40"/>
        <v>18.5181</v>
      </c>
      <c r="AE257">
        <f t="shared" si="41"/>
        <v>9.3754732947000008</v>
      </c>
      <c r="AF257" s="9"/>
      <c r="AG257" s="22">
        <v>1.1437999999999999</v>
      </c>
      <c r="AH257" s="22">
        <v>123.069</v>
      </c>
      <c r="AI257" s="22">
        <v>-1.82037E-2</v>
      </c>
      <c r="AJ257" s="22">
        <v>247</v>
      </c>
      <c r="AK257" s="22">
        <v>1.1425799999999999</v>
      </c>
      <c r="AL257">
        <f t="shared" si="42"/>
        <v>18.203700000000001</v>
      </c>
      <c r="AM257">
        <f t="shared" si="43"/>
        <v>20.821392060000001</v>
      </c>
      <c r="AP257" s="9"/>
      <c r="AQ257" s="22">
        <v>0.50628700000000004</v>
      </c>
      <c r="AR257" s="22">
        <v>157.33799999999999</v>
      </c>
      <c r="AS257" s="22">
        <v>4.54315E-2</v>
      </c>
      <c r="AT257" s="22">
        <v>247</v>
      </c>
      <c r="AU257" s="22">
        <v>0.38342300000000001</v>
      </c>
      <c r="AV257">
        <f t="shared" si="44"/>
        <v>-45.4315</v>
      </c>
      <c r="AW257">
        <f t="shared" si="45"/>
        <v>-23.001377840500002</v>
      </c>
      <c r="AX257" s="9"/>
      <c r="AY257" s="22">
        <v>1.1437999999999999</v>
      </c>
      <c r="AZ257" s="22">
        <v>191.72499999999999</v>
      </c>
      <c r="BA257" s="22">
        <v>-1.7916899999999999E-2</v>
      </c>
      <c r="BB257" s="22">
        <v>247</v>
      </c>
      <c r="BC257" s="22">
        <v>1.1456299999999999</v>
      </c>
      <c r="BD257">
        <f t="shared" si="46"/>
        <v>17.916899999999998</v>
      </c>
      <c r="BE257">
        <f t="shared" si="47"/>
        <v>20.493350219999996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36.7425</v>
      </c>
      <c r="I258" s="22">
        <v>4.6185299999999999E-2</v>
      </c>
      <c r="J258" s="22">
        <v>248</v>
      </c>
      <c r="K258" s="22">
        <v>0.36486800000000003</v>
      </c>
      <c r="L258">
        <f t="shared" si="36"/>
        <v>-46.185299999999998</v>
      </c>
      <c r="M258">
        <f t="shared" si="37"/>
        <v>-23.150427810299998</v>
      </c>
      <c r="N258" s="9"/>
      <c r="O258" s="22">
        <v>1.14883</v>
      </c>
      <c r="P258" s="22">
        <v>71.051599999999993</v>
      </c>
      <c r="Q258" s="22">
        <v>-1.6665599999999999E-2</v>
      </c>
      <c r="R258" s="22">
        <v>248</v>
      </c>
      <c r="S258" s="22">
        <v>1.1486799999999999</v>
      </c>
      <c r="T258">
        <f t="shared" si="38"/>
        <v>16.665599999999998</v>
      </c>
      <c r="U258">
        <f t="shared" si="39"/>
        <v>19.145941247999996</v>
      </c>
      <c r="X258" s="9"/>
      <c r="Y258" s="22">
        <v>0.501251</v>
      </c>
      <c r="Z258" s="22">
        <v>105.258</v>
      </c>
      <c r="AA258" s="22">
        <v>-1.8518099999999999E-2</v>
      </c>
      <c r="AB258" s="22">
        <v>248</v>
      </c>
      <c r="AC258" s="22">
        <v>0.50051900000000005</v>
      </c>
      <c r="AD258">
        <f t="shared" si="40"/>
        <v>18.5181</v>
      </c>
      <c r="AE258">
        <f t="shared" si="41"/>
        <v>9.2822161430999994</v>
      </c>
      <c r="AF258" s="9"/>
      <c r="AG258" s="22">
        <v>1.14883</v>
      </c>
      <c r="AH258" s="22">
        <v>123.07899999999999</v>
      </c>
      <c r="AI258" s="22">
        <v>-1.82037E-2</v>
      </c>
      <c r="AJ258" s="22">
        <v>248</v>
      </c>
      <c r="AK258" s="22">
        <v>1.14777</v>
      </c>
      <c r="AL258">
        <f t="shared" si="42"/>
        <v>18.203700000000001</v>
      </c>
      <c r="AM258">
        <f t="shared" si="43"/>
        <v>20.912956671000003</v>
      </c>
      <c r="AP258" s="9"/>
      <c r="AQ258" s="22">
        <v>0.501251</v>
      </c>
      <c r="AR258" s="22">
        <v>157.34800000000001</v>
      </c>
      <c r="AS258" s="22">
        <v>4.5544399999999999E-2</v>
      </c>
      <c r="AT258" s="22">
        <v>248</v>
      </c>
      <c r="AU258" s="22">
        <v>0.382996</v>
      </c>
      <c r="AV258">
        <f t="shared" si="44"/>
        <v>-45.544399999999996</v>
      </c>
      <c r="AW258">
        <f t="shared" si="45"/>
        <v>-22.829176044399997</v>
      </c>
      <c r="AX258" s="9"/>
      <c r="AY258" s="22">
        <v>1.14883</v>
      </c>
      <c r="AZ258" s="22">
        <v>191.73500000000001</v>
      </c>
      <c r="BA258" s="22">
        <v>-1.7916899999999999E-2</v>
      </c>
      <c r="BB258" s="22">
        <v>248</v>
      </c>
      <c r="BC258" s="22">
        <v>1.14899</v>
      </c>
      <c r="BD258">
        <f t="shared" si="46"/>
        <v>17.916899999999998</v>
      </c>
      <c r="BE258">
        <f t="shared" si="47"/>
        <v>20.583472226999998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36.752499999999998</v>
      </c>
      <c r="I259" s="22">
        <v>4.6185299999999999E-2</v>
      </c>
      <c r="J259" s="22">
        <v>249</v>
      </c>
      <c r="K259" s="22">
        <v>0.36358600000000002</v>
      </c>
      <c r="L259">
        <f t="shared" si="36"/>
        <v>-46.185299999999998</v>
      </c>
      <c r="M259">
        <f t="shared" si="37"/>
        <v>-22.917884824799998</v>
      </c>
      <c r="N259" s="9"/>
      <c r="O259" s="22">
        <v>1.15387</v>
      </c>
      <c r="P259" s="22">
        <v>71.061700000000002</v>
      </c>
      <c r="Q259" s="22">
        <v>-1.5805099999999999E-2</v>
      </c>
      <c r="R259" s="22">
        <v>249</v>
      </c>
      <c r="S259" s="22">
        <v>1.1523399999999999</v>
      </c>
      <c r="T259">
        <f t="shared" si="38"/>
        <v>15.805099999999999</v>
      </c>
      <c r="U259">
        <f t="shared" si="39"/>
        <v>18.237030736999998</v>
      </c>
      <c r="X259" s="9"/>
      <c r="Y259" s="22">
        <v>0.49621599999999999</v>
      </c>
      <c r="Z259" s="22">
        <v>105.268</v>
      </c>
      <c r="AA259" s="22">
        <v>-1.8521099999999999E-2</v>
      </c>
      <c r="AB259" s="22">
        <v>249</v>
      </c>
      <c r="AC259" s="22">
        <v>0.49526999999999999</v>
      </c>
      <c r="AD259">
        <f t="shared" si="40"/>
        <v>18.521099999999997</v>
      </c>
      <c r="AE259">
        <f t="shared" si="41"/>
        <v>9.1904661575999977</v>
      </c>
      <c r="AF259" s="9"/>
      <c r="AG259" s="22">
        <v>1.15387</v>
      </c>
      <c r="AH259" s="22">
        <v>123.089</v>
      </c>
      <c r="AI259" s="22">
        <v>-1.82007E-2</v>
      </c>
      <c r="AJ259" s="22">
        <v>249</v>
      </c>
      <c r="AK259" s="22">
        <v>1.1529499999999999</v>
      </c>
      <c r="AL259">
        <f t="shared" si="42"/>
        <v>18.200700000000001</v>
      </c>
      <c r="AM259">
        <f t="shared" si="43"/>
        <v>21.001241709000002</v>
      </c>
      <c r="AP259" s="9"/>
      <c r="AQ259" s="22">
        <v>0.49621599999999999</v>
      </c>
      <c r="AR259" s="22">
        <v>157.358</v>
      </c>
      <c r="AS259" s="22">
        <v>4.55261E-2</v>
      </c>
      <c r="AT259" s="22">
        <v>249</v>
      </c>
      <c r="AU259" s="22">
        <v>0.38555899999999999</v>
      </c>
      <c r="AV259">
        <f t="shared" si="44"/>
        <v>-45.5261</v>
      </c>
      <c r="AW259">
        <f t="shared" si="45"/>
        <v>-22.5907792376</v>
      </c>
      <c r="AX259" s="9"/>
      <c r="AY259" s="22">
        <v>1.15387</v>
      </c>
      <c r="AZ259" s="22">
        <v>191.745</v>
      </c>
      <c r="BA259" s="22">
        <v>-1.7919899999999999E-2</v>
      </c>
      <c r="BB259" s="22">
        <v>249</v>
      </c>
      <c r="BC259" s="22">
        <v>1.14899</v>
      </c>
      <c r="BD259">
        <f t="shared" si="46"/>
        <v>17.919899999999998</v>
      </c>
      <c r="BE259">
        <f t="shared" si="47"/>
        <v>20.677235012999997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36.762599999999999</v>
      </c>
      <c r="I260" s="22">
        <v>4.6160899999999998E-2</v>
      </c>
      <c r="J260" s="22">
        <v>250</v>
      </c>
      <c r="K260" s="22">
        <v>0.360016</v>
      </c>
      <c r="L260">
        <f t="shared" si="36"/>
        <v>-46.160899999999998</v>
      </c>
      <c r="M260">
        <f t="shared" si="37"/>
        <v>-22.673310862000001</v>
      </c>
      <c r="N260" s="9"/>
      <c r="O260" s="22">
        <v>1.1589100000000001</v>
      </c>
      <c r="P260" s="22">
        <v>71.071799999999996</v>
      </c>
      <c r="Q260" s="22">
        <v>-1.5902699999999999E-2</v>
      </c>
      <c r="R260" s="22">
        <v>250</v>
      </c>
      <c r="S260" s="22">
        <v>1.15723</v>
      </c>
      <c r="T260">
        <f t="shared" si="38"/>
        <v>15.902699999999999</v>
      </c>
      <c r="U260">
        <f t="shared" si="39"/>
        <v>18.429798056999999</v>
      </c>
      <c r="X260" s="9"/>
      <c r="Y260" s="22">
        <v>0.49118000000000001</v>
      </c>
      <c r="Z260" s="22">
        <v>105.27800000000001</v>
      </c>
      <c r="AA260" s="22">
        <v>-1.8521099999999999E-2</v>
      </c>
      <c r="AB260" s="22">
        <v>250</v>
      </c>
      <c r="AC260" s="22">
        <v>0.49093599999999998</v>
      </c>
      <c r="AD260">
        <f t="shared" si="40"/>
        <v>18.521099999999997</v>
      </c>
      <c r="AE260">
        <f t="shared" si="41"/>
        <v>9.0971938979999987</v>
      </c>
      <c r="AF260" s="9"/>
      <c r="AG260" s="22">
        <v>1.1589100000000001</v>
      </c>
      <c r="AH260" s="22">
        <v>123.099</v>
      </c>
      <c r="AI260" s="22">
        <v>-1.8194599999999998E-2</v>
      </c>
      <c r="AJ260" s="22">
        <v>250</v>
      </c>
      <c r="AK260" s="22">
        <v>1.15784</v>
      </c>
      <c r="AL260">
        <f t="shared" si="42"/>
        <v>18.194599999999998</v>
      </c>
      <c r="AM260">
        <f t="shared" si="43"/>
        <v>21.085903886000001</v>
      </c>
      <c r="AP260" s="9"/>
      <c r="AQ260" s="22">
        <v>0.49118000000000001</v>
      </c>
      <c r="AR260" s="22">
        <v>157.36799999999999</v>
      </c>
      <c r="AS260" s="22">
        <v>4.5535300000000001E-2</v>
      </c>
      <c r="AT260" s="22">
        <v>250</v>
      </c>
      <c r="AU260" s="22">
        <v>0.38943499999999998</v>
      </c>
      <c r="AV260">
        <f t="shared" si="44"/>
        <v>-45.535299999999999</v>
      </c>
      <c r="AW260">
        <f t="shared" si="45"/>
        <v>-22.366028654000001</v>
      </c>
      <c r="AX260" s="9"/>
      <c r="AY260" s="22">
        <v>1.1589100000000001</v>
      </c>
      <c r="AZ260" s="22">
        <v>191.755</v>
      </c>
      <c r="BA260" s="22">
        <v>-1.7898600000000001E-2</v>
      </c>
      <c r="BB260" s="22">
        <v>250</v>
      </c>
      <c r="BC260" s="22">
        <v>1.16089</v>
      </c>
      <c r="BD260">
        <f t="shared" si="46"/>
        <v>17.898600000000002</v>
      </c>
      <c r="BE260">
        <f t="shared" si="47"/>
        <v>20.742866526000004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36.7727</v>
      </c>
      <c r="I261" s="22">
        <v>4.6151699999999997E-2</v>
      </c>
      <c r="J261" s="22">
        <v>251</v>
      </c>
      <c r="K261" s="22">
        <v>0.356628</v>
      </c>
      <c r="L261">
        <f t="shared" si="36"/>
        <v>-46.151699999999998</v>
      </c>
      <c r="M261">
        <f t="shared" si="37"/>
        <v>-22.4364181965</v>
      </c>
      <c r="N261" s="9"/>
      <c r="O261" s="22">
        <v>1.16394</v>
      </c>
      <c r="P261" s="22">
        <v>71.081800000000001</v>
      </c>
      <c r="Q261" s="22">
        <v>-1.59271E-2</v>
      </c>
      <c r="R261" s="22">
        <v>251</v>
      </c>
      <c r="S261" s="22">
        <v>1.1630199999999999</v>
      </c>
      <c r="T261">
        <f t="shared" si="38"/>
        <v>15.927099999999999</v>
      </c>
      <c r="U261">
        <f t="shared" si="39"/>
        <v>18.538188773999998</v>
      </c>
      <c r="X261" s="9"/>
      <c r="Y261" s="22">
        <v>0.48614499999999999</v>
      </c>
      <c r="Z261" s="22">
        <v>105.288</v>
      </c>
      <c r="AA261" s="22">
        <v>-1.8524200000000001E-2</v>
      </c>
      <c r="AB261" s="22">
        <v>251</v>
      </c>
      <c r="AC261" s="22">
        <v>0.48587000000000002</v>
      </c>
      <c r="AD261">
        <f t="shared" si="40"/>
        <v>18.5242</v>
      </c>
      <c r="AE261">
        <f t="shared" si="41"/>
        <v>9.0054472089999997</v>
      </c>
      <c r="AF261" s="9"/>
      <c r="AG261" s="22">
        <v>1.16394</v>
      </c>
      <c r="AH261" s="22">
        <v>123.10899999999999</v>
      </c>
      <c r="AI261" s="22">
        <v>-1.8191499999999999E-2</v>
      </c>
      <c r="AJ261" s="22">
        <v>251</v>
      </c>
      <c r="AK261" s="22">
        <v>1.16333</v>
      </c>
      <c r="AL261">
        <f t="shared" si="42"/>
        <v>18.191499999999998</v>
      </c>
      <c r="AM261">
        <f t="shared" si="43"/>
        <v>21.173814509999996</v>
      </c>
      <c r="AP261" s="9"/>
      <c r="AQ261" s="22">
        <v>0.48614499999999999</v>
      </c>
      <c r="AR261" s="22">
        <v>157.37799999999999</v>
      </c>
      <c r="AS261" s="22">
        <v>4.5584100000000002E-2</v>
      </c>
      <c r="AT261" s="22">
        <v>251</v>
      </c>
      <c r="AU261" s="22">
        <v>0.38680999999999999</v>
      </c>
      <c r="AV261">
        <f t="shared" si="44"/>
        <v>-45.584099999999999</v>
      </c>
      <c r="AW261">
        <f t="shared" si="45"/>
        <v>-22.1604822945</v>
      </c>
      <c r="AX261" s="9"/>
      <c r="AY261" s="22">
        <v>1.16394</v>
      </c>
      <c r="AZ261" s="22">
        <v>191.76499999999999</v>
      </c>
      <c r="BA261" s="22">
        <v>-1.7898600000000001E-2</v>
      </c>
      <c r="BB261" s="22">
        <v>251</v>
      </c>
      <c r="BC261" s="22">
        <v>1.1617999999999999</v>
      </c>
      <c r="BD261">
        <f t="shared" si="46"/>
        <v>17.898600000000002</v>
      </c>
      <c r="BE261">
        <f t="shared" si="47"/>
        <v>20.832896484000003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36.782800000000002</v>
      </c>
      <c r="I262" s="22">
        <v>4.6157799999999999E-2</v>
      </c>
      <c r="J262" s="22">
        <v>252</v>
      </c>
      <c r="K262" s="22">
        <v>0.35833700000000002</v>
      </c>
      <c r="L262">
        <f t="shared" si="36"/>
        <v>-46.157800000000002</v>
      </c>
      <c r="M262">
        <f t="shared" si="37"/>
        <v>-22.206979157999999</v>
      </c>
      <c r="N262" s="9"/>
      <c r="O262" s="22">
        <v>1.1689799999999999</v>
      </c>
      <c r="P262" s="22">
        <v>71.091899999999995</v>
      </c>
      <c r="Q262" s="22">
        <v>-1.5979E-2</v>
      </c>
      <c r="R262" s="22">
        <v>252</v>
      </c>
      <c r="S262" s="22">
        <v>1.16821</v>
      </c>
      <c r="T262">
        <f t="shared" si="38"/>
        <v>15.979000000000001</v>
      </c>
      <c r="U262">
        <f t="shared" si="39"/>
        <v>18.679131420000001</v>
      </c>
      <c r="X262" s="9"/>
      <c r="Y262" s="22">
        <v>0.48110999999999998</v>
      </c>
      <c r="Z262" s="22">
        <v>105.298</v>
      </c>
      <c r="AA262" s="22">
        <v>-1.8527200000000001E-2</v>
      </c>
      <c r="AB262" s="22">
        <v>252</v>
      </c>
      <c r="AC262" s="22">
        <v>0.48053000000000001</v>
      </c>
      <c r="AD262">
        <f t="shared" si="40"/>
        <v>18.527200000000001</v>
      </c>
      <c r="AE262">
        <f t="shared" si="41"/>
        <v>8.9136211920000008</v>
      </c>
      <c r="AF262" s="9"/>
      <c r="AG262" s="22">
        <v>1.1689799999999999</v>
      </c>
      <c r="AH262" s="22">
        <v>123.119</v>
      </c>
      <c r="AI262" s="22">
        <v>-1.81885E-2</v>
      </c>
      <c r="AJ262" s="22">
        <v>252</v>
      </c>
      <c r="AK262" s="22">
        <v>1.16974</v>
      </c>
      <c r="AL262">
        <f t="shared" si="42"/>
        <v>18.188500000000001</v>
      </c>
      <c r="AM262">
        <f t="shared" si="43"/>
        <v>21.261992729999999</v>
      </c>
      <c r="AP262" s="9"/>
      <c r="AQ262" s="22">
        <v>0.48110999999999998</v>
      </c>
      <c r="AR262" s="22">
        <v>157.38800000000001</v>
      </c>
      <c r="AS262" s="22">
        <v>4.5532200000000002E-2</v>
      </c>
      <c r="AT262" s="22">
        <v>252</v>
      </c>
      <c r="AU262" s="22">
        <v>0.383606</v>
      </c>
      <c r="AV262">
        <f t="shared" si="44"/>
        <v>-45.532200000000003</v>
      </c>
      <c r="AW262">
        <f t="shared" si="45"/>
        <v>-21.905996741999999</v>
      </c>
      <c r="AX262" s="9"/>
      <c r="AY262" s="22">
        <v>1.1689799999999999</v>
      </c>
      <c r="AZ262" s="22">
        <v>191.77500000000001</v>
      </c>
      <c r="BA262" s="22">
        <v>-1.7892499999999999E-2</v>
      </c>
      <c r="BB262" s="22">
        <v>252</v>
      </c>
      <c r="BC262" s="22">
        <v>1.16638</v>
      </c>
      <c r="BD262">
        <f t="shared" si="46"/>
        <v>17.892499999999998</v>
      </c>
      <c r="BE262">
        <f t="shared" si="47"/>
        <v>20.915974649999995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36.7928</v>
      </c>
      <c r="I263" s="22">
        <v>4.6154800000000003E-2</v>
      </c>
      <c r="J263" s="22">
        <v>253</v>
      </c>
      <c r="K263" s="22">
        <v>0.35858200000000001</v>
      </c>
      <c r="L263">
        <f t="shared" si="36"/>
        <v>-46.154800000000002</v>
      </c>
      <c r="M263">
        <f t="shared" si="37"/>
        <v>-21.973100255200002</v>
      </c>
      <c r="N263" s="9"/>
      <c r="O263" s="22">
        <v>1.17401</v>
      </c>
      <c r="P263" s="22">
        <v>71.102000000000004</v>
      </c>
      <c r="Q263" s="22">
        <v>-1.5783700000000001E-2</v>
      </c>
      <c r="R263" s="22">
        <v>253</v>
      </c>
      <c r="S263" s="22">
        <v>1.1734</v>
      </c>
      <c r="T263">
        <f t="shared" si="38"/>
        <v>15.783700000000001</v>
      </c>
      <c r="U263">
        <f t="shared" si="39"/>
        <v>18.530221637</v>
      </c>
      <c r="X263" s="9"/>
      <c r="Y263" s="22">
        <v>0.476074</v>
      </c>
      <c r="Z263" s="22">
        <v>105.30800000000001</v>
      </c>
      <c r="AA263" s="22">
        <v>-1.85303E-2</v>
      </c>
      <c r="AB263" s="22">
        <v>253</v>
      </c>
      <c r="AC263" s="22">
        <v>0.47567700000000002</v>
      </c>
      <c r="AD263">
        <f t="shared" si="40"/>
        <v>18.5303</v>
      </c>
      <c r="AE263">
        <f t="shared" si="41"/>
        <v>8.8217940422000005</v>
      </c>
      <c r="AF263" s="9"/>
      <c r="AG263" s="22">
        <v>1.17401</v>
      </c>
      <c r="AH263" s="22">
        <v>123.129</v>
      </c>
      <c r="AI263" s="22">
        <v>-1.8182400000000001E-2</v>
      </c>
      <c r="AJ263" s="22">
        <v>253</v>
      </c>
      <c r="AK263" s="22">
        <v>1.17279</v>
      </c>
      <c r="AL263">
        <f t="shared" si="42"/>
        <v>18.182400000000001</v>
      </c>
      <c r="AM263">
        <f t="shared" si="43"/>
        <v>21.346319424000001</v>
      </c>
      <c r="AP263" s="9"/>
      <c r="AQ263" s="22">
        <v>0.476074</v>
      </c>
      <c r="AR263" s="22">
        <v>157.398</v>
      </c>
      <c r="AS263" s="22">
        <v>4.5669599999999998E-2</v>
      </c>
      <c r="AT263" s="22">
        <v>253</v>
      </c>
      <c r="AU263" s="22">
        <v>0.386963</v>
      </c>
      <c r="AV263">
        <f t="shared" si="44"/>
        <v>-45.669599999999996</v>
      </c>
      <c r="AW263">
        <f t="shared" si="45"/>
        <v>-21.742109150399997</v>
      </c>
      <c r="AX263" s="9"/>
      <c r="AY263" s="22">
        <v>1.17401</v>
      </c>
      <c r="AZ263" s="22">
        <v>191.785</v>
      </c>
      <c r="BA263" s="22">
        <v>-1.7883300000000001E-2</v>
      </c>
      <c r="BB263" s="22">
        <v>253</v>
      </c>
      <c r="BC263" s="22">
        <v>1.17157</v>
      </c>
      <c r="BD263">
        <f t="shared" si="46"/>
        <v>17.883300000000002</v>
      </c>
      <c r="BE263">
        <f t="shared" si="47"/>
        <v>20.995173033000004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36.802900000000001</v>
      </c>
      <c r="I264" s="22">
        <v>4.6145600000000002E-2</v>
      </c>
      <c r="J264" s="22">
        <v>254</v>
      </c>
      <c r="K264" s="22">
        <v>0.36077900000000002</v>
      </c>
      <c r="L264">
        <f t="shared" si="36"/>
        <v>-46.145600000000002</v>
      </c>
      <c r="M264">
        <f t="shared" si="37"/>
        <v>-21.736377278399999</v>
      </c>
      <c r="N264" s="9"/>
      <c r="O264" s="22">
        <v>1.1790499999999999</v>
      </c>
      <c r="P264" s="22">
        <v>71.111999999999995</v>
      </c>
      <c r="Q264" s="22">
        <v>-1.5625E-2</v>
      </c>
      <c r="R264" s="22">
        <v>254</v>
      </c>
      <c r="S264" s="22">
        <v>1.17859</v>
      </c>
      <c r="T264">
        <f t="shared" si="38"/>
        <v>15.625</v>
      </c>
      <c r="U264">
        <f t="shared" si="39"/>
        <v>18.422656249999999</v>
      </c>
      <c r="X264" s="9"/>
      <c r="Y264" s="22">
        <v>0.47103899999999999</v>
      </c>
      <c r="Z264" s="22">
        <v>105.318</v>
      </c>
      <c r="AA264" s="22">
        <v>-1.85303E-2</v>
      </c>
      <c r="AB264" s="22">
        <v>254</v>
      </c>
      <c r="AC264" s="22">
        <v>0.47073399999999999</v>
      </c>
      <c r="AD264">
        <f t="shared" si="40"/>
        <v>18.5303</v>
      </c>
      <c r="AE264">
        <f t="shared" si="41"/>
        <v>8.7284939816999998</v>
      </c>
      <c r="AF264" s="9"/>
      <c r="AG264" s="22">
        <v>1.1790499999999999</v>
      </c>
      <c r="AH264" s="22">
        <v>123.139</v>
      </c>
      <c r="AI264" s="22">
        <v>-1.8179299999999999E-2</v>
      </c>
      <c r="AJ264" s="22">
        <v>254</v>
      </c>
      <c r="AK264" s="22">
        <v>1.17706</v>
      </c>
      <c r="AL264">
        <f t="shared" si="42"/>
        <v>18.179299999999998</v>
      </c>
      <c r="AM264">
        <f t="shared" si="43"/>
        <v>21.434303664999995</v>
      </c>
      <c r="AP264" s="9"/>
      <c r="AQ264" s="22">
        <v>0.47103899999999999</v>
      </c>
      <c r="AR264" s="22">
        <v>157.40799999999999</v>
      </c>
      <c r="AS264" s="22">
        <v>4.5642099999999998E-2</v>
      </c>
      <c r="AT264" s="22">
        <v>254</v>
      </c>
      <c r="AU264" s="22">
        <v>0.38375900000000002</v>
      </c>
      <c r="AV264">
        <f t="shared" si="44"/>
        <v>-45.642099999999999</v>
      </c>
      <c r="AW264">
        <f t="shared" si="45"/>
        <v>-21.4992091419</v>
      </c>
      <c r="AX264" s="9"/>
      <c r="AY264" s="22">
        <v>1.1790499999999999</v>
      </c>
      <c r="AZ264" s="22">
        <v>191.79499999999999</v>
      </c>
      <c r="BA264" s="22">
        <v>-1.7864999999999999E-2</v>
      </c>
      <c r="BB264" s="22">
        <v>254</v>
      </c>
      <c r="BC264" s="22">
        <v>1.17462</v>
      </c>
      <c r="BD264">
        <f t="shared" si="46"/>
        <v>17.864999999999998</v>
      </c>
      <c r="BE264">
        <f t="shared" si="47"/>
        <v>21.063728249999997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36.813000000000002</v>
      </c>
      <c r="I265" s="22">
        <v>4.49921E-2</v>
      </c>
      <c r="J265" s="22">
        <v>255</v>
      </c>
      <c r="K265" s="22">
        <v>0.35989399999999999</v>
      </c>
      <c r="L265">
        <f t="shared" si="36"/>
        <v>-44.992100000000001</v>
      </c>
      <c r="M265">
        <f t="shared" si="37"/>
        <v>-20.966453576300001</v>
      </c>
      <c r="N265" s="9"/>
      <c r="O265" s="22">
        <v>1.18408</v>
      </c>
      <c r="P265" s="22">
        <v>71.122100000000003</v>
      </c>
      <c r="Q265" s="22">
        <v>-1.5448E-2</v>
      </c>
      <c r="R265" s="22">
        <v>255</v>
      </c>
      <c r="S265" s="22">
        <v>1.1831700000000001</v>
      </c>
      <c r="T265">
        <f t="shared" si="38"/>
        <v>15.448</v>
      </c>
      <c r="U265">
        <f t="shared" si="39"/>
        <v>18.291667840000002</v>
      </c>
      <c r="X265" s="9"/>
      <c r="Y265" s="22">
        <v>0.466003</v>
      </c>
      <c r="Z265" s="22">
        <v>105.328</v>
      </c>
      <c r="AA265" s="22">
        <v>-1.8536400000000001E-2</v>
      </c>
      <c r="AB265" s="22">
        <v>255</v>
      </c>
      <c r="AC265" s="22">
        <v>0.46527099999999999</v>
      </c>
      <c r="AD265">
        <f t="shared" si="40"/>
        <v>18.5364</v>
      </c>
      <c r="AE265">
        <f t="shared" si="41"/>
        <v>8.6380180091999996</v>
      </c>
      <c r="AF265" s="9"/>
      <c r="AG265" s="22">
        <v>1.18408</v>
      </c>
      <c r="AH265" s="22">
        <v>123.149</v>
      </c>
      <c r="AI265" s="22">
        <v>-1.81732E-2</v>
      </c>
      <c r="AJ265" s="22">
        <v>255</v>
      </c>
      <c r="AK265" s="22">
        <v>1.1837800000000001</v>
      </c>
      <c r="AL265">
        <f t="shared" si="42"/>
        <v>18.173200000000001</v>
      </c>
      <c r="AM265">
        <f t="shared" si="43"/>
        <v>21.518522656000002</v>
      </c>
      <c r="AP265" s="9"/>
      <c r="AQ265" s="22">
        <v>0.466003</v>
      </c>
      <c r="AR265" s="22">
        <v>157.41800000000001</v>
      </c>
      <c r="AS265" s="22">
        <v>4.5642099999999998E-2</v>
      </c>
      <c r="AT265" s="22">
        <v>255</v>
      </c>
      <c r="AU265" s="22">
        <v>0.38809199999999999</v>
      </c>
      <c r="AV265">
        <f t="shared" si="44"/>
        <v>-45.642099999999999</v>
      </c>
      <c r="AW265">
        <f t="shared" si="45"/>
        <v>-21.2693555263</v>
      </c>
      <c r="AX265" s="9"/>
      <c r="AY265" s="22">
        <v>1.18408</v>
      </c>
      <c r="AZ265" s="22">
        <v>191.80500000000001</v>
      </c>
      <c r="BA265" s="22">
        <v>-1.78619E-2</v>
      </c>
      <c r="BB265" s="22">
        <v>255</v>
      </c>
      <c r="BC265" s="22">
        <v>1.18103</v>
      </c>
      <c r="BD265">
        <f t="shared" si="46"/>
        <v>17.861899999999999</v>
      </c>
      <c r="BE265">
        <f t="shared" si="47"/>
        <v>21.149918551999999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36.823</v>
      </c>
      <c r="I266" s="22">
        <v>4.61395E-2</v>
      </c>
      <c r="J266" s="22">
        <v>256</v>
      </c>
      <c r="K266" s="22">
        <v>0.35965000000000003</v>
      </c>
      <c r="L266">
        <f t="shared" si="36"/>
        <v>-46.139499999999998</v>
      </c>
      <c r="M266">
        <f t="shared" si="37"/>
        <v>-21.268833036</v>
      </c>
      <c r="N266" s="9"/>
      <c r="O266" s="22">
        <v>1.18912</v>
      </c>
      <c r="P266" s="22">
        <v>71.132199999999997</v>
      </c>
      <c r="Q266" s="22">
        <v>-1.4523299999999999E-2</v>
      </c>
      <c r="R266" s="22">
        <v>256</v>
      </c>
      <c r="S266" s="22">
        <v>1.18774</v>
      </c>
      <c r="T266">
        <f t="shared" si="38"/>
        <v>14.523299999999999</v>
      </c>
      <c r="U266">
        <f t="shared" si="39"/>
        <v>17.269946495999999</v>
      </c>
      <c r="X266" s="9"/>
      <c r="Y266" s="22">
        <v>0.46096799999999999</v>
      </c>
      <c r="Z266" s="22">
        <v>105.33799999999999</v>
      </c>
      <c r="AA266" s="22">
        <v>-1.8536400000000001E-2</v>
      </c>
      <c r="AB266" s="22">
        <v>256</v>
      </c>
      <c r="AC266" s="22">
        <v>0.460449</v>
      </c>
      <c r="AD266">
        <f t="shared" si="40"/>
        <v>18.5364</v>
      </c>
      <c r="AE266">
        <f t="shared" si="41"/>
        <v>8.5446872351999996</v>
      </c>
      <c r="AF266" s="9"/>
      <c r="AG266" s="22">
        <v>1.18912</v>
      </c>
      <c r="AH266" s="22">
        <v>123.15900000000001</v>
      </c>
      <c r="AI266" s="22">
        <v>-1.81732E-2</v>
      </c>
      <c r="AJ266" s="22">
        <v>256</v>
      </c>
      <c r="AK266" s="22">
        <v>1.18835</v>
      </c>
      <c r="AL266">
        <f t="shared" si="42"/>
        <v>18.173200000000001</v>
      </c>
      <c r="AM266">
        <f t="shared" si="43"/>
        <v>21.610115584000003</v>
      </c>
      <c r="AP266" s="9"/>
      <c r="AQ266" s="22">
        <v>0.46096799999999999</v>
      </c>
      <c r="AR266" s="22">
        <v>157.428</v>
      </c>
      <c r="AS266" s="22">
        <v>4.5626800000000002E-2</v>
      </c>
      <c r="AT266" s="22">
        <v>256</v>
      </c>
      <c r="AU266" s="22">
        <v>0.390015</v>
      </c>
      <c r="AV266">
        <f t="shared" si="44"/>
        <v>-45.626800000000003</v>
      </c>
      <c r="AW266">
        <f t="shared" si="45"/>
        <v>-21.032494742400001</v>
      </c>
      <c r="AX266" s="9"/>
      <c r="AY266" s="22">
        <v>1.18912</v>
      </c>
      <c r="AZ266" s="22">
        <v>191.815</v>
      </c>
      <c r="BA266" s="22">
        <v>-1.7855800000000002E-2</v>
      </c>
      <c r="BB266" s="22">
        <v>256</v>
      </c>
      <c r="BC266" s="22">
        <v>1.18835</v>
      </c>
      <c r="BD266">
        <f t="shared" si="46"/>
        <v>17.855800000000002</v>
      </c>
      <c r="BE266">
        <f t="shared" si="47"/>
        <v>21.232688896000003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36.833100000000002</v>
      </c>
      <c r="I267" s="22">
        <v>4.6160899999999998E-2</v>
      </c>
      <c r="J267" s="22">
        <v>257</v>
      </c>
      <c r="K267" s="22">
        <v>0.35949700000000001</v>
      </c>
      <c r="L267">
        <f t="shared" si="36"/>
        <v>-46.160899999999998</v>
      </c>
      <c r="M267">
        <f t="shared" si="37"/>
        <v>-21.0462776197</v>
      </c>
      <c r="N267" s="9"/>
      <c r="O267" s="22">
        <v>1.19415</v>
      </c>
      <c r="P267" s="22">
        <v>71.142300000000006</v>
      </c>
      <c r="Q267" s="22">
        <v>-1.2118500000000001E-2</v>
      </c>
      <c r="R267" s="22">
        <v>257</v>
      </c>
      <c r="S267" s="22">
        <v>1.19293</v>
      </c>
      <c r="T267">
        <f t="shared" si="38"/>
        <v>12.118500000000001</v>
      </c>
      <c r="U267">
        <f t="shared" si="39"/>
        <v>14.471306775000002</v>
      </c>
      <c r="X267" s="9"/>
      <c r="Y267" s="22">
        <v>0.45593299999999998</v>
      </c>
      <c r="Z267" s="22">
        <v>105.348</v>
      </c>
      <c r="AA267" s="22">
        <v>-1.8539400000000001E-2</v>
      </c>
      <c r="AB267" s="22">
        <v>257</v>
      </c>
      <c r="AC267" s="22">
        <v>0.45541399999999999</v>
      </c>
      <c r="AD267">
        <f t="shared" si="40"/>
        <v>18.539400000000001</v>
      </c>
      <c r="AE267">
        <f t="shared" si="41"/>
        <v>8.4527242602000001</v>
      </c>
      <c r="AF267" s="9"/>
      <c r="AG267" s="22">
        <v>1.19415</v>
      </c>
      <c r="AH267" s="22">
        <v>123.169</v>
      </c>
      <c r="AI267" s="22">
        <v>-1.8170200000000001E-2</v>
      </c>
      <c r="AJ267" s="22">
        <v>257</v>
      </c>
      <c r="AK267" s="22">
        <v>1.19354</v>
      </c>
      <c r="AL267">
        <f t="shared" si="42"/>
        <v>18.170200000000001</v>
      </c>
      <c r="AM267">
        <f t="shared" si="43"/>
        <v>21.697944330000002</v>
      </c>
      <c r="AP267" s="9"/>
      <c r="AQ267" s="22">
        <v>0.45593299999999998</v>
      </c>
      <c r="AR267" s="22">
        <v>157.43799999999999</v>
      </c>
      <c r="AS267" s="22">
        <v>4.5626800000000002E-2</v>
      </c>
      <c r="AT267" s="22">
        <v>257</v>
      </c>
      <c r="AU267" s="22">
        <v>0.38970900000000003</v>
      </c>
      <c r="AV267">
        <f t="shared" si="44"/>
        <v>-45.626800000000003</v>
      </c>
      <c r="AW267">
        <f t="shared" si="45"/>
        <v>-20.802763804400001</v>
      </c>
      <c r="AX267" s="9"/>
      <c r="AY267" s="22">
        <v>1.19415</v>
      </c>
      <c r="AZ267" s="22">
        <v>191.82599999999999</v>
      </c>
      <c r="BA267" s="22">
        <v>-1.7831400000000001E-2</v>
      </c>
      <c r="BB267" s="22">
        <v>257</v>
      </c>
      <c r="BC267" s="22">
        <v>1.1926300000000001</v>
      </c>
      <c r="BD267">
        <f t="shared" si="46"/>
        <v>17.831400000000002</v>
      </c>
      <c r="BE267">
        <f t="shared" si="47"/>
        <v>21.293366310000003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36.843200000000003</v>
      </c>
      <c r="I268" s="22">
        <v>4.6160899999999998E-2</v>
      </c>
      <c r="J268" s="22">
        <v>258</v>
      </c>
      <c r="K268" s="22">
        <v>0.36105300000000001</v>
      </c>
      <c r="L268">
        <f t="shared" ref="L268:L331" si="48">-I268/$F$2*1000</f>
        <v>-46.160899999999998</v>
      </c>
      <c r="M268">
        <f t="shared" ref="M268:M331" si="49">L268*G268</f>
        <v>-20.813811327299998</v>
      </c>
      <c r="N268" s="9"/>
      <c r="O268" s="22">
        <v>1.19919</v>
      </c>
      <c r="P268" s="22">
        <v>71.152299999999997</v>
      </c>
      <c r="Q268" s="22">
        <v>-1.19965E-2</v>
      </c>
      <c r="R268" s="22">
        <v>258</v>
      </c>
      <c r="S268" s="22">
        <v>1.1984300000000001</v>
      </c>
      <c r="T268">
        <f t="shared" ref="T268:T331" si="50">-Q268/$F$2*1000</f>
        <v>11.996500000000001</v>
      </c>
      <c r="U268">
        <f t="shared" ref="U268:U331" si="51">T268*O268</f>
        <v>14.386082835000002</v>
      </c>
      <c r="X268" s="9"/>
      <c r="Y268" s="22">
        <v>0.45089699999999999</v>
      </c>
      <c r="Z268" s="22">
        <v>105.358</v>
      </c>
      <c r="AA268" s="22">
        <v>-1.8539400000000001E-2</v>
      </c>
      <c r="AB268" s="22">
        <v>258</v>
      </c>
      <c r="AC268" s="22">
        <v>0.449799</v>
      </c>
      <c r="AD268">
        <f t="shared" ref="AD268:AD331" si="52">-AA268/$F$2*1000</f>
        <v>18.539400000000001</v>
      </c>
      <c r="AE268">
        <f t="shared" ref="AE268:AE331" si="53">AD268*Y268</f>
        <v>8.3593598417999999</v>
      </c>
      <c r="AF268" s="9"/>
      <c r="AG268" s="22">
        <v>1.19919</v>
      </c>
      <c r="AH268" s="22">
        <v>123.179</v>
      </c>
      <c r="AI268" s="22">
        <v>-1.8167099999999999E-2</v>
      </c>
      <c r="AJ268" s="22">
        <v>258</v>
      </c>
      <c r="AK268" s="22">
        <v>1.1984300000000001</v>
      </c>
      <c r="AL268">
        <f t="shared" ref="AL268:AL331" si="54">-AI268/$F$2*1000</f>
        <v>18.167099999999998</v>
      </c>
      <c r="AM268">
        <f t="shared" ref="AM268:AM331" si="55">AL268*AG268</f>
        <v>21.785804648999996</v>
      </c>
      <c r="AP268" s="9"/>
      <c r="AQ268" s="22">
        <v>0.45089699999999999</v>
      </c>
      <c r="AR268" s="22">
        <v>157.44800000000001</v>
      </c>
      <c r="AS268" s="22">
        <v>4.5629900000000001E-2</v>
      </c>
      <c r="AT268" s="22">
        <v>258</v>
      </c>
      <c r="AU268" s="22">
        <v>0.39257799999999998</v>
      </c>
      <c r="AV268">
        <f t="shared" ref="AV268:AV331" si="56">-AS268/$F$2*1000</f>
        <v>-45.629899999999999</v>
      </c>
      <c r="AW268">
        <f t="shared" ref="AW268:AW331" si="57">AV268*AQ268</f>
        <v>-20.574385020299999</v>
      </c>
      <c r="AX268" s="9"/>
      <c r="AY268" s="22">
        <v>1.19919</v>
      </c>
      <c r="AZ268" s="22">
        <v>191.83600000000001</v>
      </c>
      <c r="BA268" s="22">
        <v>-1.7813099999999998E-2</v>
      </c>
      <c r="BB268" s="22">
        <v>258</v>
      </c>
      <c r="BC268" s="22">
        <v>1.2014800000000001</v>
      </c>
      <c r="BD268">
        <f t="shared" ref="BD268:BD331" si="58">-BA268/$F$2*1000</f>
        <v>17.813099999999999</v>
      </c>
      <c r="BE268">
        <f t="shared" ref="BE268:BE331" si="59">BD268*AY268</f>
        <v>21.361291388999998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36.853299999999997</v>
      </c>
      <c r="I269" s="22">
        <v>4.6154800000000003E-2</v>
      </c>
      <c r="J269" s="22">
        <v>259</v>
      </c>
      <c r="K269" s="22">
        <v>0.36105300000000001</v>
      </c>
      <c r="L269">
        <f t="shared" si="48"/>
        <v>-46.154800000000002</v>
      </c>
      <c r="M269">
        <f t="shared" si="49"/>
        <v>-20.578671437600001</v>
      </c>
      <c r="N269" s="9"/>
      <c r="O269" s="22">
        <v>1.2042200000000001</v>
      </c>
      <c r="P269" s="22">
        <v>71.162400000000005</v>
      </c>
      <c r="Q269" s="22">
        <v>-1.22833E-2</v>
      </c>
      <c r="R269" s="22">
        <v>259</v>
      </c>
      <c r="S269" s="22">
        <v>1.2036100000000001</v>
      </c>
      <c r="T269">
        <f t="shared" si="50"/>
        <v>12.283300000000001</v>
      </c>
      <c r="U269">
        <f t="shared" si="51"/>
        <v>14.791795526000001</v>
      </c>
      <c r="X269" s="9"/>
      <c r="Y269" s="22">
        <v>0.44586199999999998</v>
      </c>
      <c r="Z269" s="22">
        <v>105.369</v>
      </c>
      <c r="AA269" s="22">
        <v>-1.85425E-2</v>
      </c>
      <c r="AB269" s="22">
        <v>259</v>
      </c>
      <c r="AC269" s="22">
        <v>0.44583099999999998</v>
      </c>
      <c r="AD269">
        <f t="shared" si="52"/>
        <v>18.5425</v>
      </c>
      <c r="AE269">
        <f t="shared" si="53"/>
        <v>8.2673961350000003</v>
      </c>
      <c r="AF269" s="9"/>
      <c r="AG269" s="22">
        <v>1.2042200000000001</v>
      </c>
      <c r="AH269" s="22">
        <v>123.18899999999999</v>
      </c>
      <c r="AI269" s="22">
        <v>-1.8164099999999999E-2</v>
      </c>
      <c r="AJ269" s="22">
        <v>259</v>
      </c>
      <c r="AK269" s="22">
        <v>1.2030000000000001</v>
      </c>
      <c r="AL269">
        <f t="shared" si="54"/>
        <v>18.164099999999998</v>
      </c>
      <c r="AM269">
        <f t="shared" si="55"/>
        <v>21.873572501999998</v>
      </c>
      <c r="AP269" s="9"/>
      <c r="AQ269" s="22">
        <v>0.44586199999999998</v>
      </c>
      <c r="AR269" s="22">
        <v>157.459</v>
      </c>
      <c r="AS269" s="22">
        <v>4.5611600000000002E-2</v>
      </c>
      <c r="AT269" s="22">
        <v>259</v>
      </c>
      <c r="AU269" s="22">
        <v>0.39025900000000002</v>
      </c>
      <c r="AV269">
        <f t="shared" si="56"/>
        <v>-45.611600000000003</v>
      </c>
      <c r="AW269">
        <f t="shared" si="57"/>
        <v>-20.336479199199999</v>
      </c>
      <c r="AX269" s="9"/>
      <c r="AY269" s="22">
        <v>1.2042200000000001</v>
      </c>
      <c r="AZ269" s="22">
        <v>191.846</v>
      </c>
      <c r="BA269" s="22">
        <v>-1.7804E-2</v>
      </c>
      <c r="BB269" s="22">
        <v>259</v>
      </c>
      <c r="BC269" s="22">
        <v>1.2066699999999999</v>
      </c>
      <c r="BD269">
        <f t="shared" si="58"/>
        <v>17.804000000000002</v>
      </c>
      <c r="BE269">
        <f t="shared" si="59"/>
        <v>21.439932880000004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36.863300000000002</v>
      </c>
      <c r="I270" s="22">
        <v>4.6157799999999999E-2</v>
      </c>
      <c r="J270" s="22">
        <v>260</v>
      </c>
      <c r="K270" s="22">
        <v>0.35730000000000001</v>
      </c>
      <c r="L270">
        <f t="shared" si="48"/>
        <v>-46.157800000000002</v>
      </c>
      <c r="M270">
        <f t="shared" si="49"/>
        <v>-20.347558342799999</v>
      </c>
      <c r="N270" s="9"/>
      <c r="O270" s="22">
        <v>1.20926</v>
      </c>
      <c r="P270" s="22">
        <v>71.172499999999999</v>
      </c>
      <c r="Q270" s="22">
        <v>-1.20483E-2</v>
      </c>
      <c r="R270" s="22">
        <v>260</v>
      </c>
      <c r="S270" s="22">
        <v>1.2069700000000001</v>
      </c>
      <c r="T270">
        <f t="shared" si="50"/>
        <v>12.048299999999999</v>
      </c>
      <c r="U270">
        <f t="shared" si="51"/>
        <v>14.569527257999999</v>
      </c>
      <c r="X270" s="9"/>
      <c r="Y270" s="22">
        <v>0.440826</v>
      </c>
      <c r="Z270" s="22">
        <v>105.379</v>
      </c>
      <c r="AA270" s="22">
        <v>-1.8545499999999999E-2</v>
      </c>
      <c r="AB270" s="22">
        <v>260</v>
      </c>
      <c r="AC270" s="22">
        <v>0.43985000000000002</v>
      </c>
      <c r="AD270">
        <f t="shared" si="52"/>
        <v>18.545500000000001</v>
      </c>
      <c r="AE270">
        <f t="shared" si="53"/>
        <v>8.1753385830000003</v>
      </c>
      <c r="AF270" s="9"/>
      <c r="AG270" s="22">
        <v>1.20926</v>
      </c>
      <c r="AH270" s="22">
        <v>123.199</v>
      </c>
      <c r="AI270" s="22">
        <v>-1.8164099999999999E-2</v>
      </c>
      <c r="AJ270" s="22">
        <v>260</v>
      </c>
      <c r="AK270" s="22">
        <v>1.2078899999999999</v>
      </c>
      <c r="AL270">
        <f t="shared" si="54"/>
        <v>18.164099999999998</v>
      </c>
      <c r="AM270">
        <f t="shared" si="55"/>
        <v>21.965119565999998</v>
      </c>
      <c r="AP270" s="9"/>
      <c r="AQ270" s="22">
        <v>0.440826</v>
      </c>
      <c r="AR270" s="22">
        <v>157.46899999999999</v>
      </c>
      <c r="AS270" s="22">
        <v>4.5602400000000001E-2</v>
      </c>
      <c r="AT270" s="22">
        <v>260</v>
      </c>
      <c r="AU270" s="22">
        <v>0.38830599999999998</v>
      </c>
      <c r="AV270">
        <f t="shared" si="56"/>
        <v>-45.602400000000003</v>
      </c>
      <c r="AW270">
        <f t="shared" si="57"/>
        <v>-20.102723582399999</v>
      </c>
      <c r="AX270" s="9"/>
      <c r="AY270" s="22">
        <v>1.20926</v>
      </c>
      <c r="AZ270" s="22">
        <v>191.85599999999999</v>
      </c>
      <c r="BA270" s="22">
        <v>-1.7797899999999998E-2</v>
      </c>
      <c r="BB270" s="22">
        <v>260</v>
      </c>
      <c r="BC270" s="22">
        <v>1.2130700000000001</v>
      </c>
      <c r="BD270">
        <f t="shared" si="58"/>
        <v>17.797899999999998</v>
      </c>
      <c r="BE270">
        <f t="shared" si="59"/>
        <v>21.522288553999999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36.873399999999997</v>
      </c>
      <c r="I271" s="22">
        <v>4.6145600000000002E-2</v>
      </c>
      <c r="J271" s="22">
        <v>261</v>
      </c>
      <c r="K271" s="22">
        <v>0.35833700000000002</v>
      </c>
      <c r="L271">
        <f t="shared" si="48"/>
        <v>-46.145600000000002</v>
      </c>
      <c r="M271">
        <f t="shared" si="49"/>
        <v>-20.109837169599999</v>
      </c>
      <c r="N271" s="9"/>
      <c r="O271" s="22">
        <v>1.2142900000000001</v>
      </c>
      <c r="P271" s="22">
        <v>71.182500000000005</v>
      </c>
      <c r="Q271" s="22">
        <v>-1.23138E-2</v>
      </c>
      <c r="R271" s="22">
        <v>261</v>
      </c>
      <c r="S271" s="22">
        <v>1.2130700000000001</v>
      </c>
      <c r="T271">
        <f t="shared" si="50"/>
        <v>12.313800000000001</v>
      </c>
      <c r="U271">
        <f t="shared" si="51"/>
        <v>14.952524202000001</v>
      </c>
      <c r="X271" s="9"/>
      <c r="Y271" s="22">
        <v>0.43579099999999998</v>
      </c>
      <c r="Z271" s="22">
        <v>105.389</v>
      </c>
      <c r="AA271" s="22">
        <v>-1.8545499999999999E-2</v>
      </c>
      <c r="AB271" s="22">
        <v>261</v>
      </c>
      <c r="AC271" s="22">
        <v>0.435303</v>
      </c>
      <c r="AD271">
        <f t="shared" si="52"/>
        <v>18.545500000000001</v>
      </c>
      <c r="AE271">
        <f t="shared" si="53"/>
        <v>8.0819619905</v>
      </c>
      <c r="AF271" s="9"/>
      <c r="AG271" s="22">
        <v>1.2142900000000001</v>
      </c>
      <c r="AH271" s="22">
        <v>123.21</v>
      </c>
      <c r="AI271" s="22">
        <v>-1.8161E-2</v>
      </c>
      <c r="AJ271" s="22">
        <v>261</v>
      </c>
      <c r="AK271" s="22">
        <v>1.2130700000000001</v>
      </c>
      <c r="AL271">
        <f t="shared" si="54"/>
        <v>18.161000000000001</v>
      </c>
      <c r="AM271">
        <f t="shared" si="55"/>
        <v>22.052720690000005</v>
      </c>
      <c r="AP271" s="9"/>
      <c r="AQ271" s="22">
        <v>0.43579099999999998</v>
      </c>
      <c r="AR271" s="22">
        <v>157.47900000000001</v>
      </c>
      <c r="AS271" s="22">
        <v>4.5636000000000003E-2</v>
      </c>
      <c r="AT271" s="22">
        <v>261</v>
      </c>
      <c r="AU271" s="22">
        <v>0.385681</v>
      </c>
      <c r="AV271">
        <f t="shared" si="56"/>
        <v>-45.636000000000003</v>
      </c>
      <c r="AW271">
        <f t="shared" si="57"/>
        <v>-19.887758076000001</v>
      </c>
      <c r="AX271" s="9"/>
      <c r="AY271" s="22">
        <v>1.2142900000000001</v>
      </c>
      <c r="AZ271" s="22">
        <v>191.86600000000001</v>
      </c>
      <c r="BA271" s="22">
        <v>-1.7782599999999999E-2</v>
      </c>
      <c r="BB271" s="22">
        <v>261</v>
      </c>
      <c r="BC271" s="22">
        <v>1.2130700000000001</v>
      </c>
      <c r="BD271">
        <f t="shared" si="58"/>
        <v>17.782599999999999</v>
      </c>
      <c r="BE271">
        <f t="shared" si="59"/>
        <v>21.593233353999999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36.883499999999998</v>
      </c>
      <c r="I272" s="22">
        <v>4.6136499999999997E-2</v>
      </c>
      <c r="J272" s="22">
        <v>262</v>
      </c>
      <c r="K272" s="22">
        <v>0.35650599999999999</v>
      </c>
      <c r="L272">
        <f t="shared" si="48"/>
        <v>-46.136499999999998</v>
      </c>
      <c r="M272">
        <f t="shared" si="49"/>
        <v>-19.873574194</v>
      </c>
      <c r="N272" s="9"/>
      <c r="O272" s="22">
        <v>1.21933</v>
      </c>
      <c r="P272" s="22">
        <v>71.192599999999999</v>
      </c>
      <c r="Q272" s="22">
        <v>-1.19965E-2</v>
      </c>
      <c r="R272" s="22">
        <v>262</v>
      </c>
      <c r="S272" s="22">
        <v>1.2185699999999999</v>
      </c>
      <c r="T272">
        <f t="shared" si="50"/>
        <v>11.996500000000001</v>
      </c>
      <c r="U272">
        <f t="shared" si="51"/>
        <v>14.627692345000002</v>
      </c>
      <c r="X272" s="9"/>
      <c r="Y272" s="22">
        <v>0.43075600000000003</v>
      </c>
      <c r="Z272" s="22">
        <v>105.399</v>
      </c>
      <c r="AA272" s="22">
        <v>-1.8548599999999998E-2</v>
      </c>
      <c r="AB272" s="22">
        <v>262</v>
      </c>
      <c r="AC272" s="22">
        <v>0.43103000000000002</v>
      </c>
      <c r="AD272">
        <f t="shared" si="52"/>
        <v>18.548599999999997</v>
      </c>
      <c r="AE272">
        <f t="shared" si="53"/>
        <v>7.9899207415999989</v>
      </c>
      <c r="AF272" s="9"/>
      <c r="AG272" s="22">
        <v>1.21933</v>
      </c>
      <c r="AH272" s="22">
        <v>123.22</v>
      </c>
      <c r="AI272" s="22">
        <v>-1.8154900000000002E-2</v>
      </c>
      <c r="AJ272" s="22">
        <v>262</v>
      </c>
      <c r="AK272" s="22">
        <v>1.2179599999999999</v>
      </c>
      <c r="AL272">
        <f t="shared" si="54"/>
        <v>18.154900000000001</v>
      </c>
      <c r="AM272">
        <f t="shared" si="55"/>
        <v>22.136814217000001</v>
      </c>
      <c r="AP272" s="9"/>
      <c r="AQ272" s="22">
        <v>0.43075600000000003</v>
      </c>
      <c r="AR272" s="22">
        <v>157.489</v>
      </c>
      <c r="AS272" s="22">
        <v>4.5593300000000003E-2</v>
      </c>
      <c r="AT272" s="22">
        <v>262</v>
      </c>
      <c r="AU272" s="22">
        <v>0.38702399999999998</v>
      </c>
      <c r="AV272">
        <f t="shared" si="56"/>
        <v>-45.593300000000006</v>
      </c>
      <c r="AW272">
        <f t="shared" si="57"/>
        <v>-19.639587534800004</v>
      </c>
      <c r="AX272" s="9"/>
      <c r="AY272" s="22">
        <v>1.21933</v>
      </c>
      <c r="AZ272" s="22">
        <v>191.876</v>
      </c>
      <c r="BA272" s="22">
        <v>-1.7770399999999999E-2</v>
      </c>
      <c r="BB272" s="22">
        <v>262</v>
      </c>
      <c r="BC272" s="22">
        <v>1.2170399999999999</v>
      </c>
      <c r="BD272">
        <f t="shared" si="58"/>
        <v>17.770399999999999</v>
      </c>
      <c r="BE272">
        <f t="shared" si="59"/>
        <v>21.667981831999999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36.893500000000003</v>
      </c>
      <c r="I273" s="22">
        <v>4.6121200000000001E-2</v>
      </c>
      <c r="J273" s="22">
        <v>263</v>
      </c>
      <c r="K273" s="22">
        <v>0.35809299999999999</v>
      </c>
      <c r="L273">
        <f t="shared" si="48"/>
        <v>-46.121200000000002</v>
      </c>
      <c r="M273">
        <f t="shared" si="49"/>
        <v>-19.634717263999999</v>
      </c>
      <c r="N273" s="9"/>
      <c r="O273" s="22">
        <v>1.22437</v>
      </c>
      <c r="P273" s="22">
        <v>71.202699999999993</v>
      </c>
      <c r="Q273" s="22">
        <v>-1.1633299999999999E-2</v>
      </c>
      <c r="R273" s="22">
        <v>263</v>
      </c>
      <c r="S273" s="22">
        <v>1.2234499999999999</v>
      </c>
      <c r="T273">
        <f t="shared" si="50"/>
        <v>11.633299999999998</v>
      </c>
      <c r="U273">
        <f t="shared" si="51"/>
        <v>14.243463520999997</v>
      </c>
      <c r="X273" s="9"/>
      <c r="Y273" s="22">
        <v>0.42571999999999999</v>
      </c>
      <c r="Z273" s="22">
        <v>105.40900000000001</v>
      </c>
      <c r="AA273" s="22">
        <v>-1.8551600000000001E-2</v>
      </c>
      <c r="AB273" s="22">
        <v>263</v>
      </c>
      <c r="AC273" s="22">
        <v>0.424377</v>
      </c>
      <c r="AD273">
        <f t="shared" si="52"/>
        <v>18.551600000000001</v>
      </c>
      <c r="AE273">
        <f t="shared" si="53"/>
        <v>7.8977871520000003</v>
      </c>
      <c r="AF273" s="9"/>
      <c r="AG273" s="22">
        <v>1.22437</v>
      </c>
      <c r="AH273" s="22">
        <v>123.23</v>
      </c>
      <c r="AI273" s="22">
        <v>-1.8151899999999999E-2</v>
      </c>
      <c r="AJ273" s="22">
        <v>263</v>
      </c>
      <c r="AK273" s="22">
        <v>1.2237499999999999</v>
      </c>
      <c r="AL273">
        <f t="shared" si="54"/>
        <v>18.151899999999998</v>
      </c>
      <c r="AM273">
        <f t="shared" si="55"/>
        <v>22.224641802999997</v>
      </c>
      <c r="AP273" s="9"/>
      <c r="AQ273" s="22">
        <v>0.42571999999999999</v>
      </c>
      <c r="AR273" s="22">
        <v>157.499</v>
      </c>
      <c r="AS273" s="22">
        <v>4.5602400000000001E-2</v>
      </c>
      <c r="AT273" s="22">
        <v>263</v>
      </c>
      <c r="AU273" s="22">
        <v>0.37518299999999999</v>
      </c>
      <c r="AV273">
        <f t="shared" si="56"/>
        <v>-45.602400000000003</v>
      </c>
      <c r="AW273">
        <f t="shared" si="57"/>
        <v>-19.413853727999999</v>
      </c>
      <c r="AX273" s="9"/>
      <c r="AY273" s="22">
        <v>1.22437</v>
      </c>
      <c r="AZ273" s="22">
        <v>191.886</v>
      </c>
      <c r="BA273" s="22">
        <v>-1.7761200000000001E-2</v>
      </c>
      <c r="BB273" s="22">
        <v>263</v>
      </c>
      <c r="BC273" s="22">
        <v>1.2271099999999999</v>
      </c>
      <c r="BD273">
        <f t="shared" si="58"/>
        <v>17.761200000000002</v>
      </c>
      <c r="BE273">
        <f t="shared" si="59"/>
        <v>21.746280444000003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36.903599999999997</v>
      </c>
      <c r="I274" s="22">
        <v>4.6121200000000001E-2</v>
      </c>
      <c r="J274" s="22">
        <v>264</v>
      </c>
      <c r="K274" s="22">
        <v>0.35241699999999998</v>
      </c>
      <c r="L274">
        <f t="shared" si="48"/>
        <v>-46.121200000000002</v>
      </c>
      <c r="M274">
        <f t="shared" si="49"/>
        <v>-19.402497021999999</v>
      </c>
      <c r="N274" s="9"/>
      <c r="O274" s="22">
        <v>1.2294</v>
      </c>
      <c r="P274" s="22">
        <v>71.212800000000001</v>
      </c>
      <c r="Q274" s="22">
        <v>-1.15906E-2</v>
      </c>
      <c r="R274" s="22">
        <v>264</v>
      </c>
      <c r="S274" s="22">
        <v>1.22803</v>
      </c>
      <c r="T274">
        <f t="shared" si="50"/>
        <v>11.5906</v>
      </c>
      <c r="U274">
        <f t="shared" si="51"/>
        <v>14.249483640000001</v>
      </c>
      <c r="X274" s="9"/>
      <c r="Y274" s="22">
        <v>0.42068499999999998</v>
      </c>
      <c r="Z274" s="22">
        <v>105.419</v>
      </c>
      <c r="AA274" s="22">
        <v>-1.8551600000000001E-2</v>
      </c>
      <c r="AB274" s="22">
        <v>264</v>
      </c>
      <c r="AC274" s="22">
        <v>0.42037999999999998</v>
      </c>
      <c r="AD274">
        <f t="shared" si="52"/>
        <v>18.551600000000001</v>
      </c>
      <c r="AE274">
        <f t="shared" si="53"/>
        <v>7.8043798459999998</v>
      </c>
      <c r="AF274" s="9"/>
      <c r="AG274" s="22">
        <v>1.2294</v>
      </c>
      <c r="AH274" s="22">
        <v>123.24</v>
      </c>
      <c r="AI274" s="22">
        <v>-1.81458E-2</v>
      </c>
      <c r="AJ274" s="22">
        <v>264</v>
      </c>
      <c r="AK274" s="22">
        <v>1.2283299999999999</v>
      </c>
      <c r="AL274">
        <f t="shared" si="54"/>
        <v>18.145800000000001</v>
      </c>
      <c r="AM274">
        <f t="shared" si="55"/>
        <v>22.308446520000004</v>
      </c>
      <c r="AP274" s="9"/>
      <c r="AQ274" s="22">
        <v>0.42068499999999998</v>
      </c>
      <c r="AR274" s="22">
        <v>157.50899999999999</v>
      </c>
      <c r="AS274" s="22">
        <v>4.5632899999999997E-2</v>
      </c>
      <c r="AT274" s="22">
        <v>264</v>
      </c>
      <c r="AU274" s="22">
        <v>0.38397199999999998</v>
      </c>
      <c r="AV274">
        <f t="shared" si="56"/>
        <v>-45.632899999999999</v>
      </c>
      <c r="AW274">
        <f t="shared" si="57"/>
        <v>-19.197076536499999</v>
      </c>
      <c r="AX274" s="9"/>
      <c r="AY274" s="22">
        <v>1.2294</v>
      </c>
      <c r="AZ274" s="22">
        <v>191.89599999999999</v>
      </c>
      <c r="BA274" s="22">
        <v>-1.7739899999999999E-2</v>
      </c>
      <c r="BB274" s="22">
        <v>264</v>
      </c>
      <c r="BC274" s="22">
        <v>1.22864</v>
      </c>
      <c r="BD274">
        <f t="shared" si="58"/>
        <v>17.739899999999999</v>
      </c>
      <c r="BE274">
        <f t="shared" si="59"/>
        <v>21.80943306</v>
      </c>
    </row>
    <row r="275" spans="6:101">
      <c r="F275" s="9"/>
      <c r="G275" s="22">
        <v>0.41564899999999999</v>
      </c>
      <c r="H275" s="22">
        <v>36.913699999999999</v>
      </c>
      <c r="I275" s="22">
        <v>4.6108999999999997E-2</v>
      </c>
      <c r="J275" s="22">
        <v>265</v>
      </c>
      <c r="K275" s="22">
        <v>0.35617100000000002</v>
      </c>
      <c r="L275">
        <f t="shared" si="48"/>
        <v>-46.108999999999995</v>
      </c>
      <c r="M275">
        <f t="shared" si="49"/>
        <v>-19.165159740999997</v>
      </c>
      <c r="N275" s="9"/>
      <c r="O275" s="22">
        <v>1.23444</v>
      </c>
      <c r="P275" s="22">
        <v>71.222800000000007</v>
      </c>
      <c r="Q275" s="22">
        <v>-1.09467E-2</v>
      </c>
      <c r="R275" s="22">
        <v>265</v>
      </c>
      <c r="S275" s="22">
        <v>1.2335199999999999</v>
      </c>
      <c r="T275">
        <f t="shared" si="50"/>
        <v>10.9467</v>
      </c>
      <c r="U275">
        <f t="shared" si="51"/>
        <v>13.513044347999999</v>
      </c>
      <c r="X275" s="9"/>
      <c r="Y275" s="22">
        <v>0.41564899999999999</v>
      </c>
      <c r="Z275" s="22">
        <v>105.429</v>
      </c>
      <c r="AA275" s="22">
        <v>-1.85547E-2</v>
      </c>
      <c r="AB275" s="22">
        <v>265</v>
      </c>
      <c r="AC275" s="22">
        <v>0.41534399999999999</v>
      </c>
      <c r="AD275">
        <f t="shared" si="52"/>
        <v>18.5547</v>
      </c>
      <c r="AE275">
        <f t="shared" si="53"/>
        <v>7.7122425003000004</v>
      </c>
      <c r="AF275" s="9"/>
      <c r="AG275" s="22">
        <v>1.23444</v>
      </c>
      <c r="AH275" s="22">
        <v>123.25</v>
      </c>
      <c r="AI275" s="22">
        <v>-1.8142700000000001E-2</v>
      </c>
      <c r="AJ275" s="22">
        <v>265</v>
      </c>
      <c r="AK275" s="22">
        <v>1.2341299999999999</v>
      </c>
      <c r="AL275">
        <f t="shared" si="54"/>
        <v>18.142700000000001</v>
      </c>
      <c r="AM275">
        <f t="shared" si="55"/>
        <v>22.396074588000001</v>
      </c>
      <c r="AP275" s="9"/>
      <c r="AQ275" s="22">
        <v>0.41564899999999999</v>
      </c>
      <c r="AR275" s="22">
        <v>157.51900000000001</v>
      </c>
      <c r="AS275" s="22">
        <v>4.5559700000000002E-2</v>
      </c>
      <c r="AT275" s="22">
        <v>265</v>
      </c>
      <c r="AU275" s="22">
        <v>0.385071</v>
      </c>
      <c r="AV275">
        <f t="shared" si="56"/>
        <v>-45.559699999999999</v>
      </c>
      <c r="AW275">
        <f t="shared" si="57"/>
        <v>-18.936843745299999</v>
      </c>
      <c r="AX275" s="9"/>
      <c r="AY275" s="22">
        <v>1.23444</v>
      </c>
      <c r="AZ275" s="22">
        <v>191.90600000000001</v>
      </c>
      <c r="BA275" s="22">
        <v>-1.7718500000000002E-2</v>
      </c>
      <c r="BB275" s="22">
        <v>265</v>
      </c>
      <c r="BC275" s="22">
        <v>1.2313799999999999</v>
      </c>
      <c r="BD275">
        <f t="shared" si="58"/>
        <v>17.718500000000002</v>
      </c>
      <c r="BE275">
        <f t="shared" si="59"/>
        <v>21.872425140000004</v>
      </c>
    </row>
    <row r="276" spans="6:101">
      <c r="F276" s="9"/>
      <c r="G276" s="22">
        <v>0.41061399999999998</v>
      </c>
      <c r="H276" s="22">
        <v>36.923699999999997</v>
      </c>
      <c r="I276" s="22">
        <v>4.6106000000000001E-2</v>
      </c>
      <c r="J276" s="22">
        <v>266</v>
      </c>
      <c r="K276" s="22">
        <v>0.35644500000000001</v>
      </c>
      <c r="L276">
        <f t="shared" si="48"/>
        <v>-46.106000000000002</v>
      </c>
      <c r="M276">
        <f t="shared" si="49"/>
        <v>-18.931769083999999</v>
      </c>
      <c r="N276" s="9"/>
      <c r="O276" s="22">
        <v>1.2394700000000001</v>
      </c>
      <c r="P276" s="22">
        <v>71.232900000000001</v>
      </c>
      <c r="Q276" s="22">
        <v>-1.05042E-2</v>
      </c>
      <c r="R276" s="22">
        <v>266</v>
      </c>
      <c r="S276" s="22">
        <v>1.2390099999999999</v>
      </c>
      <c r="T276">
        <f t="shared" si="50"/>
        <v>10.504200000000001</v>
      </c>
      <c r="U276">
        <f t="shared" si="51"/>
        <v>13.019640774000003</v>
      </c>
      <c r="X276" s="9"/>
      <c r="Y276" s="22">
        <v>0.41061399999999998</v>
      </c>
      <c r="Z276" s="22">
        <v>105.43899999999999</v>
      </c>
      <c r="AA276" s="22">
        <v>-1.85577E-2</v>
      </c>
      <c r="AB276" s="22">
        <v>266</v>
      </c>
      <c r="AC276" s="22">
        <v>0.40969800000000001</v>
      </c>
      <c r="AD276">
        <f t="shared" si="52"/>
        <v>18.557700000000001</v>
      </c>
      <c r="AE276">
        <f t="shared" si="53"/>
        <v>7.6200514278</v>
      </c>
      <c r="AF276" s="9"/>
      <c r="AG276" s="22">
        <v>1.2394700000000001</v>
      </c>
      <c r="AH276" s="22">
        <v>123.26</v>
      </c>
      <c r="AI276" s="22">
        <v>-1.8142700000000001E-2</v>
      </c>
      <c r="AJ276" s="22">
        <v>266</v>
      </c>
      <c r="AK276" s="22">
        <v>1.2383999999999999</v>
      </c>
      <c r="AL276">
        <f t="shared" si="54"/>
        <v>18.142700000000001</v>
      </c>
      <c r="AM276">
        <f t="shared" si="55"/>
        <v>22.487332369000004</v>
      </c>
      <c r="AP276" s="9"/>
      <c r="AQ276" s="22">
        <v>0.41061399999999998</v>
      </c>
      <c r="AR276" s="22">
        <v>157.529</v>
      </c>
      <c r="AS276" s="22">
        <v>4.5535300000000001E-2</v>
      </c>
      <c r="AT276" s="22">
        <v>266</v>
      </c>
      <c r="AU276" s="22">
        <v>0.385986</v>
      </c>
      <c r="AV276">
        <f t="shared" si="56"/>
        <v>-45.535299999999999</v>
      </c>
      <c r="AW276">
        <f t="shared" si="57"/>
        <v>-18.697431674199997</v>
      </c>
      <c r="AX276" s="9"/>
      <c r="AY276" s="22">
        <v>1.2394700000000001</v>
      </c>
      <c r="AZ276" s="22">
        <v>191.916</v>
      </c>
      <c r="BA276" s="22">
        <v>-1.77094E-2</v>
      </c>
      <c r="BB276" s="22">
        <v>266</v>
      </c>
      <c r="BC276" s="22">
        <v>1.2377899999999999</v>
      </c>
      <c r="BD276">
        <f t="shared" si="58"/>
        <v>17.709399999999999</v>
      </c>
      <c r="BE276">
        <f t="shared" si="59"/>
        <v>21.950270018000001</v>
      </c>
    </row>
    <row r="277" spans="6:101">
      <c r="F277" s="9"/>
      <c r="G277" s="22">
        <v>0.40557900000000002</v>
      </c>
      <c r="H277" s="22">
        <v>36.933799999999998</v>
      </c>
      <c r="I277" s="22">
        <v>4.6093799999999997E-2</v>
      </c>
      <c r="J277" s="22">
        <v>267</v>
      </c>
      <c r="K277" s="22">
        <v>0.35806300000000002</v>
      </c>
      <c r="L277">
        <f t="shared" si="48"/>
        <v>-46.093799999999995</v>
      </c>
      <c r="M277">
        <f t="shared" si="49"/>
        <v>-18.694677310199999</v>
      </c>
      <c r="N277" s="9"/>
      <c r="O277" s="22">
        <v>1.24451</v>
      </c>
      <c r="P277" s="22">
        <v>71.242999999999995</v>
      </c>
      <c r="Q277" s="22">
        <v>-1.00616E-2</v>
      </c>
      <c r="R277" s="22">
        <v>267</v>
      </c>
      <c r="S277" s="22">
        <v>1.24268</v>
      </c>
      <c r="T277">
        <f t="shared" si="50"/>
        <v>10.0616</v>
      </c>
      <c r="U277">
        <f t="shared" si="51"/>
        <v>12.521761816</v>
      </c>
      <c r="X277" s="9"/>
      <c r="Y277" s="22">
        <v>0.40557900000000002</v>
      </c>
      <c r="Z277" s="22">
        <v>105.449</v>
      </c>
      <c r="AA277" s="22">
        <v>-1.8560799999999999E-2</v>
      </c>
      <c r="AB277" s="22">
        <v>267</v>
      </c>
      <c r="AC277" s="22">
        <v>0.40475499999999998</v>
      </c>
      <c r="AD277">
        <f t="shared" si="52"/>
        <v>18.5608</v>
      </c>
      <c r="AE277">
        <f t="shared" si="53"/>
        <v>7.5278707032000005</v>
      </c>
      <c r="AF277" s="9"/>
      <c r="AG277" s="22">
        <v>1.24451</v>
      </c>
      <c r="AH277" s="22">
        <v>123.27</v>
      </c>
      <c r="AI277" s="22">
        <v>-1.8136599999999999E-2</v>
      </c>
      <c r="AJ277" s="22">
        <v>267</v>
      </c>
      <c r="AK277" s="22">
        <v>1.24329</v>
      </c>
      <c r="AL277">
        <f t="shared" si="54"/>
        <v>18.136599999999998</v>
      </c>
      <c r="AM277">
        <f t="shared" si="55"/>
        <v>22.571180065999997</v>
      </c>
      <c r="AP277" s="9"/>
      <c r="AQ277" s="22">
        <v>0.40557900000000002</v>
      </c>
      <c r="AR277" s="22">
        <v>157.53899999999999</v>
      </c>
      <c r="AS277" s="22">
        <v>4.5538299999999997E-2</v>
      </c>
      <c r="AT277" s="22">
        <v>267</v>
      </c>
      <c r="AU277" s="22">
        <v>0.384857</v>
      </c>
      <c r="AV277">
        <f t="shared" si="56"/>
        <v>-45.5383</v>
      </c>
      <c r="AW277">
        <f t="shared" si="57"/>
        <v>-18.469378175700001</v>
      </c>
      <c r="AX277" s="9"/>
      <c r="AY277" s="22">
        <v>1.24451</v>
      </c>
      <c r="AZ277" s="22">
        <v>191.92599999999999</v>
      </c>
      <c r="BA277" s="22">
        <v>-1.7666600000000001E-2</v>
      </c>
      <c r="BB277" s="22">
        <v>267</v>
      </c>
      <c r="BC277" s="22">
        <v>1.24329</v>
      </c>
      <c r="BD277">
        <f t="shared" si="58"/>
        <v>17.666600000000003</v>
      </c>
      <c r="BE277">
        <f t="shared" si="59"/>
        <v>21.986260366000003</v>
      </c>
    </row>
    <row r="278" spans="6:101">
      <c r="F278" s="9"/>
      <c r="G278" s="22">
        <v>0.40054299999999998</v>
      </c>
      <c r="H278" s="22">
        <v>36.943899999999999</v>
      </c>
      <c r="I278" s="22">
        <v>4.6087599999999999E-2</v>
      </c>
      <c r="J278" s="22">
        <v>268</v>
      </c>
      <c r="K278" s="22">
        <v>0.358765</v>
      </c>
      <c r="L278">
        <f t="shared" si="48"/>
        <v>-46.087600000000002</v>
      </c>
      <c r="M278">
        <f t="shared" si="49"/>
        <v>-18.460065566800001</v>
      </c>
      <c r="N278" s="9"/>
      <c r="O278" s="22">
        <v>1.2495400000000001</v>
      </c>
      <c r="P278" s="22">
        <v>71.253</v>
      </c>
      <c r="Q278" s="22">
        <v>-1.00494E-2</v>
      </c>
      <c r="R278" s="22">
        <v>268</v>
      </c>
      <c r="S278" s="22">
        <v>1.24878</v>
      </c>
      <c r="T278">
        <f t="shared" si="50"/>
        <v>10.0494</v>
      </c>
      <c r="U278">
        <f t="shared" si="51"/>
        <v>12.557127276000001</v>
      </c>
      <c r="X278" s="9"/>
      <c r="Y278" s="22">
        <v>0.40054299999999998</v>
      </c>
      <c r="Z278" s="22">
        <v>105.459</v>
      </c>
      <c r="AA278" s="22">
        <v>-1.8560799999999999E-2</v>
      </c>
      <c r="AB278" s="22">
        <v>268</v>
      </c>
      <c r="AC278" s="22">
        <v>0.39956700000000001</v>
      </c>
      <c r="AD278">
        <f t="shared" si="52"/>
        <v>18.5608</v>
      </c>
      <c r="AE278">
        <f t="shared" si="53"/>
        <v>7.4343985143999998</v>
      </c>
      <c r="AF278" s="9"/>
      <c r="AG278" s="22">
        <v>1.2495400000000001</v>
      </c>
      <c r="AH278" s="22">
        <v>123.28</v>
      </c>
      <c r="AI278" s="22">
        <v>-1.81335E-2</v>
      </c>
      <c r="AJ278" s="22">
        <v>268</v>
      </c>
      <c r="AK278" s="22">
        <v>1.24908</v>
      </c>
      <c r="AL278">
        <f t="shared" si="54"/>
        <v>18.133500000000002</v>
      </c>
      <c r="AM278">
        <f t="shared" si="55"/>
        <v>22.658533590000005</v>
      </c>
      <c r="AP278" s="9"/>
      <c r="AQ278" s="22">
        <v>0.40054299999999998</v>
      </c>
      <c r="AR278" s="22">
        <v>157.54900000000001</v>
      </c>
      <c r="AS278" s="22">
        <v>4.5574999999999997E-2</v>
      </c>
      <c r="AT278" s="22">
        <v>268</v>
      </c>
      <c r="AU278" s="22">
        <v>0.38189699999999999</v>
      </c>
      <c r="AV278">
        <f t="shared" si="56"/>
        <v>-45.574999999999996</v>
      </c>
      <c r="AW278">
        <f t="shared" si="57"/>
        <v>-18.254747224999999</v>
      </c>
      <c r="AX278" s="9"/>
      <c r="AY278" s="22">
        <v>1.2495400000000001</v>
      </c>
      <c r="AZ278" s="22">
        <v>191.93600000000001</v>
      </c>
      <c r="BA278" s="22">
        <v>-1.76697E-2</v>
      </c>
      <c r="BB278" s="22">
        <v>268</v>
      </c>
      <c r="BC278" s="22">
        <v>1.24847</v>
      </c>
      <c r="BD278">
        <f t="shared" si="58"/>
        <v>17.669699999999999</v>
      </c>
      <c r="BE278">
        <f t="shared" si="59"/>
        <v>22.078996938</v>
      </c>
    </row>
    <row r="279" spans="6:101">
      <c r="F279" s="9"/>
      <c r="G279" s="22">
        <v>0.39550800000000003</v>
      </c>
      <c r="H279" s="22">
        <v>36.954000000000001</v>
      </c>
      <c r="I279" s="22">
        <v>4.6081499999999997E-2</v>
      </c>
      <c r="J279" s="22">
        <v>269</v>
      </c>
      <c r="K279" s="22">
        <v>0.35491899999999998</v>
      </c>
      <c r="L279">
        <f t="shared" si="48"/>
        <v>-46.081499999999998</v>
      </c>
      <c r="M279">
        <f t="shared" si="49"/>
        <v>-18.225601902000001</v>
      </c>
      <c r="N279" s="9"/>
      <c r="O279" s="22">
        <v>1.25458</v>
      </c>
      <c r="P279" s="22">
        <v>71.263099999999994</v>
      </c>
      <c r="Q279" s="22">
        <v>-7.8491199999999994E-3</v>
      </c>
      <c r="R279" s="22">
        <v>269</v>
      </c>
      <c r="S279" s="22">
        <v>1.25061</v>
      </c>
      <c r="T279">
        <f t="shared" si="50"/>
        <v>7.8491199999999992</v>
      </c>
      <c r="U279">
        <f t="shared" si="51"/>
        <v>9.8473489695999987</v>
      </c>
      <c r="X279" s="9"/>
      <c r="Y279" s="22">
        <v>0.39550800000000003</v>
      </c>
      <c r="Z279" s="22">
        <v>105.46899999999999</v>
      </c>
      <c r="AA279" s="22">
        <v>-1.8566900000000001E-2</v>
      </c>
      <c r="AB279" s="22">
        <v>269</v>
      </c>
      <c r="AC279" s="22">
        <v>0.394287</v>
      </c>
      <c r="AD279">
        <f t="shared" si="52"/>
        <v>18.5669</v>
      </c>
      <c r="AE279">
        <f t="shared" si="53"/>
        <v>7.3433574852000003</v>
      </c>
      <c r="AF279" s="9"/>
      <c r="AG279" s="22">
        <v>1.25458</v>
      </c>
      <c r="AH279" s="22">
        <v>123.29</v>
      </c>
      <c r="AI279" s="22">
        <v>-1.8127399999999998E-2</v>
      </c>
      <c r="AJ279" s="22">
        <v>269</v>
      </c>
      <c r="AK279" s="22">
        <v>1.25397</v>
      </c>
      <c r="AL279">
        <f t="shared" si="54"/>
        <v>18.127399999999998</v>
      </c>
      <c r="AM279">
        <f t="shared" si="55"/>
        <v>22.742273491999999</v>
      </c>
      <c r="AP279" s="9"/>
      <c r="AQ279" s="22">
        <v>0.39550800000000003</v>
      </c>
      <c r="AR279" s="22">
        <v>157.559</v>
      </c>
      <c r="AS279" s="22">
        <v>4.5523099999999997E-2</v>
      </c>
      <c r="AT279" s="22">
        <v>269</v>
      </c>
      <c r="AU279" s="22">
        <v>0.382355</v>
      </c>
      <c r="AV279">
        <f t="shared" si="56"/>
        <v>-45.523099999999999</v>
      </c>
      <c r="AW279">
        <f t="shared" si="57"/>
        <v>-18.004750234799999</v>
      </c>
      <c r="AX279" s="9"/>
      <c r="AY279" s="22">
        <v>1.25458</v>
      </c>
      <c r="AZ279" s="22">
        <v>191.946</v>
      </c>
      <c r="BA279" s="22">
        <v>-1.7639200000000001E-2</v>
      </c>
      <c r="BB279" s="22">
        <v>269</v>
      </c>
      <c r="BC279" s="22">
        <v>1.25366</v>
      </c>
      <c r="BD279">
        <f t="shared" si="58"/>
        <v>17.639200000000002</v>
      </c>
      <c r="BE279">
        <f t="shared" si="59"/>
        <v>22.129787536000002</v>
      </c>
    </row>
    <row r="280" spans="6:101">
      <c r="F280" s="9"/>
      <c r="G280" s="22">
        <v>0.39047199999999999</v>
      </c>
      <c r="H280" s="22">
        <v>36.963999999999999</v>
      </c>
      <c r="I280" s="22">
        <v>4.6072399999999999E-2</v>
      </c>
      <c r="J280" s="22">
        <v>270</v>
      </c>
      <c r="K280" s="22">
        <v>0.35617100000000002</v>
      </c>
      <c r="L280">
        <f t="shared" si="48"/>
        <v>-46.072400000000002</v>
      </c>
      <c r="M280">
        <f t="shared" si="49"/>
        <v>-17.989982172800001</v>
      </c>
      <c r="N280" s="9"/>
      <c r="O280" s="22">
        <v>1.2596099999999999</v>
      </c>
      <c r="P280" s="22">
        <v>71.273200000000003</v>
      </c>
      <c r="Q280" s="22">
        <v>-7.3822000000000002E-3</v>
      </c>
      <c r="R280" s="22">
        <v>270</v>
      </c>
      <c r="S280" s="22">
        <v>1.25824</v>
      </c>
      <c r="T280">
        <f t="shared" si="50"/>
        <v>7.3822000000000001</v>
      </c>
      <c r="U280">
        <f t="shared" si="51"/>
        <v>9.2986929419999989</v>
      </c>
      <c r="X280" s="9"/>
      <c r="Y280" s="22">
        <v>0.39047199999999999</v>
      </c>
      <c r="Z280" s="22">
        <v>105.479</v>
      </c>
      <c r="AA280" s="22">
        <v>-1.85699E-2</v>
      </c>
      <c r="AB280" s="22">
        <v>270</v>
      </c>
      <c r="AC280" s="22">
        <v>0.38961800000000002</v>
      </c>
      <c r="AD280">
        <f t="shared" si="52"/>
        <v>18.569900000000001</v>
      </c>
      <c r="AE280">
        <f t="shared" si="53"/>
        <v>7.2510259927999998</v>
      </c>
      <c r="AF280" s="9"/>
      <c r="AG280" s="22">
        <v>1.2596099999999999</v>
      </c>
      <c r="AH280" s="22">
        <v>123.3</v>
      </c>
      <c r="AI280" s="22">
        <v>-1.8127399999999998E-2</v>
      </c>
      <c r="AJ280" s="22">
        <v>270</v>
      </c>
      <c r="AK280" s="22">
        <v>1.25885</v>
      </c>
      <c r="AL280">
        <f t="shared" si="54"/>
        <v>18.127399999999998</v>
      </c>
      <c r="AM280">
        <f t="shared" si="55"/>
        <v>22.833454313999997</v>
      </c>
      <c r="AP280" s="9"/>
      <c r="AQ280" s="22">
        <v>0.39047199999999999</v>
      </c>
      <c r="AR280" s="22">
        <v>157.56899999999999</v>
      </c>
      <c r="AS280" s="22">
        <v>4.5519999999999998E-2</v>
      </c>
      <c r="AT280" s="22">
        <v>270</v>
      </c>
      <c r="AU280" s="22">
        <v>0.38464399999999999</v>
      </c>
      <c r="AV280">
        <f t="shared" si="56"/>
        <v>-45.519999999999996</v>
      </c>
      <c r="AW280">
        <f t="shared" si="57"/>
        <v>-17.774285439999996</v>
      </c>
      <c r="AX280" s="9"/>
      <c r="AY280" s="22">
        <v>1.2596099999999999</v>
      </c>
      <c r="AZ280" s="22">
        <v>191.95599999999999</v>
      </c>
      <c r="BA280" s="22">
        <v>-1.75079E-2</v>
      </c>
      <c r="BB280" s="22">
        <v>270</v>
      </c>
      <c r="BC280" s="22">
        <v>1.26129</v>
      </c>
      <c r="BD280">
        <f t="shared" si="58"/>
        <v>17.507899999999999</v>
      </c>
      <c r="BE280">
        <f t="shared" si="59"/>
        <v>22.053125918999996</v>
      </c>
    </row>
    <row r="281" spans="6:101">
      <c r="F281" s="9"/>
      <c r="G281" s="22">
        <v>0.38543699999999997</v>
      </c>
      <c r="H281" s="22">
        <v>36.9741</v>
      </c>
      <c r="I281" s="22">
        <v>4.6063199999999999E-2</v>
      </c>
      <c r="J281" s="22">
        <v>271</v>
      </c>
      <c r="K281" s="22">
        <v>0.35366799999999998</v>
      </c>
      <c r="L281">
        <f t="shared" si="48"/>
        <v>-46.063200000000002</v>
      </c>
      <c r="M281">
        <f t="shared" si="49"/>
        <v>-17.754461618400001</v>
      </c>
      <c r="N281" s="9"/>
      <c r="O281" s="22">
        <v>1.2646500000000001</v>
      </c>
      <c r="P281" s="22">
        <v>71.283299999999997</v>
      </c>
      <c r="Q281" s="22">
        <v>-6.9244399999999996E-3</v>
      </c>
      <c r="R281" s="22">
        <v>271</v>
      </c>
      <c r="S281" s="22">
        <v>1.2640400000000001</v>
      </c>
      <c r="T281">
        <f t="shared" si="50"/>
        <v>6.9244399999999997</v>
      </c>
      <c r="U281">
        <f t="shared" si="51"/>
        <v>8.7569930459999998</v>
      </c>
      <c r="X281" s="9"/>
      <c r="Y281" s="22">
        <v>0.38543699999999997</v>
      </c>
      <c r="Z281" s="22">
        <v>105.489</v>
      </c>
      <c r="AA281" s="22">
        <v>-1.8572999999999999E-2</v>
      </c>
      <c r="AB281" s="22">
        <v>271</v>
      </c>
      <c r="AC281" s="22">
        <v>0.38501000000000002</v>
      </c>
      <c r="AD281">
        <f t="shared" si="52"/>
        <v>18.573</v>
      </c>
      <c r="AE281">
        <f t="shared" si="53"/>
        <v>7.1587214009999993</v>
      </c>
      <c r="AF281" s="9"/>
      <c r="AG281" s="22">
        <v>1.2646500000000001</v>
      </c>
      <c r="AH281" s="22">
        <v>123.31</v>
      </c>
      <c r="AI281" s="22">
        <v>-1.8124399999999999E-2</v>
      </c>
      <c r="AJ281" s="22">
        <v>271</v>
      </c>
      <c r="AK281" s="22">
        <v>1.2634300000000001</v>
      </c>
      <c r="AL281">
        <f t="shared" si="54"/>
        <v>18.124399999999998</v>
      </c>
      <c r="AM281">
        <f t="shared" si="55"/>
        <v>22.92102246</v>
      </c>
      <c r="AP281" s="9"/>
      <c r="AQ281" s="22">
        <v>0.38543699999999997</v>
      </c>
      <c r="AR281" s="22">
        <v>157.57900000000001</v>
      </c>
      <c r="AS281" s="22">
        <v>4.5458999999999999E-2</v>
      </c>
      <c r="AT281" s="22">
        <v>271</v>
      </c>
      <c r="AU281" s="22">
        <v>0.38433800000000001</v>
      </c>
      <c r="AV281">
        <f t="shared" si="56"/>
        <v>-45.458999999999996</v>
      </c>
      <c r="AW281">
        <f t="shared" si="57"/>
        <v>-17.521580582999999</v>
      </c>
      <c r="AX281" s="9"/>
      <c r="AY281" s="22">
        <v>1.2646500000000001</v>
      </c>
      <c r="AZ281" s="22">
        <v>191.96700000000001</v>
      </c>
      <c r="BA281" s="22">
        <v>-1.7453E-2</v>
      </c>
      <c r="BB281" s="22">
        <v>271</v>
      </c>
      <c r="BC281" s="22">
        <v>1.2622100000000001</v>
      </c>
      <c r="BD281">
        <f t="shared" si="58"/>
        <v>17.452999999999999</v>
      </c>
      <c r="BE281">
        <f t="shared" si="59"/>
        <v>22.071936449999999</v>
      </c>
    </row>
    <row r="282" spans="6:101">
      <c r="F282" s="9"/>
      <c r="G282" s="22">
        <v>0.38040200000000002</v>
      </c>
      <c r="H282" s="22">
        <v>36.984200000000001</v>
      </c>
      <c r="I282" s="22">
        <v>4.6051000000000002E-2</v>
      </c>
      <c r="J282" s="22">
        <v>272</v>
      </c>
      <c r="K282" s="22">
        <v>0.35437000000000002</v>
      </c>
      <c r="L282">
        <f t="shared" si="48"/>
        <v>-46.051000000000002</v>
      </c>
      <c r="M282">
        <f t="shared" si="49"/>
        <v>-17.517892502000002</v>
      </c>
      <c r="N282" s="9"/>
      <c r="O282" s="22">
        <v>1.2696799999999999</v>
      </c>
      <c r="P282" s="22">
        <v>71.293300000000002</v>
      </c>
      <c r="Q282" s="22">
        <v>-6.50024E-3</v>
      </c>
      <c r="R282" s="22">
        <v>272</v>
      </c>
      <c r="S282" s="22">
        <v>1.26953</v>
      </c>
      <c r="T282">
        <f t="shared" si="50"/>
        <v>6.5002399999999998</v>
      </c>
      <c r="U282">
        <f t="shared" si="51"/>
        <v>8.2532247231999989</v>
      </c>
      <c r="X282" s="9"/>
      <c r="Y282" s="22">
        <v>0.38040200000000002</v>
      </c>
      <c r="Z282" s="22">
        <v>105.499</v>
      </c>
      <c r="AA282" s="22">
        <v>-1.8572999999999999E-2</v>
      </c>
      <c r="AB282" s="22">
        <v>272</v>
      </c>
      <c r="AC282" s="22">
        <v>0.38012699999999999</v>
      </c>
      <c r="AD282">
        <f t="shared" si="52"/>
        <v>18.573</v>
      </c>
      <c r="AE282">
        <f t="shared" si="53"/>
        <v>7.0652063460000001</v>
      </c>
      <c r="AF282" s="9"/>
      <c r="AG282" s="22">
        <v>1.2696799999999999</v>
      </c>
      <c r="AH282" s="22">
        <v>123.32</v>
      </c>
      <c r="AI282" s="22">
        <v>-1.81183E-2</v>
      </c>
      <c r="AJ282" s="22">
        <v>272</v>
      </c>
      <c r="AK282" s="22">
        <v>1.2686200000000001</v>
      </c>
      <c r="AL282">
        <f t="shared" si="54"/>
        <v>18.118300000000001</v>
      </c>
      <c r="AM282">
        <f t="shared" si="55"/>
        <v>23.004443144</v>
      </c>
      <c r="AP282" s="9"/>
      <c r="AQ282" s="22">
        <v>0.38040200000000002</v>
      </c>
      <c r="AR282" s="22">
        <v>157.589</v>
      </c>
      <c r="AS282" s="22">
        <v>3.7918100000000003E-2</v>
      </c>
      <c r="AT282" s="22">
        <v>272</v>
      </c>
      <c r="AU282" s="22">
        <v>0.38626100000000002</v>
      </c>
      <c r="AV282">
        <f t="shared" si="56"/>
        <v>-37.918100000000003</v>
      </c>
      <c r="AW282">
        <f t="shared" si="57"/>
        <v>-14.424121076200002</v>
      </c>
      <c r="AX282" s="9"/>
      <c r="AY282" s="22">
        <v>1.2696799999999999</v>
      </c>
      <c r="AZ282" s="22">
        <v>191.977</v>
      </c>
      <c r="BA282" s="22">
        <v>-1.7428599999999999E-2</v>
      </c>
      <c r="BB282" s="22">
        <v>272</v>
      </c>
      <c r="BC282" s="22">
        <v>1.2698400000000001</v>
      </c>
      <c r="BD282">
        <f t="shared" si="58"/>
        <v>17.428599999999999</v>
      </c>
      <c r="BE282">
        <f t="shared" si="59"/>
        <v>22.128744847999997</v>
      </c>
    </row>
    <row r="283" spans="6:101">
      <c r="F283" s="9"/>
      <c r="G283" s="22">
        <v>0.37536599999999998</v>
      </c>
      <c r="H283" s="22">
        <v>36.994199999999999</v>
      </c>
      <c r="I283" s="22">
        <v>4.6038799999999998E-2</v>
      </c>
      <c r="J283" s="22">
        <v>273</v>
      </c>
      <c r="K283" s="22">
        <v>0.35427900000000001</v>
      </c>
      <c r="L283">
        <f t="shared" si="48"/>
        <v>-46.038799999999995</v>
      </c>
      <c r="M283">
        <f t="shared" si="49"/>
        <v>-17.281400200799997</v>
      </c>
      <c r="N283" s="9"/>
      <c r="O283" s="22">
        <v>1.2747200000000001</v>
      </c>
      <c r="P283" s="22">
        <v>71.303399999999996</v>
      </c>
      <c r="Q283" s="22">
        <v>-5.6121799999999996E-3</v>
      </c>
      <c r="R283" s="22">
        <v>273</v>
      </c>
      <c r="S283" s="22">
        <v>1.2738</v>
      </c>
      <c r="T283">
        <f t="shared" si="50"/>
        <v>5.6121799999999995</v>
      </c>
      <c r="U283">
        <f t="shared" si="51"/>
        <v>7.1539580895999997</v>
      </c>
      <c r="X283" s="9"/>
      <c r="Y283" s="22">
        <v>0.37536599999999998</v>
      </c>
      <c r="Z283" s="22">
        <v>105.51</v>
      </c>
      <c r="AA283" s="22">
        <v>-1.8575999999999999E-2</v>
      </c>
      <c r="AB283" s="22">
        <v>273</v>
      </c>
      <c r="AC283" s="22">
        <v>0.37463400000000002</v>
      </c>
      <c r="AD283">
        <f t="shared" si="52"/>
        <v>18.576000000000001</v>
      </c>
      <c r="AE283">
        <f t="shared" si="53"/>
        <v>6.9727988160000001</v>
      </c>
      <c r="AF283" s="9"/>
      <c r="AG283" s="22">
        <v>1.2747200000000001</v>
      </c>
      <c r="AH283" s="22">
        <v>123.33</v>
      </c>
      <c r="AI283" s="22">
        <v>-1.8115200000000001E-2</v>
      </c>
      <c r="AJ283" s="22">
        <v>273</v>
      </c>
      <c r="AK283" s="22">
        <v>1.2741100000000001</v>
      </c>
      <c r="AL283">
        <f t="shared" si="54"/>
        <v>18.115200000000002</v>
      </c>
      <c r="AM283">
        <f t="shared" si="55"/>
        <v>23.091807744000004</v>
      </c>
      <c r="AP283" s="9"/>
      <c r="AQ283" s="22">
        <v>0.37536599999999998</v>
      </c>
      <c r="AR283" s="22">
        <v>157.6</v>
      </c>
      <c r="AS283" s="22">
        <v>-1.06934E-2</v>
      </c>
      <c r="AT283" s="22">
        <v>273</v>
      </c>
      <c r="AU283" s="22">
        <v>0.41400100000000001</v>
      </c>
      <c r="AV283">
        <f t="shared" si="56"/>
        <v>10.6934</v>
      </c>
      <c r="AW283">
        <f t="shared" si="57"/>
        <v>4.0139387843999996</v>
      </c>
      <c r="AX283" s="9"/>
      <c r="AY283" s="22">
        <v>1.2747200000000001</v>
      </c>
      <c r="AZ283" s="22">
        <v>191.98699999999999</v>
      </c>
      <c r="BA283" s="22">
        <v>-1.7352300000000001E-2</v>
      </c>
      <c r="BB283" s="22">
        <v>273</v>
      </c>
      <c r="BC283" s="22">
        <v>1.2759400000000001</v>
      </c>
      <c r="BD283">
        <f t="shared" si="58"/>
        <v>17.3523</v>
      </c>
      <c r="BE283">
        <f t="shared" si="59"/>
        <v>22.119323856000001</v>
      </c>
    </row>
    <row r="284" spans="6:101">
      <c r="F284" s="9"/>
      <c r="G284" s="22">
        <v>0.37033100000000002</v>
      </c>
      <c r="H284" s="22">
        <v>37.004300000000001</v>
      </c>
      <c r="I284" s="22">
        <v>4.6023599999999998E-2</v>
      </c>
      <c r="J284" s="22">
        <v>274</v>
      </c>
      <c r="K284" s="22">
        <v>0.36111500000000002</v>
      </c>
      <c r="L284">
        <f t="shared" si="48"/>
        <v>-46.023599999999995</v>
      </c>
      <c r="M284">
        <f t="shared" si="49"/>
        <v>-17.0439658116</v>
      </c>
      <c r="N284" s="9"/>
      <c r="O284" s="22">
        <v>1.2797499999999999</v>
      </c>
      <c r="P284" s="22">
        <v>71.313500000000005</v>
      </c>
      <c r="Q284" s="22">
        <v>-5.1116900000000003E-3</v>
      </c>
      <c r="R284" s="22">
        <v>274</v>
      </c>
      <c r="S284" s="22">
        <v>1.2774700000000001</v>
      </c>
      <c r="T284">
        <f t="shared" si="50"/>
        <v>5.1116900000000003</v>
      </c>
      <c r="U284">
        <f t="shared" si="51"/>
        <v>6.5416852775000001</v>
      </c>
      <c r="X284" s="9"/>
      <c r="Y284" s="22">
        <v>0.37033100000000002</v>
      </c>
      <c r="Z284" s="22">
        <v>105.52</v>
      </c>
      <c r="AA284" s="22">
        <v>-1.8579100000000001E-2</v>
      </c>
      <c r="AB284" s="22">
        <v>274</v>
      </c>
      <c r="AC284" s="22">
        <v>0.36959799999999998</v>
      </c>
      <c r="AD284">
        <f t="shared" si="52"/>
        <v>18.5791</v>
      </c>
      <c r="AE284">
        <f t="shared" si="53"/>
        <v>6.8804166821000008</v>
      </c>
      <c r="AF284" s="9"/>
      <c r="AG284" s="22">
        <v>1.2797499999999999</v>
      </c>
      <c r="AH284" s="22">
        <v>123.34</v>
      </c>
      <c r="AI284" s="22">
        <v>-1.8112199999999998E-2</v>
      </c>
      <c r="AJ284" s="22">
        <v>274</v>
      </c>
      <c r="AK284" s="22">
        <v>1.2796000000000001</v>
      </c>
      <c r="AL284">
        <f t="shared" si="54"/>
        <v>18.112199999999998</v>
      </c>
      <c r="AM284">
        <f t="shared" si="55"/>
        <v>23.179087949999996</v>
      </c>
      <c r="AP284" s="9"/>
      <c r="AQ284" s="22">
        <v>0.37033100000000002</v>
      </c>
      <c r="AR284" s="22">
        <v>157.61000000000001</v>
      </c>
      <c r="AS284" s="22">
        <v>-1.8725599999999998E-2</v>
      </c>
      <c r="AT284" s="22">
        <v>274</v>
      </c>
      <c r="AU284" s="22">
        <v>0.36959799999999998</v>
      </c>
      <c r="AV284">
        <f t="shared" si="56"/>
        <v>18.7256</v>
      </c>
      <c r="AW284">
        <f t="shared" si="57"/>
        <v>6.9346701736000007</v>
      </c>
      <c r="AX284" s="9"/>
      <c r="AY284" s="22">
        <v>1.2797499999999999</v>
      </c>
      <c r="AZ284" s="22">
        <v>191.99700000000001</v>
      </c>
      <c r="BA284" s="22">
        <v>-1.7276E-2</v>
      </c>
      <c r="BB284" s="22">
        <v>274</v>
      </c>
      <c r="BC284" s="22">
        <v>1.2786900000000001</v>
      </c>
      <c r="BD284">
        <f t="shared" si="58"/>
        <v>17.276</v>
      </c>
      <c r="BE284">
        <f t="shared" si="59"/>
        <v>22.108960999999997</v>
      </c>
    </row>
    <row r="285" spans="6:101">
      <c r="F285" s="9"/>
      <c r="G285" s="22">
        <v>0.36529499999999998</v>
      </c>
      <c r="H285" s="22">
        <v>37.014400000000002</v>
      </c>
      <c r="I285" s="22">
        <v>4.6011400000000001E-2</v>
      </c>
      <c r="J285" s="22">
        <v>275</v>
      </c>
      <c r="K285" s="22">
        <v>0.35772700000000002</v>
      </c>
      <c r="L285">
        <f t="shared" si="48"/>
        <v>-46.011400000000002</v>
      </c>
      <c r="M285">
        <f t="shared" si="49"/>
        <v>-16.807734363000002</v>
      </c>
      <c r="N285" s="9"/>
      <c r="O285" s="22">
        <v>1.2847900000000001</v>
      </c>
      <c r="P285" s="22">
        <v>71.323499999999996</v>
      </c>
      <c r="Q285" s="22">
        <v>-4.2703200000000002E-3</v>
      </c>
      <c r="R285" s="22">
        <v>275</v>
      </c>
      <c r="S285" s="22">
        <v>1.2832600000000001</v>
      </c>
      <c r="T285">
        <f t="shared" si="50"/>
        <v>4.2703199999999999</v>
      </c>
      <c r="U285">
        <f t="shared" si="51"/>
        <v>5.4864644328000001</v>
      </c>
      <c r="X285" s="9"/>
      <c r="Y285" s="22">
        <v>0.36529499999999998</v>
      </c>
      <c r="Z285" s="22">
        <v>105.53</v>
      </c>
      <c r="AA285" s="22">
        <v>-1.8579100000000001E-2</v>
      </c>
      <c r="AB285" s="22">
        <v>275</v>
      </c>
      <c r="AC285" s="22">
        <v>0.364838</v>
      </c>
      <c r="AD285">
        <f t="shared" si="52"/>
        <v>18.5791</v>
      </c>
      <c r="AE285">
        <f t="shared" si="53"/>
        <v>6.7868523344999998</v>
      </c>
      <c r="AF285" s="9"/>
      <c r="AG285" s="22">
        <v>1.2847900000000001</v>
      </c>
      <c r="AH285" s="22">
        <v>123.351</v>
      </c>
      <c r="AI285" s="22">
        <v>-1.8112199999999998E-2</v>
      </c>
      <c r="AJ285" s="22">
        <v>275</v>
      </c>
      <c r="AK285" s="22">
        <v>1.2838700000000001</v>
      </c>
      <c r="AL285">
        <f t="shared" si="54"/>
        <v>18.112199999999998</v>
      </c>
      <c r="AM285">
        <f t="shared" si="55"/>
        <v>23.270373438</v>
      </c>
      <c r="AP285" s="9"/>
      <c r="AQ285" s="22">
        <v>0.36529499999999998</v>
      </c>
      <c r="AR285" s="22">
        <v>157.62</v>
      </c>
      <c r="AS285" s="22">
        <v>-1.87317E-2</v>
      </c>
      <c r="AT285" s="22">
        <v>275</v>
      </c>
      <c r="AU285" s="22">
        <v>0.36508200000000002</v>
      </c>
      <c r="AV285">
        <f t="shared" si="56"/>
        <v>18.7317</v>
      </c>
      <c r="AW285">
        <f t="shared" si="57"/>
        <v>6.8425963514999992</v>
      </c>
      <c r="AX285" s="9"/>
      <c r="AY285" s="22">
        <v>1.2847900000000001</v>
      </c>
      <c r="AZ285" s="22">
        <v>192.00700000000001</v>
      </c>
      <c r="BA285" s="22">
        <v>-1.7224099999999999E-2</v>
      </c>
      <c r="BB285" s="22">
        <v>275</v>
      </c>
      <c r="BC285" s="22">
        <v>1.2869299999999999</v>
      </c>
      <c r="BD285">
        <f t="shared" si="58"/>
        <v>17.2241</v>
      </c>
      <c r="BE285">
        <f t="shared" si="59"/>
        <v>22.129351439000001</v>
      </c>
    </row>
    <row r="286" spans="6:101">
      <c r="F286" s="9"/>
      <c r="G286" s="22">
        <v>0.36026000000000002</v>
      </c>
      <c r="H286" s="22">
        <v>37.024500000000003</v>
      </c>
      <c r="I286" s="22">
        <v>4.5986899999999997E-2</v>
      </c>
      <c r="J286" s="22">
        <v>276</v>
      </c>
      <c r="K286" s="22">
        <v>0.35620099999999999</v>
      </c>
      <c r="L286">
        <f t="shared" si="48"/>
        <v>-45.986899999999999</v>
      </c>
      <c r="M286">
        <f t="shared" si="49"/>
        <v>-16.567240594000001</v>
      </c>
      <c r="N286" s="9"/>
      <c r="O286" s="22">
        <v>1.28983</v>
      </c>
      <c r="P286" s="22">
        <v>71.333600000000004</v>
      </c>
      <c r="Q286" s="22">
        <v>-3.7448099999999999E-3</v>
      </c>
      <c r="R286" s="22">
        <v>276</v>
      </c>
      <c r="S286" s="22">
        <v>1.2881499999999999</v>
      </c>
      <c r="T286">
        <f t="shared" si="50"/>
        <v>3.7448099999999998</v>
      </c>
      <c r="U286">
        <f t="shared" si="51"/>
        <v>4.8301682822999998</v>
      </c>
      <c r="X286" s="9"/>
      <c r="Y286" s="22">
        <v>0.36026000000000002</v>
      </c>
      <c r="Z286" s="22">
        <v>105.54</v>
      </c>
      <c r="AA286" s="22">
        <v>-1.85822E-2</v>
      </c>
      <c r="AB286" s="22">
        <v>276</v>
      </c>
      <c r="AC286" s="22">
        <v>0.359406</v>
      </c>
      <c r="AD286">
        <f t="shared" si="52"/>
        <v>18.5822</v>
      </c>
      <c r="AE286">
        <f t="shared" si="53"/>
        <v>6.6944233720000001</v>
      </c>
      <c r="AF286" s="9"/>
      <c r="AG286" s="22">
        <v>1.28983</v>
      </c>
      <c r="AH286" s="22">
        <v>123.361</v>
      </c>
      <c r="AI286" s="22">
        <v>-1.81091E-2</v>
      </c>
      <c r="AJ286" s="22">
        <v>276</v>
      </c>
      <c r="AK286" s="22">
        <v>1.2893699999999999</v>
      </c>
      <c r="AL286">
        <f t="shared" si="54"/>
        <v>18.109099999999998</v>
      </c>
      <c r="AM286">
        <f t="shared" si="55"/>
        <v>23.357660452999998</v>
      </c>
      <c r="AP286" s="9"/>
      <c r="AQ286" s="22">
        <v>0.36026000000000002</v>
      </c>
      <c r="AR286" s="22">
        <v>157.63</v>
      </c>
      <c r="AS286" s="22">
        <v>-1.8743900000000001E-2</v>
      </c>
      <c r="AT286" s="22">
        <v>276</v>
      </c>
      <c r="AU286" s="22">
        <v>0.360016</v>
      </c>
      <c r="AV286">
        <f t="shared" si="56"/>
        <v>18.7439</v>
      </c>
      <c r="AW286">
        <f t="shared" si="57"/>
        <v>6.7526774140000008</v>
      </c>
      <c r="AX286" s="9"/>
      <c r="AY286" s="22">
        <v>1.28983</v>
      </c>
      <c r="AZ286" s="22">
        <v>192.017</v>
      </c>
      <c r="BA286" s="22">
        <v>-1.7196699999999999E-2</v>
      </c>
      <c r="BB286" s="22">
        <v>276</v>
      </c>
      <c r="BC286" s="22">
        <v>1.2896700000000001</v>
      </c>
      <c r="BD286">
        <f t="shared" si="58"/>
        <v>17.1967</v>
      </c>
      <c r="BE286">
        <f t="shared" si="59"/>
        <v>22.180819561</v>
      </c>
    </row>
    <row r="287" spans="6:101">
      <c r="F287" s="9"/>
      <c r="G287" s="22">
        <v>0.35522500000000001</v>
      </c>
      <c r="H287" s="22">
        <v>37.034500000000001</v>
      </c>
      <c r="I287" s="22">
        <v>4.5968599999999998E-2</v>
      </c>
      <c r="J287" s="22">
        <v>277</v>
      </c>
      <c r="K287" s="22">
        <v>0.35168500000000003</v>
      </c>
      <c r="L287">
        <f t="shared" si="48"/>
        <v>-45.968599999999995</v>
      </c>
      <c r="M287">
        <f t="shared" si="49"/>
        <v>-16.329195934999998</v>
      </c>
      <c r="N287" s="9"/>
      <c r="O287" s="22">
        <v>1.2948599999999999</v>
      </c>
      <c r="P287" s="22">
        <v>71.343699999999998</v>
      </c>
      <c r="Q287" s="22">
        <v>-2.1960399999999998E-3</v>
      </c>
      <c r="R287" s="22">
        <v>277</v>
      </c>
      <c r="S287" s="22">
        <v>1.2936399999999999</v>
      </c>
      <c r="T287">
        <f t="shared" si="50"/>
        <v>2.19604</v>
      </c>
      <c r="U287">
        <f t="shared" si="51"/>
        <v>2.8435643543999998</v>
      </c>
      <c r="X287" s="9"/>
      <c r="Y287" s="22">
        <v>0.35522500000000001</v>
      </c>
      <c r="Z287" s="22">
        <v>105.55</v>
      </c>
      <c r="AA287" s="22">
        <v>-1.85822E-2</v>
      </c>
      <c r="AB287" s="22">
        <v>277</v>
      </c>
      <c r="AC287" s="22">
        <v>0.35427900000000001</v>
      </c>
      <c r="AD287">
        <f t="shared" si="52"/>
        <v>18.5822</v>
      </c>
      <c r="AE287">
        <f t="shared" si="53"/>
        <v>6.6008619950000007</v>
      </c>
      <c r="AF287" s="9"/>
      <c r="AG287" s="22">
        <v>1.2948599999999999</v>
      </c>
      <c r="AH287" s="22">
        <v>123.371</v>
      </c>
      <c r="AI287" s="22">
        <v>-1.81061E-2</v>
      </c>
      <c r="AJ287" s="22">
        <v>277</v>
      </c>
      <c r="AK287" s="22">
        <v>1.2945599999999999</v>
      </c>
      <c r="AL287">
        <f t="shared" si="54"/>
        <v>18.106100000000001</v>
      </c>
      <c r="AM287">
        <f t="shared" si="55"/>
        <v>23.444864645999999</v>
      </c>
      <c r="AP287" s="9"/>
      <c r="AQ287" s="22">
        <v>0.35522500000000001</v>
      </c>
      <c r="AR287" s="22">
        <v>157.63999999999999</v>
      </c>
      <c r="AS287" s="22">
        <v>-1.8749999999999999E-2</v>
      </c>
      <c r="AT287" s="22">
        <v>277</v>
      </c>
      <c r="AU287" s="22">
        <v>0.353821</v>
      </c>
      <c r="AV287">
        <f t="shared" si="56"/>
        <v>18.75</v>
      </c>
      <c r="AW287">
        <f t="shared" si="57"/>
        <v>6.6604687500000006</v>
      </c>
      <c r="AX287" s="9"/>
      <c r="AY287" s="22">
        <v>1.2948599999999999</v>
      </c>
      <c r="AZ287" s="22">
        <v>192.02699999999999</v>
      </c>
      <c r="BA287" s="22">
        <v>-1.70685E-2</v>
      </c>
      <c r="BB287" s="22">
        <v>277</v>
      </c>
      <c r="BC287" s="22">
        <v>1.2945599999999999</v>
      </c>
      <c r="BD287">
        <f t="shared" si="58"/>
        <v>17.0685</v>
      </c>
      <c r="BE287">
        <f t="shared" si="59"/>
        <v>22.101317909999999</v>
      </c>
    </row>
    <row r="288" spans="6:101">
      <c r="F288" s="9"/>
      <c r="G288" s="22">
        <v>0.35018899999999997</v>
      </c>
      <c r="H288" s="22">
        <v>37.044600000000003</v>
      </c>
      <c r="I288" s="22">
        <v>4.4137599999999999E-2</v>
      </c>
      <c r="J288" s="22">
        <v>278</v>
      </c>
      <c r="K288" s="22">
        <v>0.35299700000000001</v>
      </c>
      <c r="L288">
        <f t="shared" si="48"/>
        <v>-44.137599999999999</v>
      </c>
      <c r="M288">
        <f t="shared" si="49"/>
        <v>-15.456502006399999</v>
      </c>
      <c r="N288" s="9"/>
      <c r="O288" s="22">
        <v>1.2999000000000001</v>
      </c>
      <c r="P288" s="22">
        <v>71.353700000000003</v>
      </c>
      <c r="Q288" s="22">
        <v>-1.6128500000000001E-3</v>
      </c>
      <c r="R288" s="22">
        <v>278</v>
      </c>
      <c r="S288" s="22">
        <v>1.2985199999999999</v>
      </c>
      <c r="T288">
        <f t="shared" si="50"/>
        <v>1.6128500000000001</v>
      </c>
      <c r="U288">
        <f t="shared" si="51"/>
        <v>2.0965437150000001</v>
      </c>
      <c r="X288" s="9"/>
      <c r="Y288" s="22">
        <v>0.35018899999999997</v>
      </c>
      <c r="Z288" s="22">
        <v>105.56</v>
      </c>
      <c r="AA288" s="22">
        <v>-1.85822E-2</v>
      </c>
      <c r="AB288" s="22">
        <v>278</v>
      </c>
      <c r="AC288" s="22">
        <v>0.35000599999999998</v>
      </c>
      <c r="AD288">
        <f t="shared" si="52"/>
        <v>18.5822</v>
      </c>
      <c r="AE288">
        <f t="shared" si="53"/>
        <v>6.5072820357999994</v>
      </c>
      <c r="AF288" s="9"/>
      <c r="AG288" s="22">
        <v>1.2999000000000001</v>
      </c>
      <c r="AH288" s="22">
        <v>123.381</v>
      </c>
      <c r="AI288" s="22">
        <v>-1.81061E-2</v>
      </c>
      <c r="AJ288" s="22">
        <v>278</v>
      </c>
      <c r="AK288" s="22">
        <v>1.2991299999999999</v>
      </c>
      <c r="AL288">
        <f t="shared" si="54"/>
        <v>18.106100000000001</v>
      </c>
      <c r="AM288">
        <f t="shared" si="55"/>
        <v>23.536119390000003</v>
      </c>
      <c r="AP288" s="9"/>
      <c r="AQ288" s="22">
        <v>0.35018899999999997</v>
      </c>
      <c r="AR288" s="22">
        <v>157.65</v>
      </c>
      <c r="AS288" s="22">
        <v>-1.8749999999999999E-2</v>
      </c>
      <c r="AT288" s="22">
        <v>278</v>
      </c>
      <c r="AU288" s="22">
        <v>0.34945700000000002</v>
      </c>
      <c r="AV288">
        <f t="shared" si="56"/>
        <v>18.75</v>
      </c>
      <c r="AW288">
        <f t="shared" si="57"/>
        <v>6.5660437499999995</v>
      </c>
      <c r="AX288" s="9"/>
      <c r="AY288" s="22">
        <v>1.2999000000000001</v>
      </c>
      <c r="AZ288" s="22">
        <v>192.03700000000001</v>
      </c>
      <c r="BA288" s="22">
        <v>-1.7053200000000001E-2</v>
      </c>
      <c r="BB288" s="22">
        <v>278</v>
      </c>
      <c r="BC288" s="22">
        <v>1.3000499999999999</v>
      </c>
      <c r="BD288">
        <f t="shared" si="58"/>
        <v>17.0532</v>
      </c>
      <c r="BE288">
        <f t="shared" si="59"/>
        <v>22.167454680000002</v>
      </c>
    </row>
    <row r="289" spans="6:57">
      <c r="F289" s="9"/>
      <c r="G289" s="22">
        <v>0.34515400000000002</v>
      </c>
      <c r="H289" s="22">
        <v>37.054699999999997</v>
      </c>
      <c r="I289" s="22">
        <v>3.6734000000000003E-2</v>
      </c>
      <c r="J289" s="22">
        <v>279</v>
      </c>
      <c r="K289" s="22">
        <v>0.34832800000000003</v>
      </c>
      <c r="L289">
        <f t="shared" si="48"/>
        <v>-36.734000000000002</v>
      </c>
      <c r="M289">
        <f t="shared" si="49"/>
        <v>-12.678887036000001</v>
      </c>
      <c r="N289" s="9"/>
      <c r="O289" s="22">
        <v>1.3049299999999999</v>
      </c>
      <c r="P289" s="22">
        <v>71.363799999999998</v>
      </c>
      <c r="Q289" s="22">
        <v>-1.1517299999999999E-3</v>
      </c>
      <c r="R289" s="22">
        <v>279</v>
      </c>
      <c r="S289" s="22">
        <v>1.3037099999999999</v>
      </c>
      <c r="T289">
        <f t="shared" si="50"/>
        <v>1.1517299999999999</v>
      </c>
      <c r="U289">
        <f t="shared" si="51"/>
        <v>1.5029270288999999</v>
      </c>
      <c r="X289" s="9"/>
      <c r="Y289" s="22">
        <v>0.34515400000000002</v>
      </c>
      <c r="Z289" s="22">
        <v>105.57</v>
      </c>
      <c r="AA289" s="22">
        <v>-1.85852E-2</v>
      </c>
      <c r="AB289" s="22">
        <v>279</v>
      </c>
      <c r="AC289" s="22">
        <v>0.343719</v>
      </c>
      <c r="AD289">
        <f t="shared" si="52"/>
        <v>18.5852</v>
      </c>
      <c r="AE289">
        <f t="shared" si="53"/>
        <v>6.4147561208000008</v>
      </c>
      <c r="AF289" s="9"/>
      <c r="AG289" s="22">
        <v>1.3049299999999999</v>
      </c>
      <c r="AH289" s="22">
        <v>123.39100000000001</v>
      </c>
      <c r="AI289" s="22">
        <v>-1.8103000000000001E-2</v>
      </c>
      <c r="AJ289" s="22">
        <v>279</v>
      </c>
      <c r="AK289" s="22">
        <v>1.30402</v>
      </c>
      <c r="AL289">
        <f t="shared" si="54"/>
        <v>18.103000000000002</v>
      </c>
      <c r="AM289">
        <f t="shared" si="55"/>
        <v>23.623147790000001</v>
      </c>
      <c r="AP289" s="9"/>
      <c r="AQ289" s="22">
        <v>0.34515400000000002</v>
      </c>
      <c r="AR289" s="22">
        <v>157.66</v>
      </c>
      <c r="AS289" s="22">
        <v>-1.8749999999999999E-2</v>
      </c>
      <c r="AT289" s="22">
        <v>279</v>
      </c>
      <c r="AU289" s="22">
        <v>0.34481800000000001</v>
      </c>
      <c r="AV289">
        <f t="shared" si="56"/>
        <v>18.75</v>
      </c>
      <c r="AW289">
        <f t="shared" si="57"/>
        <v>6.4716374999999999</v>
      </c>
      <c r="AX289" s="9"/>
      <c r="AY289" s="22">
        <v>1.3049299999999999</v>
      </c>
      <c r="AZ289" s="22">
        <v>192.047</v>
      </c>
      <c r="BA289" s="22">
        <v>-1.68793E-2</v>
      </c>
      <c r="BB289" s="22">
        <v>279</v>
      </c>
      <c r="BC289" s="22">
        <v>1.2988299999999999</v>
      </c>
      <c r="BD289">
        <f t="shared" si="58"/>
        <v>16.879300000000001</v>
      </c>
      <c r="BE289">
        <f t="shared" si="59"/>
        <v>22.026304949</v>
      </c>
    </row>
    <row r="290" spans="6:57">
      <c r="F290" s="9"/>
      <c r="G290" s="22">
        <v>0.34011799999999998</v>
      </c>
      <c r="H290" s="22">
        <v>37.064700000000002</v>
      </c>
      <c r="I290" s="22">
        <v>-1.8997199999999999E-2</v>
      </c>
      <c r="J290" s="22">
        <v>280</v>
      </c>
      <c r="K290" s="22">
        <v>0.384552</v>
      </c>
      <c r="L290">
        <f t="shared" si="48"/>
        <v>18.997199999999999</v>
      </c>
      <c r="M290">
        <f t="shared" si="49"/>
        <v>6.4612896695999993</v>
      </c>
      <c r="N290" s="9"/>
      <c r="O290" s="22">
        <v>1.3099700000000001</v>
      </c>
      <c r="P290" s="22">
        <v>71.373900000000006</v>
      </c>
      <c r="Q290" s="22">
        <v>-4.4158899999999999E-4</v>
      </c>
      <c r="R290" s="22">
        <v>280</v>
      </c>
      <c r="S290" s="22">
        <v>1.3085899999999999</v>
      </c>
      <c r="T290">
        <f t="shared" si="50"/>
        <v>0.44158900000000001</v>
      </c>
      <c r="U290">
        <f t="shared" si="51"/>
        <v>0.57846834233</v>
      </c>
      <c r="X290" s="9"/>
      <c r="Y290" s="22">
        <v>0.34011799999999998</v>
      </c>
      <c r="Z290" s="22">
        <v>105.58</v>
      </c>
      <c r="AA290" s="22">
        <v>-1.8588299999999999E-2</v>
      </c>
      <c r="AB290" s="22">
        <v>280</v>
      </c>
      <c r="AC290" s="22">
        <v>0.33929399999999998</v>
      </c>
      <c r="AD290">
        <f t="shared" si="52"/>
        <v>18.5883</v>
      </c>
      <c r="AE290">
        <f t="shared" si="53"/>
        <v>6.3222154194</v>
      </c>
      <c r="AF290" s="9"/>
      <c r="AG290" s="22">
        <v>1.3099700000000001</v>
      </c>
      <c r="AH290" s="22">
        <v>123.401</v>
      </c>
      <c r="AI290" s="22">
        <v>-1.8096899999999999E-2</v>
      </c>
      <c r="AJ290" s="22">
        <v>280</v>
      </c>
      <c r="AK290" s="22">
        <v>1.3098099999999999</v>
      </c>
      <c r="AL290">
        <f t="shared" si="54"/>
        <v>18.096899999999998</v>
      </c>
      <c r="AM290">
        <f t="shared" si="55"/>
        <v>23.706396092999999</v>
      </c>
      <c r="AP290" s="9"/>
      <c r="AQ290" s="22">
        <v>0.34011799999999998</v>
      </c>
      <c r="AR290" s="22">
        <v>157.66999999999999</v>
      </c>
      <c r="AS290" s="22">
        <v>-1.8753100000000002E-2</v>
      </c>
      <c r="AT290" s="22">
        <v>280</v>
      </c>
      <c r="AU290" s="22">
        <v>0.33981299999999998</v>
      </c>
      <c r="AV290">
        <f t="shared" si="56"/>
        <v>18.753100000000003</v>
      </c>
      <c r="AW290">
        <f t="shared" si="57"/>
        <v>6.3782668658000006</v>
      </c>
      <c r="AX290" s="9"/>
      <c r="AY290" s="22">
        <v>1.3099700000000001</v>
      </c>
      <c r="AZ290" s="22">
        <v>192.05699999999999</v>
      </c>
      <c r="BA290" s="22">
        <v>-1.6720599999999999E-2</v>
      </c>
      <c r="BB290" s="22">
        <v>280</v>
      </c>
      <c r="BC290" s="22">
        <v>1.3091999999999999</v>
      </c>
      <c r="BD290">
        <f t="shared" si="58"/>
        <v>16.720599999999997</v>
      </c>
      <c r="BE290">
        <f t="shared" si="59"/>
        <v>21.903484381999998</v>
      </c>
    </row>
    <row r="291" spans="6:57">
      <c r="F291" s="9"/>
      <c r="G291" s="22">
        <v>0.33508300000000002</v>
      </c>
      <c r="H291" s="22">
        <v>37.074800000000003</v>
      </c>
      <c r="I291" s="22">
        <v>-1.88019E-2</v>
      </c>
      <c r="J291" s="22">
        <v>281</v>
      </c>
      <c r="K291" s="22">
        <v>0.33441199999999999</v>
      </c>
      <c r="L291">
        <f t="shared" si="48"/>
        <v>18.8019</v>
      </c>
      <c r="M291">
        <f t="shared" si="49"/>
        <v>6.3001970577000002</v>
      </c>
      <c r="N291" s="9"/>
      <c r="O291" s="22">
        <v>1.3149999999999999</v>
      </c>
      <c r="P291" s="22">
        <v>71.384</v>
      </c>
      <c r="Q291" s="22">
        <v>2.6696800000000002E-4</v>
      </c>
      <c r="R291" s="22">
        <v>281</v>
      </c>
      <c r="S291" s="22">
        <v>1.3143899999999999</v>
      </c>
      <c r="T291">
        <f t="shared" si="50"/>
        <v>-0.26696800000000004</v>
      </c>
      <c r="U291">
        <f t="shared" si="51"/>
        <v>-0.35106292000000006</v>
      </c>
      <c r="X291" s="9"/>
      <c r="Y291" s="22">
        <v>0.33508300000000002</v>
      </c>
      <c r="Z291" s="22">
        <v>105.59</v>
      </c>
      <c r="AA291" s="22">
        <v>-1.8591300000000002E-2</v>
      </c>
      <c r="AB291" s="22">
        <v>281</v>
      </c>
      <c r="AC291" s="22">
        <v>0.334534</v>
      </c>
      <c r="AD291">
        <f t="shared" si="52"/>
        <v>18.5913</v>
      </c>
      <c r="AE291">
        <f t="shared" si="53"/>
        <v>6.2296285779000007</v>
      </c>
      <c r="AF291" s="9"/>
      <c r="AG291" s="22">
        <v>1.3149999999999999</v>
      </c>
      <c r="AH291" s="22">
        <v>123.411</v>
      </c>
      <c r="AI291" s="22">
        <v>-1.8096899999999999E-2</v>
      </c>
      <c r="AJ291" s="22">
        <v>281</v>
      </c>
      <c r="AK291" s="22">
        <v>1.31409</v>
      </c>
      <c r="AL291">
        <f t="shared" si="54"/>
        <v>18.096899999999998</v>
      </c>
      <c r="AM291">
        <f t="shared" si="55"/>
        <v>23.797423499999997</v>
      </c>
      <c r="AP291" s="9"/>
      <c r="AQ291" s="22">
        <v>0.33508300000000002</v>
      </c>
      <c r="AR291" s="22">
        <v>157.68</v>
      </c>
      <c r="AS291" s="22">
        <v>-1.8756100000000001E-2</v>
      </c>
      <c r="AT291" s="22">
        <v>281</v>
      </c>
      <c r="AU291" s="22">
        <v>0.335144</v>
      </c>
      <c r="AV291">
        <f t="shared" si="56"/>
        <v>18.7561</v>
      </c>
      <c r="AW291">
        <f t="shared" si="57"/>
        <v>6.2848502563000004</v>
      </c>
      <c r="AX291" s="9"/>
      <c r="AY291" s="22">
        <v>1.3149999999999999</v>
      </c>
      <c r="AZ291" s="22">
        <v>192.06700000000001</v>
      </c>
      <c r="BA291" s="22">
        <v>-1.65924E-2</v>
      </c>
      <c r="BB291" s="22">
        <v>281</v>
      </c>
      <c r="BC291" s="22">
        <v>1.31012</v>
      </c>
      <c r="BD291">
        <f t="shared" si="58"/>
        <v>16.592400000000001</v>
      </c>
      <c r="BE291">
        <f t="shared" si="59"/>
        <v>21.819006000000002</v>
      </c>
    </row>
    <row r="292" spans="6:57">
      <c r="F292" s="9"/>
      <c r="G292" s="22">
        <v>0.33004800000000001</v>
      </c>
      <c r="H292" s="22">
        <v>37.084899999999998</v>
      </c>
      <c r="I292" s="22">
        <v>-1.8811000000000001E-2</v>
      </c>
      <c r="J292" s="22">
        <v>282</v>
      </c>
      <c r="K292" s="22">
        <v>0.32955899999999999</v>
      </c>
      <c r="L292">
        <f t="shared" si="48"/>
        <v>18.811</v>
      </c>
      <c r="M292">
        <f t="shared" si="49"/>
        <v>6.2085329280000003</v>
      </c>
      <c r="N292" s="9"/>
      <c r="O292" s="22">
        <v>1.3200400000000001</v>
      </c>
      <c r="P292" s="22">
        <v>71.394000000000005</v>
      </c>
      <c r="Q292" s="22">
        <v>7.2875999999999995E-4</v>
      </c>
      <c r="R292" s="22">
        <v>282</v>
      </c>
      <c r="S292" s="22">
        <v>1.3186599999999999</v>
      </c>
      <c r="T292">
        <f t="shared" si="50"/>
        <v>-0.72875999999999996</v>
      </c>
      <c r="U292">
        <f t="shared" si="51"/>
        <v>-0.96199235039999997</v>
      </c>
      <c r="X292" s="9"/>
      <c r="Y292" s="22">
        <v>0.33004800000000001</v>
      </c>
      <c r="Z292" s="22">
        <v>105.6</v>
      </c>
      <c r="AA292" s="22">
        <v>-1.8594400000000001E-2</v>
      </c>
      <c r="AB292" s="22">
        <v>282</v>
      </c>
      <c r="AC292" s="22">
        <v>0.32989499999999999</v>
      </c>
      <c r="AD292">
        <f t="shared" si="52"/>
        <v>18.5944</v>
      </c>
      <c r="AE292">
        <f t="shared" si="53"/>
        <v>6.1370445311999999</v>
      </c>
      <c r="AF292" s="9"/>
      <c r="AG292" s="22">
        <v>1.3200400000000001</v>
      </c>
      <c r="AH292" s="22">
        <v>123.42100000000001</v>
      </c>
      <c r="AI292" s="22">
        <v>-1.80939E-2</v>
      </c>
      <c r="AJ292" s="22">
        <v>282</v>
      </c>
      <c r="AK292" s="22">
        <v>1.3192699999999999</v>
      </c>
      <c r="AL292">
        <f t="shared" si="54"/>
        <v>18.093899999999998</v>
      </c>
      <c r="AM292">
        <f t="shared" si="55"/>
        <v>23.884671755999999</v>
      </c>
      <c r="AP292" s="9"/>
      <c r="AQ292" s="22">
        <v>0.33004800000000001</v>
      </c>
      <c r="AR292" s="22">
        <v>157.69</v>
      </c>
      <c r="AS292" s="22">
        <v>-1.87592E-2</v>
      </c>
      <c r="AT292" s="22">
        <v>282</v>
      </c>
      <c r="AU292" s="22">
        <v>0.32910200000000001</v>
      </c>
      <c r="AV292">
        <f t="shared" si="56"/>
        <v>18.7592</v>
      </c>
      <c r="AW292">
        <f t="shared" si="57"/>
        <v>6.1914364416000005</v>
      </c>
      <c r="AX292" s="9"/>
      <c r="AY292" s="22">
        <v>1.3200400000000001</v>
      </c>
      <c r="AZ292" s="22">
        <v>192.077</v>
      </c>
      <c r="BA292" s="22">
        <v>-1.6406299999999999E-2</v>
      </c>
      <c r="BB292" s="22">
        <v>282</v>
      </c>
      <c r="BC292" s="22">
        <v>1.3186599999999999</v>
      </c>
      <c r="BD292">
        <f t="shared" si="58"/>
        <v>16.406299999999998</v>
      </c>
      <c r="BE292">
        <f t="shared" si="59"/>
        <v>21.656972251999999</v>
      </c>
    </row>
    <row r="293" spans="6:57">
      <c r="F293" s="9"/>
      <c r="G293" s="22">
        <v>0.32501200000000002</v>
      </c>
      <c r="H293" s="22">
        <v>37.094999999999999</v>
      </c>
      <c r="I293" s="22">
        <v>-1.88141E-2</v>
      </c>
      <c r="J293" s="22">
        <v>283</v>
      </c>
      <c r="K293" s="22">
        <v>0.32455400000000001</v>
      </c>
      <c r="L293">
        <f t="shared" si="48"/>
        <v>18.8141</v>
      </c>
      <c r="M293">
        <f t="shared" si="49"/>
        <v>6.1148082692000001</v>
      </c>
      <c r="N293" s="9"/>
      <c r="O293" s="22">
        <v>1.32507</v>
      </c>
      <c r="P293" s="22">
        <v>71.4041</v>
      </c>
      <c r="Q293" s="22">
        <v>1.3867199999999999E-3</v>
      </c>
      <c r="R293" s="22">
        <v>283</v>
      </c>
      <c r="S293" s="22">
        <v>1.32324</v>
      </c>
      <c r="T293">
        <f t="shared" si="50"/>
        <v>-1.38672</v>
      </c>
      <c r="U293">
        <f t="shared" si="51"/>
        <v>-1.8375010703999999</v>
      </c>
      <c r="X293" s="9"/>
      <c r="Y293" s="22">
        <v>0.32501200000000002</v>
      </c>
      <c r="Z293" s="22">
        <v>105.61</v>
      </c>
      <c r="AA293" s="22">
        <v>-1.85974E-2</v>
      </c>
      <c r="AB293" s="22">
        <v>283</v>
      </c>
      <c r="AC293" s="22">
        <v>0.32461499999999999</v>
      </c>
      <c r="AD293">
        <f t="shared" si="52"/>
        <v>18.5974</v>
      </c>
      <c r="AE293">
        <f t="shared" si="53"/>
        <v>6.0443781688000007</v>
      </c>
      <c r="AF293" s="9"/>
      <c r="AG293" s="22">
        <v>1.32507</v>
      </c>
      <c r="AH293" s="22">
        <v>123.431</v>
      </c>
      <c r="AI293" s="22">
        <v>-1.8090800000000001E-2</v>
      </c>
      <c r="AJ293" s="22">
        <v>283</v>
      </c>
      <c r="AK293" s="22">
        <v>1.32355</v>
      </c>
      <c r="AL293">
        <f t="shared" si="54"/>
        <v>18.090800000000002</v>
      </c>
      <c r="AM293">
        <f t="shared" si="55"/>
        <v>23.971576356</v>
      </c>
      <c r="AP293" s="9"/>
      <c r="AQ293" s="22">
        <v>0.32501200000000002</v>
      </c>
      <c r="AR293" s="22">
        <v>157.69999999999999</v>
      </c>
      <c r="AS293" s="22">
        <v>-1.87592E-2</v>
      </c>
      <c r="AT293" s="22">
        <v>283</v>
      </c>
      <c r="AU293" s="22">
        <v>0.32437100000000002</v>
      </c>
      <c r="AV293">
        <f t="shared" si="56"/>
        <v>18.7592</v>
      </c>
      <c r="AW293">
        <f t="shared" si="57"/>
        <v>6.0969651104000002</v>
      </c>
      <c r="AX293" s="9"/>
      <c r="AY293" s="22">
        <v>1.32507</v>
      </c>
      <c r="AZ293" s="22">
        <v>192.08699999999999</v>
      </c>
      <c r="BA293" s="22">
        <v>-1.6308599999999999E-2</v>
      </c>
      <c r="BB293" s="22">
        <v>283</v>
      </c>
      <c r="BC293" s="22">
        <v>1.32477</v>
      </c>
      <c r="BD293">
        <f t="shared" si="58"/>
        <v>16.308599999999998</v>
      </c>
      <c r="BE293">
        <f t="shared" si="59"/>
        <v>21.610036601999997</v>
      </c>
    </row>
    <row r="294" spans="6:57">
      <c r="F294" s="9"/>
      <c r="G294" s="22">
        <v>0.31997700000000001</v>
      </c>
      <c r="H294" s="22">
        <v>37.104999999999997</v>
      </c>
      <c r="I294" s="22">
        <v>-1.8820199999999999E-2</v>
      </c>
      <c r="J294" s="22">
        <v>284</v>
      </c>
      <c r="K294" s="22">
        <v>0.31900000000000001</v>
      </c>
      <c r="L294">
        <f t="shared" si="48"/>
        <v>18.8202</v>
      </c>
      <c r="M294">
        <f t="shared" si="49"/>
        <v>6.0220311353999998</v>
      </c>
      <c r="N294" s="9"/>
      <c r="O294" s="22">
        <v>1.3301099999999999</v>
      </c>
      <c r="P294" s="22">
        <v>71.414199999999994</v>
      </c>
      <c r="Q294" s="22">
        <v>1.9552599999999999E-3</v>
      </c>
      <c r="R294" s="22">
        <v>284</v>
      </c>
      <c r="S294" s="22">
        <v>1.32935</v>
      </c>
      <c r="T294">
        <f t="shared" si="50"/>
        <v>-1.95526</v>
      </c>
      <c r="U294">
        <f t="shared" si="51"/>
        <v>-2.6007108785999997</v>
      </c>
      <c r="X294" s="9"/>
      <c r="Y294" s="22">
        <v>0.31997700000000001</v>
      </c>
      <c r="Z294" s="22">
        <v>105.62</v>
      </c>
      <c r="AA294" s="22">
        <v>-1.85974E-2</v>
      </c>
      <c r="AB294" s="22">
        <v>284</v>
      </c>
      <c r="AC294" s="22">
        <v>0.31930500000000001</v>
      </c>
      <c r="AD294">
        <f t="shared" si="52"/>
        <v>18.5974</v>
      </c>
      <c r="AE294">
        <f t="shared" si="53"/>
        <v>5.9507402598000008</v>
      </c>
      <c r="AF294" s="9"/>
      <c r="AG294" s="22">
        <v>1.3301099999999999</v>
      </c>
      <c r="AH294" s="22">
        <v>123.441</v>
      </c>
      <c r="AI294" s="22">
        <v>-1.8084699999999999E-2</v>
      </c>
      <c r="AJ294" s="22">
        <v>284</v>
      </c>
      <c r="AK294" s="22">
        <v>1.32904</v>
      </c>
      <c r="AL294">
        <f t="shared" si="54"/>
        <v>18.084699999999998</v>
      </c>
      <c r="AM294">
        <f t="shared" si="55"/>
        <v>24.054640316999997</v>
      </c>
      <c r="AP294" s="9"/>
      <c r="AQ294" s="22">
        <v>0.31997700000000001</v>
      </c>
      <c r="AR294" s="22">
        <v>157.71</v>
      </c>
      <c r="AS294" s="22">
        <v>-1.87622E-2</v>
      </c>
      <c r="AT294" s="22">
        <v>284</v>
      </c>
      <c r="AU294" s="22">
        <v>0.31973299999999999</v>
      </c>
      <c r="AV294">
        <f t="shared" si="56"/>
        <v>18.7622</v>
      </c>
      <c r="AW294">
        <f t="shared" si="57"/>
        <v>6.0034724694000001</v>
      </c>
      <c r="AX294" s="9"/>
      <c r="AY294" s="22">
        <v>1.3301099999999999</v>
      </c>
      <c r="AZ294" s="22">
        <v>192.09700000000001</v>
      </c>
      <c r="BA294" s="22">
        <v>-1.6229199999999999E-2</v>
      </c>
      <c r="BB294" s="22">
        <v>284</v>
      </c>
      <c r="BC294" s="22">
        <v>1.33209</v>
      </c>
      <c r="BD294">
        <f t="shared" si="58"/>
        <v>16.229199999999999</v>
      </c>
      <c r="BE294">
        <f t="shared" si="59"/>
        <v>21.586621211999997</v>
      </c>
    </row>
    <row r="295" spans="6:57">
      <c r="F295" s="9"/>
      <c r="G295" s="22">
        <v>0.31494100000000003</v>
      </c>
      <c r="H295" s="22">
        <v>37.115099999999998</v>
      </c>
      <c r="I295" s="22">
        <v>-1.8823199999999998E-2</v>
      </c>
      <c r="J295" s="22">
        <v>285</v>
      </c>
      <c r="K295" s="22">
        <v>0.31475799999999998</v>
      </c>
      <c r="L295">
        <f t="shared" si="48"/>
        <v>18.8232</v>
      </c>
      <c r="M295">
        <f t="shared" si="49"/>
        <v>5.9281974312000001</v>
      </c>
      <c r="N295" s="9"/>
      <c r="O295" s="22">
        <v>1.33514</v>
      </c>
      <c r="P295" s="22">
        <v>71.424199999999999</v>
      </c>
      <c r="Q295" s="22">
        <v>3.2797199999999999E-3</v>
      </c>
      <c r="R295" s="22">
        <v>285</v>
      </c>
      <c r="S295" s="22">
        <v>1.33392</v>
      </c>
      <c r="T295">
        <f t="shared" si="50"/>
        <v>-3.2797199999999997</v>
      </c>
      <c r="U295">
        <f t="shared" si="51"/>
        <v>-4.3788853608</v>
      </c>
      <c r="X295" s="9"/>
      <c r="Y295" s="22">
        <v>0.31494100000000003</v>
      </c>
      <c r="Z295" s="22">
        <v>105.63</v>
      </c>
      <c r="AA295" s="22">
        <v>-1.8600499999999999E-2</v>
      </c>
      <c r="AB295" s="22">
        <v>285</v>
      </c>
      <c r="AC295" s="22">
        <v>0.314301</v>
      </c>
      <c r="AD295">
        <f t="shared" si="52"/>
        <v>18.6005</v>
      </c>
      <c r="AE295">
        <f t="shared" si="53"/>
        <v>5.8580600705000005</v>
      </c>
      <c r="AF295" s="9"/>
      <c r="AG295" s="22">
        <v>1.33514</v>
      </c>
      <c r="AH295" s="22">
        <v>123.45099999999999</v>
      </c>
      <c r="AI295" s="22">
        <v>-1.80786E-2</v>
      </c>
      <c r="AJ295" s="22">
        <v>285</v>
      </c>
      <c r="AK295" s="22">
        <v>1.33484</v>
      </c>
      <c r="AL295">
        <f t="shared" si="54"/>
        <v>18.078600000000002</v>
      </c>
      <c r="AM295">
        <f t="shared" si="55"/>
        <v>24.137462004000003</v>
      </c>
      <c r="AP295" s="9"/>
      <c r="AQ295" s="22">
        <v>0.31494100000000003</v>
      </c>
      <c r="AR295" s="22">
        <v>157.72</v>
      </c>
      <c r="AS295" s="22">
        <v>-1.8765299999999999E-2</v>
      </c>
      <c r="AT295" s="22">
        <v>285</v>
      </c>
      <c r="AU295" s="22">
        <v>0.31414799999999998</v>
      </c>
      <c r="AV295">
        <f t="shared" si="56"/>
        <v>18.7653</v>
      </c>
      <c r="AW295">
        <f t="shared" si="57"/>
        <v>5.9099623473000005</v>
      </c>
      <c r="AX295" s="9"/>
      <c r="AY295" s="22">
        <v>1.33514</v>
      </c>
      <c r="AZ295" s="22">
        <v>192.108</v>
      </c>
      <c r="BA295" s="22">
        <v>-1.5918000000000002E-2</v>
      </c>
      <c r="BB295" s="22">
        <v>285</v>
      </c>
      <c r="BC295" s="22">
        <v>1.33514</v>
      </c>
      <c r="BD295">
        <f t="shared" si="58"/>
        <v>15.918000000000001</v>
      </c>
      <c r="BE295">
        <f t="shared" si="59"/>
        <v>21.25275852</v>
      </c>
    </row>
    <row r="296" spans="6:57">
      <c r="F296" s="9"/>
      <c r="G296" s="22">
        <v>0.30990600000000001</v>
      </c>
      <c r="H296" s="22">
        <v>37.1252</v>
      </c>
      <c r="I296" s="22">
        <v>-1.8826300000000001E-2</v>
      </c>
      <c r="J296" s="22">
        <v>286</v>
      </c>
      <c r="K296" s="22">
        <v>0.30902099999999999</v>
      </c>
      <c r="L296">
        <f t="shared" si="48"/>
        <v>18.8263</v>
      </c>
      <c r="M296">
        <f t="shared" si="49"/>
        <v>5.8343833278000004</v>
      </c>
      <c r="N296" s="9"/>
      <c r="O296" s="22">
        <v>1.3401799999999999</v>
      </c>
      <c r="P296" s="22">
        <v>71.434299999999993</v>
      </c>
      <c r="Q296" s="22">
        <v>5.2612300000000004E-3</v>
      </c>
      <c r="R296" s="22">
        <v>286</v>
      </c>
      <c r="S296" s="22">
        <v>1.33728</v>
      </c>
      <c r="T296">
        <f t="shared" si="50"/>
        <v>-5.2612300000000003</v>
      </c>
      <c r="U296">
        <f t="shared" si="51"/>
        <v>-7.0509952214</v>
      </c>
      <c r="X296" s="9"/>
      <c r="Y296" s="22">
        <v>0.30990600000000001</v>
      </c>
      <c r="Z296" s="22">
        <v>105.64</v>
      </c>
      <c r="AA296" s="22">
        <v>-1.8603499999999999E-2</v>
      </c>
      <c r="AB296" s="22">
        <v>286</v>
      </c>
      <c r="AC296" s="22">
        <v>0.30963099999999999</v>
      </c>
      <c r="AD296">
        <f t="shared" si="52"/>
        <v>18.603499999999997</v>
      </c>
      <c r="AE296">
        <f t="shared" si="53"/>
        <v>5.7653362709999989</v>
      </c>
      <c r="AF296" s="9"/>
      <c r="AG296" s="22">
        <v>1.3401799999999999</v>
      </c>
      <c r="AH296" s="22">
        <v>123.461</v>
      </c>
      <c r="AI296" s="22">
        <v>-1.8072499999999998E-2</v>
      </c>
      <c r="AJ296" s="22">
        <v>286</v>
      </c>
      <c r="AK296" s="22">
        <v>1.3394200000000001</v>
      </c>
      <c r="AL296">
        <f t="shared" si="54"/>
        <v>18.072499999999998</v>
      </c>
      <c r="AM296">
        <f t="shared" si="55"/>
        <v>24.220403049999994</v>
      </c>
      <c r="AP296" s="9"/>
      <c r="AQ296" s="22">
        <v>0.30990600000000001</v>
      </c>
      <c r="AR296" s="22">
        <v>157.72999999999999</v>
      </c>
      <c r="AS296" s="22">
        <v>-1.8765299999999999E-2</v>
      </c>
      <c r="AT296" s="22">
        <v>286</v>
      </c>
      <c r="AU296" s="22">
        <v>0.30950899999999998</v>
      </c>
      <c r="AV296">
        <f t="shared" si="56"/>
        <v>18.7653</v>
      </c>
      <c r="AW296">
        <f t="shared" si="57"/>
        <v>5.8154790618000005</v>
      </c>
      <c r="AX296" s="9"/>
      <c r="AY296" s="22">
        <v>1.3401799999999999</v>
      </c>
      <c r="AZ296" s="22">
        <v>192.11799999999999</v>
      </c>
      <c r="BA296" s="22">
        <v>-1.5808099999999999E-2</v>
      </c>
      <c r="BB296" s="22">
        <v>286</v>
      </c>
      <c r="BC296" s="22">
        <v>1.3406400000000001</v>
      </c>
      <c r="BD296">
        <f t="shared" si="58"/>
        <v>15.808099999999998</v>
      </c>
      <c r="BE296">
        <f t="shared" si="59"/>
        <v>21.185699457999995</v>
      </c>
    </row>
    <row r="297" spans="6:57">
      <c r="F297" s="9"/>
      <c r="G297" s="22">
        <v>0.304871</v>
      </c>
      <c r="H297" s="22">
        <v>37.135199999999998</v>
      </c>
      <c r="I297" s="22">
        <v>-1.88293E-2</v>
      </c>
      <c r="J297" s="22">
        <v>287</v>
      </c>
      <c r="K297" s="22">
        <v>0.303894</v>
      </c>
      <c r="L297">
        <f t="shared" si="48"/>
        <v>18.8293</v>
      </c>
      <c r="M297">
        <f t="shared" si="49"/>
        <v>5.7405075203000004</v>
      </c>
      <c r="N297" s="9"/>
      <c r="O297" s="22">
        <v>1.34521</v>
      </c>
      <c r="P297" s="22">
        <v>71.444400000000002</v>
      </c>
      <c r="Q297" s="22">
        <v>7.5897200000000003E-3</v>
      </c>
      <c r="R297" s="22">
        <v>287</v>
      </c>
      <c r="S297" s="22">
        <v>1.34338</v>
      </c>
      <c r="T297">
        <f t="shared" si="50"/>
        <v>-7.5897200000000007</v>
      </c>
      <c r="U297">
        <f t="shared" si="51"/>
        <v>-10.209767241200002</v>
      </c>
      <c r="X297" s="9"/>
      <c r="Y297" s="22">
        <v>0.304871</v>
      </c>
      <c r="Z297" s="22">
        <v>105.651</v>
      </c>
      <c r="AA297" s="22">
        <v>-1.8603499999999999E-2</v>
      </c>
      <c r="AB297" s="22">
        <v>287</v>
      </c>
      <c r="AC297" s="22">
        <v>0.30423</v>
      </c>
      <c r="AD297">
        <f t="shared" si="52"/>
        <v>18.603499999999997</v>
      </c>
      <c r="AE297">
        <f t="shared" si="53"/>
        <v>5.6716676484999988</v>
      </c>
      <c r="AF297" s="9"/>
      <c r="AG297" s="22">
        <v>1.34521</v>
      </c>
      <c r="AH297" s="22">
        <v>123.471</v>
      </c>
      <c r="AI297" s="22">
        <v>-1.8069499999999999E-2</v>
      </c>
      <c r="AJ297" s="22">
        <v>287</v>
      </c>
      <c r="AK297" s="22">
        <v>1.3436900000000001</v>
      </c>
      <c r="AL297">
        <f t="shared" si="54"/>
        <v>18.069499999999998</v>
      </c>
      <c r="AM297">
        <f t="shared" si="55"/>
        <v>24.307272094999998</v>
      </c>
      <c r="AP297" s="9"/>
      <c r="AQ297" s="22">
        <v>0.304871</v>
      </c>
      <c r="AR297" s="22">
        <v>157.74100000000001</v>
      </c>
      <c r="AS297" s="22">
        <v>-1.8771400000000001E-2</v>
      </c>
      <c r="AT297" s="22">
        <v>287</v>
      </c>
      <c r="AU297" s="22">
        <v>0.304504</v>
      </c>
      <c r="AV297">
        <f t="shared" si="56"/>
        <v>18.7714</v>
      </c>
      <c r="AW297">
        <f t="shared" si="57"/>
        <v>5.7228554893999997</v>
      </c>
      <c r="AX297" s="9"/>
      <c r="AY297" s="22">
        <v>1.34521</v>
      </c>
      <c r="AZ297" s="22">
        <v>192.12799999999999</v>
      </c>
      <c r="BA297" s="22">
        <v>-1.5741000000000002E-2</v>
      </c>
      <c r="BB297" s="22">
        <v>287</v>
      </c>
      <c r="BC297" s="22">
        <v>1.3406400000000001</v>
      </c>
      <c r="BD297">
        <f t="shared" si="58"/>
        <v>15.741000000000001</v>
      </c>
      <c r="BE297">
        <f t="shared" si="59"/>
        <v>21.174950610000003</v>
      </c>
    </row>
    <row r="298" spans="6:57">
      <c r="F298" s="9"/>
      <c r="G298" s="22">
        <v>0.29983500000000002</v>
      </c>
      <c r="H298" s="22">
        <v>37.145299999999999</v>
      </c>
      <c r="I298" s="22">
        <v>-1.8835399999999999E-2</v>
      </c>
      <c r="J298" s="22">
        <v>288</v>
      </c>
      <c r="K298" s="22">
        <v>0.300232</v>
      </c>
      <c r="L298">
        <f t="shared" si="48"/>
        <v>18.8354</v>
      </c>
      <c r="M298">
        <f t="shared" si="49"/>
        <v>5.6475121590000006</v>
      </c>
      <c r="N298" s="9"/>
      <c r="O298" s="22">
        <v>1.35025</v>
      </c>
      <c r="P298" s="22">
        <v>71.454499999999996</v>
      </c>
      <c r="Q298" s="22">
        <v>1.10352E-2</v>
      </c>
      <c r="R298" s="22">
        <v>288</v>
      </c>
      <c r="S298" s="22">
        <v>1.34552</v>
      </c>
      <c r="T298">
        <f t="shared" si="50"/>
        <v>-11.0352</v>
      </c>
      <c r="U298">
        <f t="shared" si="51"/>
        <v>-14.900278799999999</v>
      </c>
      <c r="X298" s="9"/>
      <c r="Y298" s="22">
        <v>0.29983500000000002</v>
      </c>
      <c r="Z298" s="22">
        <v>105.661</v>
      </c>
      <c r="AA298" s="22">
        <v>-1.8606600000000001E-2</v>
      </c>
      <c r="AB298" s="22">
        <v>288</v>
      </c>
      <c r="AC298" s="22">
        <v>0.299286</v>
      </c>
      <c r="AD298">
        <f t="shared" si="52"/>
        <v>18.6066</v>
      </c>
      <c r="AE298">
        <f t="shared" si="53"/>
        <v>5.5789099110000002</v>
      </c>
      <c r="AF298" s="9"/>
      <c r="AG298" s="22">
        <v>1.35025</v>
      </c>
      <c r="AH298" s="22">
        <v>123.48099999999999</v>
      </c>
      <c r="AI298" s="22">
        <v>-1.80634E-2</v>
      </c>
      <c r="AJ298" s="22">
        <v>288</v>
      </c>
      <c r="AK298" s="22">
        <v>1.34918</v>
      </c>
      <c r="AL298">
        <f t="shared" si="54"/>
        <v>18.063400000000001</v>
      </c>
      <c r="AM298">
        <f t="shared" si="55"/>
        <v>24.390105850000001</v>
      </c>
      <c r="AP298" s="9"/>
      <c r="AQ298" s="22">
        <v>0.29983500000000002</v>
      </c>
      <c r="AR298" s="22">
        <v>157.751</v>
      </c>
      <c r="AS298" s="22">
        <v>-1.8771400000000001E-2</v>
      </c>
      <c r="AT298" s="22">
        <v>288</v>
      </c>
      <c r="AU298" s="22">
        <v>0.29910300000000001</v>
      </c>
      <c r="AV298">
        <f t="shared" si="56"/>
        <v>18.7714</v>
      </c>
      <c r="AW298">
        <f t="shared" si="57"/>
        <v>5.6283227190000007</v>
      </c>
      <c r="AX298" s="9"/>
      <c r="AY298" s="22">
        <v>1.35025</v>
      </c>
      <c r="AZ298" s="22">
        <v>192.13800000000001</v>
      </c>
      <c r="BA298" s="22">
        <v>-1.521E-2</v>
      </c>
      <c r="BB298" s="22">
        <v>288</v>
      </c>
      <c r="BC298" s="22">
        <v>1.34613</v>
      </c>
      <c r="BD298">
        <f t="shared" si="58"/>
        <v>15.209999999999999</v>
      </c>
      <c r="BE298">
        <f t="shared" si="59"/>
        <v>20.537302499999999</v>
      </c>
    </row>
    <row r="299" spans="6:57">
      <c r="F299" s="9"/>
      <c r="G299" s="22">
        <v>0.29480000000000001</v>
      </c>
      <c r="H299" s="22">
        <v>37.1554</v>
      </c>
      <c r="I299" s="22">
        <v>-1.8835399999999999E-2</v>
      </c>
      <c r="J299" s="22">
        <v>289</v>
      </c>
      <c r="K299" s="22">
        <v>0.29394500000000001</v>
      </c>
      <c r="L299">
        <f t="shared" si="48"/>
        <v>18.8354</v>
      </c>
      <c r="M299">
        <f t="shared" si="49"/>
        <v>5.5526759200000004</v>
      </c>
      <c r="N299" s="9"/>
      <c r="O299" s="22">
        <v>1.3552900000000001</v>
      </c>
      <c r="P299" s="22">
        <v>71.464500000000001</v>
      </c>
      <c r="Q299" s="22">
        <v>1.48865E-2</v>
      </c>
      <c r="R299" s="22">
        <v>289</v>
      </c>
      <c r="S299" s="22">
        <v>1.35223</v>
      </c>
      <c r="T299">
        <f t="shared" si="50"/>
        <v>-14.8865</v>
      </c>
      <c r="U299">
        <f t="shared" si="51"/>
        <v>-20.175524585000002</v>
      </c>
      <c r="X299" s="9"/>
      <c r="Y299" s="22">
        <v>0.29480000000000001</v>
      </c>
      <c r="Z299" s="22">
        <v>105.67100000000001</v>
      </c>
      <c r="AA299" s="22">
        <v>-1.8606600000000001E-2</v>
      </c>
      <c r="AB299" s="22">
        <v>289</v>
      </c>
      <c r="AC299" s="22">
        <v>0.29443399999999997</v>
      </c>
      <c r="AD299">
        <f t="shared" si="52"/>
        <v>18.6066</v>
      </c>
      <c r="AE299">
        <f t="shared" si="53"/>
        <v>5.4852256800000001</v>
      </c>
      <c r="AF299" s="9"/>
      <c r="AG299" s="22">
        <v>1.3552900000000001</v>
      </c>
      <c r="AH299" s="22">
        <v>123.492</v>
      </c>
      <c r="AI299" s="22">
        <v>-1.8057299999999998E-2</v>
      </c>
      <c r="AJ299" s="22">
        <v>289</v>
      </c>
      <c r="AK299" s="22">
        <v>1.35406</v>
      </c>
      <c r="AL299">
        <f t="shared" si="54"/>
        <v>18.057299999999998</v>
      </c>
      <c r="AM299">
        <f t="shared" si="55"/>
        <v>24.472878117</v>
      </c>
      <c r="AP299" s="9"/>
      <c r="AQ299" s="22">
        <v>0.29480000000000001</v>
      </c>
      <c r="AR299" s="22">
        <v>157.761</v>
      </c>
      <c r="AS299" s="22">
        <v>-1.8780499999999999E-2</v>
      </c>
      <c r="AT299" s="22">
        <v>289</v>
      </c>
      <c r="AU299" s="22">
        <v>0.29397600000000002</v>
      </c>
      <c r="AV299">
        <f t="shared" si="56"/>
        <v>18.7805</v>
      </c>
      <c r="AW299">
        <f t="shared" si="57"/>
        <v>5.5364914000000001</v>
      </c>
      <c r="AX299" s="9"/>
      <c r="AY299" s="22">
        <v>1.3552900000000001</v>
      </c>
      <c r="AZ299" s="22">
        <v>192.148</v>
      </c>
      <c r="BA299" s="22">
        <v>-1.54083E-2</v>
      </c>
      <c r="BB299" s="22">
        <v>289</v>
      </c>
      <c r="BC299" s="22">
        <v>1.3571200000000001</v>
      </c>
      <c r="BD299">
        <f t="shared" si="58"/>
        <v>15.408300000000001</v>
      </c>
      <c r="BE299">
        <f t="shared" si="59"/>
        <v>20.882714907000004</v>
      </c>
    </row>
    <row r="300" spans="6:57">
      <c r="F300" s="9"/>
      <c r="G300" s="22">
        <v>0.28976400000000002</v>
      </c>
      <c r="H300" s="22">
        <v>37.165500000000002</v>
      </c>
      <c r="I300" s="22">
        <v>-1.8838500000000001E-2</v>
      </c>
      <c r="J300" s="22">
        <v>290</v>
      </c>
      <c r="K300" s="22">
        <v>0.28872700000000001</v>
      </c>
      <c r="L300">
        <f t="shared" si="48"/>
        <v>18.8385</v>
      </c>
      <c r="M300">
        <f t="shared" si="49"/>
        <v>5.458719114</v>
      </c>
      <c r="N300" s="9"/>
      <c r="O300" s="22">
        <v>1.36032</v>
      </c>
      <c r="P300" s="22">
        <v>71.474599999999995</v>
      </c>
      <c r="Q300" s="22">
        <v>1.9613599999999998E-2</v>
      </c>
      <c r="R300" s="22">
        <v>290</v>
      </c>
      <c r="S300" s="22">
        <v>1.3571200000000001</v>
      </c>
      <c r="T300">
        <f t="shared" si="50"/>
        <v>-19.613599999999998</v>
      </c>
      <c r="U300">
        <f t="shared" si="51"/>
        <v>-26.680772351999998</v>
      </c>
      <c r="X300" s="9"/>
      <c r="Y300" s="22">
        <v>0.28976400000000002</v>
      </c>
      <c r="Z300" s="22">
        <v>105.681</v>
      </c>
      <c r="AA300" s="22">
        <v>-1.86096E-2</v>
      </c>
      <c r="AB300" s="22">
        <v>290</v>
      </c>
      <c r="AC300" s="22">
        <v>0.28893999999999997</v>
      </c>
      <c r="AD300">
        <f t="shared" si="52"/>
        <v>18.6096</v>
      </c>
      <c r="AE300">
        <f t="shared" si="53"/>
        <v>5.3923921344000005</v>
      </c>
      <c r="AF300" s="9"/>
      <c r="AG300" s="22">
        <v>1.36032</v>
      </c>
      <c r="AH300" s="22">
        <v>123.502</v>
      </c>
      <c r="AI300" s="22">
        <v>-1.8054199999999999E-2</v>
      </c>
      <c r="AJ300" s="22">
        <v>290</v>
      </c>
      <c r="AK300" s="22">
        <v>1.3586400000000001</v>
      </c>
      <c r="AL300">
        <f t="shared" si="54"/>
        <v>18.054199999999998</v>
      </c>
      <c r="AM300">
        <f t="shared" si="55"/>
        <v>24.559489343999996</v>
      </c>
      <c r="AP300" s="9"/>
      <c r="AQ300" s="22">
        <v>0.28976400000000002</v>
      </c>
      <c r="AR300" s="22">
        <v>157.77099999999999</v>
      </c>
      <c r="AS300" s="22">
        <v>-1.8777499999999999E-2</v>
      </c>
      <c r="AT300" s="22">
        <v>290</v>
      </c>
      <c r="AU300" s="22">
        <v>0.28961199999999998</v>
      </c>
      <c r="AV300">
        <f t="shared" si="56"/>
        <v>18.7775</v>
      </c>
      <c r="AW300">
        <f t="shared" si="57"/>
        <v>5.4410435100000001</v>
      </c>
      <c r="AX300" s="9"/>
      <c r="AY300" s="22">
        <v>1.36032</v>
      </c>
      <c r="AZ300" s="22">
        <v>192.15799999999999</v>
      </c>
      <c r="BA300" s="22">
        <v>-1.54022E-2</v>
      </c>
      <c r="BB300" s="22">
        <v>290</v>
      </c>
      <c r="BC300" s="22">
        <v>1.3589500000000001</v>
      </c>
      <c r="BD300">
        <f t="shared" si="58"/>
        <v>15.402199999999999</v>
      </c>
      <c r="BE300">
        <f t="shared" si="59"/>
        <v>20.951920703999999</v>
      </c>
    </row>
    <row r="301" spans="6:57">
      <c r="F301" s="9"/>
      <c r="G301" s="22">
        <v>0.28472900000000001</v>
      </c>
      <c r="H301" s="22">
        <v>37.1755</v>
      </c>
      <c r="I301" s="22">
        <v>-1.88416E-2</v>
      </c>
      <c r="J301" s="22">
        <v>291</v>
      </c>
      <c r="K301" s="22">
        <v>0.28454600000000002</v>
      </c>
      <c r="L301">
        <f t="shared" si="48"/>
        <v>18.8416</v>
      </c>
      <c r="M301">
        <f t="shared" si="49"/>
        <v>5.3647499264</v>
      </c>
      <c r="N301" s="9"/>
      <c r="O301" s="22">
        <v>1.3653599999999999</v>
      </c>
      <c r="P301" s="22">
        <v>71.484700000000004</v>
      </c>
      <c r="Q301" s="22">
        <v>4.6933000000000002E-2</v>
      </c>
      <c r="R301" s="22">
        <v>291</v>
      </c>
      <c r="S301" s="22">
        <v>0.35464499999999999</v>
      </c>
      <c r="T301">
        <f t="shared" si="50"/>
        <v>-46.933</v>
      </c>
      <c r="U301">
        <f t="shared" si="51"/>
        <v>-64.080440879999998</v>
      </c>
      <c r="X301" s="9"/>
      <c r="Y301" s="22">
        <v>0.28472900000000001</v>
      </c>
      <c r="Z301" s="22">
        <v>105.691</v>
      </c>
      <c r="AA301" s="22">
        <v>-1.8612699999999999E-2</v>
      </c>
      <c r="AB301" s="22">
        <v>291</v>
      </c>
      <c r="AC301" s="22">
        <v>0.28442400000000001</v>
      </c>
      <c r="AD301">
        <f t="shared" si="52"/>
        <v>18.6127</v>
      </c>
      <c r="AE301">
        <f t="shared" si="53"/>
        <v>5.2995754583000005</v>
      </c>
      <c r="AF301" s="9"/>
      <c r="AG301" s="22">
        <v>1.3653599999999999</v>
      </c>
      <c r="AH301" s="22">
        <v>123.512</v>
      </c>
      <c r="AI301" s="22">
        <v>-1.8048100000000001E-2</v>
      </c>
      <c r="AJ301" s="22">
        <v>291</v>
      </c>
      <c r="AK301" s="22">
        <v>1.3644400000000001</v>
      </c>
      <c r="AL301">
        <f t="shared" si="54"/>
        <v>18.048100000000002</v>
      </c>
      <c r="AM301">
        <f t="shared" si="55"/>
        <v>24.642153816</v>
      </c>
      <c r="AP301" s="9"/>
      <c r="AQ301" s="22">
        <v>0.28472900000000001</v>
      </c>
      <c r="AR301" s="22">
        <v>157.78100000000001</v>
      </c>
      <c r="AS301" s="22">
        <v>-1.8780499999999999E-2</v>
      </c>
      <c r="AT301" s="22">
        <v>291</v>
      </c>
      <c r="AU301" s="22">
        <v>0.284271</v>
      </c>
      <c r="AV301">
        <f t="shared" si="56"/>
        <v>18.7805</v>
      </c>
      <c r="AW301">
        <f t="shared" si="57"/>
        <v>5.3473529845000005</v>
      </c>
      <c r="AX301" s="9"/>
      <c r="AY301" s="22">
        <v>1.3653599999999999</v>
      </c>
      <c r="AZ301" s="22">
        <v>192.16800000000001</v>
      </c>
      <c r="BA301" s="22">
        <v>-1.5472400000000001E-2</v>
      </c>
      <c r="BB301" s="22">
        <v>291</v>
      </c>
      <c r="BC301" s="22">
        <v>1.3629199999999999</v>
      </c>
      <c r="BD301">
        <f t="shared" si="58"/>
        <v>15.4724</v>
      </c>
      <c r="BE301">
        <f t="shared" si="59"/>
        <v>21.125396064</v>
      </c>
    </row>
    <row r="302" spans="6:57">
      <c r="F302" s="9"/>
      <c r="G302" s="22">
        <v>0.279694</v>
      </c>
      <c r="H302" s="22">
        <v>37.185600000000001</v>
      </c>
      <c r="I302" s="22">
        <v>-1.88416E-2</v>
      </c>
      <c r="J302" s="22">
        <v>292</v>
      </c>
      <c r="K302" s="22">
        <v>0.27932699999999999</v>
      </c>
      <c r="L302">
        <f t="shared" si="48"/>
        <v>18.8416</v>
      </c>
      <c r="M302">
        <f t="shared" si="49"/>
        <v>5.2698824703999998</v>
      </c>
      <c r="N302" s="9"/>
      <c r="O302" s="22">
        <v>1.37039</v>
      </c>
      <c r="P302" s="22">
        <v>71.494699999999995</v>
      </c>
      <c r="Q302" s="22">
        <v>4.6896399999999998E-2</v>
      </c>
      <c r="R302" s="22">
        <v>292</v>
      </c>
      <c r="S302" s="22">
        <v>0.35336299999999998</v>
      </c>
      <c r="T302">
        <f t="shared" si="50"/>
        <v>-46.8964</v>
      </c>
      <c r="U302">
        <f t="shared" si="51"/>
        <v>-64.266357596000006</v>
      </c>
      <c r="X302" s="9"/>
      <c r="Y302" s="22">
        <v>0.279694</v>
      </c>
      <c r="Z302" s="22">
        <v>105.70099999999999</v>
      </c>
      <c r="AA302" s="22">
        <v>-1.8615699999999999E-2</v>
      </c>
      <c r="AB302" s="22">
        <v>292</v>
      </c>
      <c r="AC302" s="22">
        <v>0.27880899999999997</v>
      </c>
      <c r="AD302">
        <f t="shared" si="52"/>
        <v>18.6157</v>
      </c>
      <c r="AE302">
        <f t="shared" si="53"/>
        <v>5.2066995958</v>
      </c>
      <c r="AF302" s="9"/>
      <c r="AG302" s="22">
        <v>1.37039</v>
      </c>
      <c r="AH302" s="22">
        <v>123.52200000000001</v>
      </c>
      <c r="AI302" s="22">
        <v>-1.8048100000000001E-2</v>
      </c>
      <c r="AJ302" s="22">
        <v>292</v>
      </c>
      <c r="AK302" s="22">
        <v>1.3696299999999999</v>
      </c>
      <c r="AL302">
        <f t="shared" si="54"/>
        <v>18.048100000000002</v>
      </c>
      <c r="AM302">
        <f t="shared" si="55"/>
        <v>24.732935759000004</v>
      </c>
      <c r="AP302" s="9"/>
      <c r="AQ302" s="22">
        <v>0.279694</v>
      </c>
      <c r="AR302" s="22">
        <v>157.791</v>
      </c>
      <c r="AS302" s="22">
        <v>-1.8783600000000001E-2</v>
      </c>
      <c r="AT302" s="22">
        <v>292</v>
      </c>
      <c r="AU302" s="22">
        <v>0.27950999999999998</v>
      </c>
      <c r="AV302">
        <f t="shared" si="56"/>
        <v>18.7836</v>
      </c>
      <c r="AW302">
        <f t="shared" si="57"/>
        <v>5.2536602184000003</v>
      </c>
      <c r="AX302" s="9"/>
      <c r="AY302" s="22">
        <v>1.37039</v>
      </c>
      <c r="AZ302" s="22">
        <v>192.178</v>
      </c>
      <c r="BA302" s="22">
        <v>-1.4593500000000001E-2</v>
      </c>
      <c r="BB302" s="22">
        <v>292</v>
      </c>
      <c r="BC302" s="22">
        <v>1.3687100000000001</v>
      </c>
      <c r="BD302">
        <f t="shared" si="58"/>
        <v>14.593500000000001</v>
      </c>
      <c r="BE302">
        <f t="shared" si="59"/>
        <v>19.998786465000002</v>
      </c>
    </row>
    <row r="303" spans="6:57">
      <c r="F303" s="9"/>
      <c r="G303" s="22">
        <v>0.27465800000000001</v>
      </c>
      <c r="H303" s="22">
        <v>37.195700000000002</v>
      </c>
      <c r="I303" s="22">
        <v>-1.88416E-2</v>
      </c>
      <c r="J303" s="22">
        <v>293</v>
      </c>
      <c r="K303" s="22">
        <v>0.275177</v>
      </c>
      <c r="L303">
        <f t="shared" si="48"/>
        <v>18.8416</v>
      </c>
      <c r="M303">
        <f t="shared" si="49"/>
        <v>5.1749961728000002</v>
      </c>
      <c r="N303" s="9"/>
      <c r="O303" s="22">
        <v>1.3754299999999999</v>
      </c>
      <c r="P303" s="22">
        <v>71.504800000000003</v>
      </c>
      <c r="Q303" s="22">
        <v>4.6875E-2</v>
      </c>
      <c r="R303" s="22">
        <v>293</v>
      </c>
      <c r="S303" s="22">
        <v>0.35617100000000002</v>
      </c>
      <c r="T303">
        <f t="shared" si="50"/>
        <v>-46.875</v>
      </c>
      <c r="U303">
        <f t="shared" si="51"/>
        <v>-64.473281249999999</v>
      </c>
      <c r="X303" s="9"/>
      <c r="Y303" s="22">
        <v>0.27465800000000001</v>
      </c>
      <c r="Z303" s="22">
        <v>105.711</v>
      </c>
      <c r="AA303" s="22">
        <v>-1.8615699999999999E-2</v>
      </c>
      <c r="AB303" s="22">
        <v>293</v>
      </c>
      <c r="AC303" s="22">
        <v>0.27417000000000002</v>
      </c>
      <c r="AD303">
        <f t="shared" si="52"/>
        <v>18.6157</v>
      </c>
      <c r="AE303">
        <f t="shared" si="53"/>
        <v>5.1129509306000003</v>
      </c>
      <c r="AF303" s="9"/>
      <c r="AG303" s="22">
        <v>1.3754299999999999</v>
      </c>
      <c r="AH303" s="22">
        <v>123.532</v>
      </c>
      <c r="AI303" s="22">
        <v>-1.8041999999999999E-2</v>
      </c>
      <c r="AJ303" s="22">
        <v>293</v>
      </c>
      <c r="AK303" s="22">
        <v>1.3745099999999999</v>
      </c>
      <c r="AL303">
        <f t="shared" si="54"/>
        <v>18.041999999999998</v>
      </c>
      <c r="AM303">
        <f t="shared" si="55"/>
        <v>24.815508059999996</v>
      </c>
      <c r="AP303" s="9"/>
      <c r="AQ303" s="22">
        <v>0.27465800000000001</v>
      </c>
      <c r="AR303" s="22">
        <v>157.80099999999999</v>
      </c>
      <c r="AS303" s="22">
        <v>-1.8786600000000001E-2</v>
      </c>
      <c r="AT303" s="22">
        <v>293</v>
      </c>
      <c r="AU303" s="22">
        <v>0.2742</v>
      </c>
      <c r="AV303">
        <f t="shared" si="56"/>
        <v>18.7866</v>
      </c>
      <c r="AW303">
        <f t="shared" si="57"/>
        <v>5.1598899828000002</v>
      </c>
      <c r="AX303" s="9"/>
      <c r="AY303" s="22">
        <v>1.3754299999999999</v>
      </c>
      <c r="AZ303" s="22">
        <v>192.18799999999999</v>
      </c>
      <c r="BA303" s="22">
        <v>-1.41052E-2</v>
      </c>
      <c r="BB303" s="22">
        <v>293</v>
      </c>
      <c r="BC303" s="22">
        <v>1.3815299999999999</v>
      </c>
      <c r="BD303">
        <f t="shared" si="58"/>
        <v>14.1052</v>
      </c>
      <c r="BE303">
        <f t="shared" si="59"/>
        <v>19.400715236</v>
      </c>
    </row>
    <row r="304" spans="6:57">
      <c r="F304" s="9"/>
      <c r="G304" s="22">
        <v>0.269623</v>
      </c>
      <c r="H304" s="22">
        <v>37.2057</v>
      </c>
      <c r="I304" s="22">
        <v>-1.88446E-2</v>
      </c>
      <c r="J304" s="22">
        <v>294</v>
      </c>
      <c r="K304" s="22">
        <v>0.26904299999999998</v>
      </c>
      <c r="L304">
        <f t="shared" si="48"/>
        <v>18.8446</v>
      </c>
      <c r="M304">
        <f t="shared" si="49"/>
        <v>5.0809375858000001</v>
      </c>
      <c r="N304" s="9"/>
      <c r="O304" s="22">
        <v>1.38046</v>
      </c>
      <c r="P304" s="22">
        <v>71.514899999999997</v>
      </c>
      <c r="Q304" s="22">
        <v>4.6853600000000002E-2</v>
      </c>
      <c r="R304" s="22">
        <v>294</v>
      </c>
      <c r="S304" s="22">
        <v>0.35626200000000002</v>
      </c>
      <c r="T304">
        <f t="shared" si="50"/>
        <v>-46.8536</v>
      </c>
      <c r="U304">
        <f t="shared" si="51"/>
        <v>-64.679520656000008</v>
      </c>
      <c r="X304" s="9"/>
      <c r="Y304" s="22">
        <v>0.269623</v>
      </c>
      <c r="Z304" s="22">
        <v>105.721</v>
      </c>
      <c r="AA304" s="22">
        <v>-1.8615699999999999E-2</v>
      </c>
      <c r="AB304" s="22">
        <v>294</v>
      </c>
      <c r="AC304" s="22">
        <v>0.26934799999999998</v>
      </c>
      <c r="AD304">
        <f t="shared" si="52"/>
        <v>18.6157</v>
      </c>
      <c r="AE304">
        <f t="shared" si="53"/>
        <v>5.0192208810999999</v>
      </c>
      <c r="AF304" s="9"/>
      <c r="AG304" s="22">
        <v>1.38046</v>
      </c>
      <c r="AH304" s="22">
        <v>123.542</v>
      </c>
      <c r="AI304" s="22">
        <v>-1.80389E-2</v>
      </c>
      <c r="AJ304" s="22">
        <v>294</v>
      </c>
      <c r="AK304" s="22">
        <v>1.3793899999999999</v>
      </c>
      <c r="AL304">
        <f t="shared" si="54"/>
        <v>18.038900000000002</v>
      </c>
      <c r="AM304">
        <f t="shared" si="55"/>
        <v>24.901979894000004</v>
      </c>
      <c r="AP304" s="9"/>
      <c r="AQ304" s="22">
        <v>0.269623</v>
      </c>
      <c r="AR304" s="22">
        <v>157.81100000000001</v>
      </c>
      <c r="AS304" s="22">
        <v>-1.8789699999999999E-2</v>
      </c>
      <c r="AT304" s="22">
        <v>294</v>
      </c>
      <c r="AU304" s="22">
        <v>0.26910400000000001</v>
      </c>
      <c r="AV304">
        <f t="shared" si="56"/>
        <v>18.7897</v>
      </c>
      <c r="AW304">
        <f t="shared" si="57"/>
        <v>5.0661352831000004</v>
      </c>
      <c r="AX304" s="9"/>
      <c r="AY304" s="22">
        <v>1.38046</v>
      </c>
      <c r="AZ304" s="22">
        <v>192.19800000000001</v>
      </c>
      <c r="BA304" s="22">
        <v>-1.3302599999999999E-2</v>
      </c>
      <c r="BB304" s="22">
        <v>294</v>
      </c>
      <c r="BC304" s="22">
        <v>1.3778699999999999</v>
      </c>
      <c r="BD304">
        <f t="shared" si="58"/>
        <v>13.3026</v>
      </c>
      <c r="BE304">
        <f t="shared" si="59"/>
        <v>18.363707196</v>
      </c>
    </row>
    <row r="305" spans="6:57">
      <c r="F305" s="9"/>
      <c r="G305" s="22">
        <v>0.26458700000000002</v>
      </c>
      <c r="H305" s="22">
        <v>37.215800000000002</v>
      </c>
      <c r="I305" s="22">
        <v>-1.88416E-2</v>
      </c>
      <c r="J305" s="22">
        <v>295</v>
      </c>
      <c r="K305" s="22">
        <v>0.26483200000000001</v>
      </c>
      <c r="L305">
        <f t="shared" si="48"/>
        <v>18.8416</v>
      </c>
      <c r="M305">
        <f t="shared" si="49"/>
        <v>4.9852424192000004</v>
      </c>
      <c r="N305" s="9"/>
      <c r="O305" s="22">
        <v>1.3855</v>
      </c>
      <c r="P305" s="22">
        <v>71.525000000000006</v>
      </c>
      <c r="Q305" s="22">
        <v>4.6838400000000002E-2</v>
      </c>
      <c r="R305" s="22">
        <v>295</v>
      </c>
      <c r="S305" s="22">
        <v>0.35525499999999999</v>
      </c>
      <c r="T305">
        <f t="shared" si="50"/>
        <v>-46.8384</v>
      </c>
      <c r="U305">
        <f t="shared" si="51"/>
        <v>-64.894603199999992</v>
      </c>
      <c r="X305" s="9"/>
      <c r="Y305" s="22">
        <v>0.26458700000000002</v>
      </c>
      <c r="Z305" s="22">
        <v>105.73099999999999</v>
      </c>
      <c r="AA305" s="22">
        <v>-1.8618800000000001E-2</v>
      </c>
      <c r="AB305" s="22">
        <v>295</v>
      </c>
      <c r="AC305" s="22">
        <v>0.26361099999999998</v>
      </c>
      <c r="AD305">
        <f t="shared" si="52"/>
        <v>18.6188</v>
      </c>
      <c r="AE305">
        <f t="shared" si="53"/>
        <v>4.9262924356000006</v>
      </c>
      <c r="AF305" s="9"/>
      <c r="AG305" s="22">
        <v>1.3855</v>
      </c>
      <c r="AH305" s="22">
        <v>123.55200000000001</v>
      </c>
      <c r="AI305" s="22">
        <v>-1.8032800000000002E-2</v>
      </c>
      <c r="AJ305" s="22">
        <v>295</v>
      </c>
      <c r="AK305" s="22">
        <v>1.38489</v>
      </c>
      <c r="AL305">
        <f t="shared" si="54"/>
        <v>18.032800000000002</v>
      </c>
      <c r="AM305">
        <f t="shared" si="55"/>
        <v>24.984444400000001</v>
      </c>
      <c r="AP305" s="9"/>
      <c r="AQ305" s="22">
        <v>0.26458700000000002</v>
      </c>
      <c r="AR305" s="22">
        <v>157.821</v>
      </c>
      <c r="AS305" s="22">
        <v>-1.8786600000000001E-2</v>
      </c>
      <c r="AT305" s="22">
        <v>295</v>
      </c>
      <c r="AU305" s="22">
        <v>0.263824</v>
      </c>
      <c r="AV305">
        <f t="shared" si="56"/>
        <v>18.7866</v>
      </c>
      <c r="AW305">
        <f t="shared" si="57"/>
        <v>4.9706901342000007</v>
      </c>
      <c r="AX305" s="9"/>
      <c r="AY305" s="22">
        <v>1.3855</v>
      </c>
      <c r="AZ305" s="22">
        <v>192.208</v>
      </c>
      <c r="BA305" s="22">
        <v>-1.2649499999999999E-2</v>
      </c>
      <c r="BB305" s="22">
        <v>295</v>
      </c>
      <c r="BC305" s="22">
        <v>1.38428</v>
      </c>
      <c r="BD305">
        <f t="shared" si="58"/>
        <v>12.6495</v>
      </c>
      <c r="BE305">
        <f t="shared" si="59"/>
        <v>17.525882249999999</v>
      </c>
    </row>
    <row r="306" spans="6:57">
      <c r="F306" s="9"/>
      <c r="G306" s="22">
        <v>0.259552</v>
      </c>
      <c r="H306" s="22">
        <v>37.225900000000003</v>
      </c>
      <c r="I306" s="22">
        <v>-1.88446E-2</v>
      </c>
      <c r="J306" s="22">
        <v>296</v>
      </c>
      <c r="K306" s="22">
        <v>0.25915500000000002</v>
      </c>
      <c r="L306">
        <f t="shared" si="48"/>
        <v>18.8446</v>
      </c>
      <c r="M306">
        <f t="shared" si="49"/>
        <v>4.8911536191999998</v>
      </c>
      <c r="N306" s="9"/>
      <c r="O306" s="22">
        <v>1.39053</v>
      </c>
      <c r="P306" s="22">
        <v>71.534999999999997</v>
      </c>
      <c r="Q306" s="22">
        <v>4.6838400000000002E-2</v>
      </c>
      <c r="R306" s="22">
        <v>296</v>
      </c>
      <c r="S306" s="22">
        <v>0.35400399999999999</v>
      </c>
      <c r="T306">
        <f t="shared" si="50"/>
        <v>-46.8384</v>
      </c>
      <c r="U306">
        <f t="shared" si="51"/>
        <v>-65.130200352000003</v>
      </c>
      <c r="X306" s="9"/>
      <c r="Y306" s="22">
        <v>0.259552</v>
      </c>
      <c r="Z306" s="22">
        <v>105.741</v>
      </c>
      <c r="AA306" s="22">
        <v>-1.8621800000000001E-2</v>
      </c>
      <c r="AB306" s="22">
        <v>296</v>
      </c>
      <c r="AC306" s="22">
        <v>0.25924700000000001</v>
      </c>
      <c r="AD306">
        <f t="shared" si="52"/>
        <v>18.6218</v>
      </c>
      <c r="AE306">
        <f t="shared" si="53"/>
        <v>4.8333254335999998</v>
      </c>
      <c r="AF306" s="9"/>
      <c r="AG306" s="22">
        <v>1.39053</v>
      </c>
      <c r="AH306" s="22">
        <v>123.562</v>
      </c>
      <c r="AI306" s="22">
        <v>-1.8029799999999999E-2</v>
      </c>
      <c r="AJ306" s="22">
        <v>296</v>
      </c>
      <c r="AK306" s="22">
        <v>1.3897699999999999</v>
      </c>
      <c r="AL306">
        <f t="shared" si="54"/>
        <v>18.029799999999998</v>
      </c>
      <c r="AM306">
        <f t="shared" si="55"/>
        <v>25.070977793999997</v>
      </c>
      <c r="AP306" s="9"/>
      <c r="AQ306" s="22">
        <v>0.259552</v>
      </c>
      <c r="AR306" s="22">
        <v>157.83099999999999</v>
      </c>
      <c r="AS306" s="22">
        <v>-1.8789699999999999E-2</v>
      </c>
      <c r="AT306" s="22">
        <v>296</v>
      </c>
      <c r="AU306" s="22">
        <v>0.25894200000000001</v>
      </c>
      <c r="AV306">
        <f t="shared" si="56"/>
        <v>18.7897</v>
      </c>
      <c r="AW306">
        <f t="shared" si="57"/>
        <v>4.8769042143999997</v>
      </c>
      <c r="AX306" s="9"/>
      <c r="AY306" s="22">
        <v>1.39053</v>
      </c>
      <c r="AZ306" s="22">
        <v>192.21799999999999</v>
      </c>
      <c r="BA306" s="22">
        <v>-1.1224400000000001E-2</v>
      </c>
      <c r="BB306" s="22">
        <v>296</v>
      </c>
      <c r="BC306" s="22">
        <v>1.39069</v>
      </c>
      <c r="BD306">
        <f t="shared" si="58"/>
        <v>11.224400000000001</v>
      </c>
      <c r="BE306">
        <f t="shared" si="59"/>
        <v>15.607864932000002</v>
      </c>
    </row>
    <row r="307" spans="6:57">
      <c r="F307" s="9"/>
      <c r="G307" s="22">
        <v>0.25451699999999999</v>
      </c>
      <c r="H307" s="22">
        <v>37.235900000000001</v>
      </c>
      <c r="I307" s="22">
        <v>-1.88446E-2</v>
      </c>
      <c r="J307" s="22">
        <v>297</v>
      </c>
      <c r="K307" s="22">
        <v>0.25320399999999998</v>
      </c>
      <c r="L307">
        <f t="shared" si="48"/>
        <v>18.8446</v>
      </c>
      <c r="M307">
        <f t="shared" si="49"/>
        <v>4.7962710581999994</v>
      </c>
      <c r="N307" s="9"/>
      <c r="O307" s="22">
        <v>1.39557</v>
      </c>
      <c r="P307" s="22">
        <v>71.545100000000005</v>
      </c>
      <c r="Q307" s="22">
        <v>4.6829200000000001E-2</v>
      </c>
      <c r="R307" s="22">
        <v>297</v>
      </c>
      <c r="S307" s="22">
        <v>0.36175499999999999</v>
      </c>
      <c r="T307">
        <f t="shared" si="50"/>
        <v>-46.8292</v>
      </c>
      <c r="U307">
        <f t="shared" si="51"/>
        <v>-65.353426643999995</v>
      </c>
      <c r="X307" s="9"/>
      <c r="Y307" s="22">
        <v>0.25451699999999999</v>
      </c>
      <c r="Z307" s="22">
        <v>105.751</v>
      </c>
      <c r="AA307" s="22">
        <v>-1.86249E-2</v>
      </c>
      <c r="AB307" s="22">
        <v>297</v>
      </c>
      <c r="AC307" s="22">
        <v>0.25405899999999998</v>
      </c>
      <c r="AD307">
        <f t="shared" si="52"/>
        <v>18.6249</v>
      </c>
      <c r="AE307">
        <f t="shared" si="53"/>
        <v>4.7403536732999996</v>
      </c>
      <c r="AF307" s="9"/>
      <c r="AG307" s="22">
        <v>1.39557</v>
      </c>
      <c r="AH307" s="22">
        <v>123.572</v>
      </c>
      <c r="AI307" s="22">
        <v>-1.80237E-2</v>
      </c>
      <c r="AJ307" s="22">
        <v>297</v>
      </c>
      <c r="AK307" s="22">
        <v>1.39496</v>
      </c>
      <c r="AL307">
        <f t="shared" si="54"/>
        <v>18.023700000000002</v>
      </c>
      <c r="AM307">
        <f t="shared" si="55"/>
        <v>25.153335009000003</v>
      </c>
      <c r="AP307" s="9"/>
      <c r="AQ307" s="22">
        <v>0.25451699999999999</v>
      </c>
      <c r="AR307" s="22">
        <v>157.84100000000001</v>
      </c>
      <c r="AS307" s="22">
        <v>-1.8789699999999999E-2</v>
      </c>
      <c r="AT307" s="22">
        <v>297</v>
      </c>
      <c r="AU307" s="22">
        <v>0.25445600000000002</v>
      </c>
      <c r="AV307">
        <f t="shared" si="56"/>
        <v>18.7897</v>
      </c>
      <c r="AW307">
        <f t="shared" si="57"/>
        <v>4.7822980748999999</v>
      </c>
      <c r="AX307" s="9"/>
      <c r="AY307" s="22">
        <v>1.39557</v>
      </c>
      <c r="AZ307" s="22">
        <v>192.22800000000001</v>
      </c>
      <c r="BA307" s="22">
        <v>-1.03821E-2</v>
      </c>
      <c r="BB307" s="22">
        <v>297</v>
      </c>
      <c r="BC307" s="22">
        <v>1.39435</v>
      </c>
      <c r="BD307">
        <f t="shared" si="58"/>
        <v>10.382099999999999</v>
      </c>
      <c r="BE307">
        <f t="shared" si="59"/>
        <v>14.488947296999999</v>
      </c>
    </row>
    <row r="308" spans="6:57">
      <c r="F308" s="9"/>
      <c r="G308" s="22">
        <v>0.24948100000000001</v>
      </c>
      <c r="H308" s="22">
        <v>37.246000000000002</v>
      </c>
      <c r="I308" s="22">
        <v>-1.8847699999999998E-2</v>
      </c>
      <c r="J308" s="22">
        <v>298</v>
      </c>
      <c r="K308" s="22">
        <v>0.24917600000000001</v>
      </c>
      <c r="L308">
        <f t="shared" si="48"/>
        <v>18.8477</v>
      </c>
      <c r="M308">
        <f t="shared" si="49"/>
        <v>4.7021430437000005</v>
      </c>
      <c r="N308" s="9"/>
      <c r="O308" s="22">
        <v>1.4006000000000001</v>
      </c>
      <c r="P308" s="22">
        <v>71.555199999999999</v>
      </c>
      <c r="Q308" s="22">
        <v>4.6820100000000003E-2</v>
      </c>
      <c r="R308" s="22">
        <v>298</v>
      </c>
      <c r="S308" s="22">
        <v>0.36444100000000001</v>
      </c>
      <c r="T308">
        <f t="shared" si="50"/>
        <v>-46.820100000000004</v>
      </c>
      <c r="U308">
        <f t="shared" si="51"/>
        <v>-65.576232060000009</v>
      </c>
      <c r="X308" s="9"/>
      <c r="Y308" s="22">
        <v>0.24948100000000001</v>
      </c>
      <c r="Z308" s="22">
        <v>105.761</v>
      </c>
      <c r="AA308" s="22">
        <v>-1.8627899999999999E-2</v>
      </c>
      <c r="AB308" s="22">
        <v>298</v>
      </c>
      <c r="AC308" s="22">
        <v>0.248749</v>
      </c>
      <c r="AD308">
        <f t="shared" si="52"/>
        <v>18.6279</v>
      </c>
      <c r="AE308">
        <f t="shared" si="53"/>
        <v>4.6473071199000007</v>
      </c>
      <c r="AF308" s="9"/>
      <c r="AG308" s="22">
        <v>1.4006000000000001</v>
      </c>
      <c r="AH308" s="22">
        <v>123.58199999999999</v>
      </c>
      <c r="AI308" s="22">
        <v>-1.8017600000000002E-2</v>
      </c>
      <c r="AJ308" s="22">
        <v>298</v>
      </c>
      <c r="AK308" s="22">
        <v>1.40015</v>
      </c>
      <c r="AL308">
        <f t="shared" si="54"/>
        <v>18.017600000000002</v>
      </c>
      <c r="AM308">
        <f t="shared" si="55"/>
        <v>25.235450560000004</v>
      </c>
      <c r="AP308" s="9"/>
      <c r="AQ308" s="22">
        <v>0.24948100000000001</v>
      </c>
      <c r="AR308" s="22">
        <v>157.851</v>
      </c>
      <c r="AS308" s="22">
        <v>-1.8789699999999999E-2</v>
      </c>
      <c r="AT308" s="22">
        <v>298</v>
      </c>
      <c r="AU308" s="22">
        <v>0.24835199999999999</v>
      </c>
      <c r="AV308">
        <f t="shared" si="56"/>
        <v>18.7897</v>
      </c>
      <c r="AW308">
        <f t="shared" si="57"/>
        <v>4.6876731456999998</v>
      </c>
      <c r="AX308" s="9"/>
      <c r="AY308" s="22">
        <v>1.4006000000000001</v>
      </c>
      <c r="AZ308" s="22">
        <v>192.238</v>
      </c>
      <c r="BA308" s="22">
        <v>-9.4390900000000007E-3</v>
      </c>
      <c r="BB308" s="22">
        <v>298</v>
      </c>
      <c r="BC308" s="22">
        <v>1.40167</v>
      </c>
      <c r="BD308">
        <f t="shared" si="58"/>
        <v>9.4390900000000002</v>
      </c>
      <c r="BE308">
        <f t="shared" si="59"/>
        <v>13.220389454000001</v>
      </c>
    </row>
    <row r="309" spans="6:57">
      <c r="F309" s="9"/>
      <c r="G309" s="22">
        <v>0.244446</v>
      </c>
      <c r="H309" s="22">
        <v>37.256100000000004</v>
      </c>
      <c r="I309" s="22">
        <v>-1.8850700000000001E-2</v>
      </c>
      <c r="J309" s="22">
        <v>299</v>
      </c>
      <c r="K309" s="22">
        <v>0.24404899999999999</v>
      </c>
      <c r="L309">
        <f t="shared" si="48"/>
        <v>18.8507</v>
      </c>
      <c r="M309">
        <f t="shared" si="49"/>
        <v>4.6079782121999999</v>
      </c>
      <c r="N309" s="9"/>
      <c r="O309" s="22">
        <v>1.40564</v>
      </c>
      <c r="P309" s="22">
        <v>71.565200000000004</v>
      </c>
      <c r="Q309" s="22">
        <v>4.6810900000000003E-2</v>
      </c>
      <c r="R309" s="22">
        <v>299</v>
      </c>
      <c r="S309" s="22">
        <v>0.36755399999999999</v>
      </c>
      <c r="T309">
        <f t="shared" si="50"/>
        <v>-46.810900000000004</v>
      </c>
      <c r="U309">
        <f t="shared" si="51"/>
        <v>-65.79927347600001</v>
      </c>
      <c r="X309" s="9"/>
      <c r="Y309" s="22">
        <v>0.244446</v>
      </c>
      <c r="Z309" s="22">
        <v>105.771</v>
      </c>
      <c r="AA309" s="22">
        <v>-1.8631000000000002E-2</v>
      </c>
      <c r="AB309" s="22">
        <v>299</v>
      </c>
      <c r="AC309" s="22">
        <v>0.24404899999999999</v>
      </c>
      <c r="AD309">
        <f t="shared" si="52"/>
        <v>18.631</v>
      </c>
      <c r="AE309">
        <f t="shared" si="53"/>
        <v>4.554273426</v>
      </c>
      <c r="AF309" s="9"/>
      <c r="AG309" s="22">
        <v>1.40564</v>
      </c>
      <c r="AH309" s="22">
        <v>123.592</v>
      </c>
      <c r="AI309" s="22">
        <v>-1.8014499999999999E-2</v>
      </c>
      <c r="AJ309" s="22">
        <v>299</v>
      </c>
      <c r="AK309" s="22">
        <v>1.40442</v>
      </c>
      <c r="AL309">
        <f t="shared" si="54"/>
        <v>18.014499999999998</v>
      </c>
      <c r="AM309">
        <f t="shared" si="55"/>
        <v>25.321901779999997</v>
      </c>
      <c r="AP309" s="9"/>
      <c r="AQ309" s="22">
        <v>0.244446</v>
      </c>
      <c r="AR309" s="22">
        <v>157.86099999999999</v>
      </c>
      <c r="AS309" s="22">
        <v>-1.8792699999999999E-2</v>
      </c>
      <c r="AT309" s="22">
        <v>299</v>
      </c>
      <c r="AU309" s="22">
        <v>0.24432400000000001</v>
      </c>
      <c r="AV309">
        <f t="shared" si="56"/>
        <v>18.7927</v>
      </c>
      <c r="AW309">
        <f t="shared" si="57"/>
        <v>4.5938003441999999</v>
      </c>
      <c r="AX309" s="9"/>
      <c r="AY309" s="22">
        <v>1.40564</v>
      </c>
      <c r="AZ309" s="22">
        <v>192.249</v>
      </c>
      <c r="BA309" s="22">
        <v>-6.7382800000000001E-3</v>
      </c>
      <c r="BB309" s="22">
        <v>299</v>
      </c>
      <c r="BC309" s="22">
        <v>1.39862</v>
      </c>
      <c r="BD309">
        <f t="shared" si="58"/>
        <v>6.7382800000000005</v>
      </c>
      <c r="BE309">
        <f t="shared" si="59"/>
        <v>9.4715958992000004</v>
      </c>
    </row>
    <row r="310" spans="6:57">
      <c r="F310" s="9"/>
      <c r="G310" s="22">
        <v>0.23941000000000001</v>
      </c>
      <c r="H310" s="22">
        <v>37.266199999999998</v>
      </c>
      <c r="I310" s="22">
        <v>-1.8847699999999998E-2</v>
      </c>
      <c r="J310" s="22">
        <v>300</v>
      </c>
      <c r="K310" s="22">
        <v>0.238342</v>
      </c>
      <c r="L310">
        <f t="shared" si="48"/>
        <v>18.8477</v>
      </c>
      <c r="M310">
        <f t="shared" si="49"/>
        <v>4.5123278569999998</v>
      </c>
      <c r="N310" s="9"/>
      <c r="O310" s="22">
        <v>1.4106799999999999</v>
      </c>
      <c r="P310" s="22">
        <v>71.575299999999999</v>
      </c>
      <c r="Q310" s="22">
        <v>4.6804800000000001E-2</v>
      </c>
      <c r="R310" s="22">
        <v>300</v>
      </c>
      <c r="S310" s="22">
        <v>0.36416599999999999</v>
      </c>
      <c r="T310">
        <f t="shared" si="50"/>
        <v>-46.8048</v>
      </c>
      <c r="U310">
        <f t="shared" si="51"/>
        <v>-66.026595263999994</v>
      </c>
      <c r="X310" s="9"/>
      <c r="Y310" s="22">
        <v>0.23941000000000001</v>
      </c>
      <c r="Z310" s="22">
        <v>105.78100000000001</v>
      </c>
      <c r="AA310" s="22">
        <v>-1.8631000000000002E-2</v>
      </c>
      <c r="AB310" s="22">
        <v>300</v>
      </c>
      <c r="AC310" s="22">
        <v>0.238708</v>
      </c>
      <c r="AD310">
        <f t="shared" si="52"/>
        <v>18.631</v>
      </c>
      <c r="AE310">
        <f t="shared" si="53"/>
        <v>4.4604477100000004</v>
      </c>
      <c r="AF310" s="9"/>
      <c r="AG310" s="22">
        <v>1.4106799999999999</v>
      </c>
      <c r="AH310" s="22">
        <v>123.602</v>
      </c>
      <c r="AI310" s="22">
        <v>-1.80115E-2</v>
      </c>
      <c r="AJ310" s="22">
        <v>300</v>
      </c>
      <c r="AK310" s="22">
        <v>1.40961</v>
      </c>
      <c r="AL310">
        <f t="shared" si="54"/>
        <v>18.011499999999998</v>
      </c>
      <c r="AM310">
        <f t="shared" si="55"/>
        <v>25.408462819999997</v>
      </c>
      <c r="AP310" s="9"/>
      <c r="AQ310" s="22">
        <v>0.23941000000000001</v>
      </c>
      <c r="AR310" s="22">
        <v>157.87100000000001</v>
      </c>
      <c r="AS310" s="22">
        <v>-1.8795800000000001E-2</v>
      </c>
      <c r="AT310" s="22">
        <v>300</v>
      </c>
      <c r="AU310" s="22">
        <v>0.23953199999999999</v>
      </c>
      <c r="AV310">
        <f t="shared" si="56"/>
        <v>18.7958</v>
      </c>
      <c r="AW310">
        <f t="shared" si="57"/>
        <v>4.4999024780000001</v>
      </c>
      <c r="AX310" s="9"/>
      <c r="AY310" s="22">
        <v>1.4106799999999999</v>
      </c>
      <c r="AZ310" s="22">
        <v>192.25899999999999</v>
      </c>
      <c r="BA310" s="22">
        <v>-4.7149699999999998E-3</v>
      </c>
      <c r="BB310" s="22">
        <v>300</v>
      </c>
      <c r="BC310" s="22">
        <v>1.409</v>
      </c>
      <c r="BD310">
        <f t="shared" si="58"/>
        <v>4.7149700000000001</v>
      </c>
      <c r="BE310">
        <f t="shared" si="59"/>
        <v>6.6513138796</v>
      </c>
    </row>
    <row r="311" spans="6:57">
      <c r="F311" s="9"/>
      <c r="G311" s="22">
        <v>0.234375</v>
      </c>
      <c r="H311" s="22">
        <v>37.276200000000003</v>
      </c>
      <c r="I311" s="22">
        <v>-1.8850700000000001E-2</v>
      </c>
      <c r="J311" s="22">
        <v>301</v>
      </c>
      <c r="K311" s="22">
        <v>0.23416100000000001</v>
      </c>
      <c r="L311">
        <f t="shared" si="48"/>
        <v>18.8507</v>
      </c>
      <c r="M311">
        <f t="shared" si="49"/>
        <v>4.4181328124999997</v>
      </c>
      <c r="N311" s="9"/>
      <c r="O311" s="22">
        <v>1.41571</v>
      </c>
      <c r="P311" s="22">
        <v>71.585400000000007</v>
      </c>
      <c r="Q311" s="22">
        <v>4.6795700000000003E-2</v>
      </c>
      <c r="R311" s="22">
        <v>301</v>
      </c>
      <c r="S311" s="22">
        <v>0.36679099999999998</v>
      </c>
      <c r="T311">
        <f t="shared" si="50"/>
        <v>-46.795700000000004</v>
      </c>
      <c r="U311">
        <f t="shared" si="51"/>
        <v>-66.249140447000002</v>
      </c>
      <c r="X311" s="9"/>
      <c r="Y311" s="22">
        <v>0.234375</v>
      </c>
      <c r="Z311" s="22">
        <v>105.792</v>
      </c>
      <c r="AA311" s="22">
        <v>-1.8631000000000002E-2</v>
      </c>
      <c r="AB311" s="22">
        <v>301</v>
      </c>
      <c r="AC311" s="22">
        <v>0.233429</v>
      </c>
      <c r="AD311">
        <f t="shared" si="52"/>
        <v>18.631</v>
      </c>
      <c r="AE311">
        <f t="shared" si="53"/>
        <v>4.3666406250000005</v>
      </c>
      <c r="AF311" s="9"/>
      <c r="AG311" s="22">
        <v>1.41571</v>
      </c>
      <c r="AH311" s="22">
        <v>123.61199999999999</v>
      </c>
      <c r="AI311" s="22">
        <v>-1.8005400000000001E-2</v>
      </c>
      <c r="AJ311" s="22">
        <v>301</v>
      </c>
      <c r="AK311" s="22">
        <v>1.41449</v>
      </c>
      <c r="AL311">
        <f t="shared" si="54"/>
        <v>18.005400000000002</v>
      </c>
      <c r="AM311">
        <f t="shared" si="55"/>
        <v>25.490424834000002</v>
      </c>
      <c r="AP311" s="9"/>
      <c r="AQ311" s="22">
        <v>0.234375</v>
      </c>
      <c r="AR311" s="22">
        <v>157.88200000000001</v>
      </c>
      <c r="AS311" s="22">
        <v>-1.8795800000000001E-2</v>
      </c>
      <c r="AT311" s="22">
        <v>301</v>
      </c>
      <c r="AU311" s="22">
        <v>0.23397799999999999</v>
      </c>
      <c r="AV311">
        <f t="shared" si="56"/>
        <v>18.7958</v>
      </c>
      <c r="AW311">
        <f t="shared" si="57"/>
        <v>4.4052656250000002</v>
      </c>
      <c r="AX311" s="9"/>
      <c r="AY311" s="22">
        <v>1.41571</v>
      </c>
      <c r="AZ311" s="22">
        <v>192.26900000000001</v>
      </c>
      <c r="BA311" s="22">
        <v>-1.4764400000000001E-3</v>
      </c>
      <c r="BB311" s="22">
        <v>301</v>
      </c>
      <c r="BC311" s="22">
        <v>1.41449</v>
      </c>
      <c r="BD311">
        <f t="shared" si="58"/>
        <v>1.4764400000000002</v>
      </c>
      <c r="BE311">
        <f t="shared" si="59"/>
        <v>2.0902108724000001</v>
      </c>
    </row>
    <row r="312" spans="6:57">
      <c r="F312" s="9"/>
      <c r="G312" s="22">
        <v>0.22933999999999999</v>
      </c>
      <c r="H312" s="22">
        <v>37.286299999999997</v>
      </c>
      <c r="I312" s="22">
        <v>-1.8850700000000001E-2</v>
      </c>
      <c r="J312" s="22">
        <v>302</v>
      </c>
      <c r="K312" s="22">
        <v>0.229523</v>
      </c>
      <c r="L312">
        <f t="shared" si="48"/>
        <v>18.8507</v>
      </c>
      <c r="M312">
        <f t="shared" si="49"/>
        <v>4.323219538</v>
      </c>
      <c r="N312" s="9"/>
      <c r="O312" s="22">
        <v>1.42075</v>
      </c>
      <c r="P312" s="22">
        <v>71.595500000000001</v>
      </c>
      <c r="Q312" s="22">
        <v>4.6789600000000001E-2</v>
      </c>
      <c r="R312" s="22">
        <v>302</v>
      </c>
      <c r="S312" s="22">
        <v>0.36645499999999998</v>
      </c>
      <c r="T312">
        <f t="shared" si="50"/>
        <v>-46.7896</v>
      </c>
      <c r="U312">
        <f t="shared" si="51"/>
        <v>-66.476324199999993</v>
      </c>
      <c r="X312" s="9"/>
      <c r="Y312" s="22">
        <v>0.22933999999999999</v>
      </c>
      <c r="Z312" s="22">
        <v>105.80200000000001</v>
      </c>
      <c r="AA312" s="22">
        <v>-1.8631000000000002E-2</v>
      </c>
      <c r="AB312" s="22">
        <v>302</v>
      </c>
      <c r="AC312" s="22">
        <v>0.228821</v>
      </c>
      <c r="AD312">
        <f t="shared" si="52"/>
        <v>18.631</v>
      </c>
      <c r="AE312">
        <f t="shared" si="53"/>
        <v>4.2728335399999997</v>
      </c>
      <c r="AF312" s="9"/>
      <c r="AG312" s="22">
        <v>1.42075</v>
      </c>
      <c r="AH312" s="22">
        <v>123.622</v>
      </c>
      <c r="AI312" s="22">
        <v>-1.7999299999999999E-2</v>
      </c>
      <c r="AJ312" s="22">
        <v>302</v>
      </c>
      <c r="AK312" s="22">
        <v>1.4202900000000001</v>
      </c>
      <c r="AL312">
        <f t="shared" si="54"/>
        <v>17.999299999999998</v>
      </c>
      <c r="AM312">
        <f t="shared" si="55"/>
        <v>25.572505474999996</v>
      </c>
      <c r="AP312" s="9"/>
      <c r="AQ312" s="22">
        <v>0.22933999999999999</v>
      </c>
      <c r="AR312" s="22">
        <v>157.892</v>
      </c>
      <c r="AS312" s="22">
        <v>-1.8798800000000001E-2</v>
      </c>
      <c r="AT312" s="22">
        <v>302</v>
      </c>
      <c r="AU312" s="22">
        <v>0.22869900000000001</v>
      </c>
      <c r="AV312">
        <f t="shared" si="56"/>
        <v>18.7988</v>
      </c>
      <c r="AW312">
        <f t="shared" si="57"/>
        <v>4.3113167919999995</v>
      </c>
      <c r="AX312" s="9"/>
      <c r="AY312" s="22">
        <v>1.42075</v>
      </c>
      <c r="AZ312" s="22">
        <v>192.279</v>
      </c>
      <c r="BA312" s="22">
        <v>1.46484E-3</v>
      </c>
      <c r="BB312" s="22">
        <v>302</v>
      </c>
      <c r="BC312" s="22">
        <v>1.4196800000000001</v>
      </c>
      <c r="BD312">
        <f t="shared" si="58"/>
        <v>-1.4648399999999999</v>
      </c>
      <c r="BE312">
        <f t="shared" si="59"/>
        <v>-2.0811714299999999</v>
      </c>
    </row>
    <row r="313" spans="6:57">
      <c r="F313" s="9"/>
      <c r="G313" s="22">
        <v>0.224304</v>
      </c>
      <c r="H313" s="22">
        <v>37.296399999999998</v>
      </c>
      <c r="I313" s="22">
        <v>-1.8832399999999999E-2</v>
      </c>
      <c r="J313" s="22">
        <v>303</v>
      </c>
      <c r="K313" s="22">
        <v>0.22439600000000001</v>
      </c>
      <c r="L313">
        <f t="shared" si="48"/>
        <v>18.8324</v>
      </c>
      <c r="M313">
        <f t="shared" si="49"/>
        <v>4.2241826496000003</v>
      </c>
      <c r="N313" s="9"/>
      <c r="O313" s="22">
        <v>1.42578</v>
      </c>
      <c r="P313" s="22">
        <v>71.605500000000006</v>
      </c>
      <c r="Q313" s="22">
        <v>4.6786500000000002E-2</v>
      </c>
      <c r="R313" s="22">
        <v>303</v>
      </c>
      <c r="S313" s="22">
        <v>0.35800199999999999</v>
      </c>
      <c r="T313">
        <f t="shared" si="50"/>
        <v>-46.786500000000004</v>
      </c>
      <c r="U313">
        <f t="shared" si="51"/>
        <v>-66.707255970000006</v>
      </c>
      <c r="X313" s="9"/>
      <c r="Y313" s="22">
        <v>0.224304</v>
      </c>
      <c r="Z313" s="22">
        <v>105.812</v>
      </c>
      <c r="AA313" s="22">
        <v>-1.8634000000000001E-2</v>
      </c>
      <c r="AB313" s="22">
        <v>303</v>
      </c>
      <c r="AC313" s="22">
        <v>0.22351099999999999</v>
      </c>
      <c r="AD313">
        <f t="shared" si="52"/>
        <v>18.634</v>
      </c>
      <c r="AE313">
        <f t="shared" si="53"/>
        <v>4.1796807359999999</v>
      </c>
      <c r="AF313" s="9"/>
      <c r="AG313" s="22">
        <v>1.42578</v>
      </c>
      <c r="AH313" s="22">
        <v>123.633</v>
      </c>
      <c r="AI313" s="22">
        <v>-1.79962E-2</v>
      </c>
      <c r="AJ313" s="22">
        <v>303</v>
      </c>
      <c r="AK313" s="22">
        <v>1.4254800000000001</v>
      </c>
      <c r="AL313">
        <f t="shared" si="54"/>
        <v>17.996200000000002</v>
      </c>
      <c r="AM313">
        <f t="shared" si="55"/>
        <v>25.658622036000004</v>
      </c>
      <c r="AP313" s="9"/>
      <c r="AQ313" s="22">
        <v>0.224304</v>
      </c>
      <c r="AR313" s="22">
        <v>157.90199999999999</v>
      </c>
      <c r="AS313" s="22">
        <v>-1.8798800000000001E-2</v>
      </c>
      <c r="AT313" s="22">
        <v>303</v>
      </c>
      <c r="AU313" s="22">
        <v>0.22375500000000001</v>
      </c>
      <c r="AV313">
        <f t="shared" si="56"/>
        <v>18.7988</v>
      </c>
      <c r="AW313">
        <f t="shared" si="57"/>
        <v>4.2166460352000001</v>
      </c>
      <c r="AX313" s="9"/>
      <c r="AY313" s="22">
        <v>1.42578</v>
      </c>
      <c r="AZ313" s="22">
        <v>192.28899999999999</v>
      </c>
      <c r="BA313" s="22">
        <v>1.0128800000000001E-3</v>
      </c>
      <c r="BB313" s="22">
        <v>303</v>
      </c>
      <c r="BC313" s="22">
        <v>1.42242</v>
      </c>
      <c r="BD313">
        <f t="shared" si="58"/>
        <v>-1.01288</v>
      </c>
      <c r="BE313">
        <f t="shared" si="59"/>
        <v>-1.4441440464000002</v>
      </c>
    </row>
    <row r="314" spans="6:57">
      <c r="F314" s="9"/>
      <c r="G314" s="22">
        <v>0.21926899999999999</v>
      </c>
      <c r="H314" s="22">
        <v>37.306399999999996</v>
      </c>
      <c r="I314" s="22">
        <v>-1.8710299999999999E-2</v>
      </c>
      <c r="J314" s="22">
        <v>304</v>
      </c>
      <c r="K314" s="22">
        <v>0.21899399999999999</v>
      </c>
      <c r="L314">
        <f t="shared" si="48"/>
        <v>18.7103</v>
      </c>
      <c r="M314">
        <f t="shared" si="49"/>
        <v>4.1025887706999997</v>
      </c>
      <c r="N314" s="9"/>
      <c r="O314" s="22">
        <v>1.43082</v>
      </c>
      <c r="P314" s="22">
        <v>71.615600000000001</v>
      </c>
      <c r="Q314" s="22">
        <v>4.6771199999999999E-2</v>
      </c>
      <c r="R314" s="22">
        <v>304</v>
      </c>
      <c r="S314" s="22">
        <v>0.36370799999999998</v>
      </c>
      <c r="T314">
        <f t="shared" si="50"/>
        <v>-46.7712</v>
      </c>
      <c r="U314">
        <f t="shared" si="51"/>
        <v>-66.921168383999998</v>
      </c>
      <c r="X314" s="9"/>
      <c r="Y314" s="22">
        <v>0.21926899999999999</v>
      </c>
      <c r="Z314" s="22">
        <v>105.822</v>
      </c>
      <c r="AA314" s="22">
        <v>-1.86371E-2</v>
      </c>
      <c r="AB314" s="22">
        <v>304</v>
      </c>
      <c r="AC314" s="22">
        <v>0.218719</v>
      </c>
      <c r="AD314">
        <f t="shared" si="52"/>
        <v>18.6371</v>
      </c>
      <c r="AE314">
        <f t="shared" si="53"/>
        <v>4.0865382799000001</v>
      </c>
      <c r="AF314" s="9"/>
      <c r="AG314" s="22">
        <v>1.43082</v>
      </c>
      <c r="AH314" s="22">
        <v>123.643</v>
      </c>
      <c r="AI314" s="22">
        <v>-1.7987099999999999E-2</v>
      </c>
      <c r="AJ314" s="22">
        <v>304</v>
      </c>
      <c r="AK314" s="22">
        <v>1.43005</v>
      </c>
      <c r="AL314">
        <f t="shared" si="54"/>
        <v>17.987099999999998</v>
      </c>
      <c r="AM314">
        <f t="shared" si="55"/>
        <v>25.736302421999998</v>
      </c>
      <c r="AP314" s="9"/>
      <c r="AQ314" s="22">
        <v>0.21926899999999999</v>
      </c>
      <c r="AR314" s="22">
        <v>157.91200000000001</v>
      </c>
      <c r="AS314" s="22">
        <v>-1.8804899999999999E-2</v>
      </c>
      <c r="AT314" s="22">
        <v>304</v>
      </c>
      <c r="AU314" s="22">
        <v>0.21890299999999999</v>
      </c>
      <c r="AV314">
        <f t="shared" si="56"/>
        <v>18.8049</v>
      </c>
      <c r="AW314">
        <f t="shared" si="57"/>
        <v>4.1233316180999999</v>
      </c>
      <c r="AX314" s="9"/>
      <c r="AY314" s="22">
        <v>1.43082</v>
      </c>
      <c r="AZ314" s="22">
        <v>192.29900000000001</v>
      </c>
      <c r="BA314" s="22">
        <v>4.5257600000000002E-3</v>
      </c>
      <c r="BB314" s="22">
        <v>304</v>
      </c>
      <c r="BC314" s="22">
        <v>1.42761</v>
      </c>
      <c r="BD314">
        <f t="shared" si="58"/>
        <v>-4.52576</v>
      </c>
      <c r="BE314">
        <f t="shared" si="59"/>
        <v>-6.4755479231999997</v>
      </c>
    </row>
    <row r="315" spans="6:57">
      <c r="F315" s="9"/>
      <c r="G315" s="22">
        <v>0.21423300000000001</v>
      </c>
      <c r="H315" s="22">
        <v>37.316499999999998</v>
      </c>
      <c r="I315" s="22">
        <v>-1.8804899999999999E-2</v>
      </c>
      <c r="J315" s="22">
        <v>305</v>
      </c>
      <c r="K315" s="22">
        <v>0.21343999999999999</v>
      </c>
      <c r="L315">
        <f t="shared" si="48"/>
        <v>18.8049</v>
      </c>
      <c r="M315">
        <f t="shared" si="49"/>
        <v>4.0286301416999999</v>
      </c>
      <c r="N315" s="9"/>
      <c r="O315" s="22">
        <v>1.4358500000000001</v>
      </c>
      <c r="P315" s="22">
        <v>71.625699999999995</v>
      </c>
      <c r="Q315" s="22">
        <v>4.6765099999999997E-2</v>
      </c>
      <c r="R315" s="22">
        <v>305</v>
      </c>
      <c r="S315" s="22">
        <v>0.35745199999999999</v>
      </c>
      <c r="T315">
        <f t="shared" si="50"/>
        <v>-46.765099999999997</v>
      </c>
      <c r="U315">
        <f t="shared" si="51"/>
        <v>-67.147668835000005</v>
      </c>
      <c r="X315" s="9"/>
      <c r="Y315" s="22">
        <v>0.21423300000000001</v>
      </c>
      <c r="Z315" s="22">
        <v>105.83199999999999</v>
      </c>
      <c r="AA315" s="22">
        <v>-1.86371E-2</v>
      </c>
      <c r="AB315" s="22">
        <v>305</v>
      </c>
      <c r="AC315" s="22">
        <v>0.21423300000000001</v>
      </c>
      <c r="AD315">
        <f t="shared" si="52"/>
        <v>18.6371</v>
      </c>
      <c r="AE315">
        <f t="shared" si="53"/>
        <v>3.9926818443000003</v>
      </c>
      <c r="AF315" s="9"/>
      <c r="AG315" s="22">
        <v>1.4358500000000001</v>
      </c>
      <c r="AH315" s="22">
        <v>123.65300000000001</v>
      </c>
      <c r="AI315" s="22">
        <v>-1.7977900000000002E-2</v>
      </c>
      <c r="AJ315" s="22">
        <v>305</v>
      </c>
      <c r="AK315" s="22">
        <v>1.4349400000000001</v>
      </c>
      <c r="AL315">
        <f t="shared" si="54"/>
        <v>17.977900000000002</v>
      </c>
      <c r="AM315">
        <f t="shared" si="55"/>
        <v>25.813567715000005</v>
      </c>
      <c r="AP315" s="9"/>
      <c r="AQ315" s="22">
        <v>0.21423300000000001</v>
      </c>
      <c r="AR315" s="22">
        <v>157.922</v>
      </c>
      <c r="AS315" s="22">
        <v>-1.88019E-2</v>
      </c>
      <c r="AT315" s="22">
        <v>305</v>
      </c>
      <c r="AU315" s="22">
        <v>0.213501</v>
      </c>
      <c r="AV315">
        <f t="shared" si="56"/>
        <v>18.8019</v>
      </c>
      <c r="AW315">
        <f t="shared" si="57"/>
        <v>4.0279874426999998</v>
      </c>
      <c r="AX315" s="9"/>
      <c r="AY315" s="22">
        <v>1.4358500000000001</v>
      </c>
      <c r="AZ315" s="22">
        <v>192.309</v>
      </c>
      <c r="BA315" s="22">
        <v>4.54712E-3</v>
      </c>
      <c r="BB315" s="22">
        <v>305</v>
      </c>
      <c r="BC315" s="22">
        <v>1.4303600000000001</v>
      </c>
      <c r="BD315">
        <f t="shared" si="58"/>
        <v>-4.5471199999999996</v>
      </c>
      <c r="BE315">
        <f t="shared" si="59"/>
        <v>-6.5289822519999996</v>
      </c>
    </row>
    <row r="316" spans="6:57">
      <c r="F316" s="9"/>
      <c r="G316" s="22">
        <v>0.209198</v>
      </c>
      <c r="H316" s="22">
        <v>37.326599999999999</v>
      </c>
      <c r="I316" s="22">
        <v>-1.88171E-2</v>
      </c>
      <c r="J316" s="22">
        <v>306</v>
      </c>
      <c r="K316" s="22">
        <v>0.20880099999999999</v>
      </c>
      <c r="L316">
        <f t="shared" si="48"/>
        <v>18.8171</v>
      </c>
      <c r="M316">
        <f t="shared" si="49"/>
        <v>3.9364996857999999</v>
      </c>
      <c r="N316" s="9"/>
      <c r="O316" s="22">
        <v>1.44089</v>
      </c>
      <c r="P316" s="22">
        <v>71.6357</v>
      </c>
      <c r="Q316" s="22">
        <v>4.6759000000000002E-2</v>
      </c>
      <c r="R316" s="22">
        <v>306</v>
      </c>
      <c r="S316" s="22">
        <v>0.37237500000000001</v>
      </c>
      <c r="T316">
        <f t="shared" si="50"/>
        <v>-46.759</v>
      </c>
      <c r="U316">
        <f t="shared" si="51"/>
        <v>-67.37457551</v>
      </c>
      <c r="X316" s="9"/>
      <c r="Y316" s="22">
        <v>0.209198</v>
      </c>
      <c r="Z316" s="22">
        <v>105.842</v>
      </c>
      <c r="AA316" s="22">
        <v>-1.86401E-2</v>
      </c>
      <c r="AB316" s="22">
        <v>306</v>
      </c>
      <c r="AC316" s="22">
        <v>0.20880099999999999</v>
      </c>
      <c r="AD316">
        <f t="shared" si="52"/>
        <v>18.6401</v>
      </c>
      <c r="AE316">
        <f t="shared" si="53"/>
        <v>3.8994716397999998</v>
      </c>
      <c r="AF316" s="9"/>
      <c r="AG316" s="22">
        <v>1.44089</v>
      </c>
      <c r="AH316" s="22">
        <v>123.663</v>
      </c>
      <c r="AI316" s="22">
        <v>-1.79688E-2</v>
      </c>
      <c r="AJ316" s="22">
        <v>306</v>
      </c>
      <c r="AK316" s="22">
        <v>1.4401200000000001</v>
      </c>
      <c r="AL316">
        <f t="shared" si="54"/>
        <v>17.968800000000002</v>
      </c>
      <c r="AM316">
        <f t="shared" si="55"/>
        <v>25.891064232000002</v>
      </c>
      <c r="AP316" s="9"/>
      <c r="AQ316" s="22">
        <v>0.209198</v>
      </c>
      <c r="AR316" s="22">
        <v>157.93199999999999</v>
      </c>
      <c r="AS316" s="22">
        <v>-1.8811000000000001E-2</v>
      </c>
      <c r="AT316" s="22">
        <v>306</v>
      </c>
      <c r="AU316" s="22">
        <v>0.208618</v>
      </c>
      <c r="AV316">
        <f t="shared" si="56"/>
        <v>18.811</v>
      </c>
      <c r="AW316">
        <f t="shared" si="57"/>
        <v>3.935223578</v>
      </c>
      <c r="AX316" s="9"/>
      <c r="AY316" s="22">
        <v>1.44089</v>
      </c>
      <c r="AZ316" s="22">
        <v>192.31899999999999</v>
      </c>
      <c r="BA316" s="22">
        <v>2.0510899999999999E-2</v>
      </c>
      <c r="BB316" s="22">
        <v>306</v>
      </c>
      <c r="BC316" s="22">
        <v>1.4447000000000001</v>
      </c>
      <c r="BD316">
        <f t="shared" si="58"/>
        <v>-20.510899999999999</v>
      </c>
      <c r="BE316">
        <f t="shared" si="59"/>
        <v>-29.553950700999998</v>
      </c>
    </row>
    <row r="317" spans="6:57">
      <c r="F317" s="9"/>
      <c r="G317" s="22">
        <v>0.20416300000000001</v>
      </c>
      <c r="H317" s="22">
        <v>37.3367</v>
      </c>
      <c r="I317" s="22">
        <v>-1.8838500000000001E-2</v>
      </c>
      <c r="J317" s="22">
        <v>307</v>
      </c>
      <c r="K317" s="22">
        <v>0.20410200000000001</v>
      </c>
      <c r="L317">
        <f t="shared" si="48"/>
        <v>18.8385</v>
      </c>
      <c r="M317">
        <f t="shared" si="49"/>
        <v>3.8461246755</v>
      </c>
      <c r="N317" s="9"/>
      <c r="O317" s="22">
        <v>1.4459200000000001</v>
      </c>
      <c r="P317" s="22">
        <v>71.645799999999994</v>
      </c>
      <c r="Q317" s="22">
        <v>4.67529E-2</v>
      </c>
      <c r="R317" s="22">
        <v>307</v>
      </c>
      <c r="S317" s="22">
        <v>0.36993399999999999</v>
      </c>
      <c r="T317">
        <f t="shared" si="50"/>
        <v>-46.752899999999997</v>
      </c>
      <c r="U317">
        <f t="shared" si="51"/>
        <v>-67.600953168000004</v>
      </c>
      <c r="X317" s="9"/>
      <c r="Y317" s="22">
        <v>0.20416300000000001</v>
      </c>
      <c r="Z317" s="22">
        <v>105.852</v>
      </c>
      <c r="AA317" s="22">
        <v>-1.8643199999999999E-2</v>
      </c>
      <c r="AB317" s="22">
        <v>307</v>
      </c>
      <c r="AC317" s="22">
        <v>0.20367399999999999</v>
      </c>
      <c r="AD317">
        <f t="shared" si="52"/>
        <v>18.6432</v>
      </c>
      <c r="AE317">
        <f t="shared" si="53"/>
        <v>3.8062516416000003</v>
      </c>
      <c r="AF317" s="9"/>
      <c r="AG317" s="22">
        <v>1.4459200000000001</v>
      </c>
      <c r="AH317" s="22">
        <v>123.673</v>
      </c>
      <c r="AI317" s="22">
        <v>-1.7962599999999999E-2</v>
      </c>
      <c r="AJ317" s="22">
        <v>307</v>
      </c>
      <c r="AK317" s="22">
        <v>1.4459200000000001</v>
      </c>
      <c r="AL317">
        <f t="shared" si="54"/>
        <v>17.962599999999998</v>
      </c>
      <c r="AM317">
        <f t="shared" si="55"/>
        <v>25.972482591999999</v>
      </c>
      <c r="AP317" s="9"/>
      <c r="AQ317" s="22">
        <v>0.20416300000000001</v>
      </c>
      <c r="AR317" s="22">
        <v>157.94200000000001</v>
      </c>
      <c r="AS317" s="22">
        <v>-1.88141E-2</v>
      </c>
      <c r="AT317" s="22">
        <v>307</v>
      </c>
      <c r="AU317" s="22">
        <v>0.20401</v>
      </c>
      <c r="AV317">
        <f t="shared" si="56"/>
        <v>18.8141</v>
      </c>
      <c r="AW317">
        <f t="shared" si="57"/>
        <v>3.8411430983000003</v>
      </c>
      <c r="AX317" s="9"/>
      <c r="AY317" s="22">
        <v>1.4459200000000001</v>
      </c>
      <c r="AZ317" s="22">
        <v>192.32900000000001</v>
      </c>
      <c r="BA317" s="22">
        <v>1.9223000000000001E-2</v>
      </c>
      <c r="BB317" s="22">
        <v>307</v>
      </c>
      <c r="BC317" s="22">
        <v>1.4437899999999999</v>
      </c>
      <c r="BD317">
        <f t="shared" si="58"/>
        <v>-19.222999999999999</v>
      </c>
      <c r="BE317">
        <f t="shared" si="59"/>
        <v>-27.79492016</v>
      </c>
    </row>
    <row r="318" spans="6:57">
      <c r="F318" s="9"/>
      <c r="G318" s="22">
        <v>0.199127</v>
      </c>
      <c r="H318" s="22">
        <v>37.346699999999998</v>
      </c>
      <c r="I318" s="22">
        <v>-1.8737799999999999E-2</v>
      </c>
      <c r="J318" s="22">
        <v>308</v>
      </c>
      <c r="K318" s="22">
        <v>0.19836400000000001</v>
      </c>
      <c r="L318">
        <f t="shared" si="48"/>
        <v>18.7378</v>
      </c>
      <c r="M318">
        <f t="shared" si="49"/>
        <v>3.7312019005999999</v>
      </c>
      <c r="N318" s="9"/>
      <c r="O318" s="22">
        <v>1.45096</v>
      </c>
      <c r="P318" s="22">
        <v>71.655900000000003</v>
      </c>
      <c r="Q318" s="22">
        <v>4.6746799999999998E-2</v>
      </c>
      <c r="R318" s="22">
        <v>308</v>
      </c>
      <c r="S318" s="22">
        <v>0.37441999999999998</v>
      </c>
      <c r="T318">
        <f t="shared" si="50"/>
        <v>-46.7468</v>
      </c>
      <c r="U318">
        <f t="shared" si="51"/>
        <v>-67.827736928000007</v>
      </c>
      <c r="X318" s="9"/>
      <c r="Y318" s="22">
        <v>0.199127</v>
      </c>
      <c r="Z318" s="22">
        <v>105.86199999999999</v>
      </c>
      <c r="AA318" s="22">
        <v>-1.8646200000000002E-2</v>
      </c>
      <c r="AB318" s="22">
        <v>308</v>
      </c>
      <c r="AC318" s="22">
        <v>0.19753999999999999</v>
      </c>
      <c r="AD318">
        <f t="shared" si="52"/>
        <v>18.6462</v>
      </c>
      <c r="AE318">
        <f t="shared" si="53"/>
        <v>3.7129618674000002</v>
      </c>
      <c r="AF318" s="9"/>
      <c r="AG318" s="22">
        <v>1.45096</v>
      </c>
      <c r="AH318" s="22">
        <v>123.68300000000001</v>
      </c>
      <c r="AI318" s="22">
        <v>-1.7953500000000001E-2</v>
      </c>
      <c r="AJ318" s="22">
        <v>308</v>
      </c>
      <c r="AK318" s="22">
        <v>1.4498899999999999</v>
      </c>
      <c r="AL318">
        <f t="shared" si="54"/>
        <v>17.953500000000002</v>
      </c>
      <c r="AM318">
        <f t="shared" si="55"/>
        <v>26.049810360000002</v>
      </c>
      <c r="AP318" s="9"/>
      <c r="AQ318" s="22">
        <v>0.199127</v>
      </c>
      <c r="AR318" s="22">
        <v>157.952</v>
      </c>
      <c r="AS318" s="22">
        <v>-1.88141E-2</v>
      </c>
      <c r="AT318" s="22">
        <v>308</v>
      </c>
      <c r="AU318" s="22">
        <v>0.19869999999999999</v>
      </c>
      <c r="AV318">
        <f t="shared" si="56"/>
        <v>18.8141</v>
      </c>
      <c r="AW318">
        <f t="shared" si="57"/>
        <v>3.7463952906999998</v>
      </c>
      <c r="AX318" s="9"/>
      <c r="AY318" s="22">
        <v>1.45096</v>
      </c>
      <c r="AZ318" s="22">
        <v>192.339</v>
      </c>
      <c r="BA318" s="22">
        <v>3.2275400000000003E-2</v>
      </c>
      <c r="BB318" s="22">
        <v>308</v>
      </c>
      <c r="BC318" s="22">
        <v>1.4480599999999999</v>
      </c>
      <c r="BD318">
        <f t="shared" si="58"/>
        <v>-32.275400000000005</v>
      </c>
      <c r="BE318">
        <f t="shared" si="59"/>
        <v>-46.830314384000005</v>
      </c>
    </row>
    <row r="319" spans="6:57">
      <c r="F319" s="9"/>
      <c r="G319" s="22">
        <v>0.19409199999999999</v>
      </c>
      <c r="H319" s="22">
        <v>37.3568</v>
      </c>
      <c r="I319" s="22">
        <v>-1.8753100000000002E-2</v>
      </c>
      <c r="J319" s="22">
        <v>309</v>
      </c>
      <c r="K319" s="22">
        <v>0.19445799999999999</v>
      </c>
      <c r="L319">
        <f t="shared" si="48"/>
        <v>18.753100000000003</v>
      </c>
      <c r="M319">
        <f t="shared" si="49"/>
        <v>3.6398266852000005</v>
      </c>
      <c r="N319" s="9"/>
      <c r="O319" s="22">
        <v>1.4559899999999999</v>
      </c>
      <c r="P319" s="22">
        <v>71.665899999999993</v>
      </c>
      <c r="Q319" s="22">
        <v>4.6743800000000002E-2</v>
      </c>
      <c r="R319" s="22">
        <v>309</v>
      </c>
      <c r="S319" s="22">
        <v>0.36349500000000001</v>
      </c>
      <c r="T319">
        <f t="shared" si="50"/>
        <v>-46.7438</v>
      </c>
      <c r="U319">
        <f t="shared" si="51"/>
        <v>-68.058505361999991</v>
      </c>
      <c r="X319" s="9"/>
      <c r="Y319" s="22">
        <v>0.19409199999999999</v>
      </c>
      <c r="Z319" s="22">
        <v>105.872</v>
      </c>
      <c r="AA319" s="22">
        <v>-1.8646200000000002E-2</v>
      </c>
      <c r="AB319" s="22">
        <v>309</v>
      </c>
      <c r="AC319" s="22">
        <v>0.19278000000000001</v>
      </c>
      <c r="AD319">
        <f t="shared" si="52"/>
        <v>18.6462</v>
      </c>
      <c r="AE319">
        <f t="shared" si="53"/>
        <v>3.6190782503999999</v>
      </c>
      <c r="AF319" s="9"/>
      <c r="AG319" s="22">
        <v>1.4559899999999999</v>
      </c>
      <c r="AH319" s="22">
        <v>123.693</v>
      </c>
      <c r="AI319" s="22">
        <v>-1.79413E-2</v>
      </c>
      <c r="AJ319" s="22">
        <v>309</v>
      </c>
      <c r="AK319" s="22">
        <v>1.4553799999999999</v>
      </c>
      <c r="AL319">
        <f t="shared" si="54"/>
        <v>17.941300000000002</v>
      </c>
      <c r="AM319">
        <f t="shared" si="55"/>
        <v>26.122353387</v>
      </c>
      <c r="AP319" s="9"/>
      <c r="AQ319" s="22">
        <v>0.19409199999999999</v>
      </c>
      <c r="AR319" s="22">
        <v>157.96199999999999</v>
      </c>
      <c r="AS319" s="22">
        <v>-1.88141E-2</v>
      </c>
      <c r="AT319" s="22">
        <v>309</v>
      </c>
      <c r="AU319" s="22">
        <v>0.19293199999999999</v>
      </c>
      <c r="AV319">
        <f t="shared" si="56"/>
        <v>18.8141</v>
      </c>
      <c r="AW319">
        <f t="shared" si="57"/>
        <v>3.6516662971999998</v>
      </c>
      <c r="AX319" s="9"/>
      <c r="AY319" s="22">
        <v>1.4559899999999999</v>
      </c>
      <c r="AZ319" s="22">
        <v>192.34899999999999</v>
      </c>
      <c r="BA319" s="22">
        <v>3.2012899999999997E-2</v>
      </c>
      <c r="BB319" s="22">
        <v>309</v>
      </c>
      <c r="BC319" s="22">
        <v>1.46515</v>
      </c>
      <c r="BD319">
        <f t="shared" si="58"/>
        <v>-32.012899999999995</v>
      </c>
      <c r="BE319">
        <f t="shared" si="59"/>
        <v>-46.610462270999989</v>
      </c>
    </row>
    <row r="320" spans="6:57">
      <c r="F320" s="9"/>
      <c r="G320" s="22">
        <v>0.189056</v>
      </c>
      <c r="H320" s="22">
        <v>37.366900000000001</v>
      </c>
      <c r="I320" s="22">
        <v>-1.8689000000000001E-2</v>
      </c>
      <c r="J320" s="22">
        <v>310</v>
      </c>
      <c r="K320" s="22">
        <v>0.18808</v>
      </c>
      <c r="L320">
        <f t="shared" si="48"/>
        <v>18.689</v>
      </c>
      <c r="M320">
        <f t="shared" si="49"/>
        <v>3.5332675839999999</v>
      </c>
      <c r="N320" s="9"/>
      <c r="O320" s="22">
        <v>1.4610300000000001</v>
      </c>
      <c r="P320" s="22">
        <v>71.676000000000002</v>
      </c>
      <c r="Q320" s="22">
        <v>4.67377E-2</v>
      </c>
      <c r="R320" s="22">
        <v>310</v>
      </c>
      <c r="S320" s="22">
        <v>0.37231399999999998</v>
      </c>
      <c r="T320">
        <f t="shared" si="50"/>
        <v>-46.737699999999997</v>
      </c>
      <c r="U320">
        <f t="shared" si="51"/>
        <v>-68.285181831000003</v>
      </c>
      <c r="X320" s="9"/>
      <c r="Y320" s="22">
        <v>0.189056</v>
      </c>
      <c r="Z320" s="22">
        <v>105.88200000000001</v>
      </c>
      <c r="AA320" s="22">
        <v>-1.8649300000000001E-2</v>
      </c>
      <c r="AB320" s="22">
        <v>310</v>
      </c>
      <c r="AC320" s="22">
        <v>0.18862899999999999</v>
      </c>
      <c r="AD320">
        <f t="shared" si="52"/>
        <v>18.6493</v>
      </c>
      <c r="AE320">
        <f t="shared" si="53"/>
        <v>3.5257620608</v>
      </c>
      <c r="AF320" s="9"/>
      <c r="AG320" s="22">
        <v>1.4610300000000001</v>
      </c>
      <c r="AH320" s="22">
        <v>123.703</v>
      </c>
      <c r="AI320" s="22">
        <v>-1.79291E-2</v>
      </c>
      <c r="AJ320" s="22">
        <v>310</v>
      </c>
      <c r="AK320" s="22">
        <v>1.4605699999999999</v>
      </c>
      <c r="AL320">
        <f t="shared" si="54"/>
        <v>17.929099999999998</v>
      </c>
      <c r="AM320">
        <f t="shared" si="55"/>
        <v>26.194952972999999</v>
      </c>
      <c r="AP320" s="9"/>
      <c r="AQ320" s="22">
        <v>0.189056</v>
      </c>
      <c r="AR320" s="22">
        <v>157.97200000000001</v>
      </c>
      <c r="AS320" s="22">
        <v>-1.88171E-2</v>
      </c>
      <c r="AT320" s="22">
        <v>310</v>
      </c>
      <c r="AU320" s="22">
        <v>0.18893399999999999</v>
      </c>
      <c r="AV320">
        <f t="shared" si="56"/>
        <v>18.8171</v>
      </c>
      <c r="AW320">
        <f t="shared" si="57"/>
        <v>3.5574856576</v>
      </c>
      <c r="AX320" s="9"/>
      <c r="AY320" s="22">
        <v>1.4610300000000001</v>
      </c>
      <c r="AZ320" s="22">
        <v>192.35900000000001</v>
      </c>
      <c r="BA320" s="22">
        <v>3.4826700000000002E-2</v>
      </c>
      <c r="BB320" s="22">
        <v>310</v>
      </c>
      <c r="BC320" s="22">
        <v>1.4648399999999999</v>
      </c>
      <c r="BD320">
        <f t="shared" si="58"/>
        <v>-34.826700000000002</v>
      </c>
      <c r="BE320">
        <f t="shared" si="59"/>
        <v>-50.882853501000007</v>
      </c>
    </row>
    <row r="321" spans="6:57">
      <c r="F321" s="9"/>
      <c r="G321" s="22">
        <v>0.18402099999999999</v>
      </c>
      <c r="H321" s="22">
        <v>37.376899999999999</v>
      </c>
      <c r="I321" s="22">
        <v>-1.87347E-2</v>
      </c>
      <c r="J321" s="22">
        <v>311</v>
      </c>
      <c r="K321" s="22">
        <v>0.183563</v>
      </c>
      <c r="L321">
        <f t="shared" si="48"/>
        <v>18.7347</v>
      </c>
      <c r="M321">
        <f t="shared" si="49"/>
        <v>3.4475782286999999</v>
      </c>
      <c r="N321" s="9"/>
      <c r="O321" s="22">
        <v>1.4660599999999999</v>
      </c>
      <c r="P321" s="22">
        <v>71.686099999999996</v>
      </c>
      <c r="Q321" s="22">
        <v>4.6728499999999999E-2</v>
      </c>
      <c r="R321" s="22">
        <v>311</v>
      </c>
      <c r="S321" s="22">
        <v>0.37255899999999997</v>
      </c>
      <c r="T321">
        <f t="shared" si="50"/>
        <v>-46.728499999999997</v>
      </c>
      <c r="U321">
        <f t="shared" si="51"/>
        <v>-68.506784709999991</v>
      </c>
      <c r="X321" s="9"/>
      <c r="Y321" s="22">
        <v>0.18402099999999999</v>
      </c>
      <c r="Z321" s="22">
        <v>105.892</v>
      </c>
      <c r="AA321" s="22">
        <v>-1.86523E-2</v>
      </c>
      <c r="AB321" s="22">
        <v>311</v>
      </c>
      <c r="AC321" s="22">
        <v>0.18362400000000001</v>
      </c>
      <c r="AD321">
        <f t="shared" si="52"/>
        <v>18.6523</v>
      </c>
      <c r="AE321">
        <f t="shared" si="53"/>
        <v>3.4324148982999998</v>
      </c>
      <c r="AF321" s="9"/>
      <c r="AG321" s="22">
        <v>1.4660599999999999</v>
      </c>
      <c r="AH321" s="22">
        <v>123.71299999999999</v>
      </c>
      <c r="AI321" s="22">
        <v>-1.7916899999999999E-2</v>
      </c>
      <c r="AJ321" s="22">
        <v>311</v>
      </c>
      <c r="AK321" s="22">
        <v>1.4654499999999999</v>
      </c>
      <c r="AL321">
        <f t="shared" si="54"/>
        <v>17.916899999999998</v>
      </c>
      <c r="AM321">
        <f t="shared" si="55"/>
        <v>26.267250413999996</v>
      </c>
      <c r="AP321" s="9"/>
      <c r="AQ321" s="22">
        <v>0.18402099999999999</v>
      </c>
      <c r="AR321" s="22">
        <v>157.982</v>
      </c>
      <c r="AS321" s="22">
        <v>-1.88171E-2</v>
      </c>
      <c r="AT321" s="22">
        <v>311</v>
      </c>
      <c r="AU321" s="22">
        <v>0.184113</v>
      </c>
      <c r="AV321">
        <f t="shared" si="56"/>
        <v>18.8171</v>
      </c>
      <c r="AW321">
        <f t="shared" si="57"/>
        <v>3.4627415590999999</v>
      </c>
      <c r="AX321" s="9"/>
      <c r="AY321" s="22">
        <v>1.4660599999999999</v>
      </c>
      <c r="AZ321" s="22">
        <v>192.369</v>
      </c>
      <c r="BA321" s="22">
        <v>4.16534E-2</v>
      </c>
      <c r="BB321" s="22">
        <v>311</v>
      </c>
      <c r="BC321" s="22">
        <v>1.4605699999999999</v>
      </c>
      <c r="BD321">
        <f t="shared" si="58"/>
        <v>-41.653399999999998</v>
      </c>
      <c r="BE321">
        <f t="shared" si="59"/>
        <v>-61.066383603999995</v>
      </c>
    </row>
    <row r="322" spans="6:57">
      <c r="F322" s="9"/>
      <c r="G322" s="22">
        <v>0.17898600000000001</v>
      </c>
      <c r="H322" s="22">
        <v>37.387</v>
      </c>
      <c r="I322" s="22">
        <v>-1.8789699999999999E-2</v>
      </c>
      <c r="J322" s="22">
        <v>312</v>
      </c>
      <c r="K322" s="22">
        <v>0.17977899999999999</v>
      </c>
      <c r="L322">
        <f t="shared" si="48"/>
        <v>18.7897</v>
      </c>
      <c r="M322">
        <f t="shared" si="49"/>
        <v>3.3630932441999999</v>
      </c>
      <c r="N322" s="9"/>
      <c r="O322" s="22">
        <v>1.4711000000000001</v>
      </c>
      <c r="P322" s="22">
        <v>71.696200000000005</v>
      </c>
      <c r="Q322" s="22">
        <v>4.6716300000000002E-2</v>
      </c>
      <c r="R322" s="22">
        <v>312</v>
      </c>
      <c r="S322" s="22">
        <v>0.370056</v>
      </c>
      <c r="T322">
        <f t="shared" si="50"/>
        <v>-46.716300000000004</v>
      </c>
      <c r="U322">
        <f t="shared" si="51"/>
        <v>-68.724348930000005</v>
      </c>
      <c r="X322" s="9"/>
      <c r="Y322" s="22">
        <v>0.17898600000000001</v>
      </c>
      <c r="Z322" s="22">
        <v>105.902</v>
      </c>
      <c r="AA322" s="22">
        <v>-1.8655399999999999E-2</v>
      </c>
      <c r="AB322" s="22">
        <v>312</v>
      </c>
      <c r="AC322" s="22">
        <v>0.17819199999999999</v>
      </c>
      <c r="AD322">
        <f t="shared" si="52"/>
        <v>18.6554</v>
      </c>
      <c r="AE322">
        <f t="shared" si="53"/>
        <v>3.3390554244000001</v>
      </c>
      <c r="AF322" s="9"/>
      <c r="AG322" s="22">
        <v>1.4711000000000001</v>
      </c>
      <c r="AH322" s="22">
        <v>123.723</v>
      </c>
      <c r="AI322" s="22">
        <v>-1.7907699999999999E-2</v>
      </c>
      <c r="AJ322" s="22">
        <v>312</v>
      </c>
      <c r="AK322" s="22">
        <v>1.4706399999999999</v>
      </c>
      <c r="AL322">
        <f t="shared" si="54"/>
        <v>17.907699999999998</v>
      </c>
      <c r="AM322">
        <f t="shared" si="55"/>
        <v>26.344017470000001</v>
      </c>
      <c r="AP322" s="9"/>
      <c r="AQ322" s="22">
        <v>0.17898600000000001</v>
      </c>
      <c r="AR322" s="22">
        <v>157.99199999999999</v>
      </c>
      <c r="AS322" s="22">
        <v>-1.8820199999999999E-2</v>
      </c>
      <c r="AT322" s="22">
        <v>312</v>
      </c>
      <c r="AU322" s="22">
        <v>0.17883299999999999</v>
      </c>
      <c r="AV322">
        <f t="shared" si="56"/>
        <v>18.8202</v>
      </c>
      <c r="AW322">
        <f t="shared" si="57"/>
        <v>3.3685523172000003</v>
      </c>
      <c r="AX322" s="9"/>
      <c r="AY322" s="22">
        <v>1.4711000000000001</v>
      </c>
      <c r="AZ322" s="22">
        <v>192.37899999999999</v>
      </c>
      <c r="BA322" s="22">
        <v>4.3731699999999998E-2</v>
      </c>
      <c r="BB322" s="22">
        <v>312</v>
      </c>
      <c r="BC322" s="22">
        <v>1.4706399999999999</v>
      </c>
      <c r="BD322">
        <f t="shared" si="58"/>
        <v>-43.731699999999996</v>
      </c>
      <c r="BE322">
        <f t="shared" si="59"/>
        <v>-64.333703869999994</v>
      </c>
    </row>
    <row r="323" spans="6:57">
      <c r="F323" s="9"/>
      <c r="G323" s="22">
        <v>0.17394999999999999</v>
      </c>
      <c r="H323" s="22">
        <v>37.397100000000002</v>
      </c>
      <c r="I323" s="22">
        <v>-1.8826300000000001E-2</v>
      </c>
      <c r="J323" s="22">
        <v>313</v>
      </c>
      <c r="K323" s="22">
        <v>0.17361499999999999</v>
      </c>
      <c r="L323">
        <f t="shared" si="48"/>
        <v>18.8263</v>
      </c>
      <c r="M323">
        <f t="shared" si="49"/>
        <v>3.2748348849999998</v>
      </c>
      <c r="N323" s="9"/>
      <c r="O323" s="22">
        <v>1.47614</v>
      </c>
      <c r="P323" s="22">
        <v>71.706199999999995</v>
      </c>
      <c r="Q323" s="22">
        <v>4.6707199999999997E-2</v>
      </c>
      <c r="R323" s="22">
        <v>313</v>
      </c>
      <c r="S323" s="22">
        <v>0.368286</v>
      </c>
      <c r="T323">
        <f t="shared" si="50"/>
        <v>-46.7072</v>
      </c>
      <c r="U323">
        <f t="shared" si="51"/>
        <v>-68.946366208000001</v>
      </c>
      <c r="X323" s="9"/>
      <c r="Y323" s="22">
        <v>0.17394999999999999</v>
      </c>
      <c r="Z323" s="22">
        <v>105.91200000000001</v>
      </c>
      <c r="AA323" s="22">
        <v>-1.8655399999999999E-2</v>
      </c>
      <c r="AB323" s="22">
        <v>313</v>
      </c>
      <c r="AC323" s="22">
        <v>0.17385900000000001</v>
      </c>
      <c r="AD323">
        <f t="shared" si="52"/>
        <v>18.6554</v>
      </c>
      <c r="AE323">
        <f t="shared" si="53"/>
        <v>3.2451068300000001</v>
      </c>
      <c r="AF323" s="9"/>
      <c r="AG323" s="22">
        <v>1.47614</v>
      </c>
      <c r="AH323" s="22">
        <v>123.733</v>
      </c>
      <c r="AI323" s="22">
        <v>-1.7892499999999999E-2</v>
      </c>
      <c r="AJ323" s="22">
        <v>313</v>
      </c>
      <c r="AK323" s="22">
        <v>1.47614</v>
      </c>
      <c r="AL323">
        <f t="shared" si="54"/>
        <v>17.892499999999998</v>
      </c>
      <c r="AM323">
        <f t="shared" si="55"/>
        <v>26.411834949999999</v>
      </c>
      <c r="AP323" s="9"/>
      <c r="AQ323" s="22">
        <v>0.17394999999999999</v>
      </c>
      <c r="AR323" s="22">
        <v>158.00200000000001</v>
      </c>
      <c r="AS323" s="22">
        <v>-1.8823199999999998E-2</v>
      </c>
      <c r="AT323" s="22">
        <v>313</v>
      </c>
      <c r="AU323" s="22">
        <v>0.17297399999999999</v>
      </c>
      <c r="AV323">
        <f t="shared" si="56"/>
        <v>18.8232</v>
      </c>
      <c r="AW323">
        <f t="shared" si="57"/>
        <v>3.2742956400000001</v>
      </c>
      <c r="AX323" s="9"/>
      <c r="AY323" s="22">
        <v>1.47614</v>
      </c>
      <c r="AZ323" s="22">
        <v>192.39</v>
      </c>
      <c r="BA323" s="22">
        <v>4.9743700000000002E-2</v>
      </c>
      <c r="BB323" s="22">
        <v>313</v>
      </c>
      <c r="BC323" s="22">
        <v>1.4736899999999999</v>
      </c>
      <c r="BD323">
        <f t="shared" si="58"/>
        <v>-49.743700000000004</v>
      </c>
      <c r="BE323">
        <f t="shared" si="59"/>
        <v>-73.428665318</v>
      </c>
    </row>
    <row r="324" spans="6:57">
      <c r="F324" s="9"/>
      <c r="G324" s="22">
        <v>0.16891500000000001</v>
      </c>
      <c r="H324" s="22">
        <v>37.407200000000003</v>
      </c>
      <c r="I324" s="22">
        <v>-1.8780499999999999E-2</v>
      </c>
      <c r="J324" s="22">
        <v>314</v>
      </c>
      <c r="K324" s="22">
        <v>0.16867099999999999</v>
      </c>
      <c r="L324">
        <f t="shared" si="48"/>
        <v>18.7805</v>
      </c>
      <c r="M324">
        <f t="shared" si="49"/>
        <v>3.1723081575000003</v>
      </c>
      <c r="N324" s="9"/>
      <c r="O324" s="22">
        <v>1.4811700000000001</v>
      </c>
      <c r="P324" s="22">
        <v>71.716300000000004</v>
      </c>
      <c r="Q324" s="22">
        <v>4.6676599999999999E-2</v>
      </c>
      <c r="R324" s="22">
        <v>314</v>
      </c>
      <c r="S324" s="22">
        <v>0.36392200000000002</v>
      </c>
      <c r="T324">
        <f t="shared" si="50"/>
        <v>-46.676600000000001</v>
      </c>
      <c r="U324">
        <f t="shared" si="51"/>
        <v>-69.135979622000008</v>
      </c>
      <c r="X324" s="9"/>
      <c r="Y324" s="22">
        <v>0.16891500000000001</v>
      </c>
      <c r="Z324" s="22">
        <v>105.922</v>
      </c>
      <c r="AA324" s="22">
        <v>-1.8658399999999999E-2</v>
      </c>
      <c r="AB324" s="22">
        <v>314</v>
      </c>
      <c r="AC324" s="22">
        <v>0.16836499999999999</v>
      </c>
      <c r="AD324">
        <f t="shared" si="52"/>
        <v>18.6584</v>
      </c>
      <c r="AE324">
        <f t="shared" si="53"/>
        <v>3.1516836360000005</v>
      </c>
      <c r="AF324" s="9"/>
      <c r="AG324" s="22">
        <v>1.4811700000000001</v>
      </c>
      <c r="AH324" s="22">
        <v>123.74299999999999</v>
      </c>
      <c r="AI324" s="22">
        <v>-1.7877199999999999E-2</v>
      </c>
      <c r="AJ324" s="22">
        <v>314</v>
      </c>
      <c r="AK324" s="22">
        <v>1.48102</v>
      </c>
      <c r="AL324">
        <f t="shared" si="54"/>
        <v>17.877199999999998</v>
      </c>
      <c r="AM324">
        <f t="shared" si="55"/>
        <v>26.479172324</v>
      </c>
      <c r="AP324" s="9"/>
      <c r="AQ324" s="22">
        <v>0.16891500000000001</v>
      </c>
      <c r="AR324" s="22">
        <v>158.012</v>
      </c>
      <c r="AS324" s="22">
        <v>-1.8823199999999998E-2</v>
      </c>
      <c r="AT324" s="22">
        <v>314</v>
      </c>
      <c r="AU324" s="22">
        <v>0.16830400000000001</v>
      </c>
      <c r="AV324">
        <f t="shared" si="56"/>
        <v>18.8232</v>
      </c>
      <c r="AW324">
        <f t="shared" si="57"/>
        <v>3.1795208280000002</v>
      </c>
      <c r="AX324" s="9"/>
      <c r="AY324" s="22">
        <v>1.4811700000000001</v>
      </c>
      <c r="AZ324" s="22">
        <v>192.4</v>
      </c>
      <c r="BA324" s="22">
        <v>5.74951E-2</v>
      </c>
      <c r="BB324" s="22">
        <v>314</v>
      </c>
      <c r="BC324" s="22">
        <v>1.48438</v>
      </c>
      <c r="BD324">
        <f t="shared" si="58"/>
        <v>-57.495100000000001</v>
      </c>
      <c r="BE324">
        <f t="shared" si="59"/>
        <v>-85.160017267000001</v>
      </c>
    </row>
    <row r="325" spans="6:57">
      <c r="F325" s="9"/>
      <c r="G325" s="22">
        <v>0.163879</v>
      </c>
      <c r="H325" s="22">
        <v>37.417200000000001</v>
      </c>
      <c r="I325" s="22">
        <v>-1.87347E-2</v>
      </c>
      <c r="J325" s="22">
        <v>315</v>
      </c>
      <c r="K325" s="22">
        <v>0.16195699999999999</v>
      </c>
      <c r="L325">
        <f t="shared" si="48"/>
        <v>18.7347</v>
      </c>
      <c r="M325">
        <f t="shared" si="49"/>
        <v>3.0702239012999999</v>
      </c>
      <c r="N325" s="9"/>
      <c r="O325" s="22">
        <v>1.48621</v>
      </c>
      <c r="P325" s="22">
        <v>71.726399999999998</v>
      </c>
      <c r="Q325" s="22">
        <v>4.6664400000000002E-2</v>
      </c>
      <c r="R325" s="22">
        <v>315</v>
      </c>
      <c r="S325" s="22">
        <v>0.36734</v>
      </c>
      <c r="T325">
        <f t="shared" si="50"/>
        <v>-46.664400000000001</v>
      </c>
      <c r="U325">
        <f t="shared" si="51"/>
        <v>-69.353097923999997</v>
      </c>
      <c r="X325" s="9"/>
      <c r="Y325" s="22">
        <v>0.163879</v>
      </c>
      <c r="Z325" s="22">
        <v>105.93300000000001</v>
      </c>
      <c r="AA325" s="22">
        <v>-1.8661500000000001E-2</v>
      </c>
      <c r="AB325" s="22">
        <v>315</v>
      </c>
      <c r="AC325" s="22">
        <v>0.163239</v>
      </c>
      <c r="AD325">
        <f t="shared" si="52"/>
        <v>18.6615</v>
      </c>
      <c r="AE325">
        <f t="shared" si="53"/>
        <v>3.0582279584999998</v>
      </c>
      <c r="AF325" s="9"/>
      <c r="AG325" s="22">
        <v>1.48621</v>
      </c>
      <c r="AH325" s="22">
        <v>123.753</v>
      </c>
      <c r="AI325" s="22">
        <v>-1.78619E-2</v>
      </c>
      <c r="AJ325" s="22">
        <v>315</v>
      </c>
      <c r="AK325" s="22">
        <v>1.4859</v>
      </c>
      <c r="AL325">
        <f t="shared" si="54"/>
        <v>17.861899999999999</v>
      </c>
      <c r="AM325">
        <f t="shared" si="55"/>
        <v>26.546534398999999</v>
      </c>
      <c r="AP325" s="9"/>
      <c r="AQ325" s="22">
        <v>0.163879</v>
      </c>
      <c r="AR325" s="22">
        <v>158.023</v>
      </c>
      <c r="AS325" s="22">
        <v>-1.8823199999999998E-2</v>
      </c>
      <c r="AT325" s="22">
        <v>315</v>
      </c>
      <c r="AU325" s="22">
        <v>0.16384899999999999</v>
      </c>
      <c r="AV325">
        <f t="shared" si="56"/>
        <v>18.8232</v>
      </c>
      <c r="AW325">
        <f t="shared" si="57"/>
        <v>3.0847271928</v>
      </c>
      <c r="AX325" s="9"/>
      <c r="AY325" s="22">
        <v>1.48621</v>
      </c>
      <c r="AZ325" s="22">
        <v>192.41</v>
      </c>
      <c r="BA325" s="22">
        <v>6.5368700000000002E-2</v>
      </c>
      <c r="BB325" s="22">
        <v>315</v>
      </c>
      <c r="BC325" s="22">
        <v>1.48529</v>
      </c>
      <c r="BD325">
        <f t="shared" si="58"/>
        <v>-65.368700000000004</v>
      </c>
      <c r="BE325">
        <f t="shared" si="59"/>
        <v>-97.151615627000012</v>
      </c>
    </row>
    <row r="326" spans="6:57">
      <c r="F326" s="9"/>
      <c r="G326" s="22">
        <v>0.15884400000000001</v>
      </c>
      <c r="H326" s="22">
        <v>37.427300000000002</v>
      </c>
      <c r="I326" s="22">
        <v>-1.8627899999999999E-2</v>
      </c>
      <c r="J326" s="22">
        <v>316</v>
      </c>
      <c r="K326" s="22">
        <v>0.15634200000000001</v>
      </c>
      <c r="L326">
        <f t="shared" si="48"/>
        <v>18.6279</v>
      </c>
      <c r="M326">
        <f t="shared" si="49"/>
        <v>2.9589301476000003</v>
      </c>
      <c r="N326" s="9"/>
      <c r="O326" s="22">
        <v>1.4912399999999999</v>
      </c>
      <c r="P326" s="22">
        <v>71.736400000000003</v>
      </c>
      <c r="Q326" s="22">
        <v>4.6664400000000002E-2</v>
      </c>
      <c r="R326" s="22">
        <v>316</v>
      </c>
      <c r="S326" s="22">
        <v>0.36660799999999999</v>
      </c>
      <c r="T326">
        <f t="shared" si="50"/>
        <v>-46.664400000000001</v>
      </c>
      <c r="U326">
        <f t="shared" si="51"/>
        <v>-69.587819855999996</v>
      </c>
      <c r="X326" s="9"/>
      <c r="Y326" s="22">
        <v>0.15884400000000001</v>
      </c>
      <c r="Z326" s="22">
        <v>105.943</v>
      </c>
      <c r="AA326" s="22">
        <v>-1.8661500000000001E-2</v>
      </c>
      <c r="AB326" s="22">
        <v>316</v>
      </c>
      <c r="AC326" s="22">
        <v>0.15853900000000001</v>
      </c>
      <c r="AD326">
        <f t="shared" si="52"/>
        <v>18.6615</v>
      </c>
      <c r="AE326">
        <f t="shared" si="53"/>
        <v>2.9642673060000004</v>
      </c>
      <c r="AF326" s="9"/>
      <c r="AG326" s="22">
        <v>1.4912399999999999</v>
      </c>
      <c r="AH326" s="22">
        <v>123.76300000000001</v>
      </c>
      <c r="AI326" s="22">
        <v>-1.7843600000000001E-2</v>
      </c>
      <c r="AJ326" s="22">
        <v>316</v>
      </c>
      <c r="AK326" s="22">
        <v>1.49048</v>
      </c>
      <c r="AL326">
        <f t="shared" si="54"/>
        <v>17.843600000000002</v>
      </c>
      <c r="AM326">
        <f t="shared" si="55"/>
        <v>26.609090064</v>
      </c>
      <c r="AP326" s="9"/>
      <c r="AQ326" s="22">
        <v>0.15884400000000001</v>
      </c>
      <c r="AR326" s="22">
        <v>158.03299999999999</v>
      </c>
      <c r="AS326" s="22">
        <v>-1.8823199999999998E-2</v>
      </c>
      <c r="AT326" s="22">
        <v>316</v>
      </c>
      <c r="AU326" s="22">
        <v>0.15856899999999999</v>
      </c>
      <c r="AV326">
        <f t="shared" si="56"/>
        <v>18.8232</v>
      </c>
      <c r="AW326">
        <f t="shared" si="57"/>
        <v>2.9899523808000001</v>
      </c>
      <c r="AX326" s="9"/>
      <c r="AY326" s="22">
        <v>1.4912399999999999</v>
      </c>
      <c r="AZ326" s="22">
        <v>192.42</v>
      </c>
      <c r="BA326" s="22">
        <v>7.3974600000000001E-2</v>
      </c>
      <c r="BB326" s="22">
        <v>316</v>
      </c>
      <c r="BC326" s="22">
        <v>1.4917</v>
      </c>
      <c r="BD326">
        <f t="shared" si="58"/>
        <v>-73.974599999999995</v>
      </c>
      <c r="BE326">
        <f t="shared" si="59"/>
        <v>-110.31388250399999</v>
      </c>
    </row>
    <row r="327" spans="6:57">
      <c r="F327" s="9"/>
      <c r="G327" s="22">
        <v>0.153809</v>
      </c>
      <c r="H327" s="22">
        <v>37.437399999999997</v>
      </c>
      <c r="I327" s="22">
        <v>-1.8698099999999999E-2</v>
      </c>
      <c r="J327" s="22">
        <v>317</v>
      </c>
      <c r="K327" s="22">
        <v>0.15371699999999999</v>
      </c>
      <c r="L327">
        <f t="shared" si="48"/>
        <v>18.6981</v>
      </c>
      <c r="M327">
        <f t="shared" si="49"/>
        <v>2.8759360629000001</v>
      </c>
      <c r="N327" s="9"/>
      <c r="O327" s="22">
        <v>1.4962800000000001</v>
      </c>
      <c r="P327" s="22">
        <v>71.746499999999997</v>
      </c>
      <c r="Q327" s="22">
        <v>4.6640000000000001E-2</v>
      </c>
      <c r="R327" s="22">
        <v>317</v>
      </c>
      <c r="S327" s="22">
        <v>0.378021</v>
      </c>
      <c r="T327">
        <f t="shared" si="50"/>
        <v>-46.64</v>
      </c>
      <c r="U327">
        <f t="shared" si="51"/>
        <v>-69.786499200000009</v>
      </c>
      <c r="X327" s="9"/>
      <c r="Y327" s="22">
        <v>0.153809</v>
      </c>
      <c r="Z327" s="22">
        <v>105.953</v>
      </c>
      <c r="AA327" s="22">
        <v>-1.86646E-2</v>
      </c>
      <c r="AB327" s="22">
        <v>317</v>
      </c>
      <c r="AC327" s="22">
        <v>0.153778</v>
      </c>
      <c r="AD327">
        <f t="shared" si="52"/>
        <v>18.6646</v>
      </c>
      <c r="AE327">
        <f t="shared" si="53"/>
        <v>2.8707834613999998</v>
      </c>
      <c r="AF327" s="9"/>
      <c r="AG327" s="22">
        <v>1.4962800000000001</v>
      </c>
      <c r="AH327" s="22">
        <v>123.774</v>
      </c>
      <c r="AI327" s="22">
        <v>-1.7822299999999999E-2</v>
      </c>
      <c r="AJ327" s="22">
        <v>317</v>
      </c>
      <c r="AK327" s="22">
        <v>1.49536</v>
      </c>
      <c r="AL327">
        <f t="shared" si="54"/>
        <v>17.822299999999998</v>
      </c>
      <c r="AM327">
        <f t="shared" si="55"/>
        <v>26.667151043999997</v>
      </c>
      <c r="AP327" s="9"/>
      <c r="AQ327" s="22">
        <v>0.153809</v>
      </c>
      <c r="AR327" s="22">
        <v>158.04300000000001</v>
      </c>
      <c r="AS327" s="22">
        <v>-1.8823199999999998E-2</v>
      </c>
      <c r="AT327" s="22">
        <v>317</v>
      </c>
      <c r="AU327" s="22">
        <v>0.153503</v>
      </c>
      <c r="AV327">
        <f t="shared" si="56"/>
        <v>18.8232</v>
      </c>
      <c r="AW327">
        <f t="shared" si="57"/>
        <v>2.8951775687999999</v>
      </c>
      <c r="AX327" s="9"/>
      <c r="AY327" s="22">
        <v>1.4962800000000001</v>
      </c>
      <c r="AZ327" s="22">
        <v>192.43</v>
      </c>
      <c r="BA327" s="22">
        <v>7.1289099999999994E-2</v>
      </c>
      <c r="BB327" s="22">
        <v>317</v>
      </c>
      <c r="BC327" s="22">
        <v>1.49261</v>
      </c>
      <c r="BD327">
        <f t="shared" si="58"/>
        <v>-71.289099999999991</v>
      </c>
      <c r="BE327">
        <f t="shared" si="59"/>
        <v>-106.66845454799999</v>
      </c>
    </row>
    <row r="328" spans="6:57">
      <c r="F328" s="9"/>
      <c r="G328" s="22">
        <v>0.14877299999999999</v>
      </c>
      <c r="H328" s="22">
        <v>37.447400000000002</v>
      </c>
      <c r="I328" s="22">
        <v>-1.87073E-2</v>
      </c>
      <c r="J328" s="22">
        <v>318</v>
      </c>
      <c r="K328" s="22">
        <v>0.14801</v>
      </c>
      <c r="L328">
        <f t="shared" si="48"/>
        <v>18.7073</v>
      </c>
      <c r="M328">
        <f t="shared" si="49"/>
        <v>2.7831411428999999</v>
      </c>
      <c r="N328" s="9"/>
      <c r="O328" s="22">
        <v>1.5013099999999999</v>
      </c>
      <c r="P328" s="22">
        <v>71.756600000000006</v>
      </c>
      <c r="Q328" s="22">
        <v>4.6624800000000001E-2</v>
      </c>
      <c r="R328" s="22">
        <v>318</v>
      </c>
      <c r="S328" s="22">
        <v>0.375946</v>
      </c>
      <c r="T328">
        <f t="shared" si="50"/>
        <v>-46.6248</v>
      </c>
      <c r="U328">
        <f t="shared" si="51"/>
        <v>-69.998278487999997</v>
      </c>
      <c r="X328" s="9"/>
      <c r="Y328" s="22">
        <v>0.14877299999999999</v>
      </c>
      <c r="Z328" s="22">
        <v>105.96299999999999</v>
      </c>
      <c r="AA328" s="22">
        <v>-1.86646E-2</v>
      </c>
      <c r="AB328" s="22">
        <v>318</v>
      </c>
      <c r="AC328" s="22">
        <v>0.14843799999999999</v>
      </c>
      <c r="AD328">
        <f t="shared" si="52"/>
        <v>18.6646</v>
      </c>
      <c r="AE328">
        <f t="shared" si="53"/>
        <v>2.7767885357999997</v>
      </c>
      <c r="AF328" s="9"/>
      <c r="AG328" s="22">
        <v>1.5013099999999999</v>
      </c>
      <c r="AH328" s="22">
        <v>123.78400000000001</v>
      </c>
      <c r="AI328" s="22">
        <v>-1.7804E-2</v>
      </c>
      <c r="AJ328" s="22">
        <v>318</v>
      </c>
      <c r="AK328" s="22">
        <v>1.50024</v>
      </c>
      <c r="AL328">
        <f t="shared" si="54"/>
        <v>17.804000000000002</v>
      </c>
      <c r="AM328">
        <f t="shared" si="55"/>
        <v>26.729323240000003</v>
      </c>
      <c r="AP328" s="9"/>
      <c r="AQ328" s="22">
        <v>0.14877299999999999</v>
      </c>
      <c r="AR328" s="22">
        <v>158.053</v>
      </c>
      <c r="AS328" s="22">
        <v>-1.8826300000000001E-2</v>
      </c>
      <c r="AT328" s="22">
        <v>318</v>
      </c>
      <c r="AU328" s="22">
        <v>0.14837600000000001</v>
      </c>
      <c r="AV328">
        <f t="shared" si="56"/>
        <v>18.8263</v>
      </c>
      <c r="AW328">
        <f t="shared" si="57"/>
        <v>2.8008451298999999</v>
      </c>
      <c r="AX328" s="9"/>
      <c r="AY328" s="22">
        <v>1.5013099999999999</v>
      </c>
      <c r="AZ328" s="22">
        <v>192.44</v>
      </c>
      <c r="BA328" s="22">
        <v>7.5439500000000007E-2</v>
      </c>
      <c r="BB328" s="22">
        <v>318</v>
      </c>
      <c r="BC328" s="22">
        <v>1.50116</v>
      </c>
      <c r="BD328">
        <f t="shared" si="58"/>
        <v>-75.43950000000001</v>
      </c>
      <c r="BE328">
        <f t="shared" si="59"/>
        <v>-113.25807574500001</v>
      </c>
    </row>
    <row r="329" spans="6:57">
      <c r="F329" s="9"/>
      <c r="G329" s="22">
        <v>0.143738</v>
      </c>
      <c r="H329" s="22">
        <v>37.457500000000003</v>
      </c>
      <c r="I329" s="22">
        <v>-1.8701200000000001E-2</v>
      </c>
      <c r="J329" s="22">
        <v>319</v>
      </c>
      <c r="K329" s="22">
        <v>0.14224200000000001</v>
      </c>
      <c r="L329">
        <f t="shared" si="48"/>
        <v>18.7012</v>
      </c>
      <c r="M329">
        <f t="shared" si="49"/>
        <v>2.6880730856000001</v>
      </c>
      <c r="N329" s="9"/>
      <c r="O329" s="22">
        <v>1.5063500000000001</v>
      </c>
      <c r="P329" s="22">
        <v>71.7667</v>
      </c>
      <c r="Q329" s="22">
        <v>4.6676599999999999E-2</v>
      </c>
      <c r="R329" s="22">
        <v>319</v>
      </c>
      <c r="S329" s="22">
        <v>0.37789899999999998</v>
      </c>
      <c r="T329">
        <f t="shared" si="50"/>
        <v>-46.676600000000001</v>
      </c>
      <c r="U329">
        <f t="shared" si="51"/>
        <v>-70.311296410000011</v>
      </c>
      <c r="X329" s="9"/>
      <c r="Y329" s="22">
        <v>0.143738</v>
      </c>
      <c r="Z329" s="22">
        <v>105.973</v>
      </c>
      <c r="AA329" s="22">
        <v>-1.8667599999999999E-2</v>
      </c>
      <c r="AB329" s="22">
        <v>319</v>
      </c>
      <c r="AC329" s="22">
        <v>0.142456</v>
      </c>
      <c r="AD329">
        <f t="shared" si="52"/>
        <v>18.6676</v>
      </c>
      <c r="AE329">
        <f t="shared" si="53"/>
        <v>2.6832434888000001</v>
      </c>
      <c r="AF329" s="9"/>
      <c r="AG329" s="22">
        <v>1.5063500000000001</v>
      </c>
      <c r="AH329" s="22">
        <v>123.794</v>
      </c>
      <c r="AI329" s="22">
        <v>-1.7782599999999999E-2</v>
      </c>
      <c r="AJ329" s="22">
        <v>319</v>
      </c>
      <c r="AK329" s="22">
        <v>1.5051300000000001</v>
      </c>
      <c r="AL329">
        <f t="shared" si="54"/>
        <v>17.782599999999999</v>
      </c>
      <c r="AM329">
        <f t="shared" si="55"/>
        <v>26.786819510000001</v>
      </c>
      <c r="AP329" s="9"/>
      <c r="AQ329" s="22">
        <v>0.143738</v>
      </c>
      <c r="AR329" s="22">
        <v>158.06299999999999</v>
      </c>
      <c r="AS329" s="22">
        <v>-1.8826300000000001E-2</v>
      </c>
      <c r="AT329" s="22">
        <v>319</v>
      </c>
      <c r="AU329" s="22">
        <v>0.143402</v>
      </c>
      <c r="AV329">
        <f t="shared" si="56"/>
        <v>18.8263</v>
      </c>
      <c r="AW329">
        <f t="shared" si="57"/>
        <v>2.7060547094</v>
      </c>
      <c r="AX329" s="9"/>
      <c r="AY329" s="22">
        <v>1.5063500000000001</v>
      </c>
      <c r="AZ329" s="22">
        <v>192.45</v>
      </c>
      <c r="BA329" s="22">
        <v>8.1909200000000001E-2</v>
      </c>
      <c r="BB329" s="22">
        <v>319</v>
      </c>
      <c r="BC329" s="22">
        <v>1.50665</v>
      </c>
      <c r="BD329">
        <f t="shared" si="58"/>
        <v>-81.909199999999998</v>
      </c>
      <c r="BE329">
        <f t="shared" si="59"/>
        <v>-123.38392342</v>
      </c>
    </row>
    <row r="330" spans="6:57">
      <c r="F330" s="9"/>
      <c r="G330" s="22">
        <v>0.13870199999999999</v>
      </c>
      <c r="H330" s="22">
        <v>37.467599999999997</v>
      </c>
      <c r="I330" s="22">
        <v>-1.8698099999999999E-2</v>
      </c>
      <c r="J330" s="22">
        <v>320</v>
      </c>
      <c r="K330" s="22">
        <v>0.13806199999999999</v>
      </c>
      <c r="L330">
        <f t="shared" si="48"/>
        <v>18.6981</v>
      </c>
      <c r="M330">
        <f t="shared" si="49"/>
        <v>2.5934638662</v>
      </c>
      <c r="N330" s="9"/>
      <c r="O330" s="22">
        <v>1.5113799999999999</v>
      </c>
      <c r="P330" s="22">
        <v>71.776700000000005</v>
      </c>
      <c r="Q330" s="22">
        <v>4.6441700000000002E-2</v>
      </c>
      <c r="R330" s="22">
        <v>320</v>
      </c>
      <c r="S330" s="22">
        <v>0.378052</v>
      </c>
      <c r="T330">
        <f t="shared" si="50"/>
        <v>-46.441700000000004</v>
      </c>
      <c r="U330">
        <f t="shared" si="51"/>
        <v>-70.191056545999999</v>
      </c>
      <c r="X330" s="9"/>
      <c r="Y330" s="22">
        <v>0.13870199999999999</v>
      </c>
      <c r="Z330" s="22">
        <v>105.983</v>
      </c>
      <c r="AA330" s="22">
        <v>-1.8670699999999998E-2</v>
      </c>
      <c r="AB330" s="22">
        <v>320</v>
      </c>
      <c r="AC330" s="22">
        <v>0.13836699999999999</v>
      </c>
      <c r="AD330">
        <f t="shared" si="52"/>
        <v>18.6707</v>
      </c>
      <c r="AE330">
        <f t="shared" si="53"/>
        <v>2.5896634314</v>
      </c>
      <c r="AF330" s="9"/>
      <c r="AG330" s="22">
        <v>1.5113799999999999</v>
      </c>
      <c r="AH330" s="22">
        <v>123.804</v>
      </c>
      <c r="AI330" s="22">
        <v>-1.7755099999999999E-2</v>
      </c>
      <c r="AJ330" s="22">
        <v>320</v>
      </c>
      <c r="AK330" s="22">
        <v>1.5109300000000001</v>
      </c>
      <c r="AL330">
        <f t="shared" si="54"/>
        <v>17.755099999999999</v>
      </c>
      <c r="AM330">
        <f t="shared" si="55"/>
        <v>26.834703037999997</v>
      </c>
      <c r="AP330" s="9"/>
      <c r="AQ330" s="22">
        <v>0.13870199999999999</v>
      </c>
      <c r="AR330" s="22">
        <v>158.07300000000001</v>
      </c>
      <c r="AS330" s="22">
        <v>-1.88293E-2</v>
      </c>
      <c r="AT330" s="22">
        <v>320</v>
      </c>
      <c r="AU330" s="22">
        <v>0.13800000000000001</v>
      </c>
      <c r="AV330">
        <f t="shared" si="56"/>
        <v>18.8293</v>
      </c>
      <c r="AW330">
        <f t="shared" si="57"/>
        <v>2.6116615685999998</v>
      </c>
      <c r="AX330" s="9"/>
      <c r="AY330" s="22">
        <v>1.5113799999999999</v>
      </c>
      <c r="AZ330" s="22">
        <v>192.46</v>
      </c>
      <c r="BA330" s="22">
        <v>8.6608900000000003E-2</v>
      </c>
      <c r="BB330" s="22">
        <v>320</v>
      </c>
      <c r="BC330" s="22">
        <v>1.5106200000000001</v>
      </c>
      <c r="BD330">
        <f t="shared" si="58"/>
        <v>-86.608900000000006</v>
      </c>
      <c r="BE330">
        <f t="shared" si="59"/>
        <v>-130.89895928199999</v>
      </c>
    </row>
    <row r="331" spans="6:57">
      <c r="F331" s="9"/>
      <c r="G331" s="22">
        <v>0.13366700000000001</v>
      </c>
      <c r="H331" s="22">
        <v>37.477699999999999</v>
      </c>
      <c r="I331" s="22">
        <v>-1.8753100000000002E-2</v>
      </c>
      <c r="J331" s="22">
        <v>321</v>
      </c>
      <c r="K331" s="22">
        <v>0.13348399999999999</v>
      </c>
      <c r="L331">
        <f t="shared" si="48"/>
        <v>18.753100000000003</v>
      </c>
      <c r="M331">
        <f t="shared" si="49"/>
        <v>2.5066706177000007</v>
      </c>
      <c r="N331" s="9"/>
      <c r="O331" s="22">
        <v>1.5164200000000001</v>
      </c>
      <c r="P331" s="22">
        <v>71.786799999999999</v>
      </c>
      <c r="Q331" s="22">
        <v>4.6517900000000001E-2</v>
      </c>
      <c r="R331" s="22">
        <v>321</v>
      </c>
      <c r="S331" s="22">
        <v>0.373108</v>
      </c>
      <c r="T331">
        <f t="shared" si="50"/>
        <v>-46.517899999999997</v>
      </c>
      <c r="U331">
        <f t="shared" si="51"/>
        <v>-70.540673917999996</v>
      </c>
      <c r="X331" s="9"/>
      <c r="Y331" s="22">
        <v>0.13366700000000001</v>
      </c>
      <c r="Z331" s="22">
        <v>105.99299999999999</v>
      </c>
      <c r="AA331" s="22">
        <v>-1.8670699999999998E-2</v>
      </c>
      <c r="AB331" s="22">
        <v>321</v>
      </c>
      <c r="AC331" s="22">
        <v>0.13284299999999999</v>
      </c>
      <c r="AD331">
        <f t="shared" si="52"/>
        <v>18.6707</v>
      </c>
      <c r="AE331">
        <f t="shared" si="53"/>
        <v>2.4956564569000004</v>
      </c>
      <c r="AF331" s="9"/>
      <c r="AG331" s="22">
        <v>1.5164200000000001</v>
      </c>
      <c r="AH331" s="22">
        <v>123.81399999999999</v>
      </c>
      <c r="AI331" s="22">
        <v>-1.7730699999999999E-2</v>
      </c>
      <c r="AJ331" s="22">
        <v>321</v>
      </c>
      <c r="AK331" s="22">
        <v>1.5155000000000001</v>
      </c>
      <c r="AL331">
        <f t="shared" si="54"/>
        <v>17.730699999999999</v>
      </c>
      <c r="AM331">
        <f t="shared" si="55"/>
        <v>26.887188093999999</v>
      </c>
      <c r="AP331" s="9"/>
      <c r="AQ331" s="22">
        <v>0.13366700000000001</v>
      </c>
      <c r="AR331" s="22">
        <v>158.083</v>
      </c>
      <c r="AS331" s="22">
        <v>-1.88293E-2</v>
      </c>
      <c r="AT331" s="22">
        <v>321</v>
      </c>
      <c r="AU331" s="22">
        <v>0.133636</v>
      </c>
      <c r="AV331">
        <f t="shared" si="56"/>
        <v>18.8293</v>
      </c>
      <c r="AW331">
        <f t="shared" si="57"/>
        <v>2.5168560431000002</v>
      </c>
      <c r="AX331" s="9"/>
      <c r="AY331" s="22">
        <v>1.5164200000000001</v>
      </c>
      <c r="AZ331" s="22">
        <v>192.47</v>
      </c>
      <c r="BA331" s="22">
        <v>9.6038799999999994E-2</v>
      </c>
      <c r="BB331" s="22">
        <v>321</v>
      </c>
      <c r="BC331" s="22">
        <v>1.5158100000000001</v>
      </c>
      <c r="BD331">
        <f t="shared" si="58"/>
        <v>-96.038799999999995</v>
      </c>
      <c r="BE331">
        <f t="shared" si="59"/>
        <v>-145.635157096</v>
      </c>
    </row>
    <row r="332" spans="6:57">
      <c r="F332" s="9"/>
      <c r="G332" s="22">
        <v>0.128632</v>
      </c>
      <c r="H332" s="22">
        <v>37.487699999999997</v>
      </c>
      <c r="I332" s="22">
        <v>-1.8716400000000001E-2</v>
      </c>
      <c r="J332" s="22">
        <v>322</v>
      </c>
      <c r="K332" s="22">
        <v>0.126831</v>
      </c>
      <c r="L332">
        <f t="shared" ref="L332:L378" si="60">-I332/$F$2*1000</f>
        <v>18.7164</v>
      </c>
      <c r="M332">
        <f t="shared" ref="M332:M378" si="61">L332*G332</f>
        <v>2.4075279647999999</v>
      </c>
      <c r="N332" s="9"/>
      <c r="O332" s="22">
        <v>1.52145</v>
      </c>
      <c r="P332" s="22">
        <v>71.796899999999994</v>
      </c>
      <c r="Q332" s="22">
        <v>4.6694899999999998E-2</v>
      </c>
      <c r="R332" s="22">
        <v>322</v>
      </c>
      <c r="S332" s="22">
        <v>0.36734</v>
      </c>
      <c r="T332">
        <f t="shared" ref="T332:T378" si="62">-Q332/$F$2*1000</f>
        <v>-46.694899999999997</v>
      </c>
      <c r="U332">
        <f t="shared" ref="U332:U378" si="63">T332*O332</f>
        <v>-71.043955604999994</v>
      </c>
      <c r="X332" s="9"/>
      <c r="Y332" s="22">
        <v>0.128632</v>
      </c>
      <c r="Z332" s="22">
        <v>106.003</v>
      </c>
      <c r="AA332" s="22">
        <v>-1.8673700000000001E-2</v>
      </c>
      <c r="AB332" s="22">
        <v>322</v>
      </c>
      <c r="AC332" s="22">
        <v>0.12847900000000001</v>
      </c>
      <c r="AD332">
        <f t="shared" ref="AD332:AD378" si="64">-AA332/$F$2*1000</f>
        <v>18.6737</v>
      </c>
      <c r="AE332">
        <f t="shared" ref="AE332:AE378" si="65">AD332*Y332</f>
        <v>2.4020353783999999</v>
      </c>
      <c r="AF332" s="9"/>
      <c r="AG332" s="22">
        <v>1.52145</v>
      </c>
      <c r="AH332" s="22">
        <v>123.824</v>
      </c>
      <c r="AI332" s="22">
        <v>-1.7703199999999999E-2</v>
      </c>
      <c r="AJ332" s="22">
        <v>322</v>
      </c>
      <c r="AK332" s="22">
        <v>1.5216099999999999</v>
      </c>
      <c r="AL332">
        <f t="shared" ref="AL332:AL378" si="66">-AI332/$F$2*1000</f>
        <v>17.703199999999999</v>
      </c>
      <c r="AM332">
        <f t="shared" ref="AM332:AM378" si="67">AL332*AG332</f>
        <v>26.934533639999998</v>
      </c>
      <c r="AP332" s="9"/>
      <c r="AQ332" s="22">
        <v>0.128632</v>
      </c>
      <c r="AR332" s="22">
        <v>158.09299999999999</v>
      </c>
      <c r="AS332" s="22">
        <v>-1.88293E-2</v>
      </c>
      <c r="AT332" s="22">
        <v>322</v>
      </c>
      <c r="AU332" s="22">
        <v>0.128418</v>
      </c>
      <c r="AV332">
        <f t="shared" ref="AV332:AV378" si="68">-AS332/$F$2*1000</f>
        <v>18.8293</v>
      </c>
      <c r="AW332">
        <f t="shared" ref="AW332:AW378" si="69">AV332*AQ332</f>
        <v>2.4220505175999998</v>
      </c>
      <c r="AX332" s="9"/>
      <c r="AY332" s="22">
        <v>1.52145</v>
      </c>
      <c r="AZ332" s="22">
        <v>192.48</v>
      </c>
      <c r="BA332" s="22">
        <v>9.8266599999999996E-2</v>
      </c>
      <c r="BB332" s="22">
        <v>322</v>
      </c>
      <c r="BC332" s="22">
        <v>1.5216099999999999</v>
      </c>
      <c r="BD332">
        <f t="shared" ref="BD332:BD378" si="70">-BA332/$F$2*1000</f>
        <v>-98.266599999999997</v>
      </c>
      <c r="BE332">
        <f t="shared" ref="BE332:BE378" si="71">BD332*AY332</f>
        <v>-149.50771856999998</v>
      </c>
    </row>
    <row r="333" spans="6:57">
      <c r="F333" s="9"/>
      <c r="G333" s="22">
        <v>0.123596</v>
      </c>
      <c r="H333" s="22">
        <v>37.497799999999998</v>
      </c>
      <c r="I333" s="22">
        <v>-1.87225E-2</v>
      </c>
      <c r="J333" s="22">
        <v>323</v>
      </c>
      <c r="K333" s="22">
        <v>0.122253</v>
      </c>
      <c r="L333">
        <f t="shared" si="60"/>
        <v>18.7225</v>
      </c>
      <c r="M333">
        <f t="shared" si="61"/>
        <v>2.3140261099999999</v>
      </c>
      <c r="N333" s="9"/>
      <c r="O333" s="22">
        <v>1.5264899999999999</v>
      </c>
      <c r="P333" s="22">
        <v>71.806899999999999</v>
      </c>
      <c r="Q333" s="22">
        <v>4.6746799999999998E-2</v>
      </c>
      <c r="R333" s="22">
        <v>323</v>
      </c>
      <c r="S333" s="22">
        <v>0.37356600000000001</v>
      </c>
      <c r="T333">
        <f t="shared" si="62"/>
        <v>-46.7468</v>
      </c>
      <c r="U333">
        <f t="shared" si="63"/>
        <v>-71.358522731999997</v>
      </c>
      <c r="X333" s="9"/>
      <c r="Y333" s="22">
        <v>0.123596</v>
      </c>
      <c r="Z333" s="22">
        <v>106.01300000000001</v>
      </c>
      <c r="AA333" s="22">
        <v>-1.8673700000000001E-2</v>
      </c>
      <c r="AB333" s="22">
        <v>323</v>
      </c>
      <c r="AC333" s="22">
        <v>0.122498</v>
      </c>
      <c r="AD333">
        <f t="shared" si="64"/>
        <v>18.6737</v>
      </c>
      <c r="AE333">
        <f t="shared" si="65"/>
        <v>2.3079946252000001</v>
      </c>
      <c r="AF333" s="9"/>
      <c r="AG333" s="22">
        <v>1.5264899999999999</v>
      </c>
      <c r="AH333" s="22">
        <v>123.834</v>
      </c>
      <c r="AI333" s="22">
        <v>-1.76727E-2</v>
      </c>
      <c r="AJ333" s="22">
        <v>323</v>
      </c>
      <c r="AK333" s="22">
        <v>1.5264899999999999</v>
      </c>
      <c r="AL333">
        <f t="shared" si="66"/>
        <v>17.672699999999999</v>
      </c>
      <c r="AM333">
        <f t="shared" si="67"/>
        <v>26.977199822999996</v>
      </c>
      <c r="AP333" s="9"/>
      <c r="AQ333" s="22">
        <v>0.123596</v>
      </c>
      <c r="AR333" s="22">
        <v>158.10300000000001</v>
      </c>
      <c r="AS333" s="22">
        <v>-1.8832399999999999E-2</v>
      </c>
      <c r="AT333" s="22">
        <v>323</v>
      </c>
      <c r="AU333" s="22">
        <v>0.12307700000000001</v>
      </c>
      <c r="AV333">
        <f t="shared" si="68"/>
        <v>18.8324</v>
      </c>
      <c r="AW333">
        <f t="shared" si="69"/>
        <v>2.3276093103999997</v>
      </c>
      <c r="AX333" s="9"/>
      <c r="AY333" s="22">
        <v>1.5264899999999999</v>
      </c>
      <c r="AZ333" s="22">
        <v>192.49</v>
      </c>
      <c r="BA333" s="22">
        <v>0.103058</v>
      </c>
      <c r="BB333" s="22">
        <v>323</v>
      </c>
      <c r="BC333" s="22">
        <v>1.5258799999999999</v>
      </c>
      <c r="BD333">
        <f t="shared" si="70"/>
        <v>-103.05799999999999</v>
      </c>
      <c r="BE333">
        <f t="shared" si="71"/>
        <v>-157.31700641999998</v>
      </c>
    </row>
    <row r="334" spans="6:57">
      <c r="F334" s="9"/>
      <c r="G334" s="22">
        <v>0.118561</v>
      </c>
      <c r="H334" s="22">
        <v>37.507899999999999</v>
      </c>
      <c r="I334" s="22">
        <v>-1.8728600000000001E-2</v>
      </c>
      <c r="J334" s="22">
        <v>324</v>
      </c>
      <c r="K334" s="22">
        <v>0.117798</v>
      </c>
      <c r="L334">
        <f t="shared" si="60"/>
        <v>18.7286</v>
      </c>
      <c r="M334">
        <f t="shared" si="61"/>
        <v>2.2204815446000001</v>
      </c>
      <c r="N334" s="9"/>
      <c r="O334" s="22">
        <v>1.53152</v>
      </c>
      <c r="P334" s="22">
        <v>71.816999999999993</v>
      </c>
      <c r="Q334" s="22">
        <v>4.6771199999999999E-2</v>
      </c>
      <c r="R334" s="22">
        <v>324</v>
      </c>
      <c r="S334" s="22">
        <v>0.37652600000000003</v>
      </c>
      <c r="T334">
        <f t="shared" si="62"/>
        <v>-46.7712</v>
      </c>
      <c r="U334">
        <f t="shared" si="63"/>
        <v>-71.631028224000005</v>
      </c>
      <c r="X334" s="9"/>
      <c r="Y334" s="22">
        <v>0.118561</v>
      </c>
      <c r="Z334" s="22">
        <v>106.023</v>
      </c>
      <c r="AA334" s="22">
        <v>-1.86768E-2</v>
      </c>
      <c r="AB334" s="22">
        <v>324</v>
      </c>
      <c r="AC334" s="22">
        <v>0.118561</v>
      </c>
      <c r="AD334">
        <f t="shared" si="64"/>
        <v>18.6768</v>
      </c>
      <c r="AE334">
        <f t="shared" si="65"/>
        <v>2.2143400847999999</v>
      </c>
      <c r="AF334" s="9"/>
      <c r="AG334" s="22">
        <v>1.53152</v>
      </c>
      <c r="AH334" s="22">
        <v>123.84399999999999</v>
      </c>
      <c r="AI334" s="22">
        <v>-1.76422E-2</v>
      </c>
      <c r="AJ334" s="22">
        <v>324</v>
      </c>
      <c r="AK334" s="22">
        <v>1.5304599999999999</v>
      </c>
      <c r="AL334">
        <f t="shared" si="66"/>
        <v>17.642199999999999</v>
      </c>
      <c r="AM334">
        <f t="shared" si="67"/>
        <v>27.019382143999998</v>
      </c>
      <c r="AP334" s="9"/>
      <c r="AQ334" s="22">
        <v>0.118561</v>
      </c>
      <c r="AR334" s="22">
        <v>158.113</v>
      </c>
      <c r="AS334" s="22">
        <v>-1.8832399999999999E-2</v>
      </c>
      <c r="AT334" s="22">
        <v>324</v>
      </c>
      <c r="AU334" s="22">
        <v>0.11834699999999999</v>
      </c>
      <c r="AV334">
        <f t="shared" si="68"/>
        <v>18.8324</v>
      </c>
      <c r="AW334">
        <f t="shared" si="69"/>
        <v>2.2327881764000002</v>
      </c>
      <c r="AX334" s="9"/>
      <c r="AY334" s="22">
        <v>1.53152</v>
      </c>
      <c r="AZ334" s="22">
        <v>192.5</v>
      </c>
      <c r="BA334" s="22">
        <v>9.5703099999999999E-2</v>
      </c>
      <c r="BB334" s="22">
        <v>324</v>
      </c>
      <c r="BC334" s="22">
        <v>1.5301499999999999</v>
      </c>
      <c r="BD334">
        <f t="shared" si="70"/>
        <v>-95.703100000000006</v>
      </c>
      <c r="BE334">
        <f t="shared" si="71"/>
        <v>-146.57121171200001</v>
      </c>
    </row>
    <row r="335" spans="6:57">
      <c r="F335" s="9"/>
      <c r="G335" s="22">
        <v>0.113525</v>
      </c>
      <c r="H335" s="22">
        <v>37.517899999999997</v>
      </c>
      <c r="I335" s="22">
        <v>-1.8725599999999998E-2</v>
      </c>
      <c r="J335" s="22">
        <v>325</v>
      </c>
      <c r="K335" s="22">
        <v>0.113098</v>
      </c>
      <c r="L335">
        <f t="shared" si="60"/>
        <v>18.7256</v>
      </c>
      <c r="M335">
        <f t="shared" si="61"/>
        <v>2.12582374</v>
      </c>
      <c r="N335" s="9"/>
      <c r="O335" s="22">
        <v>1.5365599999999999</v>
      </c>
      <c r="P335" s="22">
        <v>71.827100000000002</v>
      </c>
      <c r="Q335" s="22">
        <v>4.67377E-2</v>
      </c>
      <c r="R335" s="22">
        <v>325</v>
      </c>
      <c r="S335" s="22">
        <v>0.37756299999999998</v>
      </c>
      <c r="T335">
        <f t="shared" si="62"/>
        <v>-46.737699999999997</v>
      </c>
      <c r="U335">
        <f t="shared" si="63"/>
        <v>-71.815280311999985</v>
      </c>
      <c r="X335" s="9"/>
      <c r="Y335" s="22">
        <v>0.113525</v>
      </c>
      <c r="Z335" s="22">
        <v>106.033</v>
      </c>
      <c r="AA335" s="22">
        <v>-1.86798E-2</v>
      </c>
      <c r="AB335" s="22">
        <v>325</v>
      </c>
      <c r="AC335" s="22">
        <v>0.113098</v>
      </c>
      <c r="AD335">
        <f t="shared" si="64"/>
        <v>18.6798</v>
      </c>
      <c r="AE335">
        <f t="shared" si="65"/>
        <v>2.1206242949999998</v>
      </c>
      <c r="AF335" s="9"/>
      <c r="AG335" s="22">
        <v>1.5365599999999999</v>
      </c>
      <c r="AH335" s="22">
        <v>123.854</v>
      </c>
      <c r="AI335" s="22">
        <v>-1.7608599999999999E-2</v>
      </c>
      <c r="AJ335" s="22">
        <v>325</v>
      </c>
      <c r="AK335" s="22">
        <v>1.5356399999999999</v>
      </c>
      <c r="AL335">
        <f t="shared" si="66"/>
        <v>17.608599999999999</v>
      </c>
      <c r="AM335">
        <f t="shared" si="67"/>
        <v>27.056670415999996</v>
      </c>
      <c r="AP335" s="9"/>
      <c r="AQ335" s="22">
        <v>0.113525</v>
      </c>
      <c r="AR335" s="22">
        <v>158.12299999999999</v>
      </c>
      <c r="AS335" s="22">
        <v>-1.8835399999999999E-2</v>
      </c>
      <c r="AT335" s="22">
        <v>325</v>
      </c>
      <c r="AU335" s="22">
        <v>0.11343399999999999</v>
      </c>
      <c r="AV335">
        <f t="shared" si="68"/>
        <v>18.8354</v>
      </c>
      <c r="AW335">
        <f t="shared" si="69"/>
        <v>2.1382887849999999</v>
      </c>
      <c r="AX335" s="9"/>
      <c r="AY335" s="22">
        <v>1.5365599999999999</v>
      </c>
      <c r="AZ335" s="22">
        <v>192.51</v>
      </c>
      <c r="BA335" s="22">
        <v>9.7228999999999996E-2</v>
      </c>
      <c r="BB335" s="22">
        <v>325</v>
      </c>
      <c r="BC335" s="22">
        <v>1.5350299999999999</v>
      </c>
      <c r="BD335">
        <f t="shared" si="70"/>
        <v>-97.228999999999999</v>
      </c>
      <c r="BE335">
        <f t="shared" si="71"/>
        <v>-149.39819223999999</v>
      </c>
    </row>
    <row r="336" spans="6:57">
      <c r="F336" s="9"/>
      <c r="G336" s="22">
        <v>0.10849</v>
      </c>
      <c r="H336" s="22">
        <v>37.527999999999999</v>
      </c>
      <c r="I336" s="22">
        <v>-1.8765299999999999E-2</v>
      </c>
      <c r="J336" s="22">
        <v>326</v>
      </c>
      <c r="K336" s="22">
        <v>0.10839799999999999</v>
      </c>
      <c r="L336">
        <f t="shared" si="60"/>
        <v>18.7653</v>
      </c>
      <c r="M336">
        <f t="shared" si="61"/>
        <v>2.0358473969999999</v>
      </c>
      <c r="N336" s="9"/>
      <c r="O336" s="22">
        <v>1.5416000000000001</v>
      </c>
      <c r="P336" s="22">
        <v>71.837199999999996</v>
      </c>
      <c r="Q336" s="22">
        <v>4.6734600000000001E-2</v>
      </c>
      <c r="R336" s="22">
        <v>326</v>
      </c>
      <c r="S336" s="22">
        <v>0.36746200000000001</v>
      </c>
      <c r="T336">
        <f t="shared" si="62"/>
        <v>-46.7346</v>
      </c>
      <c r="U336">
        <f t="shared" si="63"/>
        <v>-72.046059360000001</v>
      </c>
      <c r="X336" s="9"/>
      <c r="Y336" s="22">
        <v>0.10849</v>
      </c>
      <c r="Z336" s="22">
        <v>106.04300000000001</v>
      </c>
      <c r="AA336" s="22">
        <v>-1.8682899999999999E-2</v>
      </c>
      <c r="AB336" s="22">
        <v>326</v>
      </c>
      <c r="AC336" s="22">
        <v>0.107574</v>
      </c>
      <c r="AD336">
        <f t="shared" si="64"/>
        <v>18.6829</v>
      </c>
      <c r="AE336">
        <f t="shared" si="65"/>
        <v>2.026907821</v>
      </c>
      <c r="AF336" s="9"/>
      <c r="AG336" s="22">
        <v>1.5416000000000001</v>
      </c>
      <c r="AH336" s="22">
        <v>123.864</v>
      </c>
      <c r="AI336" s="22">
        <v>-1.7569000000000001E-2</v>
      </c>
      <c r="AJ336" s="22">
        <v>326</v>
      </c>
      <c r="AK336" s="22">
        <v>1.54114</v>
      </c>
      <c r="AL336">
        <f t="shared" si="66"/>
        <v>17.569000000000003</v>
      </c>
      <c r="AM336">
        <f t="shared" si="67"/>
        <v>27.084370400000005</v>
      </c>
      <c r="AP336" s="9"/>
      <c r="AQ336" s="22">
        <v>0.10849</v>
      </c>
      <c r="AR336" s="22">
        <v>158.13300000000001</v>
      </c>
      <c r="AS336" s="22">
        <v>-1.8835399999999999E-2</v>
      </c>
      <c r="AT336" s="22">
        <v>326</v>
      </c>
      <c r="AU336" s="22">
        <v>0.10809299999999999</v>
      </c>
      <c r="AV336">
        <f t="shared" si="68"/>
        <v>18.8354</v>
      </c>
      <c r="AW336">
        <f t="shared" si="69"/>
        <v>2.0434525460000001</v>
      </c>
      <c r="AX336" s="9"/>
      <c r="AY336" s="22">
        <v>1.5416000000000001</v>
      </c>
      <c r="AZ336" s="22">
        <v>192.52</v>
      </c>
      <c r="BA336" s="22">
        <v>0.100952</v>
      </c>
      <c r="BB336" s="22">
        <v>326</v>
      </c>
      <c r="BC336" s="22">
        <v>1.54053</v>
      </c>
      <c r="BD336">
        <f t="shared" si="70"/>
        <v>-100.952</v>
      </c>
      <c r="BE336">
        <f t="shared" si="71"/>
        <v>-155.62760320000001</v>
      </c>
    </row>
    <row r="337" spans="6:57">
      <c r="F337" s="9"/>
      <c r="G337" s="22">
        <v>0.10345500000000001</v>
      </c>
      <c r="H337" s="22">
        <v>37.5381</v>
      </c>
      <c r="I337" s="22">
        <v>-1.87744E-2</v>
      </c>
      <c r="J337" s="22">
        <v>327</v>
      </c>
      <c r="K337" s="22">
        <v>0.103241</v>
      </c>
      <c r="L337">
        <f t="shared" si="60"/>
        <v>18.7744</v>
      </c>
      <c r="M337">
        <f t="shared" si="61"/>
        <v>1.9423055520000001</v>
      </c>
      <c r="N337" s="9"/>
      <c r="O337" s="22">
        <v>1.5466299999999999</v>
      </c>
      <c r="P337" s="22">
        <v>71.847200000000001</v>
      </c>
      <c r="Q337" s="22">
        <v>4.6713299999999999E-2</v>
      </c>
      <c r="R337" s="22">
        <v>327</v>
      </c>
      <c r="S337" s="22">
        <v>0.36230499999999999</v>
      </c>
      <c r="T337">
        <f t="shared" si="62"/>
        <v>-46.713299999999997</v>
      </c>
      <c r="U337">
        <f t="shared" si="63"/>
        <v>-72.248191178999988</v>
      </c>
      <c r="X337" s="9"/>
      <c r="Y337" s="22">
        <v>0.10345500000000001</v>
      </c>
      <c r="Z337" s="22">
        <v>106.053</v>
      </c>
      <c r="AA337" s="22">
        <v>-1.8682899999999999E-2</v>
      </c>
      <c r="AB337" s="22">
        <v>327</v>
      </c>
      <c r="AC337" s="22">
        <v>0.102844</v>
      </c>
      <c r="AD337">
        <f t="shared" si="64"/>
        <v>18.6829</v>
      </c>
      <c r="AE337">
        <f t="shared" si="65"/>
        <v>1.9328394195</v>
      </c>
      <c r="AF337" s="9"/>
      <c r="AG337" s="22">
        <v>1.5466299999999999</v>
      </c>
      <c r="AH337" s="22">
        <v>123.874</v>
      </c>
      <c r="AI337" s="22">
        <v>-1.7532300000000001E-2</v>
      </c>
      <c r="AJ337" s="22">
        <v>327</v>
      </c>
      <c r="AK337" s="22">
        <v>1.5460199999999999</v>
      </c>
      <c r="AL337">
        <f t="shared" si="66"/>
        <v>17.532299999999999</v>
      </c>
      <c r="AM337">
        <f t="shared" si="67"/>
        <v>27.115981149</v>
      </c>
      <c r="AP337" s="9"/>
      <c r="AQ337" s="22">
        <v>0.10345500000000001</v>
      </c>
      <c r="AR337" s="22">
        <v>158.143</v>
      </c>
      <c r="AS337" s="22">
        <v>-1.8835399999999999E-2</v>
      </c>
      <c r="AT337" s="22">
        <v>327</v>
      </c>
      <c r="AU337" s="22">
        <v>0.10299700000000001</v>
      </c>
      <c r="AV337">
        <f t="shared" si="68"/>
        <v>18.8354</v>
      </c>
      <c r="AW337">
        <f t="shared" si="69"/>
        <v>1.948616307</v>
      </c>
      <c r="AX337" s="9"/>
      <c r="AY337" s="22">
        <v>1.5466299999999999</v>
      </c>
      <c r="AZ337" s="22">
        <v>192.53100000000001</v>
      </c>
      <c r="BA337" s="22">
        <v>0.10269200000000001</v>
      </c>
      <c r="BB337" s="22">
        <v>327</v>
      </c>
      <c r="BC337" s="22">
        <v>1.5460199999999999</v>
      </c>
      <c r="BD337">
        <f t="shared" si="70"/>
        <v>-102.69200000000001</v>
      </c>
      <c r="BE337">
        <f t="shared" si="71"/>
        <v>-158.82652795999999</v>
      </c>
    </row>
    <row r="338" spans="6:57">
      <c r="F338" s="9"/>
      <c r="G338" s="22">
        <v>9.8419199999999998E-2</v>
      </c>
      <c r="H338" s="22">
        <v>37.548200000000001</v>
      </c>
      <c r="I338" s="22">
        <v>-1.8743900000000001E-2</v>
      </c>
      <c r="J338" s="22">
        <v>328</v>
      </c>
      <c r="K338" s="22">
        <v>9.7564700000000004E-2</v>
      </c>
      <c r="L338">
        <f t="shared" si="60"/>
        <v>18.7439</v>
      </c>
      <c r="M338">
        <f t="shared" si="61"/>
        <v>1.8447596428799999</v>
      </c>
      <c r="N338" s="9"/>
      <c r="O338" s="22">
        <v>1.5516700000000001</v>
      </c>
      <c r="P338" s="22">
        <v>71.857299999999995</v>
      </c>
      <c r="Q338" s="22">
        <v>4.6707199999999997E-2</v>
      </c>
      <c r="R338" s="22">
        <v>328</v>
      </c>
      <c r="S338" s="22">
        <v>0.36877399999999999</v>
      </c>
      <c r="T338">
        <f t="shared" si="62"/>
        <v>-46.7072</v>
      </c>
      <c r="U338">
        <f t="shared" si="63"/>
        <v>-72.474161024000011</v>
      </c>
      <c r="X338" s="9"/>
      <c r="Y338" s="22">
        <v>9.8419199999999998E-2</v>
      </c>
      <c r="Z338" s="22">
        <v>106.063</v>
      </c>
      <c r="AA338" s="22">
        <v>-1.8682899999999999E-2</v>
      </c>
      <c r="AB338" s="22">
        <v>328</v>
      </c>
      <c r="AC338" s="22">
        <v>9.8114000000000007E-2</v>
      </c>
      <c r="AD338">
        <f t="shared" si="64"/>
        <v>18.6829</v>
      </c>
      <c r="AE338">
        <f t="shared" si="65"/>
        <v>1.83875607168</v>
      </c>
      <c r="AF338" s="9"/>
      <c r="AG338" s="22">
        <v>1.5516700000000001</v>
      </c>
      <c r="AH338" s="22">
        <v>123.884</v>
      </c>
      <c r="AI338" s="22">
        <v>-1.7489600000000001E-2</v>
      </c>
      <c r="AJ338" s="22">
        <v>328</v>
      </c>
      <c r="AK338" s="22">
        <v>1.5508999999999999</v>
      </c>
      <c r="AL338">
        <f t="shared" si="66"/>
        <v>17.489599999999999</v>
      </c>
      <c r="AM338">
        <f t="shared" si="67"/>
        <v>27.138087632000001</v>
      </c>
      <c r="AP338" s="9"/>
      <c r="AQ338" s="22">
        <v>9.8419199999999998E-2</v>
      </c>
      <c r="AR338" s="22">
        <v>158.15299999999999</v>
      </c>
      <c r="AS338" s="22">
        <v>-1.8838500000000001E-2</v>
      </c>
      <c r="AT338" s="22">
        <v>328</v>
      </c>
      <c r="AU338" s="22">
        <v>9.8114000000000007E-2</v>
      </c>
      <c r="AV338">
        <f t="shared" si="68"/>
        <v>18.8385</v>
      </c>
      <c r="AW338">
        <f t="shared" si="69"/>
        <v>1.8540700991999999</v>
      </c>
      <c r="AX338" s="9"/>
      <c r="AY338" s="22">
        <v>1.5516700000000001</v>
      </c>
      <c r="AZ338" s="22">
        <v>192.541</v>
      </c>
      <c r="BA338" s="22">
        <v>0.10101300000000001</v>
      </c>
      <c r="BB338" s="22">
        <v>328</v>
      </c>
      <c r="BC338" s="22">
        <v>1.5521199999999999</v>
      </c>
      <c r="BD338">
        <f t="shared" si="70"/>
        <v>-101.01300000000001</v>
      </c>
      <c r="BE338">
        <f t="shared" si="71"/>
        <v>-156.73884171000003</v>
      </c>
    </row>
    <row r="339" spans="6:57">
      <c r="F339" s="9"/>
      <c r="G339" s="22">
        <v>9.3383800000000003E-2</v>
      </c>
      <c r="H339" s="22">
        <v>37.558199999999999</v>
      </c>
      <c r="I339" s="22">
        <v>-1.8695099999999999E-2</v>
      </c>
      <c r="J339" s="22">
        <v>329</v>
      </c>
      <c r="K339" s="22">
        <v>9.25903E-2</v>
      </c>
      <c r="L339">
        <f t="shared" si="60"/>
        <v>18.6951</v>
      </c>
      <c r="M339">
        <f t="shared" si="61"/>
        <v>1.7458194793800001</v>
      </c>
      <c r="N339" s="9"/>
      <c r="O339" s="22">
        <v>1.5567</v>
      </c>
      <c r="P339" s="22">
        <v>71.867400000000004</v>
      </c>
      <c r="Q339" s="22">
        <v>4.6716300000000002E-2</v>
      </c>
      <c r="R339" s="22">
        <v>329</v>
      </c>
      <c r="S339" s="22">
        <v>0.36880499999999999</v>
      </c>
      <c r="T339">
        <f t="shared" si="62"/>
        <v>-46.716300000000004</v>
      </c>
      <c r="U339">
        <f t="shared" si="63"/>
        <v>-72.723264210000011</v>
      </c>
      <c r="X339" s="9"/>
      <c r="Y339" s="22">
        <v>9.3383800000000003E-2</v>
      </c>
      <c r="Z339" s="22">
        <v>106.074</v>
      </c>
      <c r="AA339" s="22">
        <v>-1.8685899999999998E-2</v>
      </c>
      <c r="AB339" s="22">
        <v>329</v>
      </c>
      <c r="AC339" s="22">
        <v>9.28345E-2</v>
      </c>
      <c r="AD339">
        <f t="shared" si="64"/>
        <v>18.685899999999997</v>
      </c>
      <c r="AE339">
        <f t="shared" si="65"/>
        <v>1.7449603484199998</v>
      </c>
      <c r="AF339" s="9"/>
      <c r="AG339" s="22">
        <v>1.5567</v>
      </c>
      <c r="AH339" s="22">
        <v>123.89400000000001</v>
      </c>
      <c r="AI339" s="22">
        <v>-1.7443799999999999E-2</v>
      </c>
      <c r="AJ339" s="22">
        <v>329</v>
      </c>
      <c r="AK339" s="22">
        <v>1.55579</v>
      </c>
      <c r="AL339">
        <f t="shared" si="66"/>
        <v>17.4438</v>
      </c>
      <c r="AM339">
        <f t="shared" si="67"/>
        <v>27.154763459999998</v>
      </c>
      <c r="AP339" s="9"/>
      <c r="AQ339" s="22">
        <v>9.3383800000000003E-2</v>
      </c>
      <c r="AR339" s="22">
        <v>158.16399999999999</v>
      </c>
      <c r="AS339" s="22">
        <v>-1.8838500000000001E-2</v>
      </c>
      <c r="AT339" s="22">
        <v>329</v>
      </c>
      <c r="AU339" s="22">
        <v>9.3688999999999995E-2</v>
      </c>
      <c r="AV339">
        <f t="shared" si="68"/>
        <v>18.8385</v>
      </c>
      <c r="AW339">
        <f t="shared" si="69"/>
        <v>1.7592107163000001</v>
      </c>
      <c r="AX339" s="9"/>
      <c r="AY339" s="22">
        <v>1.5567</v>
      </c>
      <c r="AZ339" s="22">
        <v>192.55099999999999</v>
      </c>
      <c r="BA339" s="22">
        <v>0.103088</v>
      </c>
      <c r="BB339" s="22">
        <v>329</v>
      </c>
      <c r="BC339" s="22">
        <v>1.56067</v>
      </c>
      <c r="BD339">
        <f t="shared" si="70"/>
        <v>-103.08799999999999</v>
      </c>
      <c r="BE339">
        <f t="shared" si="71"/>
        <v>-160.4770896</v>
      </c>
    </row>
    <row r="340" spans="6:57">
      <c r="F340" s="9"/>
      <c r="G340" s="22">
        <v>8.8348399999999994E-2</v>
      </c>
      <c r="H340" s="22">
        <v>37.568300000000001</v>
      </c>
      <c r="I340" s="22">
        <v>-1.86798E-2</v>
      </c>
      <c r="J340" s="22">
        <v>330</v>
      </c>
      <c r="K340" s="22">
        <v>8.7341299999999997E-2</v>
      </c>
      <c r="L340">
        <f t="shared" si="60"/>
        <v>18.6798</v>
      </c>
      <c r="M340">
        <f t="shared" si="61"/>
        <v>1.6503304423199998</v>
      </c>
      <c r="N340" s="9"/>
      <c r="O340" s="22">
        <v>1.5617399999999999</v>
      </c>
      <c r="P340" s="22">
        <v>71.877399999999994</v>
      </c>
      <c r="Q340" s="22">
        <v>4.6707199999999997E-2</v>
      </c>
      <c r="R340" s="22">
        <v>330</v>
      </c>
      <c r="S340" s="22">
        <v>0.36636400000000002</v>
      </c>
      <c r="T340">
        <f t="shared" si="62"/>
        <v>-46.7072</v>
      </c>
      <c r="U340">
        <f t="shared" si="63"/>
        <v>-72.944502528000001</v>
      </c>
      <c r="X340" s="9"/>
      <c r="Y340" s="22">
        <v>8.8348399999999994E-2</v>
      </c>
      <c r="Z340" s="22">
        <v>106.084</v>
      </c>
      <c r="AA340" s="22">
        <v>-1.8689000000000001E-2</v>
      </c>
      <c r="AB340" s="22">
        <v>330</v>
      </c>
      <c r="AC340" s="22">
        <v>8.7768600000000002E-2</v>
      </c>
      <c r="AD340">
        <f t="shared" si="64"/>
        <v>18.689</v>
      </c>
      <c r="AE340">
        <f t="shared" si="65"/>
        <v>1.6511432475999999</v>
      </c>
      <c r="AF340" s="9"/>
      <c r="AG340" s="22">
        <v>1.5617399999999999</v>
      </c>
      <c r="AH340" s="22">
        <v>123.904</v>
      </c>
      <c r="AI340" s="22">
        <v>-1.7392000000000001E-2</v>
      </c>
      <c r="AJ340" s="22">
        <v>330</v>
      </c>
      <c r="AK340" s="22">
        <v>1.56158</v>
      </c>
      <c r="AL340">
        <f t="shared" si="66"/>
        <v>17.391999999999999</v>
      </c>
      <c r="AM340">
        <f t="shared" si="67"/>
        <v>27.161782079999998</v>
      </c>
      <c r="AP340" s="9"/>
      <c r="AQ340" s="22">
        <v>8.8348399999999994E-2</v>
      </c>
      <c r="AR340" s="22">
        <v>158.17400000000001</v>
      </c>
      <c r="AS340" s="22">
        <v>-1.8838500000000001E-2</v>
      </c>
      <c r="AT340" s="22">
        <v>330</v>
      </c>
      <c r="AU340" s="22">
        <v>8.8104199999999994E-2</v>
      </c>
      <c r="AV340">
        <f t="shared" si="68"/>
        <v>18.8385</v>
      </c>
      <c r="AW340">
        <f t="shared" si="69"/>
        <v>1.6643513334</v>
      </c>
      <c r="AX340" s="9"/>
      <c r="AY340" s="22">
        <v>1.5617399999999999</v>
      </c>
      <c r="AZ340" s="22">
        <v>192.56100000000001</v>
      </c>
      <c r="BA340" s="22">
        <v>9.8877000000000007E-2</v>
      </c>
      <c r="BB340" s="22">
        <v>330</v>
      </c>
      <c r="BC340" s="22">
        <v>1.55914</v>
      </c>
      <c r="BD340">
        <f t="shared" si="70"/>
        <v>-98.87700000000001</v>
      </c>
      <c r="BE340">
        <f t="shared" si="71"/>
        <v>-154.42016598000001</v>
      </c>
    </row>
    <row r="341" spans="6:57">
      <c r="F341" s="9"/>
      <c r="G341" s="22">
        <v>8.3312999999999998E-2</v>
      </c>
      <c r="H341" s="22">
        <v>37.578400000000002</v>
      </c>
      <c r="I341" s="22">
        <v>-1.8689000000000001E-2</v>
      </c>
      <c r="J341" s="22">
        <v>331</v>
      </c>
      <c r="K341" s="22">
        <v>8.3557099999999995E-2</v>
      </c>
      <c r="L341">
        <f t="shared" si="60"/>
        <v>18.689</v>
      </c>
      <c r="M341">
        <f t="shared" si="61"/>
        <v>1.557036657</v>
      </c>
      <c r="N341" s="9"/>
      <c r="O341" s="22">
        <v>1.56677</v>
      </c>
      <c r="P341" s="22">
        <v>71.887500000000003</v>
      </c>
      <c r="Q341" s="22">
        <v>4.6713299999999999E-2</v>
      </c>
      <c r="R341" s="22">
        <v>331</v>
      </c>
      <c r="S341" s="22">
        <v>0.369446</v>
      </c>
      <c r="T341">
        <f t="shared" si="62"/>
        <v>-46.713299999999997</v>
      </c>
      <c r="U341">
        <f t="shared" si="63"/>
        <v>-73.188997040999993</v>
      </c>
      <c r="X341" s="9"/>
      <c r="Y341" s="22">
        <v>8.3312999999999998E-2</v>
      </c>
      <c r="Z341" s="22">
        <v>106.09399999999999</v>
      </c>
      <c r="AA341" s="22">
        <v>-1.8692E-2</v>
      </c>
      <c r="AB341" s="22">
        <v>331</v>
      </c>
      <c r="AC341" s="22">
        <v>8.2702600000000001E-2</v>
      </c>
      <c r="AD341">
        <f t="shared" si="64"/>
        <v>18.692</v>
      </c>
      <c r="AE341">
        <f t="shared" si="65"/>
        <v>1.557286596</v>
      </c>
      <c r="AF341" s="9"/>
      <c r="AG341" s="22">
        <v>1.56677</v>
      </c>
      <c r="AH341" s="22">
        <v>123.91500000000001</v>
      </c>
      <c r="AI341" s="22">
        <v>-1.7333999999999999E-2</v>
      </c>
      <c r="AJ341" s="22">
        <v>331</v>
      </c>
      <c r="AK341" s="22">
        <v>1.56616</v>
      </c>
      <c r="AL341">
        <f t="shared" si="66"/>
        <v>17.334</v>
      </c>
      <c r="AM341">
        <f t="shared" si="67"/>
        <v>27.158391179999999</v>
      </c>
      <c r="AP341" s="9"/>
      <c r="AQ341" s="22">
        <v>8.3312999999999998E-2</v>
      </c>
      <c r="AR341" s="22">
        <v>158.184</v>
      </c>
      <c r="AS341" s="22">
        <v>-1.88416E-2</v>
      </c>
      <c r="AT341" s="22">
        <v>331</v>
      </c>
      <c r="AU341" s="22">
        <v>8.2397499999999999E-2</v>
      </c>
      <c r="AV341">
        <f t="shared" si="68"/>
        <v>18.8416</v>
      </c>
      <c r="AW341">
        <f t="shared" si="69"/>
        <v>1.5697502208</v>
      </c>
      <c r="AX341" s="9"/>
      <c r="AY341" s="22">
        <v>1.56677</v>
      </c>
      <c r="AZ341" s="22">
        <v>192.571</v>
      </c>
      <c r="BA341" s="22">
        <v>5.2856400000000003E-3</v>
      </c>
      <c r="BB341" s="22">
        <v>331</v>
      </c>
      <c r="BC341" s="22">
        <v>1.58752</v>
      </c>
      <c r="BD341">
        <f t="shared" si="70"/>
        <v>-5.2856399999999999</v>
      </c>
      <c r="BE341">
        <f t="shared" si="71"/>
        <v>-8.2813821827999998</v>
      </c>
    </row>
    <row r="342" spans="6:57">
      <c r="F342" s="9"/>
      <c r="G342" s="22">
        <v>7.8277600000000003E-2</v>
      </c>
      <c r="H342" s="22">
        <v>37.5884</v>
      </c>
      <c r="I342" s="22">
        <v>-1.86646E-2</v>
      </c>
      <c r="J342" s="22">
        <v>332</v>
      </c>
      <c r="K342" s="22">
        <v>7.8033400000000003E-2</v>
      </c>
      <c r="L342">
        <f t="shared" si="60"/>
        <v>18.6646</v>
      </c>
      <c r="M342">
        <f t="shared" si="61"/>
        <v>1.4610200929600001</v>
      </c>
      <c r="N342" s="9"/>
      <c r="O342" s="22">
        <v>1.5718099999999999</v>
      </c>
      <c r="P342" s="22">
        <v>71.897599999999997</v>
      </c>
      <c r="Q342" s="22">
        <v>4.6700999999999999E-2</v>
      </c>
      <c r="R342" s="22">
        <v>332</v>
      </c>
      <c r="S342" s="22">
        <v>0.35659800000000003</v>
      </c>
      <c r="T342">
        <f t="shared" si="62"/>
        <v>-46.701000000000001</v>
      </c>
      <c r="U342">
        <f t="shared" si="63"/>
        <v>-73.405098809999998</v>
      </c>
      <c r="X342" s="9"/>
      <c r="Y342" s="22">
        <v>7.8277600000000003E-2</v>
      </c>
      <c r="Z342" s="22">
        <v>106.104</v>
      </c>
      <c r="AA342" s="22">
        <v>-1.8695099999999999E-2</v>
      </c>
      <c r="AB342" s="22">
        <v>332</v>
      </c>
      <c r="AC342" s="22">
        <v>7.70874E-2</v>
      </c>
      <c r="AD342">
        <f t="shared" si="64"/>
        <v>18.6951</v>
      </c>
      <c r="AE342">
        <f t="shared" si="65"/>
        <v>1.46340755976</v>
      </c>
      <c r="AF342" s="9"/>
      <c r="AG342" s="22">
        <v>1.5718099999999999</v>
      </c>
      <c r="AH342" s="22">
        <v>123.925</v>
      </c>
      <c r="AI342" s="22">
        <v>-1.7272900000000001E-2</v>
      </c>
      <c r="AJ342" s="22">
        <v>332</v>
      </c>
      <c r="AK342" s="22">
        <v>1.57074</v>
      </c>
      <c r="AL342">
        <f t="shared" si="66"/>
        <v>17.2729</v>
      </c>
      <c r="AM342">
        <f t="shared" si="67"/>
        <v>27.149716948999998</v>
      </c>
      <c r="AP342" s="9"/>
      <c r="AQ342" s="22">
        <v>7.8277600000000003E-2</v>
      </c>
      <c r="AR342" s="22">
        <v>158.19399999999999</v>
      </c>
      <c r="AS342" s="22">
        <v>-1.88416E-2</v>
      </c>
      <c r="AT342" s="22">
        <v>332</v>
      </c>
      <c r="AU342" s="22">
        <v>7.7423099999999995E-2</v>
      </c>
      <c r="AV342">
        <f t="shared" si="68"/>
        <v>18.8416</v>
      </c>
      <c r="AW342">
        <f t="shared" si="69"/>
        <v>1.4748752281599999</v>
      </c>
      <c r="AX342" s="9"/>
      <c r="AY342" s="22">
        <v>1.5718099999999999</v>
      </c>
      <c r="AZ342" s="22">
        <v>192.58099999999999</v>
      </c>
      <c r="BA342" s="22">
        <v>-1.7596400000000002E-2</v>
      </c>
      <c r="BB342" s="22">
        <v>332</v>
      </c>
      <c r="BC342" s="22">
        <v>1.57196</v>
      </c>
      <c r="BD342">
        <f t="shared" si="70"/>
        <v>17.596400000000003</v>
      </c>
      <c r="BE342">
        <f t="shared" si="71"/>
        <v>27.658197484000002</v>
      </c>
    </row>
    <row r="343" spans="6:57">
      <c r="F343" s="9"/>
      <c r="G343" s="22">
        <v>7.3242199999999993E-2</v>
      </c>
      <c r="H343" s="22">
        <v>37.598500000000001</v>
      </c>
      <c r="I343" s="22">
        <v>-1.8631000000000002E-2</v>
      </c>
      <c r="J343" s="22">
        <v>333</v>
      </c>
      <c r="K343" s="22">
        <v>7.2479199999999994E-2</v>
      </c>
      <c r="L343">
        <f t="shared" si="60"/>
        <v>18.631</v>
      </c>
      <c r="M343">
        <f t="shared" si="61"/>
        <v>1.3645754282</v>
      </c>
      <c r="N343" s="9"/>
      <c r="O343" s="22">
        <v>1.57684</v>
      </c>
      <c r="P343" s="22">
        <v>71.907700000000006</v>
      </c>
      <c r="Q343" s="22">
        <v>4.67102E-2</v>
      </c>
      <c r="R343" s="22">
        <v>333</v>
      </c>
      <c r="S343" s="22">
        <v>0.36203000000000002</v>
      </c>
      <c r="T343">
        <f t="shared" si="62"/>
        <v>-46.7102</v>
      </c>
      <c r="U343">
        <f t="shared" si="63"/>
        <v>-73.654511768000006</v>
      </c>
      <c r="X343" s="9"/>
      <c r="Y343" s="22">
        <v>7.3242199999999993E-2</v>
      </c>
      <c r="Z343" s="22">
        <v>106.114</v>
      </c>
      <c r="AA343" s="22">
        <v>-1.8695099999999999E-2</v>
      </c>
      <c r="AB343" s="22">
        <v>333</v>
      </c>
      <c r="AC343" s="22">
        <v>7.1960399999999994E-2</v>
      </c>
      <c r="AD343">
        <f t="shared" si="64"/>
        <v>18.6951</v>
      </c>
      <c r="AE343">
        <f t="shared" si="65"/>
        <v>1.3692702532199998</v>
      </c>
      <c r="AF343" s="9"/>
      <c r="AG343" s="22">
        <v>1.57684</v>
      </c>
      <c r="AH343" s="22">
        <v>123.935</v>
      </c>
      <c r="AI343" s="22">
        <v>-1.7202800000000001E-2</v>
      </c>
      <c r="AJ343" s="22">
        <v>333</v>
      </c>
      <c r="AK343" s="22">
        <v>1.57562</v>
      </c>
      <c r="AL343">
        <f t="shared" si="66"/>
        <v>17.2028</v>
      </c>
      <c r="AM343">
        <f t="shared" si="67"/>
        <v>27.126063152</v>
      </c>
      <c r="AP343" s="9"/>
      <c r="AQ343" s="22">
        <v>7.3242199999999993E-2</v>
      </c>
      <c r="AR343" s="22">
        <v>158.20400000000001</v>
      </c>
      <c r="AS343" s="22">
        <v>-1.88446E-2</v>
      </c>
      <c r="AT343" s="22">
        <v>333</v>
      </c>
      <c r="AU343" s="22">
        <v>7.2631799999999996E-2</v>
      </c>
      <c r="AV343">
        <f t="shared" si="68"/>
        <v>18.8446</v>
      </c>
      <c r="AW343">
        <f t="shared" si="69"/>
        <v>1.3802199621199998</v>
      </c>
      <c r="AX343" s="9"/>
      <c r="AY343" s="22">
        <v>1.57684</v>
      </c>
      <c r="AZ343" s="22">
        <v>192.59100000000001</v>
      </c>
      <c r="BA343" s="22">
        <v>-1.7373699999999999E-2</v>
      </c>
      <c r="BB343" s="22">
        <v>333</v>
      </c>
      <c r="BC343" s="22">
        <v>1.5765400000000001</v>
      </c>
      <c r="BD343">
        <f t="shared" si="70"/>
        <v>17.373699999999999</v>
      </c>
      <c r="BE343">
        <f t="shared" si="71"/>
        <v>27.395545108</v>
      </c>
    </row>
    <row r="344" spans="6:57">
      <c r="F344" s="9"/>
      <c r="G344" s="22">
        <v>6.8206799999999998E-2</v>
      </c>
      <c r="H344" s="22">
        <v>37.608600000000003</v>
      </c>
      <c r="I344" s="22">
        <v>-1.86249E-2</v>
      </c>
      <c r="J344" s="22">
        <v>334</v>
      </c>
      <c r="K344" s="22">
        <v>6.7962599999999998E-2</v>
      </c>
      <c r="L344">
        <f t="shared" si="60"/>
        <v>18.6249</v>
      </c>
      <c r="M344">
        <f t="shared" si="61"/>
        <v>1.2703448293199999</v>
      </c>
      <c r="N344" s="9"/>
      <c r="O344" s="22">
        <v>1.58188</v>
      </c>
      <c r="P344" s="22">
        <v>71.917699999999996</v>
      </c>
      <c r="Q344" s="22">
        <v>4.6700999999999999E-2</v>
      </c>
      <c r="R344" s="22">
        <v>334</v>
      </c>
      <c r="S344" s="22">
        <v>0.36404399999999998</v>
      </c>
      <c r="T344">
        <f t="shared" si="62"/>
        <v>-46.701000000000001</v>
      </c>
      <c r="U344">
        <f t="shared" si="63"/>
        <v>-73.875377880000002</v>
      </c>
      <c r="X344" s="9"/>
      <c r="Y344" s="22">
        <v>6.8206799999999998E-2</v>
      </c>
      <c r="Z344" s="22">
        <v>106.124</v>
      </c>
      <c r="AA344" s="22">
        <v>-1.8698099999999999E-2</v>
      </c>
      <c r="AB344" s="22">
        <v>334</v>
      </c>
      <c r="AC344" s="22">
        <v>6.7474400000000004E-2</v>
      </c>
      <c r="AD344">
        <f t="shared" si="64"/>
        <v>18.6981</v>
      </c>
      <c r="AE344">
        <f t="shared" si="65"/>
        <v>1.27533756708</v>
      </c>
      <c r="AF344" s="9"/>
      <c r="AG344" s="22">
        <v>1.58188</v>
      </c>
      <c r="AH344" s="22">
        <v>123.94499999999999</v>
      </c>
      <c r="AI344" s="22">
        <v>-1.7129499999999999E-2</v>
      </c>
      <c r="AJ344" s="22">
        <v>334</v>
      </c>
      <c r="AK344" s="22">
        <v>1.58081</v>
      </c>
      <c r="AL344">
        <f t="shared" si="66"/>
        <v>17.1295</v>
      </c>
      <c r="AM344">
        <f t="shared" si="67"/>
        <v>27.09681346</v>
      </c>
      <c r="AP344" s="9"/>
      <c r="AQ344" s="22">
        <v>6.8206799999999998E-2</v>
      </c>
      <c r="AR344" s="22">
        <v>158.214</v>
      </c>
      <c r="AS344" s="22">
        <v>-1.88568E-2</v>
      </c>
      <c r="AT344" s="22">
        <v>334</v>
      </c>
      <c r="AU344" s="22">
        <v>6.7779500000000006E-2</v>
      </c>
      <c r="AV344">
        <f t="shared" si="68"/>
        <v>18.8568</v>
      </c>
      <c r="AW344">
        <f t="shared" si="69"/>
        <v>1.28616198624</v>
      </c>
      <c r="AX344" s="9"/>
      <c r="AY344" s="22">
        <v>1.58188</v>
      </c>
      <c r="AZ344" s="22">
        <v>192.601</v>
      </c>
      <c r="BA344" s="22">
        <v>-1.7486600000000001E-2</v>
      </c>
      <c r="BB344" s="22">
        <v>334</v>
      </c>
      <c r="BC344" s="22">
        <v>1.58142</v>
      </c>
      <c r="BD344">
        <f t="shared" si="70"/>
        <v>17.486600000000003</v>
      </c>
      <c r="BE344">
        <f t="shared" si="71"/>
        <v>27.661702808000005</v>
      </c>
    </row>
    <row r="345" spans="6:57">
      <c r="F345" s="9"/>
      <c r="G345" s="22">
        <v>6.3171400000000003E-2</v>
      </c>
      <c r="H345" s="22">
        <v>37.618600000000001</v>
      </c>
      <c r="I345" s="22">
        <v>-1.86371E-2</v>
      </c>
      <c r="J345" s="22">
        <v>335</v>
      </c>
      <c r="K345" s="22">
        <v>6.2530500000000003E-2</v>
      </c>
      <c r="L345">
        <f t="shared" si="60"/>
        <v>18.6371</v>
      </c>
      <c r="M345">
        <f t="shared" si="61"/>
        <v>1.17733169894</v>
      </c>
      <c r="N345" s="9"/>
      <c r="O345" s="22">
        <v>1.58691</v>
      </c>
      <c r="P345" s="22">
        <v>71.927800000000005</v>
      </c>
      <c r="Q345" s="22">
        <v>4.66858E-2</v>
      </c>
      <c r="R345" s="22">
        <v>335</v>
      </c>
      <c r="S345" s="22">
        <v>0.36218299999999998</v>
      </c>
      <c r="T345">
        <f t="shared" si="62"/>
        <v>-46.6858</v>
      </c>
      <c r="U345">
        <f t="shared" si="63"/>
        <v>-74.086162877999996</v>
      </c>
      <c r="X345" s="9"/>
      <c r="Y345" s="22">
        <v>6.3171400000000003E-2</v>
      </c>
      <c r="Z345" s="22">
        <v>106.134</v>
      </c>
      <c r="AA345" s="22">
        <v>-1.8698099999999999E-2</v>
      </c>
      <c r="AB345" s="22">
        <v>335</v>
      </c>
      <c r="AC345" s="22">
        <v>6.2774700000000003E-2</v>
      </c>
      <c r="AD345">
        <f t="shared" si="64"/>
        <v>18.6981</v>
      </c>
      <c r="AE345">
        <f t="shared" si="65"/>
        <v>1.18118515434</v>
      </c>
      <c r="AF345" s="9"/>
      <c r="AG345" s="22">
        <v>1.58691</v>
      </c>
      <c r="AH345" s="22">
        <v>123.955</v>
      </c>
      <c r="AI345" s="22">
        <v>-1.7047099999999999E-2</v>
      </c>
      <c r="AJ345" s="22">
        <v>335</v>
      </c>
      <c r="AK345" s="22">
        <v>1.5860000000000001</v>
      </c>
      <c r="AL345">
        <f t="shared" si="66"/>
        <v>17.0471</v>
      </c>
      <c r="AM345">
        <f t="shared" si="67"/>
        <v>27.052213461000001</v>
      </c>
      <c r="AP345" s="9"/>
      <c r="AQ345" s="22">
        <v>6.3171400000000003E-2</v>
      </c>
      <c r="AR345" s="22">
        <v>158.22399999999999</v>
      </c>
      <c r="AS345" s="22">
        <v>-1.88568E-2</v>
      </c>
      <c r="AT345" s="22">
        <v>335</v>
      </c>
      <c r="AU345" s="22">
        <v>6.2927200000000003E-2</v>
      </c>
      <c r="AV345">
        <f t="shared" si="68"/>
        <v>18.8568</v>
      </c>
      <c r="AW345">
        <f t="shared" si="69"/>
        <v>1.19121045552</v>
      </c>
      <c r="AX345" s="9"/>
      <c r="AY345" s="22">
        <v>1.58691</v>
      </c>
      <c r="AZ345" s="22">
        <v>192.61099999999999</v>
      </c>
      <c r="BA345" s="22">
        <v>-1.7373699999999999E-2</v>
      </c>
      <c r="BB345" s="22">
        <v>335</v>
      </c>
      <c r="BC345" s="22">
        <v>1.58569</v>
      </c>
      <c r="BD345">
        <f t="shared" si="70"/>
        <v>17.373699999999999</v>
      </c>
      <c r="BE345">
        <f t="shared" si="71"/>
        <v>27.570498267000001</v>
      </c>
    </row>
    <row r="346" spans="6:57">
      <c r="F346" s="9"/>
      <c r="G346" s="22">
        <v>5.8136E-2</v>
      </c>
      <c r="H346" s="22">
        <v>37.628700000000002</v>
      </c>
      <c r="I346" s="22">
        <v>-1.8655399999999999E-2</v>
      </c>
      <c r="J346" s="22">
        <v>336</v>
      </c>
      <c r="K346" s="22">
        <v>5.7556200000000002E-2</v>
      </c>
      <c r="L346">
        <f t="shared" si="60"/>
        <v>18.6554</v>
      </c>
      <c r="M346">
        <f t="shared" si="61"/>
        <v>1.0845503344</v>
      </c>
      <c r="N346" s="9"/>
      <c r="O346" s="22">
        <v>1.59195</v>
      </c>
      <c r="P346" s="22">
        <v>71.937899999999999</v>
      </c>
      <c r="Q346" s="22">
        <v>4.6679699999999998E-2</v>
      </c>
      <c r="R346" s="22">
        <v>336</v>
      </c>
      <c r="S346" s="22">
        <v>0.37030000000000002</v>
      </c>
      <c r="T346">
        <f t="shared" si="62"/>
        <v>-46.679699999999997</v>
      </c>
      <c r="U346">
        <f t="shared" si="63"/>
        <v>-74.311748414999997</v>
      </c>
      <c r="X346" s="9"/>
      <c r="Y346" s="22">
        <v>5.8136E-2</v>
      </c>
      <c r="Z346" s="22">
        <v>106.14400000000001</v>
      </c>
      <c r="AA346" s="22">
        <v>-1.8701200000000001E-2</v>
      </c>
      <c r="AB346" s="22">
        <v>336</v>
      </c>
      <c r="AC346" s="22">
        <v>5.7861299999999997E-2</v>
      </c>
      <c r="AD346">
        <f t="shared" si="64"/>
        <v>18.7012</v>
      </c>
      <c r="AE346">
        <f t="shared" si="65"/>
        <v>1.0872129632</v>
      </c>
      <c r="AF346" s="9"/>
      <c r="AG346" s="22">
        <v>1.59195</v>
      </c>
      <c r="AH346" s="22">
        <v>123.965</v>
      </c>
      <c r="AI346" s="22">
        <v>-1.6958600000000001E-2</v>
      </c>
      <c r="AJ346" s="22">
        <v>336</v>
      </c>
      <c r="AK346" s="22">
        <v>1.5911900000000001</v>
      </c>
      <c r="AL346">
        <f t="shared" si="66"/>
        <v>16.958600000000001</v>
      </c>
      <c r="AM346">
        <f t="shared" si="67"/>
        <v>26.997243270000002</v>
      </c>
      <c r="AP346" s="9"/>
      <c r="AQ346" s="22">
        <v>5.8136E-2</v>
      </c>
      <c r="AR346" s="22">
        <v>158.23400000000001</v>
      </c>
      <c r="AS346" s="22">
        <v>-1.8862899999999998E-2</v>
      </c>
      <c r="AT346" s="22">
        <v>336</v>
      </c>
      <c r="AU346" s="22">
        <v>5.8136E-2</v>
      </c>
      <c r="AV346">
        <f t="shared" si="68"/>
        <v>18.8629</v>
      </c>
      <c r="AW346">
        <f t="shared" si="69"/>
        <v>1.0966135544</v>
      </c>
      <c r="AX346" s="9"/>
      <c r="AY346" s="22">
        <v>1.59195</v>
      </c>
      <c r="AZ346" s="22">
        <v>192.62100000000001</v>
      </c>
      <c r="BA346" s="22">
        <v>-1.7257700000000001E-2</v>
      </c>
      <c r="BB346" s="22">
        <v>336</v>
      </c>
      <c r="BC346" s="22">
        <v>1.5899700000000001</v>
      </c>
      <c r="BD346">
        <f t="shared" si="70"/>
        <v>17.2577</v>
      </c>
      <c r="BE346">
        <f t="shared" si="71"/>
        <v>27.473395515</v>
      </c>
    </row>
    <row r="347" spans="6:57">
      <c r="F347" s="9"/>
      <c r="G347" s="22">
        <v>5.3100599999999998E-2</v>
      </c>
      <c r="H347" s="22">
        <v>37.638800000000003</v>
      </c>
      <c r="I347" s="22">
        <v>-1.86371E-2</v>
      </c>
      <c r="J347" s="22">
        <v>337</v>
      </c>
      <c r="K347" s="22">
        <v>5.3161600000000003E-2</v>
      </c>
      <c r="L347">
        <f t="shared" si="60"/>
        <v>18.6371</v>
      </c>
      <c r="M347">
        <f t="shared" si="61"/>
        <v>0.98964119226000002</v>
      </c>
      <c r="N347" s="9"/>
      <c r="O347" s="22">
        <v>1.5969800000000001</v>
      </c>
      <c r="P347" s="22">
        <v>71.947900000000004</v>
      </c>
      <c r="Q347" s="22">
        <v>4.6676599999999999E-2</v>
      </c>
      <c r="R347" s="22">
        <v>337</v>
      </c>
      <c r="S347" s="22">
        <v>0.36865199999999998</v>
      </c>
      <c r="T347">
        <f t="shared" si="62"/>
        <v>-46.676600000000001</v>
      </c>
      <c r="U347">
        <f t="shared" si="63"/>
        <v>-74.541596667999997</v>
      </c>
      <c r="X347" s="9"/>
      <c r="Y347" s="22">
        <v>5.3100599999999998E-2</v>
      </c>
      <c r="Z347" s="22">
        <v>106.154</v>
      </c>
      <c r="AA347" s="22">
        <v>-1.8701200000000001E-2</v>
      </c>
      <c r="AB347" s="22">
        <v>337</v>
      </c>
      <c r="AC347" s="22">
        <v>5.2673299999999999E-2</v>
      </c>
      <c r="AD347">
        <f t="shared" si="64"/>
        <v>18.7012</v>
      </c>
      <c r="AE347">
        <f t="shared" si="65"/>
        <v>0.99304494071999994</v>
      </c>
      <c r="AF347" s="9"/>
      <c r="AG347" s="22">
        <v>1.5969800000000001</v>
      </c>
      <c r="AH347" s="22">
        <v>123.97499999999999</v>
      </c>
      <c r="AI347" s="22">
        <v>-1.6861000000000001E-2</v>
      </c>
      <c r="AJ347" s="22">
        <v>337</v>
      </c>
      <c r="AK347" s="22">
        <v>1.5960700000000001</v>
      </c>
      <c r="AL347">
        <f t="shared" si="66"/>
        <v>16.861000000000001</v>
      </c>
      <c r="AM347">
        <f t="shared" si="67"/>
        <v>26.926679780000001</v>
      </c>
      <c r="AP347" s="9"/>
      <c r="AQ347" s="22">
        <v>5.3100599999999998E-2</v>
      </c>
      <c r="AR347" s="22">
        <v>158.244</v>
      </c>
      <c r="AS347" s="22">
        <v>-1.8862899999999998E-2</v>
      </c>
      <c r="AT347" s="22">
        <v>337</v>
      </c>
      <c r="AU347" s="22">
        <v>5.2673299999999999E-2</v>
      </c>
      <c r="AV347">
        <f t="shared" si="68"/>
        <v>18.8629</v>
      </c>
      <c r="AW347">
        <f t="shared" si="69"/>
        <v>1.0016313077399999</v>
      </c>
      <c r="AX347" s="9"/>
      <c r="AY347" s="22">
        <v>1.5969800000000001</v>
      </c>
      <c r="AZ347" s="22">
        <v>192.631</v>
      </c>
      <c r="BA347" s="22">
        <v>-1.6912799999999999E-2</v>
      </c>
      <c r="BB347" s="22">
        <v>337</v>
      </c>
      <c r="BC347" s="22">
        <v>1.5963700000000001</v>
      </c>
      <c r="BD347">
        <f t="shared" si="70"/>
        <v>16.912799999999997</v>
      </c>
      <c r="BE347">
        <f t="shared" si="71"/>
        <v>27.009403343999995</v>
      </c>
    </row>
    <row r="348" spans="6:57">
      <c r="F348" s="9"/>
      <c r="G348" s="22">
        <v>4.8065200000000002E-2</v>
      </c>
      <c r="H348" s="22">
        <v>37.648899999999998</v>
      </c>
      <c r="I348" s="22">
        <v>-1.86523E-2</v>
      </c>
      <c r="J348" s="22">
        <v>338</v>
      </c>
      <c r="K348" s="22">
        <v>4.8187300000000002E-2</v>
      </c>
      <c r="L348">
        <f t="shared" si="60"/>
        <v>18.6523</v>
      </c>
      <c r="M348">
        <f t="shared" si="61"/>
        <v>0.89652652996000004</v>
      </c>
      <c r="N348" s="9"/>
      <c r="O348" s="22">
        <v>1.60202</v>
      </c>
      <c r="P348" s="22">
        <v>71.957999999999998</v>
      </c>
      <c r="Q348" s="22">
        <v>4.6682700000000001E-2</v>
      </c>
      <c r="R348" s="22">
        <v>338</v>
      </c>
      <c r="S348" s="22">
        <v>0.37152099999999999</v>
      </c>
      <c r="T348">
        <f t="shared" si="62"/>
        <v>-46.682700000000004</v>
      </c>
      <c r="U348">
        <f t="shared" si="63"/>
        <v>-74.786619054000013</v>
      </c>
      <c r="X348" s="9"/>
      <c r="Y348" s="22">
        <v>4.8065200000000002E-2</v>
      </c>
      <c r="Z348" s="22">
        <v>106.164</v>
      </c>
      <c r="AA348" s="22">
        <v>-1.8704200000000001E-2</v>
      </c>
      <c r="AB348" s="22">
        <v>338</v>
      </c>
      <c r="AC348" s="22">
        <v>4.8458899999999999E-2</v>
      </c>
      <c r="AD348">
        <f t="shared" si="64"/>
        <v>18.7042</v>
      </c>
      <c r="AE348">
        <f t="shared" si="65"/>
        <v>0.89902111384000005</v>
      </c>
      <c r="AF348" s="9"/>
      <c r="AG348" s="22">
        <v>1.60202</v>
      </c>
      <c r="AH348" s="22">
        <v>123.985</v>
      </c>
      <c r="AI348" s="22">
        <v>-1.6747999999999999E-2</v>
      </c>
      <c r="AJ348" s="22">
        <v>338</v>
      </c>
      <c r="AK348" s="22">
        <v>1.6009500000000001</v>
      </c>
      <c r="AL348">
        <f t="shared" si="66"/>
        <v>16.747999999999998</v>
      </c>
      <c r="AM348">
        <f t="shared" si="67"/>
        <v>26.830630959999997</v>
      </c>
      <c r="AP348" s="9"/>
      <c r="AQ348" s="22">
        <v>4.8065200000000002E-2</v>
      </c>
      <c r="AR348" s="22">
        <v>158.25399999999999</v>
      </c>
      <c r="AS348" s="22">
        <v>-1.8862899999999998E-2</v>
      </c>
      <c r="AT348" s="22">
        <v>338</v>
      </c>
      <c r="AU348" s="22">
        <v>4.81445E-2</v>
      </c>
      <c r="AV348">
        <f t="shared" si="68"/>
        <v>18.8629</v>
      </c>
      <c r="AW348">
        <f t="shared" si="69"/>
        <v>0.90664906107999998</v>
      </c>
      <c r="AX348" s="9"/>
      <c r="AY348" s="22">
        <v>1.60202</v>
      </c>
      <c r="AZ348" s="22">
        <v>192.64099999999999</v>
      </c>
      <c r="BA348" s="22">
        <v>-1.6705299999999999E-2</v>
      </c>
      <c r="BB348" s="22">
        <v>338</v>
      </c>
      <c r="BC348" s="22">
        <v>1.6000399999999999</v>
      </c>
      <c r="BD348">
        <f t="shared" si="70"/>
        <v>16.705299999999998</v>
      </c>
      <c r="BE348">
        <f t="shared" si="71"/>
        <v>26.762224705999998</v>
      </c>
    </row>
    <row r="349" spans="6:57">
      <c r="F349" s="9"/>
      <c r="G349" s="22">
        <v>4.30298E-2</v>
      </c>
      <c r="H349" s="22">
        <v>37.658900000000003</v>
      </c>
      <c r="I349" s="22">
        <v>-1.8673700000000001E-2</v>
      </c>
      <c r="J349" s="22">
        <v>339</v>
      </c>
      <c r="K349" s="22">
        <v>4.28925E-2</v>
      </c>
      <c r="L349">
        <f t="shared" si="60"/>
        <v>18.6737</v>
      </c>
      <c r="M349">
        <f t="shared" si="61"/>
        <v>0.80352557625999999</v>
      </c>
      <c r="N349" s="9"/>
      <c r="O349" s="22">
        <v>1.6070599999999999</v>
      </c>
      <c r="P349" s="22">
        <v>71.968100000000007</v>
      </c>
      <c r="Q349" s="22">
        <v>4.6673600000000003E-2</v>
      </c>
      <c r="R349" s="22">
        <v>339</v>
      </c>
      <c r="S349" s="22">
        <v>0.37588500000000002</v>
      </c>
      <c r="T349">
        <f t="shared" si="62"/>
        <v>-46.6736</v>
      </c>
      <c r="U349">
        <f t="shared" si="63"/>
        <v>-75.007275616000001</v>
      </c>
      <c r="X349" s="9"/>
      <c r="Y349" s="22">
        <v>4.30298E-2</v>
      </c>
      <c r="Z349" s="22">
        <v>106.17400000000001</v>
      </c>
      <c r="AA349" s="22">
        <v>-1.87073E-2</v>
      </c>
      <c r="AB349" s="22">
        <v>339</v>
      </c>
      <c r="AC349" s="22">
        <v>4.2941300000000002E-2</v>
      </c>
      <c r="AD349">
        <f t="shared" si="64"/>
        <v>18.7073</v>
      </c>
      <c r="AE349">
        <f t="shared" si="65"/>
        <v>0.80497137754000003</v>
      </c>
      <c r="AF349" s="9"/>
      <c r="AG349" s="22">
        <v>1.6070599999999999</v>
      </c>
      <c r="AH349" s="22">
        <v>123.995</v>
      </c>
      <c r="AI349" s="22">
        <v>-1.6625999999999998E-2</v>
      </c>
      <c r="AJ349" s="22">
        <v>339</v>
      </c>
      <c r="AK349" s="22">
        <v>1.6061399999999999</v>
      </c>
      <c r="AL349">
        <f t="shared" si="66"/>
        <v>16.625999999999998</v>
      </c>
      <c r="AM349">
        <f t="shared" si="67"/>
        <v>26.718979559999994</v>
      </c>
      <c r="AP349" s="9"/>
      <c r="AQ349" s="22">
        <v>4.30298E-2</v>
      </c>
      <c r="AR349" s="22">
        <v>158.26400000000001</v>
      </c>
      <c r="AS349" s="22">
        <v>-1.8866000000000001E-2</v>
      </c>
      <c r="AT349" s="22">
        <v>339</v>
      </c>
      <c r="AU349" s="22">
        <v>4.3499799999999998E-2</v>
      </c>
      <c r="AV349">
        <f t="shared" si="68"/>
        <v>18.866</v>
      </c>
      <c r="AW349">
        <f t="shared" si="69"/>
        <v>0.81180020679999998</v>
      </c>
      <c r="AX349" s="9"/>
      <c r="AY349" s="22">
        <v>1.6070599999999999</v>
      </c>
      <c r="AZ349" s="22">
        <v>192.65100000000001</v>
      </c>
      <c r="BA349" s="22">
        <v>-1.6482500000000001E-2</v>
      </c>
      <c r="BB349" s="22">
        <v>339</v>
      </c>
      <c r="BC349" s="22">
        <v>1.6070599999999999</v>
      </c>
      <c r="BD349">
        <f t="shared" si="70"/>
        <v>16.482500000000002</v>
      </c>
      <c r="BE349">
        <f t="shared" si="71"/>
        <v>26.488366450000001</v>
      </c>
    </row>
    <row r="350" spans="6:57">
      <c r="F350" s="9"/>
      <c r="G350" s="22">
        <v>3.7994399999999998E-2</v>
      </c>
      <c r="H350" s="22">
        <v>37.668999999999997</v>
      </c>
      <c r="I350" s="22">
        <v>-1.8673700000000001E-2</v>
      </c>
      <c r="J350" s="22">
        <v>340</v>
      </c>
      <c r="K350" s="22">
        <v>3.7307699999999999E-2</v>
      </c>
      <c r="L350">
        <f t="shared" si="60"/>
        <v>18.6737</v>
      </c>
      <c r="M350">
        <f t="shared" si="61"/>
        <v>0.70949602727999994</v>
      </c>
      <c r="N350" s="9"/>
      <c r="O350" s="22">
        <v>1.61209</v>
      </c>
      <c r="P350" s="22">
        <v>71.978200000000001</v>
      </c>
      <c r="Q350" s="22">
        <v>4.6679699999999998E-2</v>
      </c>
      <c r="R350" s="22">
        <v>340</v>
      </c>
      <c r="S350" s="22">
        <v>0.370728</v>
      </c>
      <c r="T350">
        <f t="shared" si="62"/>
        <v>-46.679699999999997</v>
      </c>
      <c r="U350">
        <f t="shared" si="63"/>
        <v>-75.251877573000002</v>
      </c>
      <c r="X350" s="9"/>
      <c r="Y350" s="22">
        <v>3.7994399999999998E-2</v>
      </c>
      <c r="Z350" s="22">
        <v>106.184</v>
      </c>
      <c r="AA350" s="22">
        <v>-1.87073E-2</v>
      </c>
      <c r="AB350" s="22">
        <v>340</v>
      </c>
      <c r="AC350" s="22">
        <v>3.7875399999999997E-2</v>
      </c>
      <c r="AD350">
        <f t="shared" si="64"/>
        <v>18.7073</v>
      </c>
      <c r="AE350">
        <f t="shared" si="65"/>
        <v>0.71077263911999999</v>
      </c>
      <c r="AF350" s="9"/>
      <c r="AG350" s="22">
        <v>1.61209</v>
      </c>
      <c r="AH350" s="22">
        <v>124.005</v>
      </c>
      <c r="AI350" s="22">
        <v>-1.6491700000000001E-2</v>
      </c>
      <c r="AJ350" s="22">
        <v>340</v>
      </c>
      <c r="AK350" s="22">
        <v>1.6116299999999999</v>
      </c>
      <c r="AL350">
        <f t="shared" si="66"/>
        <v>16.491700000000002</v>
      </c>
      <c r="AM350">
        <f t="shared" si="67"/>
        <v>26.586104653000003</v>
      </c>
      <c r="AP350" s="9"/>
      <c r="AQ350" s="22">
        <v>3.7994399999999998E-2</v>
      </c>
      <c r="AR350" s="22">
        <v>158.274</v>
      </c>
      <c r="AS350" s="22">
        <v>-1.8869E-2</v>
      </c>
      <c r="AT350" s="22">
        <v>340</v>
      </c>
      <c r="AU350" s="22">
        <v>3.8369800000000003E-2</v>
      </c>
      <c r="AV350">
        <f t="shared" si="68"/>
        <v>18.869</v>
      </c>
      <c r="AW350">
        <f t="shared" si="69"/>
        <v>0.71691633359999996</v>
      </c>
      <c r="AX350" s="9"/>
      <c r="AY350" s="22">
        <v>1.61209</v>
      </c>
      <c r="AZ350" s="22">
        <v>192.661</v>
      </c>
      <c r="BA350" s="22">
        <v>3.3273299999999999E-2</v>
      </c>
      <c r="BB350" s="22">
        <v>340</v>
      </c>
      <c r="BC350" s="22">
        <v>0.39166299999999998</v>
      </c>
      <c r="BD350">
        <f t="shared" si="70"/>
        <v>-33.273299999999999</v>
      </c>
      <c r="BE350">
        <f t="shared" si="71"/>
        <v>-53.639554197000002</v>
      </c>
    </row>
    <row r="351" spans="6:57">
      <c r="F351" s="9"/>
      <c r="G351" s="22">
        <v>3.2959000000000002E-2</v>
      </c>
      <c r="H351" s="22">
        <v>37.679099999999998</v>
      </c>
      <c r="I351" s="22">
        <v>-1.8716400000000001E-2</v>
      </c>
      <c r="J351" s="22">
        <v>341</v>
      </c>
      <c r="K351" s="22">
        <v>3.4594699999999999E-2</v>
      </c>
      <c r="L351">
        <f t="shared" si="60"/>
        <v>18.7164</v>
      </c>
      <c r="M351">
        <f t="shared" si="61"/>
        <v>0.61687382760000009</v>
      </c>
      <c r="N351" s="9"/>
      <c r="O351" s="22">
        <v>1.61713</v>
      </c>
      <c r="P351" s="22">
        <v>71.988200000000006</v>
      </c>
      <c r="Q351" s="22">
        <v>4.6691900000000001E-2</v>
      </c>
      <c r="R351" s="22">
        <v>341</v>
      </c>
      <c r="S351" s="22">
        <v>0.37396200000000002</v>
      </c>
      <c r="T351">
        <f t="shared" si="62"/>
        <v>-46.691900000000004</v>
      </c>
      <c r="U351">
        <f t="shared" si="63"/>
        <v>-75.506872247000004</v>
      </c>
      <c r="X351" s="9"/>
      <c r="Y351" s="22">
        <v>3.2959000000000002E-2</v>
      </c>
      <c r="Z351" s="22">
        <v>106.194</v>
      </c>
      <c r="AA351" s="22">
        <v>-1.87073E-2</v>
      </c>
      <c r="AB351" s="22">
        <v>341</v>
      </c>
      <c r="AC351" s="22">
        <v>3.3673099999999997E-2</v>
      </c>
      <c r="AD351">
        <f t="shared" si="64"/>
        <v>18.7073</v>
      </c>
      <c r="AE351">
        <f t="shared" si="65"/>
        <v>0.61657390070000007</v>
      </c>
      <c r="AF351" s="9"/>
      <c r="AG351" s="22">
        <v>1.61713</v>
      </c>
      <c r="AH351" s="22">
        <v>124.015</v>
      </c>
      <c r="AI351" s="22">
        <v>-1.6339099999999999E-2</v>
      </c>
      <c r="AJ351" s="22">
        <v>341</v>
      </c>
      <c r="AK351" s="22">
        <v>1.6162099999999999</v>
      </c>
      <c r="AL351">
        <f t="shared" si="66"/>
        <v>16.339099999999998</v>
      </c>
      <c r="AM351">
        <f t="shared" si="67"/>
        <v>26.422448782999997</v>
      </c>
      <c r="AP351" s="9"/>
      <c r="AQ351" s="22">
        <v>3.2959000000000002E-2</v>
      </c>
      <c r="AR351" s="22">
        <v>158.28399999999999</v>
      </c>
      <c r="AS351" s="22">
        <v>-1.8872099999999999E-2</v>
      </c>
      <c r="AT351" s="22">
        <v>341</v>
      </c>
      <c r="AU351" s="22">
        <v>3.3245799999999999E-2</v>
      </c>
      <c r="AV351">
        <f t="shared" si="68"/>
        <v>18.8721</v>
      </c>
      <c r="AW351">
        <f t="shared" si="69"/>
        <v>0.62200554390000007</v>
      </c>
      <c r="AX351" s="9"/>
      <c r="AY351" s="22">
        <v>1.61713</v>
      </c>
      <c r="AZ351" s="22">
        <v>192.672</v>
      </c>
      <c r="BA351" s="22">
        <v>3.4396400000000001E-2</v>
      </c>
      <c r="BB351" s="22">
        <v>341</v>
      </c>
      <c r="BC351" s="22">
        <v>0.37527500000000003</v>
      </c>
      <c r="BD351">
        <f t="shared" si="70"/>
        <v>-34.3964</v>
      </c>
      <c r="BE351">
        <f t="shared" si="71"/>
        <v>-55.623450331999997</v>
      </c>
    </row>
    <row r="352" spans="6:57">
      <c r="F352" s="9"/>
      <c r="G352" s="22">
        <v>2.79236E-2</v>
      </c>
      <c r="H352" s="22">
        <v>37.689100000000003</v>
      </c>
      <c r="I352" s="22">
        <v>-1.8704200000000001E-2</v>
      </c>
      <c r="J352" s="22">
        <v>342</v>
      </c>
      <c r="K352" s="22">
        <v>2.8161599999999998E-2</v>
      </c>
      <c r="L352">
        <f t="shared" si="60"/>
        <v>18.7042</v>
      </c>
      <c r="M352">
        <f t="shared" si="61"/>
        <v>0.52228859912000003</v>
      </c>
      <c r="N352" s="9"/>
      <c r="O352" s="22">
        <v>1.62216</v>
      </c>
      <c r="P352" s="22">
        <v>71.9983</v>
      </c>
      <c r="Q352" s="22">
        <v>4.6694899999999998E-2</v>
      </c>
      <c r="R352" s="22">
        <v>342</v>
      </c>
      <c r="S352" s="22">
        <v>0.36849999999999999</v>
      </c>
      <c r="T352">
        <f t="shared" si="62"/>
        <v>-46.694899999999997</v>
      </c>
      <c r="U352">
        <f t="shared" si="63"/>
        <v>-75.746598984000002</v>
      </c>
      <c r="X352" s="9"/>
      <c r="Y352" s="22">
        <v>2.79236E-2</v>
      </c>
      <c r="Z352" s="22">
        <v>106.20399999999999</v>
      </c>
      <c r="AA352" s="22">
        <v>-1.87073E-2</v>
      </c>
      <c r="AB352" s="22">
        <v>342</v>
      </c>
      <c r="AC352" s="22">
        <v>2.7969399999999998E-2</v>
      </c>
      <c r="AD352">
        <f t="shared" si="64"/>
        <v>18.7073</v>
      </c>
      <c r="AE352">
        <f t="shared" si="65"/>
        <v>0.52237516228000003</v>
      </c>
      <c r="AF352" s="9"/>
      <c r="AG352" s="22">
        <v>1.62216</v>
      </c>
      <c r="AH352" s="22">
        <v>124.02500000000001</v>
      </c>
      <c r="AI352" s="22">
        <v>-1.6156E-2</v>
      </c>
      <c r="AJ352" s="22">
        <v>342</v>
      </c>
      <c r="AK352" s="22">
        <v>1.6214</v>
      </c>
      <c r="AL352">
        <f t="shared" si="66"/>
        <v>16.155999999999999</v>
      </c>
      <c r="AM352">
        <f t="shared" si="67"/>
        <v>26.207616959999999</v>
      </c>
      <c r="AP352" s="9"/>
      <c r="AQ352" s="22">
        <v>2.79236E-2</v>
      </c>
      <c r="AR352" s="22">
        <v>158.29400000000001</v>
      </c>
      <c r="AS352" s="22">
        <v>-1.8875099999999999E-2</v>
      </c>
      <c r="AT352" s="22">
        <v>342</v>
      </c>
      <c r="AU352" s="22">
        <v>2.7648900000000001E-2</v>
      </c>
      <c r="AV352">
        <f t="shared" si="68"/>
        <v>18.8751</v>
      </c>
      <c r="AW352">
        <f t="shared" si="69"/>
        <v>0.52706074236</v>
      </c>
      <c r="AX352" s="9"/>
      <c r="AY352" s="22">
        <v>1.62216</v>
      </c>
      <c r="AZ352" s="22">
        <v>192.68199999999999</v>
      </c>
      <c r="BA352" s="22">
        <v>3.38257E-2</v>
      </c>
      <c r="BB352" s="22">
        <v>342</v>
      </c>
      <c r="BC352" s="22">
        <v>0.366089</v>
      </c>
      <c r="BD352">
        <f t="shared" si="70"/>
        <v>-33.825699999999998</v>
      </c>
      <c r="BE352">
        <f t="shared" si="71"/>
        <v>-54.870697512</v>
      </c>
    </row>
    <row r="353" spans="6:57">
      <c r="F353" s="9"/>
      <c r="G353" s="22">
        <v>2.2888200000000001E-2</v>
      </c>
      <c r="H353" s="22">
        <v>37.699199999999998</v>
      </c>
      <c r="I353" s="22">
        <v>-1.8716400000000001E-2</v>
      </c>
      <c r="J353" s="22">
        <v>343</v>
      </c>
      <c r="K353" s="22">
        <v>2.2793600000000001E-2</v>
      </c>
      <c r="L353">
        <f t="shared" si="60"/>
        <v>18.7164</v>
      </c>
      <c r="M353">
        <f t="shared" si="61"/>
        <v>0.42838470648000004</v>
      </c>
      <c r="N353" s="9"/>
      <c r="O353" s="22">
        <v>1.6272</v>
      </c>
      <c r="P353" s="22">
        <v>72.008399999999995</v>
      </c>
      <c r="Q353" s="22">
        <v>4.6698000000000003E-2</v>
      </c>
      <c r="R353" s="22">
        <v>343</v>
      </c>
      <c r="S353" s="22">
        <v>0.37219200000000002</v>
      </c>
      <c r="T353">
        <f t="shared" si="62"/>
        <v>-46.698</v>
      </c>
      <c r="U353">
        <f t="shared" si="63"/>
        <v>-75.986985599999997</v>
      </c>
      <c r="X353" s="9"/>
      <c r="Y353" s="22">
        <v>2.2888200000000001E-2</v>
      </c>
      <c r="Z353" s="22">
        <v>106.215</v>
      </c>
      <c r="AA353" s="22">
        <v>-1.8710299999999999E-2</v>
      </c>
      <c r="AB353" s="22">
        <v>343</v>
      </c>
      <c r="AC353" s="22">
        <v>2.2283899999999999E-2</v>
      </c>
      <c r="AD353">
        <f t="shared" si="64"/>
        <v>18.7103</v>
      </c>
      <c r="AE353">
        <f t="shared" si="65"/>
        <v>0.42824508846000003</v>
      </c>
      <c r="AF353" s="9"/>
      <c r="AG353" s="22">
        <v>1.6272</v>
      </c>
      <c r="AH353" s="22">
        <v>124.035</v>
      </c>
      <c r="AI353" s="22">
        <v>-1.5954599999999999E-2</v>
      </c>
      <c r="AJ353" s="22">
        <v>343</v>
      </c>
      <c r="AK353" s="22">
        <v>1.62659</v>
      </c>
      <c r="AL353">
        <f t="shared" si="66"/>
        <v>15.954599999999999</v>
      </c>
      <c r="AM353">
        <f t="shared" si="67"/>
        <v>25.961325119999998</v>
      </c>
      <c r="AP353" s="9"/>
      <c r="AQ353" s="22">
        <v>2.2888200000000001E-2</v>
      </c>
      <c r="AR353" s="22">
        <v>158.30500000000001</v>
      </c>
      <c r="AS353" s="22">
        <v>-1.8872099999999999E-2</v>
      </c>
      <c r="AT353" s="22">
        <v>343</v>
      </c>
      <c r="AU353" s="22">
        <v>2.27692E-2</v>
      </c>
      <c r="AV353">
        <f t="shared" si="68"/>
        <v>18.8721</v>
      </c>
      <c r="AW353">
        <f t="shared" si="69"/>
        <v>0.43194839922</v>
      </c>
      <c r="AX353" s="9"/>
      <c r="AY353" s="22">
        <v>1.6272</v>
      </c>
      <c r="AZ353" s="22">
        <v>192.69200000000001</v>
      </c>
      <c r="BA353" s="22">
        <v>3.3245799999999999E-2</v>
      </c>
      <c r="BB353" s="22">
        <v>343</v>
      </c>
      <c r="BC353" s="22">
        <v>0.37847900000000001</v>
      </c>
      <c r="BD353">
        <f t="shared" si="70"/>
        <v>-33.245799999999996</v>
      </c>
      <c r="BE353">
        <f t="shared" si="71"/>
        <v>-54.097565759999995</v>
      </c>
    </row>
    <row r="354" spans="6:57">
      <c r="F354" s="9"/>
      <c r="G354" s="22">
        <v>1.7852799999999999E-2</v>
      </c>
      <c r="H354" s="22">
        <v>37.709299999999999</v>
      </c>
      <c r="I354" s="22">
        <v>-1.86768E-2</v>
      </c>
      <c r="J354" s="22">
        <v>344</v>
      </c>
      <c r="K354" s="22">
        <v>1.7416399999999999E-2</v>
      </c>
      <c r="L354">
        <f t="shared" si="60"/>
        <v>18.6768</v>
      </c>
      <c r="M354">
        <f t="shared" si="61"/>
        <v>0.33343317503999997</v>
      </c>
      <c r="N354" s="9"/>
      <c r="O354" s="22">
        <v>1.6322300000000001</v>
      </c>
      <c r="P354" s="22">
        <v>72.0184</v>
      </c>
      <c r="Q354" s="22">
        <v>4.6694899999999998E-2</v>
      </c>
      <c r="R354" s="22">
        <v>344</v>
      </c>
      <c r="S354" s="22">
        <v>0.376556</v>
      </c>
      <c r="T354">
        <f t="shared" si="62"/>
        <v>-46.694899999999997</v>
      </c>
      <c r="U354">
        <f t="shared" si="63"/>
        <v>-76.216816627</v>
      </c>
      <c r="X354" s="9"/>
      <c r="Y354" s="22">
        <v>1.7852799999999999E-2</v>
      </c>
      <c r="Z354" s="22">
        <v>106.22499999999999</v>
      </c>
      <c r="AA354" s="22">
        <v>-1.8713400000000002E-2</v>
      </c>
      <c r="AB354" s="22">
        <v>344</v>
      </c>
      <c r="AC354" s="22">
        <v>1.7471299999999999E-2</v>
      </c>
      <c r="AD354">
        <f t="shared" si="64"/>
        <v>18.7134</v>
      </c>
      <c r="AE354">
        <f t="shared" si="65"/>
        <v>0.33408658751999998</v>
      </c>
      <c r="AF354" s="9"/>
      <c r="AG354" s="22">
        <v>1.6322300000000001</v>
      </c>
      <c r="AH354" s="22">
        <v>124.045</v>
      </c>
      <c r="AI354" s="22">
        <v>-1.5725699999999999E-2</v>
      </c>
      <c r="AJ354" s="22">
        <v>344</v>
      </c>
      <c r="AK354" s="22">
        <v>1.6317699999999999</v>
      </c>
      <c r="AL354">
        <f t="shared" si="66"/>
        <v>15.725699999999998</v>
      </c>
      <c r="AM354">
        <f t="shared" si="67"/>
        <v>25.667959310999997</v>
      </c>
      <c r="AP354" s="9"/>
      <c r="AQ354" s="22">
        <v>1.7852799999999999E-2</v>
      </c>
      <c r="AR354" s="22">
        <v>158.315</v>
      </c>
      <c r="AS354" s="22">
        <v>-1.8878200000000001E-2</v>
      </c>
      <c r="AT354" s="22">
        <v>344</v>
      </c>
      <c r="AU354" s="22">
        <v>1.75598E-2</v>
      </c>
      <c r="AV354">
        <f t="shared" si="68"/>
        <v>18.8782</v>
      </c>
      <c r="AW354">
        <f t="shared" si="69"/>
        <v>0.33702872895999997</v>
      </c>
      <c r="AX354" s="9"/>
      <c r="AY354" s="22">
        <v>1.6322300000000001</v>
      </c>
      <c r="AZ354" s="22">
        <v>192.702</v>
      </c>
      <c r="BA354" s="22">
        <v>3.3367899999999999E-2</v>
      </c>
      <c r="BB354" s="22">
        <v>344</v>
      </c>
      <c r="BC354" s="22">
        <v>0.38064599999999998</v>
      </c>
      <c r="BD354">
        <f t="shared" si="70"/>
        <v>-33.367899999999999</v>
      </c>
      <c r="BE354">
        <f t="shared" si="71"/>
        <v>-54.464087417000002</v>
      </c>
    </row>
    <row r="355" spans="6:57">
      <c r="F355" s="9"/>
      <c r="G355" s="22">
        <v>1.28174E-2</v>
      </c>
      <c r="H355" s="22">
        <v>37.7194</v>
      </c>
      <c r="I355" s="22">
        <v>-1.8685899999999998E-2</v>
      </c>
      <c r="J355" s="22">
        <v>345</v>
      </c>
      <c r="K355" s="22">
        <v>1.33087E-2</v>
      </c>
      <c r="L355">
        <f t="shared" si="60"/>
        <v>18.685899999999997</v>
      </c>
      <c r="M355">
        <f t="shared" si="61"/>
        <v>0.23950465465999995</v>
      </c>
      <c r="N355" s="9"/>
      <c r="O355" s="22">
        <v>1.63727</v>
      </c>
      <c r="P355" s="22">
        <v>72.028499999999994</v>
      </c>
      <c r="Q355" s="22">
        <v>4.6694899999999998E-2</v>
      </c>
      <c r="R355" s="22">
        <v>345</v>
      </c>
      <c r="S355" s="22">
        <v>0.37387100000000001</v>
      </c>
      <c r="T355">
        <f t="shared" si="62"/>
        <v>-46.694899999999997</v>
      </c>
      <c r="U355">
        <f t="shared" si="63"/>
        <v>-76.452158922999999</v>
      </c>
      <c r="X355" s="9"/>
      <c r="Y355" s="22">
        <v>1.28174E-2</v>
      </c>
      <c r="Z355" s="22">
        <v>106.235</v>
      </c>
      <c r="AA355" s="22">
        <v>-1.8716400000000001E-2</v>
      </c>
      <c r="AB355" s="22">
        <v>345</v>
      </c>
      <c r="AC355" s="22">
        <v>1.2417600000000001E-2</v>
      </c>
      <c r="AD355">
        <f t="shared" si="64"/>
        <v>18.7164</v>
      </c>
      <c r="AE355">
        <f t="shared" si="65"/>
        <v>0.23989558536</v>
      </c>
      <c r="AF355" s="9"/>
      <c r="AG355" s="22">
        <v>1.63727</v>
      </c>
      <c r="AH355" s="22">
        <v>124.056</v>
      </c>
      <c r="AI355" s="22">
        <v>-1.5469399999999999E-2</v>
      </c>
      <c r="AJ355" s="22">
        <v>345</v>
      </c>
      <c r="AK355" s="22">
        <v>1.63544</v>
      </c>
      <c r="AL355">
        <f t="shared" si="66"/>
        <v>15.4694</v>
      </c>
      <c r="AM355">
        <f t="shared" si="67"/>
        <v>25.327584538</v>
      </c>
      <c r="AP355" s="9"/>
      <c r="AQ355" s="22">
        <v>1.28174E-2</v>
      </c>
      <c r="AR355" s="22">
        <v>158.32499999999999</v>
      </c>
      <c r="AS355" s="22">
        <v>-1.8875099999999999E-2</v>
      </c>
      <c r="AT355" s="22">
        <v>345</v>
      </c>
      <c r="AU355" s="22">
        <v>1.2655599999999999E-2</v>
      </c>
      <c r="AV355">
        <f t="shared" si="68"/>
        <v>18.8751</v>
      </c>
      <c r="AW355">
        <f t="shared" si="69"/>
        <v>0.24192970674</v>
      </c>
      <c r="AX355" s="9"/>
      <c r="AY355" s="22">
        <v>1.63727</v>
      </c>
      <c r="AZ355" s="22">
        <v>192.71199999999999</v>
      </c>
      <c r="BA355" s="22">
        <v>3.3044400000000002E-2</v>
      </c>
      <c r="BB355" s="22">
        <v>345</v>
      </c>
      <c r="BC355" s="22">
        <v>0.36557000000000001</v>
      </c>
      <c r="BD355">
        <f t="shared" si="70"/>
        <v>-33.044400000000003</v>
      </c>
      <c r="BE355">
        <f t="shared" si="71"/>
        <v>-54.102604788000008</v>
      </c>
    </row>
    <row r="356" spans="6:57">
      <c r="F356" s="9"/>
      <c r="G356" s="22">
        <v>7.78198E-3</v>
      </c>
      <c r="H356" s="22">
        <v>37.729399999999998</v>
      </c>
      <c r="I356" s="22">
        <v>-1.8689000000000001E-2</v>
      </c>
      <c r="J356" s="22">
        <v>346</v>
      </c>
      <c r="K356" s="22">
        <v>8.1298800000000008E-3</v>
      </c>
      <c r="L356">
        <f t="shared" si="60"/>
        <v>18.689</v>
      </c>
      <c r="M356">
        <f t="shared" si="61"/>
        <v>0.14543742422</v>
      </c>
      <c r="N356" s="9"/>
      <c r="O356" s="22">
        <v>1.6423000000000001</v>
      </c>
      <c r="P356" s="22">
        <v>72.038600000000002</v>
      </c>
      <c r="Q356" s="22">
        <v>4.6694899999999998E-2</v>
      </c>
      <c r="R356" s="22">
        <v>346</v>
      </c>
      <c r="S356" s="22">
        <v>0.37097200000000002</v>
      </c>
      <c r="T356">
        <f t="shared" si="62"/>
        <v>-46.694899999999997</v>
      </c>
      <c r="U356">
        <f t="shared" si="63"/>
        <v>-76.687034269999998</v>
      </c>
      <c r="X356" s="9"/>
      <c r="Y356" s="22">
        <v>7.78198E-3</v>
      </c>
      <c r="Z356" s="22">
        <v>106.245</v>
      </c>
      <c r="AA356" s="22">
        <v>-1.8716400000000001E-2</v>
      </c>
      <c r="AB356" s="22">
        <v>346</v>
      </c>
      <c r="AC356" s="22">
        <v>7.5378399999999996E-3</v>
      </c>
      <c r="AD356">
        <f t="shared" si="64"/>
        <v>18.7164</v>
      </c>
      <c r="AE356">
        <f t="shared" si="65"/>
        <v>0.14565065047199999</v>
      </c>
      <c r="AF356" s="9"/>
      <c r="AG356" s="22">
        <v>1.6423000000000001</v>
      </c>
      <c r="AH356" s="22">
        <v>124.066</v>
      </c>
      <c r="AI356" s="22">
        <v>-1.51672E-2</v>
      </c>
      <c r="AJ356" s="22">
        <v>346</v>
      </c>
      <c r="AK356" s="22">
        <v>1.64154</v>
      </c>
      <c r="AL356">
        <f t="shared" si="66"/>
        <v>15.167200000000001</v>
      </c>
      <c r="AM356">
        <f t="shared" si="67"/>
        <v>24.909092560000005</v>
      </c>
      <c r="AP356" s="9"/>
      <c r="AQ356" s="22">
        <v>7.78198E-3</v>
      </c>
      <c r="AR356" s="22">
        <v>158.33500000000001</v>
      </c>
      <c r="AS356" s="22">
        <v>-1.8881200000000001E-2</v>
      </c>
      <c r="AT356" s="22">
        <v>346</v>
      </c>
      <c r="AU356" s="22">
        <v>7.9437299999999995E-3</v>
      </c>
      <c r="AV356">
        <f t="shared" si="68"/>
        <v>18.8812</v>
      </c>
      <c r="AW356">
        <f t="shared" si="69"/>
        <v>0.14693312077599999</v>
      </c>
      <c r="AX356" s="9"/>
      <c r="AY356" s="22">
        <v>1.6423000000000001</v>
      </c>
      <c r="AZ356" s="22">
        <v>192.72200000000001</v>
      </c>
      <c r="BA356" s="22">
        <v>3.2498199999999998E-2</v>
      </c>
      <c r="BB356" s="22">
        <v>346</v>
      </c>
      <c r="BC356" s="22">
        <v>0.36474600000000001</v>
      </c>
      <c r="BD356">
        <f t="shared" si="70"/>
        <v>-32.498199999999997</v>
      </c>
      <c r="BE356">
        <f t="shared" si="71"/>
        <v>-53.371793859999997</v>
      </c>
    </row>
    <row r="357" spans="6:57">
      <c r="F357" s="9"/>
      <c r="G357" s="22">
        <v>2.7465800000000002E-3</v>
      </c>
      <c r="H357" s="22">
        <v>37.7395</v>
      </c>
      <c r="I357" s="22">
        <v>-1.8701200000000001E-2</v>
      </c>
      <c r="J357" s="22">
        <v>347</v>
      </c>
      <c r="K357" s="22">
        <v>2.6886000000000002E-3</v>
      </c>
      <c r="L357">
        <f t="shared" si="60"/>
        <v>18.7012</v>
      </c>
      <c r="M357">
        <f t="shared" si="61"/>
        <v>5.1364341896000004E-2</v>
      </c>
      <c r="N357" s="9"/>
      <c r="O357" s="22">
        <v>1.64734</v>
      </c>
      <c r="P357" s="22">
        <v>72.048599999999993</v>
      </c>
      <c r="Q357" s="22">
        <v>4.6691900000000001E-2</v>
      </c>
      <c r="R357" s="22">
        <v>347</v>
      </c>
      <c r="S357" s="22">
        <v>0.37173499999999998</v>
      </c>
      <c r="T357">
        <f t="shared" si="62"/>
        <v>-46.691900000000004</v>
      </c>
      <c r="U357">
        <f t="shared" si="63"/>
        <v>-76.91743454600001</v>
      </c>
      <c r="X357" s="9"/>
      <c r="Y357" s="22">
        <v>2.7465800000000002E-3</v>
      </c>
      <c r="Z357" s="22">
        <v>106.255</v>
      </c>
      <c r="AA357" s="22">
        <v>-1.87195E-2</v>
      </c>
      <c r="AB357" s="22">
        <v>347</v>
      </c>
      <c r="AC357" s="22">
        <v>3.10364E-3</v>
      </c>
      <c r="AD357">
        <f t="shared" si="64"/>
        <v>18.7195</v>
      </c>
      <c r="AE357">
        <f t="shared" si="65"/>
        <v>5.1414604310000001E-2</v>
      </c>
      <c r="AF357" s="9"/>
      <c r="AG357" s="22">
        <v>1.64734</v>
      </c>
      <c r="AH357" s="22">
        <v>124.07599999999999</v>
      </c>
      <c r="AI357" s="22">
        <v>-1.4819300000000001E-2</v>
      </c>
      <c r="AJ357" s="22">
        <v>347</v>
      </c>
      <c r="AK357" s="22">
        <v>1.64581</v>
      </c>
      <c r="AL357">
        <f t="shared" si="66"/>
        <v>14.8193</v>
      </c>
      <c r="AM357">
        <f t="shared" si="67"/>
        <v>24.412425662</v>
      </c>
      <c r="AP357" s="9"/>
      <c r="AQ357" s="22">
        <v>2.7465800000000002E-3</v>
      </c>
      <c r="AR357" s="22">
        <v>158.345</v>
      </c>
      <c r="AS357" s="22">
        <v>-1.88843E-2</v>
      </c>
      <c r="AT357" s="22">
        <v>347</v>
      </c>
      <c r="AU357" s="22">
        <v>3.1372100000000001E-3</v>
      </c>
      <c r="AV357">
        <f t="shared" si="68"/>
        <v>18.8843</v>
      </c>
      <c r="AW357">
        <f t="shared" si="69"/>
        <v>5.1867240694000005E-2</v>
      </c>
      <c r="AX357" s="9"/>
      <c r="AY357" s="22">
        <v>1.64734</v>
      </c>
      <c r="AZ357" s="22">
        <v>192.732</v>
      </c>
      <c r="BA357" s="22">
        <v>3.3267199999999997E-2</v>
      </c>
      <c r="BB357" s="22">
        <v>347</v>
      </c>
      <c r="BC357" s="22">
        <v>0.362122</v>
      </c>
      <c r="BD357">
        <f t="shared" si="70"/>
        <v>-33.267199999999995</v>
      </c>
      <c r="BE357">
        <f t="shared" si="71"/>
        <v>-54.80238924799999</v>
      </c>
    </row>
    <row r="358" spans="6:57">
      <c r="F358" s="9"/>
      <c r="G358" s="22">
        <v>-2.28882E-3</v>
      </c>
      <c r="H358" s="22">
        <v>37.749600000000001</v>
      </c>
      <c r="I358" s="22">
        <v>-1.8704200000000001E-2</v>
      </c>
      <c r="J358" s="22">
        <v>348</v>
      </c>
      <c r="K358" s="22">
        <v>-2.5695800000000001E-3</v>
      </c>
      <c r="L358">
        <f t="shared" si="60"/>
        <v>18.7042</v>
      </c>
      <c r="M358">
        <f t="shared" si="61"/>
        <v>-4.2810547044000002E-2</v>
      </c>
      <c r="N358" s="9"/>
      <c r="O358" s="22">
        <v>1.6523699999999999</v>
      </c>
      <c r="P358" s="22">
        <v>72.058700000000002</v>
      </c>
      <c r="Q358" s="22">
        <v>4.6691900000000001E-2</v>
      </c>
      <c r="R358" s="22">
        <v>348</v>
      </c>
      <c r="S358" s="22">
        <v>0.37371799999999999</v>
      </c>
      <c r="T358">
        <f t="shared" si="62"/>
        <v>-46.691900000000004</v>
      </c>
      <c r="U358">
        <f t="shared" si="63"/>
        <v>-77.152294803000004</v>
      </c>
      <c r="X358" s="9"/>
      <c r="Y358" s="22">
        <v>-2.28882E-3</v>
      </c>
      <c r="Z358" s="22">
        <v>106.265</v>
      </c>
      <c r="AA358" s="22">
        <v>-1.87195E-2</v>
      </c>
      <c r="AB358" s="22">
        <v>348</v>
      </c>
      <c r="AC358" s="22">
        <v>-2.2674599999999998E-3</v>
      </c>
      <c r="AD358">
        <f t="shared" si="64"/>
        <v>18.7195</v>
      </c>
      <c r="AE358">
        <f t="shared" si="65"/>
        <v>-4.2845565990000001E-2</v>
      </c>
      <c r="AF358" s="9"/>
      <c r="AG358" s="22">
        <v>1.6523699999999999</v>
      </c>
      <c r="AH358" s="22">
        <v>124.086</v>
      </c>
      <c r="AI358" s="22">
        <v>-1.44043E-2</v>
      </c>
      <c r="AJ358" s="22">
        <v>348</v>
      </c>
      <c r="AK358" s="22">
        <v>1.651</v>
      </c>
      <c r="AL358">
        <f t="shared" si="66"/>
        <v>14.404299999999999</v>
      </c>
      <c r="AM358">
        <f t="shared" si="67"/>
        <v>23.801233190999998</v>
      </c>
      <c r="AP358" s="9"/>
      <c r="AQ358" s="22">
        <v>-2.28882E-3</v>
      </c>
      <c r="AR358" s="22">
        <v>158.35499999999999</v>
      </c>
      <c r="AS358" s="22">
        <v>-1.8890400000000002E-2</v>
      </c>
      <c r="AT358" s="22">
        <v>348</v>
      </c>
      <c r="AU358" s="22">
        <v>-2.5299099999999998E-3</v>
      </c>
      <c r="AV358">
        <f t="shared" si="68"/>
        <v>18.890400000000003</v>
      </c>
      <c r="AW358">
        <f t="shared" si="69"/>
        <v>-4.3236725328000006E-2</v>
      </c>
      <c r="AX358" s="9"/>
      <c r="AY358" s="22">
        <v>1.6523699999999999</v>
      </c>
      <c r="AZ358" s="22">
        <v>192.74199999999999</v>
      </c>
      <c r="BA358" s="22">
        <v>3.3880599999999997E-2</v>
      </c>
      <c r="BB358" s="22">
        <v>348</v>
      </c>
      <c r="BC358" s="22">
        <v>0.36026000000000002</v>
      </c>
      <c r="BD358">
        <f t="shared" si="70"/>
        <v>-33.880599999999994</v>
      </c>
      <c r="BE358">
        <f t="shared" si="71"/>
        <v>-55.983287021999985</v>
      </c>
    </row>
    <row r="359" spans="6:57">
      <c r="F359" s="9"/>
      <c r="G359" s="22">
        <v>-7.3242200000000002E-3</v>
      </c>
      <c r="H359" s="22">
        <v>37.759599999999999</v>
      </c>
      <c r="I359" s="22">
        <v>-1.8713400000000002E-2</v>
      </c>
      <c r="J359" s="22">
        <v>349</v>
      </c>
      <c r="K359" s="22">
        <v>-7.5439499999999998E-3</v>
      </c>
      <c r="L359">
        <f t="shared" si="60"/>
        <v>18.7134</v>
      </c>
      <c r="M359">
        <f t="shared" si="61"/>
        <v>-0.13706105854799999</v>
      </c>
      <c r="N359" s="9"/>
      <c r="O359" s="22">
        <v>1.65741</v>
      </c>
      <c r="P359" s="22">
        <v>72.068799999999996</v>
      </c>
      <c r="Q359" s="22">
        <v>4.6694899999999998E-2</v>
      </c>
      <c r="R359" s="22">
        <v>349</v>
      </c>
      <c r="S359" s="22">
        <v>0.36801099999999998</v>
      </c>
      <c r="T359">
        <f t="shared" si="62"/>
        <v>-46.694899999999997</v>
      </c>
      <c r="U359">
        <f t="shared" si="63"/>
        <v>-77.392594208999995</v>
      </c>
      <c r="X359" s="9"/>
      <c r="Y359" s="22">
        <v>-7.3242200000000002E-3</v>
      </c>
      <c r="Z359" s="22">
        <v>106.27500000000001</v>
      </c>
      <c r="AA359" s="22">
        <v>-1.87225E-2</v>
      </c>
      <c r="AB359" s="22">
        <v>349</v>
      </c>
      <c r="AC359" s="22">
        <v>-7.1807900000000003E-3</v>
      </c>
      <c r="AD359">
        <f t="shared" si="64"/>
        <v>18.7225</v>
      </c>
      <c r="AE359">
        <f t="shared" si="65"/>
        <v>-0.13712770895000001</v>
      </c>
      <c r="AF359" s="9"/>
      <c r="AG359" s="22">
        <v>1.65741</v>
      </c>
      <c r="AH359" s="22">
        <v>124.096</v>
      </c>
      <c r="AI359" s="22">
        <v>-1.39069E-2</v>
      </c>
      <c r="AJ359" s="22">
        <v>349</v>
      </c>
      <c r="AK359" s="22">
        <v>1.6561900000000001</v>
      </c>
      <c r="AL359">
        <f t="shared" si="66"/>
        <v>13.9069</v>
      </c>
      <c r="AM359">
        <f t="shared" si="67"/>
        <v>23.049435129000003</v>
      </c>
      <c r="AP359" s="9"/>
      <c r="AQ359" s="22">
        <v>-7.3242200000000002E-3</v>
      </c>
      <c r="AR359" s="22">
        <v>158.36500000000001</v>
      </c>
      <c r="AS359" s="22">
        <v>-1.8890400000000002E-2</v>
      </c>
      <c r="AT359" s="22">
        <v>349</v>
      </c>
      <c r="AU359" s="22">
        <v>-6.6375699999999998E-3</v>
      </c>
      <c r="AV359">
        <f t="shared" si="68"/>
        <v>18.890400000000003</v>
      </c>
      <c r="AW359">
        <f t="shared" si="69"/>
        <v>-0.13835744548800002</v>
      </c>
      <c r="AX359" s="9"/>
      <c r="AY359" s="22">
        <v>1.65741</v>
      </c>
      <c r="AZ359" s="22">
        <v>192.75200000000001</v>
      </c>
      <c r="BA359" s="22">
        <v>3.36884E-2</v>
      </c>
      <c r="BB359" s="22">
        <v>349</v>
      </c>
      <c r="BC359" s="22">
        <v>0.367981</v>
      </c>
      <c r="BD359">
        <f t="shared" si="70"/>
        <v>-33.688400000000001</v>
      </c>
      <c r="BE359">
        <f t="shared" si="71"/>
        <v>-55.835491044000001</v>
      </c>
    </row>
    <row r="360" spans="6:57">
      <c r="F360" s="9"/>
      <c r="G360" s="22">
        <v>-1.23596E-2</v>
      </c>
      <c r="H360" s="22">
        <v>37.7697</v>
      </c>
      <c r="I360" s="22">
        <v>-1.8701200000000001E-2</v>
      </c>
      <c r="J360" s="22">
        <v>350</v>
      </c>
      <c r="K360" s="22">
        <v>-1.2030000000000001E-2</v>
      </c>
      <c r="L360">
        <f t="shared" si="60"/>
        <v>18.7012</v>
      </c>
      <c r="M360">
        <f t="shared" si="61"/>
        <v>-0.23113935152000001</v>
      </c>
      <c r="N360" s="9"/>
      <c r="O360" s="22">
        <v>1.66245</v>
      </c>
      <c r="P360" s="22">
        <v>72.078900000000004</v>
      </c>
      <c r="Q360" s="22">
        <v>4.6694899999999998E-2</v>
      </c>
      <c r="R360" s="22">
        <v>350</v>
      </c>
      <c r="S360" s="22">
        <v>0.38070700000000002</v>
      </c>
      <c r="T360">
        <f t="shared" si="62"/>
        <v>-46.694899999999997</v>
      </c>
      <c r="U360">
        <f t="shared" si="63"/>
        <v>-77.627936504999994</v>
      </c>
      <c r="X360" s="9"/>
      <c r="Y360" s="22">
        <v>-1.23596E-2</v>
      </c>
      <c r="Z360" s="22">
        <v>106.285</v>
      </c>
      <c r="AA360" s="22">
        <v>-1.8725599999999998E-2</v>
      </c>
      <c r="AB360" s="22">
        <v>350</v>
      </c>
      <c r="AC360" s="22">
        <v>-1.28387E-2</v>
      </c>
      <c r="AD360">
        <f t="shared" si="64"/>
        <v>18.7256</v>
      </c>
      <c r="AE360">
        <f t="shared" si="65"/>
        <v>-0.23144092576</v>
      </c>
      <c r="AF360" s="9"/>
      <c r="AG360" s="22">
        <v>1.66245</v>
      </c>
      <c r="AH360" s="22">
        <v>124.10599999999999</v>
      </c>
      <c r="AI360" s="22">
        <v>-1.3290400000000001E-2</v>
      </c>
      <c r="AJ360" s="22">
        <v>350</v>
      </c>
      <c r="AK360" s="22">
        <v>1.66168</v>
      </c>
      <c r="AL360">
        <f t="shared" si="66"/>
        <v>13.2904</v>
      </c>
      <c r="AM360">
        <f t="shared" si="67"/>
        <v>22.094625480000001</v>
      </c>
      <c r="AP360" s="9"/>
      <c r="AQ360" s="22">
        <v>-1.23596E-2</v>
      </c>
      <c r="AR360" s="22">
        <v>158.375</v>
      </c>
      <c r="AS360" s="22">
        <v>-1.8890400000000002E-2</v>
      </c>
      <c r="AT360" s="22">
        <v>350</v>
      </c>
      <c r="AU360" s="22">
        <v>-1.2649499999999999E-2</v>
      </c>
      <c r="AV360">
        <f t="shared" si="68"/>
        <v>18.890400000000003</v>
      </c>
      <c r="AW360">
        <f t="shared" si="69"/>
        <v>-0.23347778784000003</v>
      </c>
      <c r="AX360" s="9"/>
      <c r="AY360" s="22">
        <v>1.66245</v>
      </c>
      <c r="AZ360" s="22">
        <v>192.762</v>
      </c>
      <c r="BA360" s="22">
        <v>3.3578499999999997E-2</v>
      </c>
      <c r="BB360" s="22">
        <v>350</v>
      </c>
      <c r="BC360" s="22">
        <v>0.36227399999999998</v>
      </c>
      <c r="BD360">
        <f t="shared" si="70"/>
        <v>-33.578499999999998</v>
      </c>
      <c r="BE360">
        <f t="shared" si="71"/>
        <v>-55.822577324999997</v>
      </c>
    </row>
    <row r="361" spans="6:57">
      <c r="F361" s="9"/>
      <c r="G361" s="22">
        <v>-1.7395000000000001E-2</v>
      </c>
      <c r="H361" s="22">
        <v>37.779800000000002</v>
      </c>
      <c r="I361" s="22">
        <v>-1.8725599999999998E-2</v>
      </c>
      <c r="J361" s="22">
        <v>351</v>
      </c>
      <c r="K361" s="22">
        <v>-1.7169199999999999E-2</v>
      </c>
      <c r="L361">
        <f t="shared" si="60"/>
        <v>18.7256</v>
      </c>
      <c r="M361">
        <f t="shared" si="61"/>
        <v>-0.32573181200000001</v>
      </c>
      <c r="N361" s="9"/>
      <c r="O361" s="22">
        <v>1.6674800000000001</v>
      </c>
      <c r="P361" s="22">
        <v>72.088899999999995</v>
      </c>
      <c r="Q361" s="22">
        <v>4.6691900000000001E-2</v>
      </c>
      <c r="R361" s="22">
        <v>351</v>
      </c>
      <c r="S361" s="22">
        <v>0.37356600000000001</v>
      </c>
      <c r="T361">
        <f t="shared" si="62"/>
        <v>-46.691900000000004</v>
      </c>
      <c r="U361">
        <f t="shared" si="63"/>
        <v>-77.857809412000009</v>
      </c>
      <c r="X361" s="9"/>
      <c r="Y361" s="22">
        <v>-1.7395000000000001E-2</v>
      </c>
      <c r="Z361" s="22">
        <v>106.295</v>
      </c>
      <c r="AA361" s="22">
        <v>-1.8728600000000001E-2</v>
      </c>
      <c r="AB361" s="22">
        <v>351</v>
      </c>
      <c r="AC361" s="22">
        <v>-1.74927E-2</v>
      </c>
      <c r="AD361">
        <f t="shared" si="64"/>
        <v>18.7286</v>
      </c>
      <c r="AE361">
        <f t="shared" si="65"/>
        <v>-0.32578399699999999</v>
      </c>
      <c r="AF361" s="9"/>
      <c r="AG361" s="22">
        <v>1.6674800000000001</v>
      </c>
      <c r="AH361" s="22">
        <v>124.116</v>
      </c>
      <c r="AI361" s="22">
        <v>-1.25092E-2</v>
      </c>
      <c r="AJ361" s="22">
        <v>351</v>
      </c>
      <c r="AK361" s="22">
        <v>1.6668700000000001</v>
      </c>
      <c r="AL361">
        <f t="shared" si="66"/>
        <v>12.5092</v>
      </c>
      <c r="AM361">
        <f t="shared" si="67"/>
        <v>20.858840816000001</v>
      </c>
      <c r="AP361" s="9"/>
      <c r="AQ361" s="22">
        <v>-1.7395000000000001E-2</v>
      </c>
      <c r="AR361" s="22">
        <v>158.38499999999999</v>
      </c>
      <c r="AS361" s="22">
        <v>-1.88965E-2</v>
      </c>
      <c r="AT361" s="22">
        <v>351</v>
      </c>
      <c r="AU361" s="22">
        <v>-1.8289199999999999E-2</v>
      </c>
      <c r="AV361">
        <f t="shared" si="68"/>
        <v>18.8965</v>
      </c>
      <c r="AW361">
        <f t="shared" si="69"/>
        <v>-0.32870461750000002</v>
      </c>
      <c r="AX361" s="9"/>
      <c r="AY361" s="22">
        <v>1.6674800000000001</v>
      </c>
      <c r="AZ361" s="22">
        <v>192.77199999999999</v>
      </c>
      <c r="BA361" s="22">
        <v>3.3435100000000002E-2</v>
      </c>
      <c r="BB361" s="22">
        <v>351</v>
      </c>
      <c r="BC361" s="22">
        <v>0.35629300000000003</v>
      </c>
      <c r="BD361">
        <f t="shared" si="70"/>
        <v>-33.435100000000006</v>
      </c>
      <c r="BE361">
        <f t="shared" si="71"/>
        <v>-55.752360548000013</v>
      </c>
    </row>
    <row r="362" spans="6:57">
      <c r="F362" s="9"/>
      <c r="G362" s="22">
        <v>-2.24304E-2</v>
      </c>
      <c r="H362" s="22">
        <v>37.789900000000003</v>
      </c>
      <c r="I362" s="22">
        <v>-1.8716400000000001E-2</v>
      </c>
      <c r="J362" s="22">
        <v>352</v>
      </c>
      <c r="K362" s="22">
        <v>-2.27295E-2</v>
      </c>
      <c r="L362">
        <f t="shared" si="60"/>
        <v>18.7164</v>
      </c>
      <c r="M362">
        <f t="shared" si="61"/>
        <v>-0.41981633856</v>
      </c>
      <c r="N362" s="9"/>
      <c r="O362" s="22">
        <v>1.67252</v>
      </c>
      <c r="P362" s="22">
        <v>72.099000000000004</v>
      </c>
      <c r="Q362" s="22">
        <v>4.6691900000000001E-2</v>
      </c>
      <c r="R362" s="22">
        <v>352</v>
      </c>
      <c r="S362" s="22">
        <v>0.37115500000000001</v>
      </c>
      <c r="T362">
        <f t="shared" si="62"/>
        <v>-46.691900000000004</v>
      </c>
      <c r="U362">
        <f t="shared" si="63"/>
        <v>-78.093136588000007</v>
      </c>
      <c r="X362" s="9"/>
      <c r="Y362" s="22">
        <v>-2.24304E-2</v>
      </c>
      <c r="Z362" s="22">
        <v>106.30500000000001</v>
      </c>
      <c r="AA362" s="22">
        <v>-1.8728600000000001E-2</v>
      </c>
      <c r="AB362" s="22">
        <v>352</v>
      </c>
      <c r="AC362" s="22">
        <v>-2.21405E-2</v>
      </c>
      <c r="AD362">
        <f t="shared" si="64"/>
        <v>18.7286</v>
      </c>
      <c r="AE362">
        <f t="shared" si="65"/>
        <v>-0.42008998943999998</v>
      </c>
      <c r="AF362" s="9"/>
      <c r="AG362" s="22">
        <v>1.67252</v>
      </c>
      <c r="AH362" s="22">
        <v>124.126</v>
      </c>
      <c r="AI362" s="22">
        <v>-1.14929E-2</v>
      </c>
      <c r="AJ362" s="22">
        <v>352</v>
      </c>
      <c r="AK362" s="22">
        <v>1.6717500000000001</v>
      </c>
      <c r="AL362">
        <f t="shared" si="66"/>
        <v>11.492900000000001</v>
      </c>
      <c r="AM362">
        <f t="shared" si="67"/>
        <v>19.222105108000001</v>
      </c>
      <c r="AP362" s="9"/>
      <c r="AQ362" s="22">
        <v>-2.24304E-2</v>
      </c>
      <c r="AR362" s="22">
        <v>158.39500000000001</v>
      </c>
      <c r="AS362" s="22">
        <v>-1.88995E-2</v>
      </c>
      <c r="AT362" s="22">
        <v>352</v>
      </c>
      <c r="AU362" s="22">
        <v>-2.2753900000000001E-2</v>
      </c>
      <c r="AV362">
        <f t="shared" si="68"/>
        <v>18.8995</v>
      </c>
      <c r="AW362">
        <f t="shared" si="69"/>
        <v>-0.42392334479999999</v>
      </c>
      <c r="AX362" s="9"/>
      <c r="AY362" s="22">
        <v>1.67252</v>
      </c>
      <c r="AZ362" s="22">
        <v>192.78200000000001</v>
      </c>
      <c r="BA362" s="22">
        <v>3.3511399999999997E-2</v>
      </c>
      <c r="BB362" s="22">
        <v>352</v>
      </c>
      <c r="BC362" s="22">
        <v>0.363678</v>
      </c>
      <c r="BD362">
        <f t="shared" si="70"/>
        <v>-33.511399999999995</v>
      </c>
      <c r="BE362">
        <f t="shared" si="71"/>
        <v>-56.048486727999993</v>
      </c>
    </row>
    <row r="363" spans="6:57">
      <c r="F363" s="9"/>
      <c r="G363" s="22">
        <v>-2.7465799999999999E-2</v>
      </c>
      <c r="H363" s="22">
        <v>37.799900000000001</v>
      </c>
      <c r="I363" s="22">
        <v>-1.8737799999999999E-2</v>
      </c>
      <c r="J363" s="22">
        <v>353</v>
      </c>
      <c r="K363" s="22">
        <v>-2.7468900000000001E-2</v>
      </c>
      <c r="L363">
        <f t="shared" si="60"/>
        <v>18.7378</v>
      </c>
      <c r="M363">
        <f t="shared" si="61"/>
        <v>-0.51464866724000002</v>
      </c>
      <c r="N363" s="9"/>
      <c r="O363" s="22">
        <v>1.6775500000000001</v>
      </c>
      <c r="P363" s="22">
        <v>72.109099999999998</v>
      </c>
      <c r="Q363" s="22">
        <v>4.6694899999999998E-2</v>
      </c>
      <c r="R363" s="22">
        <v>353</v>
      </c>
      <c r="S363" s="22">
        <v>0.37124600000000002</v>
      </c>
      <c r="T363">
        <f t="shared" si="62"/>
        <v>-46.694899999999997</v>
      </c>
      <c r="U363">
        <f t="shared" si="63"/>
        <v>-78.333029495000005</v>
      </c>
      <c r="X363" s="9"/>
      <c r="Y363" s="22">
        <v>-2.7465799999999999E-2</v>
      </c>
      <c r="Z363" s="22">
        <v>106.315</v>
      </c>
      <c r="AA363" s="22">
        <v>-1.87317E-2</v>
      </c>
      <c r="AB363" s="22">
        <v>353</v>
      </c>
      <c r="AC363" s="22">
        <v>-2.7536000000000001E-2</v>
      </c>
      <c r="AD363">
        <f t="shared" si="64"/>
        <v>18.7317</v>
      </c>
      <c r="AE363">
        <f t="shared" si="65"/>
        <v>-0.51448112585999994</v>
      </c>
      <c r="AF363" s="9"/>
      <c r="AG363" s="22">
        <v>1.6775500000000001</v>
      </c>
      <c r="AH363" s="22">
        <v>124.136</v>
      </c>
      <c r="AI363" s="22">
        <v>-1.00281E-2</v>
      </c>
      <c r="AJ363" s="22">
        <v>353</v>
      </c>
      <c r="AK363" s="22">
        <v>1.6772499999999999</v>
      </c>
      <c r="AL363">
        <f t="shared" si="66"/>
        <v>10.0281</v>
      </c>
      <c r="AM363">
        <f t="shared" si="67"/>
        <v>16.822639155000001</v>
      </c>
      <c r="AP363" s="9"/>
      <c r="AQ363" s="22">
        <v>-2.7465799999999999E-2</v>
      </c>
      <c r="AR363" s="22">
        <v>158.405</v>
      </c>
      <c r="AS363" s="22">
        <v>-1.8902599999999999E-2</v>
      </c>
      <c r="AT363" s="22">
        <v>353</v>
      </c>
      <c r="AU363" s="22">
        <v>-2.6962300000000002E-2</v>
      </c>
      <c r="AV363">
        <f t="shared" si="68"/>
        <v>18.9026</v>
      </c>
      <c r="AW363">
        <f t="shared" si="69"/>
        <v>-0.51917503107999996</v>
      </c>
      <c r="AX363" s="9"/>
      <c r="AY363" s="22">
        <v>1.6775500000000001</v>
      </c>
      <c r="AZ363" s="22">
        <v>192.792</v>
      </c>
      <c r="BA363" s="22">
        <v>3.3502200000000003E-2</v>
      </c>
      <c r="BB363" s="22">
        <v>353</v>
      </c>
      <c r="BC363" s="22">
        <v>0.371033</v>
      </c>
      <c r="BD363">
        <f t="shared" si="70"/>
        <v>-33.502200000000002</v>
      </c>
      <c r="BE363">
        <f t="shared" si="71"/>
        <v>-56.201615610000005</v>
      </c>
    </row>
    <row r="364" spans="6:57">
      <c r="F364" s="9"/>
      <c r="G364" s="22">
        <v>-3.2501200000000001E-2</v>
      </c>
      <c r="H364" s="22">
        <v>37.81</v>
      </c>
      <c r="I364" s="22">
        <v>-1.8753100000000002E-2</v>
      </c>
      <c r="J364" s="22">
        <v>354</v>
      </c>
      <c r="K364" s="22">
        <v>-3.2534800000000003E-2</v>
      </c>
      <c r="L364">
        <f t="shared" si="60"/>
        <v>18.753100000000003</v>
      </c>
      <c r="M364">
        <f t="shared" si="61"/>
        <v>-0.6094982537200001</v>
      </c>
      <c r="N364" s="9"/>
      <c r="O364" s="22">
        <v>1.68259</v>
      </c>
      <c r="P364" s="22">
        <v>72.119100000000003</v>
      </c>
      <c r="Q364" s="22">
        <v>4.6694899999999998E-2</v>
      </c>
      <c r="R364" s="22">
        <v>354</v>
      </c>
      <c r="S364" s="22">
        <v>0.36657699999999999</v>
      </c>
      <c r="T364">
        <f t="shared" si="62"/>
        <v>-46.694899999999997</v>
      </c>
      <c r="U364">
        <f t="shared" si="63"/>
        <v>-78.56837179099999</v>
      </c>
      <c r="X364" s="9"/>
      <c r="Y364" s="22">
        <v>-3.2501200000000001E-2</v>
      </c>
      <c r="Z364" s="22">
        <v>106.325</v>
      </c>
      <c r="AA364" s="22">
        <v>-1.87317E-2</v>
      </c>
      <c r="AB364" s="22">
        <v>354</v>
      </c>
      <c r="AC364" s="22">
        <v>-3.2488999999999997E-2</v>
      </c>
      <c r="AD364">
        <f t="shared" si="64"/>
        <v>18.7317</v>
      </c>
      <c r="AE364">
        <f t="shared" si="65"/>
        <v>-0.60880272804000002</v>
      </c>
      <c r="AF364" s="9"/>
      <c r="AG364" s="22">
        <v>1.68259</v>
      </c>
      <c r="AH364" s="22">
        <v>124.146</v>
      </c>
      <c r="AI364" s="22">
        <v>-7.9162599999999996E-3</v>
      </c>
      <c r="AJ364" s="22">
        <v>354</v>
      </c>
      <c r="AK364" s="22">
        <v>1.6809099999999999</v>
      </c>
      <c r="AL364">
        <f t="shared" si="66"/>
        <v>7.9162599999999994</v>
      </c>
      <c r="AM364">
        <f t="shared" si="67"/>
        <v>13.3198199134</v>
      </c>
      <c r="AP364" s="9"/>
      <c r="AQ364" s="22">
        <v>-3.2501200000000001E-2</v>
      </c>
      <c r="AR364" s="22">
        <v>158.41499999999999</v>
      </c>
      <c r="AS364" s="22">
        <v>-1.8902599999999999E-2</v>
      </c>
      <c r="AT364" s="22">
        <v>354</v>
      </c>
      <c r="AU364" s="22">
        <v>-3.2342500000000003E-2</v>
      </c>
      <c r="AV364">
        <f t="shared" si="68"/>
        <v>18.9026</v>
      </c>
      <c r="AW364">
        <f t="shared" si="69"/>
        <v>-0.61435718311999998</v>
      </c>
      <c r="AX364" s="9"/>
      <c r="AY364" s="22">
        <v>1.68259</v>
      </c>
      <c r="AZ364" s="22">
        <v>192.80199999999999</v>
      </c>
      <c r="BA364" s="22">
        <v>3.3233600000000002E-2</v>
      </c>
      <c r="BB364" s="22">
        <v>354</v>
      </c>
      <c r="BC364" s="22">
        <v>0.37670900000000002</v>
      </c>
      <c r="BD364">
        <f t="shared" si="70"/>
        <v>-33.233600000000003</v>
      </c>
      <c r="BE364">
        <f t="shared" si="71"/>
        <v>-55.918523024000002</v>
      </c>
    </row>
    <row r="365" spans="6:57">
      <c r="F365" s="9"/>
      <c r="G365" s="22">
        <v>-3.7536600000000003E-2</v>
      </c>
      <c r="H365" s="22">
        <v>37.820099999999996</v>
      </c>
      <c r="I365" s="22">
        <v>-1.87469E-2</v>
      </c>
      <c r="J365" s="22">
        <v>355</v>
      </c>
      <c r="K365" s="22">
        <v>-3.7619E-2</v>
      </c>
      <c r="L365">
        <f t="shared" si="60"/>
        <v>18.7469</v>
      </c>
      <c r="M365">
        <f t="shared" si="61"/>
        <v>-0.70369488654000012</v>
      </c>
      <c r="N365" s="9"/>
      <c r="O365" s="22">
        <v>1.6876199999999999</v>
      </c>
      <c r="P365" s="22">
        <v>72.129199999999997</v>
      </c>
      <c r="Q365" s="22">
        <v>4.6691900000000001E-2</v>
      </c>
      <c r="R365" s="22">
        <v>355</v>
      </c>
      <c r="S365" s="22">
        <v>0.36221300000000001</v>
      </c>
      <c r="T365">
        <f t="shared" si="62"/>
        <v>-46.691900000000004</v>
      </c>
      <c r="U365">
        <f t="shared" si="63"/>
        <v>-78.798184278000008</v>
      </c>
      <c r="X365" s="9"/>
      <c r="Y365" s="22">
        <v>-3.7536600000000003E-2</v>
      </c>
      <c r="Z365" s="22">
        <v>106.33499999999999</v>
      </c>
      <c r="AA365" s="22">
        <v>-1.87317E-2</v>
      </c>
      <c r="AB365" s="22">
        <v>355</v>
      </c>
      <c r="AC365" s="22">
        <v>-3.7451199999999997E-2</v>
      </c>
      <c r="AD365">
        <f t="shared" si="64"/>
        <v>18.7317</v>
      </c>
      <c r="AE365">
        <f t="shared" si="65"/>
        <v>-0.70312433022000009</v>
      </c>
      <c r="AF365" s="9"/>
      <c r="AG365" s="22">
        <v>1.6876199999999999</v>
      </c>
      <c r="AH365" s="22">
        <v>124.15600000000001</v>
      </c>
      <c r="AI365" s="22">
        <v>-4.9115000000000001E-3</v>
      </c>
      <c r="AJ365" s="22">
        <v>355</v>
      </c>
      <c r="AK365" s="22">
        <v>1.6867099999999999</v>
      </c>
      <c r="AL365">
        <f t="shared" si="66"/>
        <v>4.9115000000000002</v>
      </c>
      <c r="AM365">
        <f t="shared" si="67"/>
        <v>8.2887456299999993</v>
      </c>
      <c r="AP365" s="9"/>
      <c r="AQ365" s="22">
        <v>-3.7536600000000003E-2</v>
      </c>
      <c r="AR365" s="22">
        <v>158.42500000000001</v>
      </c>
      <c r="AS365" s="22">
        <v>-1.88965E-2</v>
      </c>
      <c r="AT365" s="22">
        <v>355</v>
      </c>
      <c r="AU365" s="22">
        <v>-3.7524399999999999E-2</v>
      </c>
      <c r="AV365">
        <f t="shared" si="68"/>
        <v>18.8965</v>
      </c>
      <c r="AW365">
        <f t="shared" si="69"/>
        <v>-0.70931036190000007</v>
      </c>
      <c r="AX365" s="9"/>
      <c r="AY365" s="22">
        <v>1.6876199999999999</v>
      </c>
      <c r="AZ365" s="22">
        <v>192.81299999999999</v>
      </c>
      <c r="BA365" s="22">
        <v>3.3148200000000003E-2</v>
      </c>
      <c r="BB365" s="22">
        <v>355</v>
      </c>
      <c r="BC365" s="22">
        <v>0.36630200000000002</v>
      </c>
      <c r="BD365">
        <f t="shared" si="70"/>
        <v>-33.148200000000003</v>
      </c>
      <c r="BE365">
        <f t="shared" si="71"/>
        <v>-55.941565283999999</v>
      </c>
    </row>
    <row r="366" spans="6:57">
      <c r="F366" s="9"/>
      <c r="G366" s="22">
        <v>-4.2571999999999999E-2</v>
      </c>
      <c r="H366" s="22">
        <v>37.830100000000002</v>
      </c>
      <c r="I366" s="22">
        <v>-1.87622E-2</v>
      </c>
      <c r="J366" s="22">
        <v>356</v>
      </c>
      <c r="K366" s="22">
        <v>-4.2520099999999998E-2</v>
      </c>
      <c r="L366">
        <f t="shared" si="60"/>
        <v>18.7622</v>
      </c>
      <c r="M366">
        <f t="shared" si="61"/>
        <v>-0.79874437840000001</v>
      </c>
      <c r="N366" s="9"/>
      <c r="O366" s="22">
        <v>1.6926600000000001</v>
      </c>
      <c r="P366" s="22">
        <v>72.139300000000006</v>
      </c>
      <c r="Q366" s="22">
        <v>4.6688800000000003E-2</v>
      </c>
      <c r="R366" s="22">
        <v>356</v>
      </c>
      <c r="S366" s="22">
        <v>0.36349500000000001</v>
      </c>
      <c r="T366">
        <f t="shared" si="62"/>
        <v>-46.688800000000001</v>
      </c>
      <c r="U366">
        <f t="shared" si="63"/>
        <v>-79.02826420800001</v>
      </c>
      <c r="X366" s="9"/>
      <c r="Y366" s="22">
        <v>-4.2571999999999999E-2</v>
      </c>
      <c r="Z366" s="22">
        <v>106.345</v>
      </c>
      <c r="AA366" s="22">
        <v>-1.87347E-2</v>
      </c>
      <c r="AB366" s="22">
        <v>356</v>
      </c>
      <c r="AC366" s="22">
        <v>-4.2520099999999998E-2</v>
      </c>
      <c r="AD366">
        <f t="shared" si="64"/>
        <v>18.7347</v>
      </c>
      <c r="AE366">
        <f t="shared" si="65"/>
        <v>-0.7975736484</v>
      </c>
      <c r="AF366" s="9"/>
      <c r="AG366" s="22">
        <v>1.6926600000000001</v>
      </c>
      <c r="AH366" s="22">
        <v>124.166</v>
      </c>
      <c r="AI366" s="22">
        <v>-9.8358199999999999E-4</v>
      </c>
      <c r="AJ366" s="22">
        <v>356</v>
      </c>
      <c r="AK366" s="22">
        <v>1.6909799999999999</v>
      </c>
      <c r="AL366">
        <f t="shared" si="66"/>
        <v>0.98358199999999996</v>
      </c>
      <c r="AM366">
        <f t="shared" si="67"/>
        <v>1.66486990812</v>
      </c>
      <c r="AP366" s="9"/>
      <c r="AQ366" s="22">
        <v>-4.2571999999999999E-2</v>
      </c>
      <c r="AR366" s="22">
        <v>158.435</v>
      </c>
      <c r="AS366" s="22">
        <v>-1.88995E-2</v>
      </c>
      <c r="AT366" s="22">
        <v>356</v>
      </c>
      <c r="AU366" s="22">
        <v>-4.2205800000000002E-2</v>
      </c>
      <c r="AV366">
        <f t="shared" si="68"/>
        <v>18.8995</v>
      </c>
      <c r="AW366">
        <f t="shared" si="69"/>
        <v>-0.80458951400000001</v>
      </c>
      <c r="AX366" s="9"/>
      <c r="AY366" s="22">
        <v>1.6926600000000001</v>
      </c>
      <c r="AZ366" s="22">
        <v>192.82300000000001</v>
      </c>
      <c r="BA366" s="22">
        <v>3.2861300000000003E-2</v>
      </c>
      <c r="BB366" s="22">
        <v>356</v>
      </c>
      <c r="BC366" s="22">
        <v>0.37377899999999997</v>
      </c>
      <c r="BD366">
        <f t="shared" si="70"/>
        <v>-32.8613</v>
      </c>
      <c r="BE366">
        <f t="shared" si="71"/>
        <v>-55.623008058000003</v>
      </c>
    </row>
    <row r="367" spans="6:57">
      <c r="F367" s="9"/>
      <c r="G367" s="22">
        <v>-4.7607400000000001E-2</v>
      </c>
      <c r="H367" s="22">
        <v>37.840200000000003</v>
      </c>
      <c r="I367" s="22">
        <v>-1.87592E-2</v>
      </c>
      <c r="J367" s="22">
        <v>357</v>
      </c>
      <c r="K367" s="22">
        <v>-4.7757000000000001E-2</v>
      </c>
      <c r="L367">
        <f t="shared" si="60"/>
        <v>18.7592</v>
      </c>
      <c r="M367">
        <f t="shared" si="61"/>
        <v>-0.89307673807999999</v>
      </c>
      <c r="N367" s="9"/>
      <c r="O367" s="22">
        <v>1.6976899999999999</v>
      </c>
      <c r="P367" s="22">
        <v>72.1494</v>
      </c>
      <c r="Q367" s="22">
        <v>4.6688800000000003E-2</v>
      </c>
      <c r="R367" s="22">
        <v>357</v>
      </c>
      <c r="S367" s="22">
        <v>0.37298599999999998</v>
      </c>
      <c r="T367">
        <f t="shared" si="62"/>
        <v>-46.688800000000001</v>
      </c>
      <c r="U367">
        <f t="shared" si="63"/>
        <v>-79.263108872000004</v>
      </c>
      <c r="X367" s="9"/>
      <c r="Y367" s="22">
        <v>-4.7607400000000001E-2</v>
      </c>
      <c r="Z367" s="22">
        <v>106.35599999999999</v>
      </c>
      <c r="AA367" s="22">
        <v>-1.87347E-2</v>
      </c>
      <c r="AB367" s="22">
        <v>357</v>
      </c>
      <c r="AC367" s="22">
        <v>-4.7711200000000002E-2</v>
      </c>
      <c r="AD367">
        <f t="shared" si="64"/>
        <v>18.7347</v>
      </c>
      <c r="AE367">
        <f t="shared" si="65"/>
        <v>-0.89191035678000008</v>
      </c>
      <c r="AF367" s="9"/>
      <c r="AG367" s="22">
        <v>1.6976899999999999</v>
      </c>
      <c r="AH367" s="22">
        <v>124.176</v>
      </c>
      <c r="AI367" s="22">
        <v>3.76831E-3</v>
      </c>
      <c r="AJ367" s="22">
        <v>357</v>
      </c>
      <c r="AK367" s="22">
        <v>1.69556</v>
      </c>
      <c r="AL367">
        <f t="shared" si="66"/>
        <v>-3.76831</v>
      </c>
      <c r="AM367">
        <f t="shared" si="67"/>
        <v>-6.3974222038999997</v>
      </c>
      <c r="AP367" s="9"/>
      <c r="AQ367" s="22">
        <v>-4.7607400000000001E-2</v>
      </c>
      <c r="AR367" s="22">
        <v>158.446</v>
      </c>
      <c r="AS367" s="22">
        <v>-1.8905600000000002E-2</v>
      </c>
      <c r="AT367" s="22">
        <v>357</v>
      </c>
      <c r="AU367" s="22">
        <v>-4.71863E-2</v>
      </c>
      <c r="AV367">
        <f t="shared" si="68"/>
        <v>18.905600000000003</v>
      </c>
      <c r="AW367">
        <f t="shared" si="69"/>
        <v>-0.90004646144000022</v>
      </c>
      <c r="AX367" s="9"/>
      <c r="AY367" s="22">
        <v>1.6976899999999999</v>
      </c>
      <c r="AZ367" s="22">
        <v>192.833</v>
      </c>
      <c r="BA367" s="22">
        <v>3.2791099999999997E-2</v>
      </c>
      <c r="BB367" s="22">
        <v>357</v>
      </c>
      <c r="BC367" s="22">
        <v>0.37066700000000002</v>
      </c>
      <c r="BD367">
        <f t="shared" si="70"/>
        <v>-32.7911</v>
      </c>
      <c r="BE367">
        <f t="shared" si="71"/>
        <v>-55.669122558999995</v>
      </c>
    </row>
    <row r="368" spans="6:57">
      <c r="F368" s="9"/>
      <c r="G368" s="22">
        <v>-5.2642799999999997E-2</v>
      </c>
      <c r="H368" s="22">
        <v>37.850299999999997</v>
      </c>
      <c r="I368" s="22">
        <v>-1.8737799999999999E-2</v>
      </c>
      <c r="J368" s="22">
        <v>358</v>
      </c>
      <c r="K368" s="22">
        <v>-5.2337599999999998E-2</v>
      </c>
      <c r="L368">
        <f t="shared" si="60"/>
        <v>18.7378</v>
      </c>
      <c r="M368">
        <f t="shared" si="61"/>
        <v>-0.98641025783999992</v>
      </c>
      <c r="N368" s="9"/>
      <c r="O368" s="22">
        <v>1.7027300000000001</v>
      </c>
      <c r="P368" s="22">
        <v>72.159400000000005</v>
      </c>
      <c r="Q368" s="22">
        <v>4.66858E-2</v>
      </c>
      <c r="R368" s="22">
        <v>358</v>
      </c>
      <c r="S368" s="22">
        <v>0.37203999999999998</v>
      </c>
      <c r="T368">
        <f t="shared" si="62"/>
        <v>-46.6858</v>
      </c>
      <c r="U368">
        <f t="shared" si="63"/>
        <v>-79.493312234000001</v>
      </c>
      <c r="X368" s="9"/>
      <c r="Y368" s="22">
        <v>-5.2642799999999997E-2</v>
      </c>
      <c r="Z368" s="22">
        <v>106.366</v>
      </c>
      <c r="AA368" s="22">
        <v>-1.8737799999999999E-2</v>
      </c>
      <c r="AB368" s="22">
        <v>358</v>
      </c>
      <c r="AC368" s="22">
        <v>-5.3161600000000003E-2</v>
      </c>
      <c r="AD368">
        <f t="shared" si="64"/>
        <v>18.7378</v>
      </c>
      <c r="AE368">
        <f t="shared" si="65"/>
        <v>-0.98641025783999992</v>
      </c>
      <c r="AF368" s="9"/>
      <c r="AG368" s="22">
        <v>1.7027300000000001</v>
      </c>
      <c r="AH368" s="22">
        <v>124.18600000000001</v>
      </c>
      <c r="AI368" s="22">
        <v>8.7005599999999995E-3</v>
      </c>
      <c r="AJ368" s="22">
        <v>358</v>
      </c>
      <c r="AK368" s="22">
        <v>1.70166</v>
      </c>
      <c r="AL368">
        <f t="shared" si="66"/>
        <v>-8.7005599999999994</v>
      </c>
      <c r="AM368">
        <f t="shared" si="67"/>
        <v>-14.8147045288</v>
      </c>
      <c r="AP368" s="9"/>
      <c r="AQ368" s="22">
        <v>-5.2642799999999997E-2</v>
      </c>
      <c r="AR368" s="22">
        <v>158.45599999999999</v>
      </c>
      <c r="AS368" s="22">
        <v>-1.8902599999999999E-2</v>
      </c>
      <c r="AT368" s="22">
        <v>358</v>
      </c>
      <c r="AU368" s="22">
        <v>-5.2673299999999999E-2</v>
      </c>
      <c r="AV368">
        <f t="shared" si="68"/>
        <v>18.9026</v>
      </c>
      <c r="AW368">
        <f t="shared" si="69"/>
        <v>-0.99508579127999996</v>
      </c>
      <c r="AX368" s="9"/>
      <c r="AY368" s="22">
        <v>1.7027300000000001</v>
      </c>
      <c r="AZ368" s="22">
        <v>192.84299999999999</v>
      </c>
      <c r="BA368" s="22">
        <v>3.30627E-2</v>
      </c>
      <c r="BB368" s="22">
        <v>358</v>
      </c>
      <c r="BC368" s="22">
        <v>0.37524400000000002</v>
      </c>
      <c r="BD368">
        <f t="shared" si="70"/>
        <v>-33.0627</v>
      </c>
      <c r="BE368">
        <f t="shared" si="71"/>
        <v>-56.296851171</v>
      </c>
    </row>
    <row r="369" spans="6:57">
      <c r="F369" s="9"/>
      <c r="G369" s="22">
        <v>-5.7678199999999999E-2</v>
      </c>
      <c r="H369" s="22">
        <v>37.860399999999998</v>
      </c>
      <c r="I369" s="22">
        <v>-1.86646E-2</v>
      </c>
      <c r="J369" s="22">
        <v>359</v>
      </c>
      <c r="K369" s="22">
        <v>-5.7800299999999999E-2</v>
      </c>
      <c r="L369">
        <f t="shared" si="60"/>
        <v>18.6646</v>
      </c>
      <c r="M369">
        <f t="shared" si="61"/>
        <v>-1.0765405317200001</v>
      </c>
      <c r="N369" s="9"/>
      <c r="O369" s="22">
        <v>1.7077599999999999</v>
      </c>
      <c r="P369" s="22">
        <v>72.169499999999999</v>
      </c>
      <c r="Q369" s="22">
        <v>4.6682700000000001E-2</v>
      </c>
      <c r="R369" s="22">
        <v>359</v>
      </c>
      <c r="S369" s="22">
        <v>0.37478600000000001</v>
      </c>
      <c r="T369">
        <f t="shared" si="62"/>
        <v>-46.682700000000004</v>
      </c>
      <c r="U369">
        <f t="shared" si="63"/>
        <v>-79.722847752000007</v>
      </c>
      <c r="X369" s="9"/>
      <c r="Y369" s="22">
        <v>-5.7678199999999999E-2</v>
      </c>
      <c r="Z369" s="22">
        <v>106.376</v>
      </c>
      <c r="AA369" s="22">
        <v>-1.8737799999999999E-2</v>
      </c>
      <c r="AB369" s="22">
        <v>359</v>
      </c>
      <c r="AC369" s="22">
        <v>-5.7800299999999999E-2</v>
      </c>
      <c r="AD369">
        <f t="shared" si="64"/>
        <v>18.7378</v>
      </c>
      <c r="AE369">
        <f t="shared" si="65"/>
        <v>-1.0807625759599999</v>
      </c>
      <c r="AF369" s="9"/>
      <c r="AG369" s="22">
        <v>1.7077599999999999</v>
      </c>
      <c r="AH369" s="22">
        <v>124.197</v>
      </c>
      <c r="AI369" s="22">
        <v>1.3632200000000001E-2</v>
      </c>
      <c r="AJ369" s="22">
        <v>359</v>
      </c>
      <c r="AK369" s="22">
        <v>1.70624</v>
      </c>
      <c r="AL369">
        <f t="shared" si="66"/>
        <v>-13.632200000000001</v>
      </c>
      <c r="AM369">
        <f t="shared" si="67"/>
        <v>-23.280525872000002</v>
      </c>
      <c r="AP369" s="9"/>
      <c r="AQ369" s="22">
        <v>-5.7678199999999999E-2</v>
      </c>
      <c r="AR369" s="22">
        <v>158.46600000000001</v>
      </c>
      <c r="AS369" s="22">
        <v>-1.88965E-2</v>
      </c>
      <c r="AT369" s="22">
        <v>359</v>
      </c>
      <c r="AU369" s="22">
        <v>-5.8136E-2</v>
      </c>
      <c r="AV369">
        <f t="shared" si="68"/>
        <v>18.8965</v>
      </c>
      <c r="AW369">
        <f t="shared" si="69"/>
        <v>-1.0899161063</v>
      </c>
      <c r="AX369" s="9"/>
      <c r="AY369" s="22">
        <v>1.7077599999999999</v>
      </c>
      <c r="AZ369" s="22">
        <v>192.85300000000001</v>
      </c>
      <c r="BA369" s="22">
        <v>3.29254E-2</v>
      </c>
      <c r="BB369" s="22">
        <v>359</v>
      </c>
      <c r="BC369" s="22">
        <v>0.373749</v>
      </c>
      <c r="BD369">
        <f t="shared" si="70"/>
        <v>-32.925400000000003</v>
      </c>
      <c r="BE369">
        <f t="shared" si="71"/>
        <v>-56.228681104000003</v>
      </c>
    </row>
    <row r="370" spans="6:57">
      <c r="F370" s="9"/>
      <c r="G370" s="22">
        <v>-6.2713599999999994E-2</v>
      </c>
      <c r="H370" s="22">
        <v>37.870399999999997</v>
      </c>
      <c r="I370" s="22">
        <v>-1.8661500000000001E-2</v>
      </c>
      <c r="J370" s="22">
        <v>360</v>
      </c>
      <c r="K370" s="22">
        <v>-6.25E-2</v>
      </c>
      <c r="L370">
        <f t="shared" si="60"/>
        <v>18.6615</v>
      </c>
      <c r="M370">
        <f t="shared" si="61"/>
        <v>-1.1703298463999998</v>
      </c>
      <c r="N370" s="9"/>
      <c r="O370" s="22">
        <v>1.7128000000000001</v>
      </c>
      <c r="P370" s="22">
        <v>72.179599999999994</v>
      </c>
      <c r="Q370" s="22">
        <v>4.6682700000000001E-2</v>
      </c>
      <c r="R370" s="22">
        <v>360</v>
      </c>
      <c r="S370" s="22">
        <v>0.37078899999999998</v>
      </c>
      <c r="T370">
        <f t="shared" si="62"/>
        <v>-46.682700000000004</v>
      </c>
      <c r="U370">
        <f t="shared" si="63"/>
        <v>-79.958128560000006</v>
      </c>
      <c r="X370" s="9"/>
      <c r="Y370" s="22">
        <v>-6.2713599999999994E-2</v>
      </c>
      <c r="Z370" s="22">
        <v>106.386</v>
      </c>
      <c r="AA370" s="22">
        <v>-1.8740799999999998E-2</v>
      </c>
      <c r="AB370" s="22">
        <v>360</v>
      </c>
      <c r="AC370" s="22">
        <v>-6.3903799999999997E-2</v>
      </c>
      <c r="AD370">
        <f t="shared" si="64"/>
        <v>18.7408</v>
      </c>
      <c r="AE370">
        <f t="shared" si="65"/>
        <v>-1.17530303488</v>
      </c>
      <c r="AF370" s="9"/>
      <c r="AG370" s="22">
        <v>1.7128000000000001</v>
      </c>
      <c r="AH370" s="22">
        <v>124.20699999999999</v>
      </c>
      <c r="AI370" s="22">
        <v>1.89911E-2</v>
      </c>
      <c r="AJ370" s="22">
        <v>360</v>
      </c>
      <c r="AK370" s="22">
        <v>1.71204</v>
      </c>
      <c r="AL370">
        <f t="shared" si="66"/>
        <v>-18.991099999999999</v>
      </c>
      <c r="AM370">
        <f t="shared" si="67"/>
        <v>-32.527956080000003</v>
      </c>
      <c r="AP370" s="9"/>
      <c r="AQ370" s="22">
        <v>-6.2713599999999994E-2</v>
      </c>
      <c r="AR370" s="22">
        <v>158.476</v>
      </c>
      <c r="AS370" s="22">
        <v>-1.88995E-2</v>
      </c>
      <c r="AT370" s="22">
        <v>360</v>
      </c>
      <c r="AU370" s="22">
        <v>-6.35376E-2</v>
      </c>
      <c r="AV370">
        <f t="shared" si="68"/>
        <v>18.8995</v>
      </c>
      <c r="AW370">
        <f t="shared" si="69"/>
        <v>-1.1852556831999999</v>
      </c>
      <c r="AX370" s="9"/>
      <c r="AY370" s="22">
        <v>1.7128000000000001</v>
      </c>
      <c r="AZ370" s="22">
        <v>192.863</v>
      </c>
      <c r="BA370" s="22">
        <v>3.2525600000000002E-2</v>
      </c>
      <c r="BB370" s="22">
        <v>360</v>
      </c>
      <c r="BC370" s="22">
        <v>0.37112400000000001</v>
      </c>
      <c r="BD370">
        <f t="shared" si="70"/>
        <v>-32.525600000000004</v>
      </c>
      <c r="BE370">
        <f t="shared" si="71"/>
        <v>-55.70984768000001</v>
      </c>
    </row>
    <row r="371" spans="6:57">
      <c r="F371" s="9"/>
      <c r="G371" s="22">
        <v>-6.7749000000000004E-2</v>
      </c>
      <c r="H371" s="22">
        <v>37.880499999999998</v>
      </c>
      <c r="I371" s="22">
        <v>-1.8658399999999999E-2</v>
      </c>
      <c r="J371" s="22">
        <v>361</v>
      </c>
      <c r="K371" s="22">
        <v>-6.7657499999999995E-2</v>
      </c>
      <c r="L371">
        <f t="shared" si="60"/>
        <v>18.6584</v>
      </c>
      <c r="M371">
        <f t="shared" si="61"/>
        <v>-1.2640879416000002</v>
      </c>
      <c r="N371" s="9"/>
      <c r="O371" s="22">
        <v>1.71783</v>
      </c>
      <c r="P371" s="22">
        <v>72.189599999999999</v>
      </c>
      <c r="Q371" s="22">
        <v>4.6682700000000001E-2</v>
      </c>
      <c r="R371" s="22">
        <v>361</v>
      </c>
      <c r="S371" s="22">
        <v>0.37118499999999999</v>
      </c>
      <c r="T371">
        <f t="shared" si="62"/>
        <v>-46.682700000000004</v>
      </c>
      <c r="U371">
        <f t="shared" si="63"/>
        <v>-80.192942541000008</v>
      </c>
      <c r="X371" s="9"/>
      <c r="Y371" s="22">
        <v>-6.7749000000000004E-2</v>
      </c>
      <c r="Z371" s="22">
        <v>106.396</v>
      </c>
      <c r="AA371" s="22">
        <v>-1.8743900000000001E-2</v>
      </c>
      <c r="AB371" s="22">
        <v>361</v>
      </c>
      <c r="AC371" s="22">
        <v>-6.8115200000000001E-2</v>
      </c>
      <c r="AD371">
        <f t="shared" si="64"/>
        <v>18.7439</v>
      </c>
      <c r="AE371">
        <f t="shared" si="65"/>
        <v>-1.2698804811</v>
      </c>
      <c r="AF371" s="9"/>
      <c r="AG371" s="22">
        <v>1.71783</v>
      </c>
      <c r="AH371" s="22">
        <v>124.217</v>
      </c>
      <c r="AI371" s="22">
        <v>2.35626E-2</v>
      </c>
      <c r="AJ371" s="22">
        <v>361</v>
      </c>
      <c r="AK371" s="22">
        <v>1.71753</v>
      </c>
      <c r="AL371">
        <f t="shared" si="66"/>
        <v>-23.5626</v>
      </c>
      <c r="AM371">
        <f t="shared" si="67"/>
        <v>-40.476541157999996</v>
      </c>
      <c r="AP371" s="9"/>
      <c r="AQ371" s="22">
        <v>-6.7749000000000004E-2</v>
      </c>
      <c r="AR371" s="22">
        <v>158.48599999999999</v>
      </c>
      <c r="AS371" s="22">
        <v>-1.8902599999999999E-2</v>
      </c>
      <c r="AT371" s="22">
        <v>361</v>
      </c>
      <c r="AU371" s="22">
        <v>-6.7535399999999995E-2</v>
      </c>
      <c r="AV371">
        <f t="shared" si="68"/>
        <v>18.9026</v>
      </c>
      <c r="AW371">
        <f t="shared" si="69"/>
        <v>-1.2806322474</v>
      </c>
      <c r="AX371" s="9"/>
      <c r="AY371" s="22">
        <v>1.71783</v>
      </c>
      <c r="AZ371" s="22">
        <v>192.87299999999999</v>
      </c>
      <c r="BA371" s="22">
        <v>3.2443199999999998E-2</v>
      </c>
      <c r="BB371" s="22">
        <v>361</v>
      </c>
      <c r="BC371" s="22">
        <v>0.37030000000000002</v>
      </c>
      <c r="BD371">
        <f t="shared" si="70"/>
        <v>-32.443199999999997</v>
      </c>
      <c r="BE371">
        <f t="shared" si="71"/>
        <v>-55.731902255999998</v>
      </c>
    </row>
    <row r="372" spans="6:57">
      <c r="F372" s="9"/>
      <c r="G372" s="22">
        <v>-7.2784399999999999E-2</v>
      </c>
      <c r="H372" s="22">
        <v>37.890599999999999</v>
      </c>
      <c r="I372" s="22">
        <v>-1.8670699999999998E-2</v>
      </c>
      <c r="J372" s="22">
        <v>362</v>
      </c>
      <c r="K372" s="22">
        <v>-7.3486300000000004E-2</v>
      </c>
      <c r="L372">
        <f t="shared" si="60"/>
        <v>18.6707</v>
      </c>
      <c r="M372">
        <f t="shared" si="61"/>
        <v>-1.3589356970799999</v>
      </c>
      <c r="N372" s="9"/>
      <c r="O372" s="22">
        <v>1.7228699999999999</v>
      </c>
      <c r="P372" s="22">
        <v>72.199700000000007</v>
      </c>
      <c r="Q372" s="22">
        <v>4.6679699999999998E-2</v>
      </c>
      <c r="R372" s="22">
        <v>362</v>
      </c>
      <c r="S372" s="22">
        <v>0.37463400000000002</v>
      </c>
      <c r="T372">
        <f t="shared" si="62"/>
        <v>-46.679699999999997</v>
      </c>
      <c r="U372">
        <f t="shared" si="63"/>
        <v>-80.423054738999994</v>
      </c>
      <c r="X372" s="9"/>
      <c r="Y372" s="22">
        <v>-7.2784399999999999E-2</v>
      </c>
      <c r="Z372" s="22">
        <v>106.40600000000001</v>
      </c>
      <c r="AA372" s="22">
        <v>-1.87469E-2</v>
      </c>
      <c r="AB372" s="22">
        <v>362</v>
      </c>
      <c r="AC372" s="22">
        <v>-7.3181200000000002E-2</v>
      </c>
      <c r="AD372">
        <f t="shared" si="64"/>
        <v>18.7469</v>
      </c>
      <c r="AE372">
        <f t="shared" si="65"/>
        <v>-1.36448186836</v>
      </c>
      <c r="AF372" s="9"/>
      <c r="AG372" s="22">
        <v>1.7228699999999999</v>
      </c>
      <c r="AH372" s="22">
        <v>124.227</v>
      </c>
      <c r="AI372" s="22">
        <v>2.8714E-2</v>
      </c>
      <c r="AJ372" s="22">
        <v>362</v>
      </c>
      <c r="AK372" s="22">
        <v>1.7215</v>
      </c>
      <c r="AL372">
        <f t="shared" si="66"/>
        <v>-28.713999999999999</v>
      </c>
      <c r="AM372">
        <f t="shared" si="67"/>
        <v>-49.470489179999994</v>
      </c>
      <c r="AP372" s="9"/>
      <c r="AQ372" s="22">
        <v>-7.2784399999999999E-2</v>
      </c>
      <c r="AR372" s="22">
        <v>158.49600000000001</v>
      </c>
      <c r="AS372" s="22">
        <v>-1.8902599999999999E-2</v>
      </c>
      <c r="AT372" s="22">
        <v>362</v>
      </c>
      <c r="AU372" s="22">
        <v>-7.2357199999999997E-2</v>
      </c>
      <c r="AV372">
        <f t="shared" si="68"/>
        <v>18.9026</v>
      </c>
      <c r="AW372">
        <f t="shared" si="69"/>
        <v>-1.3758143994400001</v>
      </c>
      <c r="AX372" s="9"/>
      <c r="AY372" s="22">
        <v>1.7228699999999999</v>
      </c>
      <c r="AZ372" s="22">
        <v>192.88300000000001</v>
      </c>
      <c r="BA372" s="22">
        <v>3.2372999999999999E-2</v>
      </c>
      <c r="BB372" s="22">
        <v>362</v>
      </c>
      <c r="BC372" s="22">
        <v>0.36135899999999999</v>
      </c>
      <c r="BD372">
        <f t="shared" si="70"/>
        <v>-32.372999999999998</v>
      </c>
      <c r="BE372">
        <f t="shared" si="71"/>
        <v>-55.774470509999993</v>
      </c>
    </row>
    <row r="373" spans="6:57">
      <c r="F373" s="9"/>
      <c r="G373" s="22">
        <v>-7.7819799999999995E-2</v>
      </c>
      <c r="H373" s="22">
        <v>37.900599999999997</v>
      </c>
      <c r="I373" s="22">
        <v>-1.86523E-2</v>
      </c>
      <c r="J373" s="22">
        <v>363</v>
      </c>
      <c r="K373" s="22">
        <v>-7.8308100000000005E-2</v>
      </c>
      <c r="L373">
        <f t="shared" si="60"/>
        <v>18.6523</v>
      </c>
      <c r="M373">
        <f t="shared" si="61"/>
        <v>-1.4515182555399999</v>
      </c>
      <c r="N373" s="9"/>
      <c r="O373" s="22">
        <v>1.7279100000000001</v>
      </c>
      <c r="P373" s="22">
        <v>72.209800000000001</v>
      </c>
      <c r="Q373" s="22">
        <v>4.6676599999999999E-2</v>
      </c>
      <c r="R373" s="22">
        <v>363</v>
      </c>
      <c r="S373" s="22">
        <v>0.369751</v>
      </c>
      <c r="T373">
        <f t="shared" si="62"/>
        <v>-46.676600000000001</v>
      </c>
      <c r="U373">
        <f t="shared" si="63"/>
        <v>-80.652963905999997</v>
      </c>
      <c r="X373" s="9"/>
      <c r="Y373" s="22">
        <v>-7.7819799999999995E-2</v>
      </c>
      <c r="Z373" s="22">
        <v>106.416</v>
      </c>
      <c r="AA373" s="22">
        <v>-1.87469E-2</v>
      </c>
      <c r="AB373" s="22">
        <v>363</v>
      </c>
      <c r="AC373" s="22">
        <v>-7.8216599999999997E-2</v>
      </c>
      <c r="AD373">
        <f t="shared" si="64"/>
        <v>18.7469</v>
      </c>
      <c r="AE373">
        <f t="shared" si="65"/>
        <v>-1.45888000862</v>
      </c>
      <c r="AF373" s="9"/>
      <c r="AG373" s="22">
        <v>1.7279100000000001</v>
      </c>
      <c r="AH373" s="22">
        <v>124.23699999999999</v>
      </c>
      <c r="AI373" s="22">
        <v>3.3819599999999998E-2</v>
      </c>
      <c r="AJ373" s="22">
        <v>363</v>
      </c>
      <c r="AK373" s="22">
        <v>1.72668</v>
      </c>
      <c r="AL373">
        <f t="shared" si="66"/>
        <v>-33.819600000000001</v>
      </c>
      <c r="AM373">
        <f t="shared" si="67"/>
        <v>-58.437225036000001</v>
      </c>
      <c r="AP373" s="9"/>
      <c r="AQ373" s="22">
        <v>-7.7819799999999995E-2</v>
      </c>
      <c r="AR373" s="22">
        <v>158.506</v>
      </c>
      <c r="AS373" s="22">
        <v>-1.8908700000000001E-2</v>
      </c>
      <c r="AT373" s="22">
        <v>363</v>
      </c>
      <c r="AU373" s="22">
        <v>-7.8582799999999994E-2</v>
      </c>
      <c r="AV373">
        <f t="shared" si="68"/>
        <v>18.9087</v>
      </c>
      <c r="AW373">
        <f t="shared" si="69"/>
        <v>-1.47147125226</v>
      </c>
      <c r="AX373" s="9"/>
      <c r="AY373" s="22">
        <v>1.7279100000000001</v>
      </c>
      <c r="AZ373" s="22">
        <v>192.893</v>
      </c>
      <c r="BA373" s="22">
        <v>3.2296800000000001E-2</v>
      </c>
      <c r="BB373" s="22">
        <v>363</v>
      </c>
      <c r="BC373" s="22">
        <v>0.365448</v>
      </c>
      <c r="BD373">
        <f t="shared" si="70"/>
        <v>-32.296799999999998</v>
      </c>
      <c r="BE373">
        <f t="shared" si="71"/>
        <v>-55.805963687999999</v>
      </c>
    </row>
    <row r="374" spans="6:57">
      <c r="F374" s="9"/>
      <c r="G374" s="22">
        <v>-8.2855200000000004E-2</v>
      </c>
      <c r="H374" s="22">
        <v>37.910699999999999</v>
      </c>
      <c r="I374" s="22">
        <v>-1.8743900000000001E-2</v>
      </c>
      <c r="J374" s="22">
        <v>364</v>
      </c>
      <c r="K374" s="22">
        <v>-8.3007800000000007E-2</v>
      </c>
      <c r="L374">
        <f t="shared" si="60"/>
        <v>18.7439</v>
      </c>
      <c r="M374">
        <f t="shared" si="61"/>
        <v>-1.5530295832800001</v>
      </c>
      <c r="N374" s="9"/>
      <c r="O374" s="22">
        <v>1.7329399999999999</v>
      </c>
      <c r="P374" s="22">
        <v>72.219899999999996</v>
      </c>
      <c r="Q374" s="22">
        <v>4.6670499999999997E-2</v>
      </c>
      <c r="R374" s="22">
        <v>364</v>
      </c>
      <c r="S374" s="22">
        <v>0.37158200000000002</v>
      </c>
      <c r="T374">
        <f t="shared" si="62"/>
        <v>-46.670499999999997</v>
      </c>
      <c r="U374">
        <f t="shared" si="63"/>
        <v>-80.877176269999993</v>
      </c>
      <c r="X374" s="9"/>
      <c r="Y374" s="22">
        <v>-8.2855200000000004E-2</v>
      </c>
      <c r="Z374" s="22">
        <v>106.426</v>
      </c>
      <c r="AA374" s="22">
        <v>-1.8749999999999999E-2</v>
      </c>
      <c r="AB374" s="22">
        <v>364</v>
      </c>
      <c r="AC374" s="22">
        <v>-8.3801299999999995E-2</v>
      </c>
      <c r="AD374">
        <f t="shared" si="64"/>
        <v>18.75</v>
      </c>
      <c r="AE374">
        <f t="shared" si="65"/>
        <v>-1.5535350000000001</v>
      </c>
      <c r="AF374" s="9"/>
      <c r="AG374" s="22">
        <v>1.7329399999999999</v>
      </c>
      <c r="AH374" s="22">
        <v>124.247</v>
      </c>
      <c r="AI374" s="22">
        <v>3.8745099999999998E-2</v>
      </c>
      <c r="AJ374" s="22">
        <v>364</v>
      </c>
      <c r="AK374" s="22">
        <v>1.73187</v>
      </c>
      <c r="AL374">
        <f t="shared" si="66"/>
        <v>-38.745100000000001</v>
      </c>
      <c r="AM374">
        <f t="shared" si="67"/>
        <v>-67.142933593999999</v>
      </c>
      <c r="AP374" s="9"/>
      <c r="AQ374" s="22">
        <v>-8.2855200000000004E-2</v>
      </c>
      <c r="AR374" s="22">
        <v>158.51599999999999</v>
      </c>
      <c r="AS374" s="22">
        <v>-1.8908700000000001E-2</v>
      </c>
      <c r="AT374" s="22">
        <v>364</v>
      </c>
      <c r="AU374" s="22">
        <v>-8.2580600000000004E-2</v>
      </c>
      <c r="AV374">
        <f t="shared" si="68"/>
        <v>18.9087</v>
      </c>
      <c r="AW374">
        <f t="shared" si="69"/>
        <v>-1.5666841202400001</v>
      </c>
      <c r="AX374" s="9"/>
      <c r="AY374" s="22">
        <v>1.7329399999999999</v>
      </c>
      <c r="AZ374" s="22">
        <v>192.90299999999999</v>
      </c>
      <c r="BA374" s="22">
        <v>3.2330299999999999E-2</v>
      </c>
      <c r="BB374" s="22">
        <v>364</v>
      </c>
      <c r="BC374" s="22">
        <v>0.369751</v>
      </c>
      <c r="BD374">
        <f t="shared" si="70"/>
        <v>-32.330300000000001</v>
      </c>
      <c r="BE374">
        <f t="shared" si="71"/>
        <v>-56.026470082000003</v>
      </c>
    </row>
    <row r="375" spans="6:57">
      <c r="F375" s="9"/>
      <c r="G375" s="22">
        <v>-8.7890599999999999E-2</v>
      </c>
      <c r="H375" s="22">
        <v>37.9208</v>
      </c>
      <c r="I375" s="22">
        <v>-1.8756100000000001E-2</v>
      </c>
      <c r="J375" s="22">
        <v>365</v>
      </c>
      <c r="K375" s="22">
        <v>-8.8714600000000005E-2</v>
      </c>
      <c r="L375">
        <f t="shared" si="60"/>
        <v>18.7561</v>
      </c>
      <c r="M375">
        <f t="shared" si="61"/>
        <v>-1.64848488266</v>
      </c>
      <c r="N375" s="9"/>
      <c r="O375" s="22">
        <v>1.7379800000000001</v>
      </c>
      <c r="P375" s="22">
        <v>72.229900000000001</v>
      </c>
      <c r="Q375" s="22">
        <v>4.6670499999999997E-2</v>
      </c>
      <c r="R375" s="22">
        <v>365</v>
      </c>
      <c r="S375" s="22">
        <v>0.36627199999999999</v>
      </c>
      <c r="T375">
        <f t="shared" si="62"/>
        <v>-46.670499999999997</v>
      </c>
      <c r="U375">
        <f t="shared" si="63"/>
        <v>-81.112395590000006</v>
      </c>
      <c r="X375" s="9"/>
      <c r="Y375" s="22">
        <v>-8.7890599999999999E-2</v>
      </c>
      <c r="Z375" s="22">
        <v>106.43600000000001</v>
      </c>
      <c r="AA375" s="22">
        <v>-1.8749999999999999E-2</v>
      </c>
      <c r="AB375" s="22">
        <v>365</v>
      </c>
      <c r="AC375" s="22">
        <v>-8.9019799999999996E-2</v>
      </c>
      <c r="AD375">
        <f t="shared" si="64"/>
        <v>18.75</v>
      </c>
      <c r="AE375">
        <f t="shared" si="65"/>
        <v>-1.6479487500000001</v>
      </c>
      <c r="AF375" s="9"/>
      <c r="AG375" s="22">
        <v>1.7379800000000001</v>
      </c>
      <c r="AH375" s="22">
        <v>124.25700000000001</v>
      </c>
      <c r="AI375" s="22">
        <v>4.3850699999999999E-2</v>
      </c>
      <c r="AJ375" s="22">
        <v>365</v>
      </c>
      <c r="AK375" s="22">
        <v>1.7385900000000001</v>
      </c>
      <c r="AL375">
        <f t="shared" si="66"/>
        <v>-43.850699999999996</v>
      </c>
      <c r="AM375">
        <f t="shared" si="67"/>
        <v>-76.211639586000004</v>
      </c>
      <c r="AP375" s="9"/>
      <c r="AQ375" s="22">
        <v>-8.7890599999999999E-2</v>
      </c>
      <c r="AR375" s="22">
        <v>158.52600000000001</v>
      </c>
      <c r="AS375" s="22">
        <v>-1.8908700000000001E-2</v>
      </c>
      <c r="AT375" s="22">
        <v>365</v>
      </c>
      <c r="AU375" s="22">
        <v>-8.8073700000000005E-2</v>
      </c>
      <c r="AV375">
        <f t="shared" si="68"/>
        <v>18.9087</v>
      </c>
      <c r="AW375">
        <f t="shared" si="69"/>
        <v>-1.6618969882199999</v>
      </c>
      <c r="AX375" s="9"/>
      <c r="AY375" s="22">
        <v>1.7379800000000001</v>
      </c>
      <c r="AZ375" s="22">
        <v>192.91300000000001</v>
      </c>
      <c r="BA375" s="22">
        <v>3.2318100000000002E-2</v>
      </c>
      <c r="BB375" s="22">
        <v>365</v>
      </c>
      <c r="BC375" s="22">
        <v>0.35574299999999998</v>
      </c>
      <c r="BD375">
        <f t="shared" si="70"/>
        <v>-32.318100000000001</v>
      </c>
      <c r="BE375">
        <f t="shared" si="71"/>
        <v>-56.168211438000007</v>
      </c>
    </row>
    <row r="376" spans="6:57">
      <c r="F376" s="9"/>
      <c r="G376" s="22">
        <v>-9.2925999999999995E-2</v>
      </c>
      <c r="H376" s="22">
        <v>37.930799999999998</v>
      </c>
      <c r="I376" s="22">
        <v>-1.8737799999999999E-2</v>
      </c>
      <c r="J376" s="22">
        <v>366</v>
      </c>
      <c r="K376" s="22">
        <v>-9.3475299999999997E-2</v>
      </c>
      <c r="L376">
        <f t="shared" si="60"/>
        <v>18.7378</v>
      </c>
      <c r="M376">
        <f t="shared" si="61"/>
        <v>-1.7412288027999998</v>
      </c>
      <c r="N376" s="9"/>
      <c r="O376" s="22">
        <v>1.7430099999999999</v>
      </c>
      <c r="P376" s="22">
        <v>72.239999999999995</v>
      </c>
      <c r="Q376" s="22">
        <v>4.6673600000000003E-2</v>
      </c>
      <c r="R376" s="22">
        <v>366</v>
      </c>
      <c r="S376" s="22">
        <v>0.37268099999999998</v>
      </c>
      <c r="T376">
        <f t="shared" si="62"/>
        <v>-46.6736</v>
      </c>
      <c r="U376">
        <f t="shared" si="63"/>
        <v>-81.352551535999993</v>
      </c>
      <c r="X376" s="9"/>
      <c r="Y376" s="22">
        <v>-9.2925999999999995E-2</v>
      </c>
      <c r="Z376" s="22">
        <v>106.446</v>
      </c>
      <c r="AA376" s="22">
        <v>-1.8753100000000002E-2</v>
      </c>
      <c r="AB376" s="22">
        <v>366</v>
      </c>
      <c r="AC376" s="22">
        <v>-9.33533E-2</v>
      </c>
      <c r="AD376">
        <f t="shared" si="64"/>
        <v>18.753100000000003</v>
      </c>
      <c r="AE376">
        <f t="shared" si="65"/>
        <v>-1.7426505706000002</v>
      </c>
      <c r="AF376" s="9"/>
      <c r="AG376" s="22">
        <v>1.7430099999999999</v>
      </c>
      <c r="AH376" s="22">
        <v>124.267</v>
      </c>
      <c r="AI376" s="22">
        <v>4.83185E-2</v>
      </c>
      <c r="AJ376" s="22">
        <v>366</v>
      </c>
      <c r="AK376" s="22">
        <v>1.7422500000000001</v>
      </c>
      <c r="AL376">
        <f t="shared" si="66"/>
        <v>-48.3185</v>
      </c>
      <c r="AM376">
        <f t="shared" si="67"/>
        <v>-84.219628685000004</v>
      </c>
      <c r="AP376" s="9"/>
      <c r="AQ376" s="22">
        <v>-9.2925999999999995E-2</v>
      </c>
      <c r="AR376" s="22">
        <v>158.536</v>
      </c>
      <c r="AS376" s="22">
        <v>-1.8908700000000001E-2</v>
      </c>
      <c r="AT376" s="22">
        <v>366</v>
      </c>
      <c r="AU376" s="22">
        <v>-9.3658400000000003E-2</v>
      </c>
      <c r="AV376">
        <f t="shared" si="68"/>
        <v>18.9087</v>
      </c>
      <c r="AW376">
        <f t="shared" si="69"/>
        <v>-1.7571098561999998</v>
      </c>
      <c r="AX376" s="9"/>
      <c r="AY376" s="22">
        <v>1.7430099999999999</v>
      </c>
      <c r="AZ376" s="22">
        <v>192.923</v>
      </c>
      <c r="BA376" s="22">
        <v>3.2351699999999997E-2</v>
      </c>
      <c r="BB376" s="22">
        <v>366</v>
      </c>
      <c r="BC376" s="22">
        <v>0.371002</v>
      </c>
      <c r="BD376">
        <f t="shared" si="70"/>
        <v>-32.351699999999994</v>
      </c>
      <c r="BE376">
        <f t="shared" si="71"/>
        <v>-56.389336616999991</v>
      </c>
    </row>
    <row r="377" spans="6:57">
      <c r="F377" s="9"/>
      <c r="G377" s="22">
        <v>-9.7961400000000004E-2</v>
      </c>
      <c r="H377" s="22">
        <v>37.940899999999999</v>
      </c>
      <c r="I377" s="22">
        <v>-1.8737799999999999E-2</v>
      </c>
      <c r="J377" s="22">
        <v>367</v>
      </c>
      <c r="K377" s="22">
        <v>-9.8419199999999998E-2</v>
      </c>
      <c r="L377">
        <f t="shared" si="60"/>
        <v>18.7378</v>
      </c>
      <c r="M377">
        <f t="shared" si="61"/>
        <v>-1.8355811209200001</v>
      </c>
      <c r="N377" s="9"/>
      <c r="O377" s="22">
        <v>1.7480500000000001</v>
      </c>
      <c r="P377" s="22">
        <v>72.250100000000003</v>
      </c>
      <c r="Q377" s="22">
        <v>4.6673600000000003E-2</v>
      </c>
      <c r="R377" s="22">
        <v>367</v>
      </c>
      <c r="S377" s="22">
        <v>0.37222300000000003</v>
      </c>
      <c r="T377">
        <f t="shared" si="62"/>
        <v>-46.6736</v>
      </c>
      <c r="U377">
        <f t="shared" si="63"/>
        <v>-81.587786480000005</v>
      </c>
      <c r="X377" s="9"/>
      <c r="Y377" s="22">
        <v>-9.7961400000000004E-2</v>
      </c>
      <c r="Z377" s="22">
        <v>106.456</v>
      </c>
      <c r="AA377" s="22">
        <v>-1.8753100000000002E-2</v>
      </c>
      <c r="AB377" s="22">
        <v>367</v>
      </c>
      <c r="AC377" s="22">
        <v>-9.8114000000000007E-2</v>
      </c>
      <c r="AD377">
        <f t="shared" si="64"/>
        <v>18.753100000000003</v>
      </c>
      <c r="AE377">
        <f t="shared" si="65"/>
        <v>-1.8370799303400005</v>
      </c>
      <c r="AF377" s="9"/>
      <c r="AG377" s="22">
        <v>1.7480500000000001</v>
      </c>
      <c r="AH377" s="22">
        <v>124.277</v>
      </c>
      <c r="AI377" s="22">
        <v>5.4473899999999999E-2</v>
      </c>
      <c r="AJ377" s="22">
        <v>367</v>
      </c>
      <c r="AK377" s="22">
        <v>1.7471300000000001</v>
      </c>
      <c r="AL377">
        <f t="shared" si="66"/>
        <v>-54.4739</v>
      </c>
      <c r="AM377">
        <f t="shared" si="67"/>
        <v>-95.223100895000002</v>
      </c>
      <c r="AP377" s="9"/>
      <c r="AQ377" s="22">
        <v>-9.7961400000000004E-2</v>
      </c>
      <c r="AR377" s="22">
        <v>158.54599999999999</v>
      </c>
      <c r="AS377" s="22">
        <v>-1.89117E-2</v>
      </c>
      <c r="AT377" s="22">
        <v>367</v>
      </c>
      <c r="AU377" s="22">
        <v>-9.8114000000000007E-2</v>
      </c>
      <c r="AV377">
        <f t="shared" si="68"/>
        <v>18.9117</v>
      </c>
      <c r="AW377">
        <f t="shared" si="69"/>
        <v>-1.85261660838</v>
      </c>
      <c r="AX377" s="9"/>
      <c r="AY377" s="22">
        <v>1.7480500000000001</v>
      </c>
      <c r="AZ377" s="22">
        <v>192.93299999999999</v>
      </c>
      <c r="BA377" s="22">
        <v>3.24341E-2</v>
      </c>
      <c r="BB377" s="22">
        <v>367</v>
      </c>
      <c r="BC377" s="22">
        <v>0.36248799999999998</v>
      </c>
      <c r="BD377">
        <f t="shared" si="70"/>
        <v>-32.434100000000001</v>
      </c>
      <c r="BE377">
        <f t="shared" si="71"/>
        <v>-56.696428505000007</v>
      </c>
    </row>
    <row r="378" spans="6:57">
      <c r="F378" s="9"/>
      <c r="G378" s="22">
        <v>-0.10299700000000001</v>
      </c>
      <c r="H378" s="22">
        <v>37.951000000000001</v>
      </c>
      <c r="I378" s="22">
        <v>-1.87469E-2</v>
      </c>
      <c r="J378" s="22">
        <v>368</v>
      </c>
      <c r="K378" s="22">
        <v>-0.10287499999999999</v>
      </c>
      <c r="L378">
        <f t="shared" si="60"/>
        <v>18.7469</v>
      </c>
      <c r="M378">
        <f t="shared" si="61"/>
        <v>-1.9308744593</v>
      </c>
      <c r="N378" s="9"/>
      <c r="O378" s="22">
        <v>1.75308</v>
      </c>
      <c r="P378" s="22">
        <v>72.260099999999994</v>
      </c>
      <c r="Q378" s="22">
        <v>4.6670499999999997E-2</v>
      </c>
      <c r="R378" s="22">
        <v>368</v>
      </c>
      <c r="S378" s="22">
        <v>0.36999500000000002</v>
      </c>
      <c r="T378">
        <f t="shared" si="62"/>
        <v>-46.670499999999997</v>
      </c>
      <c r="U378">
        <f t="shared" si="63"/>
        <v>-81.81712014</v>
      </c>
      <c r="X378" s="9"/>
      <c r="Y378" s="22">
        <v>-0.10299700000000001</v>
      </c>
      <c r="Z378" s="22">
        <v>106.46599999999999</v>
      </c>
      <c r="AA378" s="22">
        <v>-1.8756100000000001E-2</v>
      </c>
      <c r="AB378" s="22">
        <v>368</v>
      </c>
      <c r="AC378" s="22">
        <v>-0.10348499999999999</v>
      </c>
      <c r="AD378">
        <f t="shared" si="64"/>
        <v>18.7561</v>
      </c>
      <c r="AE378">
        <f t="shared" si="65"/>
        <v>-1.9318220317000001</v>
      </c>
      <c r="AF378" s="9"/>
      <c r="AG378" s="22">
        <v>1.75308</v>
      </c>
      <c r="AH378" s="22">
        <v>124.28700000000001</v>
      </c>
      <c r="AI378" s="22">
        <v>5.9204100000000003E-2</v>
      </c>
      <c r="AJ378" s="22">
        <v>368</v>
      </c>
      <c r="AK378" s="22">
        <v>1.7535400000000001</v>
      </c>
      <c r="AL378">
        <f t="shared" si="66"/>
        <v>-59.204100000000004</v>
      </c>
      <c r="AM378">
        <f t="shared" si="67"/>
        <v>-103.78952362800001</v>
      </c>
      <c r="AP378" s="9"/>
      <c r="AQ378" s="22">
        <v>-0.10299700000000001</v>
      </c>
      <c r="AR378" s="22">
        <v>158.55600000000001</v>
      </c>
      <c r="AS378" s="22">
        <v>-1.8914799999999999E-2</v>
      </c>
      <c r="AT378" s="22">
        <v>368</v>
      </c>
      <c r="AU378" s="22">
        <v>-0.103394</v>
      </c>
      <c r="AV378">
        <f t="shared" si="68"/>
        <v>18.9148</v>
      </c>
      <c r="AW378">
        <f t="shared" si="69"/>
        <v>-1.9481676556</v>
      </c>
      <c r="AX378" s="9"/>
      <c r="AY378" s="22">
        <v>1.75308</v>
      </c>
      <c r="AZ378" s="22">
        <v>192.94300000000001</v>
      </c>
      <c r="BA378" s="22">
        <v>3.2748399999999997E-2</v>
      </c>
      <c r="BB378" s="22">
        <v>368</v>
      </c>
      <c r="BC378" s="22">
        <v>0.36453200000000002</v>
      </c>
      <c r="BD378">
        <f t="shared" si="70"/>
        <v>-32.748399999999997</v>
      </c>
      <c r="BE378">
        <f t="shared" si="71"/>
        <v>-57.41056507199999</v>
      </c>
    </row>
    <row r="379" spans="6:57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7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7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7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"/>
  <sheetViews>
    <sheetView tabSelected="1" workbookViewId="0">
      <selection activeCell="A4" sqref="A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20230210T210000</v>
      </c>
      <c r="B3">
        <f ca="1">INDEX(INDIRECT(A3&amp;"!A11"):INDIRECT(A3&amp;"!A21"),MATCH(E3,INDIRECT(A3&amp;"!D11"):INDIRECT(A3&amp;"!D21"),0))</f>
        <v>1.7075379771174612</v>
      </c>
      <c r="C3">
        <f ca="1">INDEX(INDIRECT(A3&amp;"!B11"):INDIRECT(A3&amp;"!B21"),MATCH(E3,INDIRECT(A3&amp;"!D11"):INDIRECT(A3&amp;"!D21"),0))</f>
        <v>18.7195</v>
      </c>
      <c r="D3">
        <f ca="1">INDEX(INDIRECT(A3&amp;"!C11"):INDIRECT(A3&amp;"!C21"),MATCH(E3,INDIRECT(A3&amp;"!D11"):INDIRECT(A3&amp;"!D21"),0))</f>
        <v>0.8531553103904157</v>
      </c>
      <c r="E3">
        <f t="shared" ref="E3" ca="1" si="0">MAX(INDIRECT(A3&amp; "!D11"),INDIRECT(A3 &amp; "!D13"),INDIRECT(A3 &amp; "!D15"),INDIRECT(A3 &amp; "!D17"),INDIRECT(A3 &amp; "!D19"),INDIRECT(A3 &amp; "!D21"))</f>
        <v>27.270475740999998</v>
      </c>
      <c r="G3">
        <f ca="1">INDEX(INDIRECT(A3&amp;"!A12"):INDIRECT(A3&amp;"!A22"),MATCH(J3,INDIRECT(A3&amp;"!D12"):INDIRECT(A3&amp;"!D22"),0))</f>
        <v>1.691928002513525</v>
      </c>
      <c r="H3">
        <f ca="1">INDEX(INDIRECT(A3&amp;"!B12"):INDIRECT(A3&amp;"!B22"),MATCH(J3,INDIRECT(A3&amp;"!D12"):INDIRECT(A3&amp;"!D22"),0))</f>
        <v>18.67077140025896</v>
      </c>
      <c r="I3">
        <f ca="1">INDEX(INDIRECT(A3&amp;"!C12"):INDIRECT(A3&amp;"!C22"),MATCH(J3,INDIRECT(A3&amp;"!D12"):INDIRECT(A3&amp;"!D22"),0))</f>
        <v>0.8598330227043508</v>
      </c>
      <c r="J3">
        <f t="shared" ref="J3" ca="1" si="1">MAX(INDIRECT(A3&amp; "!D12"),INDIRECT(A3 &amp; "!D14"),INDIRECT(A3 &amp; "!D16"),INDIRECT(A3 &amp; "!D18"),INDIRECT(A3 &amp; "!D20"),,INDIRECT(A3 &amp; "!D22"))</f>
        <v>27.161782079999995</v>
      </c>
      <c r="L3">
        <f ca="1">INDEX(INDIRECT(A3&amp;"!E11"):INDIRECT(A3&amp;"!E21"),MATCH(E3,INDIRECT(A3&amp;"!D11"):INDIRECT(A3&amp;"!D21"),0))</f>
        <v>0.39857632859916514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</vt:lpstr>
      <vt:lpstr>20230210T210000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2023-02-11T02:19:23Z</dcterms:modified>
</cp:coreProperties>
</file>