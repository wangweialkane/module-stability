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28T090000" sheetId="65" r:id="rId2"/>
    <sheet name="20230302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 s="1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 s="1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 s="1"/>
  <c r="AL221" i="66"/>
  <c r="AM221" i="66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 s="1"/>
  <c r="AD219" i="66"/>
  <c r="AE219" i="66"/>
  <c r="AD220" i="66"/>
  <c r="AE220" i="66"/>
  <c r="AD221" i="66"/>
  <c r="AE221" i="66"/>
  <c r="AD222" i="66"/>
  <c r="AE222" i="66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T12" i="66"/>
  <c r="U12" i="66"/>
  <c r="T13" i="66"/>
  <c r="U13" i="66"/>
  <c r="T14" i="66"/>
  <c r="U14" i="66"/>
  <c r="T15" i="66"/>
  <c r="U15" i="66"/>
  <c r="T16" i="66"/>
  <c r="U16" i="66"/>
  <c r="T17" i="66"/>
  <c r="U17" i="66"/>
  <c r="T18" i="66"/>
  <c r="U18" i="66"/>
  <c r="T19" i="66"/>
  <c r="U19" i="66"/>
  <c r="T20" i="66"/>
  <c r="U20" i="66"/>
  <c r="T21" i="66"/>
  <c r="U21" i="66"/>
  <c r="T22" i="66"/>
  <c r="U22" i="66"/>
  <c r="T23" i="66"/>
  <c r="U23" i="66"/>
  <c r="T24" i="66"/>
  <c r="U24" i="66"/>
  <c r="T25" i="66"/>
  <c r="U25" i="66"/>
  <c r="T26" i="66"/>
  <c r="U26" i="66"/>
  <c r="T27" i="66"/>
  <c r="U27" i="66"/>
  <c r="T28" i="66"/>
  <c r="U28" i="66"/>
  <c r="T29" i="66"/>
  <c r="U29" i="66"/>
  <c r="T30" i="66"/>
  <c r="U30" i="66"/>
  <c r="T31" i="66"/>
  <c r="U31" i="66"/>
  <c r="T32" i="66"/>
  <c r="U32" i="66"/>
  <c r="T33" i="66"/>
  <c r="U33" i="66"/>
  <c r="T34" i="66"/>
  <c r="U34" i="66"/>
  <c r="T35" i="66"/>
  <c r="U35" i="66"/>
  <c r="T36" i="66"/>
  <c r="U36" i="66"/>
  <c r="T37" i="66"/>
  <c r="U37" i="66"/>
  <c r="T38" i="66"/>
  <c r="U38" i="66"/>
  <c r="T39" i="66"/>
  <c r="U39" i="66"/>
  <c r="T40" i="66"/>
  <c r="U40" i="66"/>
  <c r="T41" i="66"/>
  <c r="U41" i="66"/>
  <c r="T42" i="66"/>
  <c r="U42" i="66"/>
  <c r="T43" i="66"/>
  <c r="U43" i="66"/>
  <c r="T44" i="66"/>
  <c r="U44" i="66"/>
  <c r="T45" i="66"/>
  <c r="U45" i="66"/>
  <c r="T46" i="66"/>
  <c r="U46" i="66"/>
  <c r="T47" i="66"/>
  <c r="U47" i="66"/>
  <c r="T48" i="66"/>
  <c r="U48" i="66"/>
  <c r="T49" i="66"/>
  <c r="U49" i="66"/>
  <c r="T50" i="66"/>
  <c r="U50" i="66"/>
  <c r="T51" i="66"/>
  <c r="U51" i="66"/>
  <c r="T52" i="66"/>
  <c r="U52" i="66"/>
  <c r="T53" i="66"/>
  <c r="U53" i="66"/>
  <c r="T54" i="66"/>
  <c r="U54" i="66"/>
  <c r="T55" i="66"/>
  <c r="U55" i="66"/>
  <c r="T56" i="66"/>
  <c r="U56" i="66"/>
  <c r="T57" i="66"/>
  <c r="U57" i="66"/>
  <c r="T58" i="66"/>
  <c r="U58" i="66"/>
  <c r="T59" i="66"/>
  <c r="U59" i="66"/>
  <c r="T60" i="66"/>
  <c r="U60" i="66"/>
  <c r="T61" i="66"/>
  <c r="U61" i="66"/>
  <c r="T62" i="66"/>
  <c r="U62" i="66"/>
  <c r="T63" i="66"/>
  <c r="U63" i="66"/>
  <c r="T64" i="66"/>
  <c r="U64" i="66"/>
  <c r="T65" i="66"/>
  <c r="U65" i="66"/>
  <c r="T66" i="66"/>
  <c r="U66" i="66"/>
  <c r="T67" i="66"/>
  <c r="U67" i="66"/>
  <c r="T68" i="66"/>
  <c r="U68" i="66"/>
  <c r="T69" i="66"/>
  <c r="U69" i="66"/>
  <c r="T70" i="66"/>
  <c r="U70" i="66"/>
  <c r="T71" i="66"/>
  <c r="U71" i="66"/>
  <c r="T72" i="66"/>
  <c r="U72" i="66"/>
  <c r="T73" i="66"/>
  <c r="U73" i="66"/>
  <c r="T74" i="66"/>
  <c r="U74" i="66"/>
  <c r="T75" i="66"/>
  <c r="U75" i="66"/>
  <c r="T76" i="66"/>
  <c r="U76" i="66"/>
  <c r="T77" i="66"/>
  <c r="U77" i="66"/>
  <c r="T78" i="66"/>
  <c r="U78" i="66"/>
  <c r="T79" i="66"/>
  <c r="U79" i="66"/>
  <c r="T80" i="66"/>
  <c r="U80" i="66"/>
  <c r="T81" i="66"/>
  <c r="U81" i="66"/>
  <c r="T82" i="66"/>
  <c r="U82" i="66"/>
  <c r="T83" i="66"/>
  <c r="U83" i="66"/>
  <c r="T84" i="66"/>
  <c r="U84" i="66"/>
  <c r="T85" i="66"/>
  <c r="U85" i="66"/>
  <c r="T86" i="66"/>
  <c r="U86" i="66"/>
  <c r="T87" i="66"/>
  <c r="U87" i="66"/>
  <c r="T88" i="66"/>
  <c r="U88" i="66"/>
  <c r="T89" i="66"/>
  <c r="U89" i="66"/>
  <c r="T90" i="66"/>
  <c r="U90" i="66"/>
  <c r="T91" i="66"/>
  <c r="U91" i="66"/>
  <c r="T92" i="66"/>
  <c r="U92" i="66"/>
  <c r="T93" i="66"/>
  <c r="U93" i="66"/>
  <c r="T94" i="66"/>
  <c r="U94" i="66"/>
  <c r="T95" i="66"/>
  <c r="U95" i="66"/>
  <c r="T96" i="66"/>
  <c r="U96" i="66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/>
  <c r="T126" i="66"/>
  <c r="U126" i="66"/>
  <c r="T127" i="66"/>
  <c r="U127" i="66"/>
  <c r="T128" i="66"/>
  <c r="U128" i="66"/>
  <c r="T129" i="66"/>
  <c r="U129" i="66"/>
  <c r="T130" i="66"/>
  <c r="U130" i="66"/>
  <c r="T131" i="66"/>
  <c r="U131" i="66"/>
  <c r="T132" i="66"/>
  <c r="U132" i="66"/>
  <c r="T133" i="66"/>
  <c r="U133" i="66"/>
  <c r="T134" i="66"/>
  <c r="U134" i="66"/>
  <c r="T135" i="66"/>
  <c r="U135" i="66"/>
  <c r="T136" i="66"/>
  <c r="U136" i="66"/>
  <c r="T137" i="66"/>
  <c r="U137" i="66"/>
  <c r="T138" i="66"/>
  <c r="U138" i="66"/>
  <c r="T139" i="66"/>
  <c r="U139" i="66"/>
  <c r="T140" i="66"/>
  <c r="U140" i="66"/>
  <c r="T141" i="66"/>
  <c r="U141" i="66"/>
  <c r="T142" i="66"/>
  <c r="U142" i="66"/>
  <c r="T143" i="66"/>
  <c r="U143" i="66"/>
  <c r="T144" i="66"/>
  <c r="U144" i="66"/>
  <c r="T145" i="66"/>
  <c r="U145" i="66"/>
  <c r="T146" i="66"/>
  <c r="U146" i="66"/>
  <c r="T147" i="66"/>
  <c r="U147" i="66"/>
  <c r="T148" i="66"/>
  <c r="U148" i="66"/>
  <c r="T149" i="66"/>
  <c r="U149" i="66"/>
  <c r="T150" i="66"/>
  <c r="U150" i="66"/>
  <c r="T151" i="66"/>
  <c r="U151" i="66"/>
  <c r="T152" i="66"/>
  <c r="U152" i="66"/>
  <c r="T153" i="66"/>
  <c r="U153" i="66"/>
  <c r="T154" i="66"/>
  <c r="U154" i="66"/>
  <c r="T155" i="66"/>
  <c r="U155" i="66"/>
  <c r="T156" i="66"/>
  <c r="U156" i="66"/>
  <c r="T157" i="66"/>
  <c r="U157" i="66"/>
  <c r="T158" i="66"/>
  <c r="U158" i="66"/>
  <c r="T159" i="66"/>
  <c r="U159" i="66"/>
  <c r="T160" i="66"/>
  <c r="U160" i="66"/>
  <c r="T161" i="66"/>
  <c r="U161" i="66"/>
  <c r="T162" i="66"/>
  <c r="U162" i="66"/>
  <c r="T163" i="66"/>
  <c r="U163" i="66"/>
  <c r="T164" i="66"/>
  <c r="U164" i="66"/>
  <c r="T165" i="66"/>
  <c r="U165" i="66"/>
  <c r="T166" i="66"/>
  <c r="U166" i="66"/>
  <c r="T167" i="66"/>
  <c r="U167" i="66"/>
  <c r="T168" i="66"/>
  <c r="U168" i="66"/>
  <c r="T169" i="66"/>
  <c r="U169" i="66"/>
  <c r="T170" i="66"/>
  <c r="U170" i="66"/>
  <c r="T171" i="66"/>
  <c r="U171" i="66"/>
  <c r="T172" i="66"/>
  <c r="U172" i="66"/>
  <c r="T173" i="66"/>
  <c r="U173" i="66"/>
  <c r="T174" i="66"/>
  <c r="U174" i="66"/>
  <c r="T175" i="66"/>
  <c r="U175" i="66"/>
  <c r="T176" i="66"/>
  <c r="U176" i="66"/>
  <c r="T177" i="66"/>
  <c r="U177" i="66"/>
  <c r="T178" i="66"/>
  <c r="U178" i="66"/>
  <c r="T179" i="66"/>
  <c r="U179" i="66"/>
  <c r="T180" i="66"/>
  <c r="U180" i="66"/>
  <c r="T181" i="66"/>
  <c r="U181" i="66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/>
  <c r="T267" i="66"/>
  <c r="U267" i="66"/>
  <c r="T268" i="66"/>
  <c r="U268" i="66"/>
  <c r="T269" i="66"/>
  <c r="U269" i="66"/>
  <c r="T270" i="66"/>
  <c r="U270" i="66"/>
  <c r="T271" i="66"/>
  <c r="U271" i="66"/>
  <c r="T272" i="66"/>
  <c r="U272" i="66"/>
  <c r="T273" i="66"/>
  <c r="U273" i="66"/>
  <c r="T274" i="66"/>
  <c r="U274" i="66"/>
  <c r="T275" i="66"/>
  <c r="U275" i="66"/>
  <c r="T276" i="66"/>
  <c r="U276" i="66"/>
  <c r="T277" i="66"/>
  <c r="U277" i="66"/>
  <c r="T278" i="66"/>
  <c r="U278" i="66"/>
  <c r="T279" i="66"/>
  <c r="U279" i="66"/>
  <c r="T280" i="66"/>
  <c r="U280" i="66"/>
  <c r="T281" i="66"/>
  <c r="U281" i="66"/>
  <c r="T282" i="66"/>
  <c r="U282" i="66"/>
  <c r="T283" i="66"/>
  <c r="U283" i="66"/>
  <c r="T284" i="66"/>
  <c r="U284" i="66"/>
  <c r="T285" i="66"/>
  <c r="U285" i="66"/>
  <c r="T286" i="66"/>
  <c r="U286" i="66"/>
  <c r="T287" i="66"/>
  <c r="U287" i="66"/>
  <c r="T288" i="66"/>
  <c r="U288" i="66"/>
  <c r="T289" i="66"/>
  <c r="U289" i="66"/>
  <c r="T290" i="66"/>
  <c r="U290" i="66"/>
  <c r="T291" i="66"/>
  <c r="U291" i="66"/>
  <c r="T292" i="66"/>
  <c r="U292" i="66"/>
  <c r="T293" i="66"/>
  <c r="U293" i="66"/>
  <c r="T294" i="66"/>
  <c r="U294" i="66"/>
  <c r="T295" i="66"/>
  <c r="U295" i="66"/>
  <c r="T296" i="66"/>
  <c r="U296" i="66"/>
  <c r="T297" i="66"/>
  <c r="U297" i="66"/>
  <c r="T298" i="66"/>
  <c r="U298" i="66"/>
  <c r="T299" i="66"/>
  <c r="U299" i="66"/>
  <c r="T300" i="66"/>
  <c r="U300" i="66"/>
  <c r="T301" i="66"/>
  <c r="U301" i="66"/>
  <c r="T302" i="66"/>
  <c r="U302" i="66"/>
  <c r="T303" i="66"/>
  <c r="U303" i="66"/>
  <c r="T304" i="66"/>
  <c r="U304" i="66"/>
  <c r="T305" i="66"/>
  <c r="U305" i="66"/>
  <c r="T306" i="66"/>
  <c r="U306" i="66"/>
  <c r="T307" i="66"/>
  <c r="U307" i="66"/>
  <c r="T308" i="66"/>
  <c r="U308" i="66"/>
  <c r="T309" i="66"/>
  <c r="U309" i="66"/>
  <c r="T310" i="66"/>
  <c r="U310" i="66"/>
  <c r="T311" i="66"/>
  <c r="U311" i="66"/>
  <c r="T312" i="66"/>
  <c r="U312" i="66"/>
  <c r="T313" i="66"/>
  <c r="U313" i="66"/>
  <c r="T314" i="66"/>
  <c r="U314" i="66"/>
  <c r="T315" i="66"/>
  <c r="U315" i="66"/>
  <c r="T316" i="66"/>
  <c r="U316" i="66"/>
  <c r="T317" i="66"/>
  <c r="U317" i="66"/>
  <c r="T318" i="66"/>
  <c r="U318" i="66"/>
  <c r="T319" i="66"/>
  <c r="U319" i="66"/>
  <c r="T320" i="66"/>
  <c r="U320" i="66"/>
  <c r="T321" i="66"/>
  <c r="U321" i="66"/>
  <c r="T322" i="66"/>
  <c r="U322" i="66"/>
  <c r="T323" i="66"/>
  <c r="U323" i="66"/>
  <c r="T324" i="66"/>
  <c r="U324" i="66"/>
  <c r="T325" i="66"/>
  <c r="U325" i="66"/>
  <c r="T326" i="66"/>
  <c r="U326" i="66"/>
  <c r="T327" i="66"/>
  <c r="U327" i="66"/>
  <c r="T328" i="66"/>
  <c r="U328" i="66"/>
  <c r="T329" i="66"/>
  <c r="U329" i="66"/>
  <c r="T330" i="66"/>
  <c r="U330" i="66"/>
  <c r="T331" i="66"/>
  <c r="U331" i="66"/>
  <c r="T332" i="66"/>
  <c r="U332" i="66"/>
  <c r="T333" i="66"/>
  <c r="U333" i="66"/>
  <c r="T334" i="66"/>
  <c r="U334" i="66"/>
  <c r="T335" i="66"/>
  <c r="U335" i="66"/>
  <c r="T336" i="66"/>
  <c r="U336" i="66"/>
  <c r="T337" i="66"/>
  <c r="U337" i="66"/>
  <c r="T338" i="66"/>
  <c r="U338" i="66"/>
  <c r="T339" i="66"/>
  <c r="U339" i="66"/>
  <c r="T340" i="66"/>
  <c r="U340" i="66"/>
  <c r="T341" i="66"/>
  <c r="U341" i="66"/>
  <c r="T342" i="66"/>
  <c r="U342" i="66"/>
  <c r="T343" i="66"/>
  <c r="U343" i="66"/>
  <c r="T344" i="66"/>
  <c r="U344" i="66"/>
  <c r="T345" i="66"/>
  <c r="U345" i="66"/>
  <c r="T346" i="66"/>
  <c r="U346" i="66"/>
  <c r="T347" i="66"/>
  <c r="U347" i="66"/>
  <c r="T348" i="66"/>
  <c r="U348" i="66"/>
  <c r="T349" i="66"/>
  <c r="U349" i="66"/>
  <c r="T350" i="66"/>
  <c r="U350" i="66"/>
  <c r="T351" i="66"/>
  <c r="U351" i="66"/>
  <c r="T352" i="66"/>
  <c r="U352" i="66"/>
  <c r="T353" i="66"/>
  <c r="U353" i="66"/>
  <c r="T354" i="66"/>
  <c r="U354" i="66"/>
  <c r="T355" i="66"/>
  <c r="U355" i="66"/>
  <c r="T356" i="66"/>
  <c r="U356" i="66"/>
  <c r="T357" i="66"/>
  <c r="U357" i="66"/>
  <c r="T358" i="66"/>
  <c r="U358" i="66"/>
  <c r="T359" i="66"/>
  <c r="U359" i="66"/>
  <c r="T360" i="66"/>
  <c r="U360" i="66"/>
  <c r="T361" i="66"/>
  <c r="U361" i="66"/>
  <c r="T362" i="66"/>
  <c r="U362" i="66"/>
  <c r="T363" i="66"/>
  <c r="U363" i="66"/>
  <c r="T364" i="66"/>
  <c r="U364" i="66"/>
  <c r="T365" i="66"/>
  <c r="U365" i="66"/>
  <c r="T366" i="66"/>
  <c r="U366" i="66"/>
  <c r="T367" i="66"/>
  <c r="U367" i="66"/>
  <c r="T368" i="66"/>
  <c r="U368" i="66"/>
  <c r="T369" i="66"/>
  <c r="U369" i="66"/>
  <c r="T370" i="66"/>
  <c r="U370" i="66"/>
  <c r="T371" i="66"/>
  <c r="U371" i="66"/>
  <c r="T372" i="66"/>
  <c r="U372" i="66"/>
  <c r="T373" i="66"/>
  <c r="U373" i="66"/>
  <c r="T374" i="66"/>
  <c r="U374" i="66"/>
  <c r="T375" i="66"/>
  <c r="U375" i="66"/>
  <c r="T376" i="66"/>
  <c r="U376" i="66"/>
  <c r="T377" i="66"/>
  <c r="U377" i="66"/>
  <c r="T378" i="66"/>
  <c r="U378" i="66"/>
  <c r="T379" i="66"/>
  <c r="U379" i="66"/>
  <c r="T380" i="66"/>
  <c r="U380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 s="1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W11" i="66"/>
  <c r="AW9" i="66" s="1"/>
  <c r="AW7" i="66" s="1"/>
  <c r="AV11" i="66"/>
  <c r="AL11" i="66"/>
  <c r="AM11" i="66" s="1"/>
  <c r="AD11" i="66"/>
  <c r="AE11" i="66" s="1"/>
  <c r="T11" i="66"/>
  <c r="U11" i="66" s="1"/>
  <c r="U9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C4" i="66"/>
  <c r="AA4" i="66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I3" i="66"/>
  <c r="AA3" i="66"/>
  <c r="Q3" i="66"/>
  <c r="I3" i="66"/>
  <c r="K3" i="66" s="1"/>
  <c r="A4" i="63" a="1"/>
  <c r="A4" i="63" l="1"/>
  <c r="BE9" i="66"/>
  <c r="BE7" i="66" s="1"/>
  <c r="AY4" i="66"/>
  <c r="AY2" i="66"/>
  <c r="BE3" i="66"/>
  <c r="BA6" i="66"/>
  <c r="A16" i="66" s="1"/>
  <c r="AS3" i="66"/>
  <c r="AW5" i="66"/>
  <c r="AW3" i="66"/>
  <c r="AM9" i="66"/>
  <c r="AM7" i="66" s="1"/>
  <c r="AM5" i="66"/>
  <c r="AK3" i="66"/>
  <c r="AI4" i="66"/>
  <c r="AK4" i="66" s="1"/>
  <c r="AE9" i="66"/>
  <c r="AE3" i="66" s="1"/>
  <c r="O2" i="66"/>
  <c r="U7" i="66"/>
  <c r="U5" i="66"/>
  <c r="U3" i="66"/>
  <c r="S3" i="66"/>
  <c r="O4" i="66" s="1"/>
  <c r="T9" i="66"/>
  <c r="B12" i="66" s="1"/>
  <c r="G2" i="66"/>
  <c r="M9" i="66"/>
  <c r="M7" i="66" s="1"/>
  <c r="M5" i="66"/>
  <c r="AE7" i="66"/>
  <c r="AE5" i="66"/>
  <c r="BW7" i="66"/>
  <c r="BW5" i="66"/>
  <c r="BW3" i="66"/>
  <c r="CY7" i="66"/>
  <c r="CY5" i="66"/>
  <c r="CY3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G4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 s="1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 s="1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/>
  <c r="AD244" i="65"/>
  <c r="AE244" i="65"/>
  <c r="AD245" i="65"/>
  <c r="AE245" i="65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T170" i="65"/>
  <c r="U170" i="65"/>
  <c r="T171" i="65"/>
  <c r="U171" i="65"/>
  <c r="T172" i="65"/>
  <c r="U172" i="65"/>
  <c r="T173" i="65"/>
  <c r="U173" i="65"/>
  <c r="T174" i="65"/>
  <c r="U174" i="65"/>
  <c r="T175" i="65"/>
  <c r="U175" i="65"/>
  <c r="T176" i="65"/>
  <c r="U176" i="65"/>
  <c r="T177" i="65"/>
  <c r="U177" i="65"/>
  <c r="T178" i="65"/>
  <c r="U178" i="65"/>
  <c r="T179" i="65"/>
  <c r="U179" i="65"/>
  <c r="T180" i="65"/>
  <c r="U180" i="65"/>
  <c r="T181" i="65"/>
  <c r="U181" i="65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/>
  <c r="T318" i="65"/>
  <c r="U318" i="65"/>
  <c r="T319" i="65"/>
  <c r="U319" i="65"/>
  <c r="T320" i="65"/>
  <c r="U320" i="65"/>
  <c r="T321" i="65"/>
  <c r="U321" i="65"/>
  <c r="T322" i="65"/>
  <c r="U322" i="65"/>
  <c r="T323" i="65"/>
  <c r="U323" i="65"/>
  <c r="T324" i="65"/>
  <c r="U324" i="65"/>
  <c r="T325" i="65"/>
  <c r="U325" i="65"/>
  <c r="T326" i="65"/>
  <c r="U326" i="65"/>
  <c r="T327" i="65"/>
  <c r="U327" i="65"/>
  <c r="T328" i="65"/>
  <c r="U328" i="65"/>
  <c r="T329" i="65"/>
  <c r="U329" i="65"/>
  <c r="T330" i="65"/>
  <c r="U330" i="65"/>
  <c r="T331" i="65"/>
  <c r="U331" i="65"/>
  <c r="T332" i="65"/>
  <c r="U332" i="65"/>
  <c r="T333" i="65"/>
  <c r="U333" i="65"/>
  <c r="T334" i="65"/>
  <c r="U334" i="65"/>
  <c r="T335" i="65"/>
  <c r="U335" i="65"/>
  <c r="T336" i="65"/>
  <c r="U336" i="65"/>
  <c r="T337" i="65"/>
  <c r="U337" i="65"/>
  <c r="T338" i="65"/>
  <c r="U338" i="65"/>
  <c r="T339" i="65"/>
  <c r="U339" i="65"/>
  <c r="T340" i="65"/>
  <c r="U340" i="65"/>
  <c r="T341" i="65"/>
  <c r="U341" i="65"/>
  <c r="T342" i="65"/>
  <c r="U342" i="65"/>
  <c r="T343" i="65"/>
  <c r="U343" i="65"/>
  <c r="T344" i="65"/>
  <c r="U344" i="65"/>
  <c r="T345" i="65"/>
  <c r="U345" i="65"/>
  <c r="T346" i="65"/>
  <c r="U346" i="65"/>
  <c r="T347" i="65"/>
  <c r="U347" i="65"/>
  <c r="T348" i="65"/>
  <c r="U348" i="65"/>
  <c r="T349" i="65"/>
  <c r="U349" i="65"/>
  <c r="T350" i="65"/>
  <c r="U350" i="65"/>
  <c r="T351" i="65"/>
  <c r="U351" i="65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/>
  <c r="T367" i="65"/>
  <c r="U367" i="65"/>
  <c r="T368" i="65"/>
  <c r="U368" i="65"/>
  <c r="T369" i="65"/>
  <c r="U369" i="65"/>
  <c r="T370" i="65"/>
  <c r="U370" i="65"/>
  <c r="T371" i="65"/>
  <c r="U371" i="65"/>
  <c r="T372" i="65"/>
  <c r="U372" i="65"/>
  <c r="T373" i="65"/>
  <c r="U373" i="65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 s="1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 s="1"/>
  <c r="L262" i="65"/>
  <c r="M262" i="65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BE5" i="66" l="1"/>
  <c r="AL9" i="66"/>
  <c r="B14" i="66" s="1"/>
  <c r="AM3" i="66"/>
  <c r="AI6" i="66"/>
  <c r="A14" i="66" s="1"/>
  <c r="AG4" i="66"/>
  <c r="Q6" i="66"/>
  <c r="M3" i="66"/>
  <c r="A19" i="66"/>
  <c r="CF4" i="66"/>
  <c r="CF2" i="66" s="1"/>
  <c r="A15" i="66"/>
  <c r="AV4" i="66"/>
  <c r="A17" i="66"/>
  <c r="BN4" i="66"/>
  <c r="Y4" i="66"/>
  <c r="EP4" i="66"/>
  <c r="EP2" i="66" s="1"/>
  <c r="BV4" i="66"/>
  <c r="AD4" i="66"/>
  <c r="DF4" i="66"/>
  <c r="AQ4" i="66"/>
  <c r="CX4" i="66"/>
  <c r="L4" i="66"/>
  <c r="CN4" i="66"/>
  <c r="AL4" i="66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I3" i="65"/>
  <c r="E4" i="63"/>
  <c r="J4" i="63"/>
  <c r="A12" i="66" l="1"/>
  <c r="T4" i="66"/>
  <c r="AL2" i="66"/>
  <c r="D14" i="66" s="1"/>
  <c r="C14" i="66"/>
  <c r="C11" i="66"/>
  <c r="L2" i="66"/>
  <c r="C13" i="66"/>
  <c r="AD2" i="66"/>
  <c r="C17" i="66"/>
  <c r="C19" i="66"/>
  <c r="BN2" i="66"/>
  <c r="AV2" i="66"/>
  <c r="C15" i="66"/>
  <c r="D19" i="66"/>
  <c r="CC9" i="66"/>
  <c r="E19" i="66" s="1"/>
  <c r="C16" i="66"/>
  <c r="BD2" i="66"/>
  <c r="D16" i="66" s="1"/>
  <c r="C20" i="66"/>
  <c r="CN2" i="66"/>
  <c r="D20" i="66" s="1"/>
  <c r="C21" i="66"/>
  <c r="CX2" i="66"/>
  <c r="DF2" i="66"/>
  <c r="D22" i="66" s="1"/>
  <c r="C22" i="66"/>
  <c r="C18" i="66"/>
  <c r="BV2" i="66"/>
  <c r="D18" i="66" s="1"/>
  <c r="AA3" i="65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T2" i="66" l="1"/>
  <c r="D12" i="66" s="1"/>
  <c r="C12" i="66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Y4" i="65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G2" i="63"/>
  <c r="B3" i="63"/>
  <c r="L3" i="63"/>
  <c r="D2" i="63"/>
  <c r="L2" i="63"/>
  <c r="I3" i="63"/>
  <c r="H2" i="63"/>
  <c r="I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<sst xmlns="http://schemas.openxmlformats.org/spreadsheetml/2006/main" count="1240" uniqueCount="46">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</sst>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21.889740289999995</v>
      </c>
      <c r="M2" s="8" t="s">
        <v>14</v>
      </c>
      <c r="N2" s="9"/>
      <c r="O2" s="2">
        <f>ABS(S7-S6)/ABS(T7-T6)*1000</f>
        <v>1642.0419354839341</v>
      </c>
      <c r="P2" s="2"/>
      <c r="Q2" s="6" t="s">
        <v>15</v>
      </c>
      <c r="R2" s="2"/>
      <c r="S2" s="7" t="s">
        <v>13</v>
      </c>
      <c r="T2" s="3">
        <f>T4*Q6*T9/100*100</f>
        <v>21.186765305999995</v>
      </c>
      <c r="U2" s="8" t="s">
        <v>14</v>
      </c>
      <c r="X2" s="9"/>
      <c r="Y2" s="2">
        <f>ABS(AC7-AC6)/ABS(AD7-AD6)*1000</f>
        <v>844.98688524565637</v>
      </c>
      <c r="Z2" s="2"/>
      <c r="AA2" s="6" t="s">
        <v>12</v>
      </c>
      <c r="AB2" s="2"/>
      <c r="AC2" s="7" t="s">
        <v>13</v>
      </c>
      <c r="AD2" s="3">
        <f>AD4*AA6*AD9/100*100</f>
        <v>21.884447099999999</v>
      </c>
      <c r="AE2" s="8" t="s">
        <v>14</v>
      </c>
      <c r="AF2" s="9"/>
      <c r="AG2" s="2">
        <f>ABS(AK7-AK6)/ABS(AL7-AL6)*1000</f>
        <v>1644.0109677429409</v>
      </c>
      <c r="AH2" s="2"/>
      <c r="AI2" s="6" t="s">
        <v>15</v>
      </c>
      <c r="AJ2" s="2"/>
      <c r="AK2" s="7" t="s">
        <v>13</v>
      </c>
      <c r="AL2" s="3">
        <f>AL4*AI6*AL9/100*100</f>
        <v>21.014723834999998</v>
      </c>
      <c r="AM2" s="8" t="s">
        <v>14</v>
      </c>
      <c r="AP2" s="9"/>
      <c r="AQ2" s="2">
        <f>ABS(AU7-AU6)/ABS(AV7-AV6)*1000</f>
        <v>817.47213114754175</v>
      </c>
      <c r="AR2" s="2"/>
      <c r="AS2" s="6" t="s">
        <v>12</v>
      </c>
      <c r="AT2" s="2"/>
      <c r="AU2" s="7" t="s">
        <v>13</v>
      </c>
      <c r="AV2" s="3">
        <f>AV4*AS6*AV9/100*100</f>
        <v>21.780443775999998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1.7636099999999999</v>
      </c>
      <c r="J3" s="2"/>
      <c r="K3" s="10">
        <f>INDEX(L11:L1056,MATCH(I3,K11:K1056,0))</f>
        <v>-1.4511100000000001</v>
      </c>
      <c r="L3" s="31" t="s">
        <v>16</v>
      </c>
      <c r="M3" s="11">
        <f>M9</f>
        <v>21.889740289999999</v>
      </c>
      <c r="N3" s="9"/>
      <c r="O3" s="2" t="s">
        <v>44</v>
      </c>
      <c r="P3" s="2"/>
      <c r="Q3" s="2">
        <f>INDEX(S11:S1056,MATCH(0,T11:T1056,-1))</f>
        <v>1.7474400000000001</v>
      </c>
      <c r="R3" s="2"/>
      <c r="S3" s="10">
        <f>INDEX(T11:T1056,MATCH(Q3,S11:S1056,0))</f>
        <v>0.49102800000000002</v>
      </c>
      <c r="T3" s="31" t="s">
        <v>16</v>
      </c>
      <c r="U3" s="11">
        <f>U9</f>
        <v>21.186765305999998</v>
      </c>
      <c r="X3" s="9"/>
      <c r="Y3" s="2" t="s">
        <v>44</v>
      </c>
      <c r="Z3" s="2"/>
      <c r="AA3" s="2">
        <f>INDEX(AC11:AC856,MATCH(0,AD11:AD856,1))</f>
        <v>1.7486600000000001</v>
      </c>
      <c r="AB3" s="2"/>
      <c r="AC3" s="10">
        <f>INDEX(AD11:AD1056,MATCH(AA3,AC11:AC1056,0))</f>
        <v>-1.03271</v>
      </c>
      <c r="AD3" s="31" t="s">
        <v>16</v>
      </c>
      <c r="AE3" s="11">
        <f>AE9</f>
        <v>21.884447099999999</v>
      </c>
      <c r="AF3" s="9"/>
      <c r="AG3" s="2" t="s">
        <v>44</v>
      </c>
      <c r="AH3" s="2"/>
      <c r="AI3" s="2">
        <f>INDEX(AK11:AK1056,MATCH(0,AL11:AL1056,-1))</f>
        <v>1.73187</v>
      </c>
      <c r="AJ3" s="2"/>
      <c r="AK3" s="10">
        <f>INDEX(AL11:AL1056,MATCH(AI3,AK11:AK1056,0))</f>
        <v>0.97076400000000007</v>
      </c>
      <c r="AL3" s="31" t="s">
        <v>16</v>
      </c>
      <c r="AM3" s="11">
        <f>AM9</f>
        <v>21.014723835000002</v>
      </c>
      <c r="AP3" s="9"/>
      <c r="AQ3" s="2" t="s">
        <v>44</v>
      </c>
      <c r="AR3" s="2"/>
      <c r="AS3" s="2">
        <f>INDEX(AU11:AU856,MATCH(0,AV11:AV856,1))</f>
        <v>1.73828</v>
      </c>
      <c r="AT3" s="2"/>
      <c r="AU3" s="10">
        <f>INDEX(AV11:AV1056,MATCH(AS3,AU11:AU1056,0))</f>
        <v>-1.0366799999999998</v>
      </c>
      <c r="AV3" s="31" t="s">
        <v>16</v>
      </c>
      <c r="AW3" s="11">
        <f>AW9</f>
        <v>21.780443775999998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0.15029900000000002</v>
      </c>
      <c r="BD3" s="31" t="s">
        <v>16</v>
      </c>
      <c r="BE3" s="11">
        <f>BE9</f>
        <v>21.671273232000001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2.8659386712615622</v>
      </c>
      <c r="H4" s="2"/>
      <c r="I4" s="2">
        <f>INDEX(K11:K1000,1+MATCH(0,L11:L856,1))</f>
        <v>1.7587299999999999</v>
      </c>
      <c r="J4" s="2"/>
      <c r="K4" s="10">
        <f>INDEX(L11:L1056,MATCH(I4,K11:K1056,0))</f>
        <v>0.25164799999999998</v>
      </c>
      <c r="L4" s="30">
        <f>M3/(I6*L9)</f>
        <v>0.80488262978410097</v>
      </c>
      <c r="M4" s="8" t="s">
        <v>17</v>
      </c>
      <c r="N4" s="9"/>
      <c r="O4" s="2">
        <f>ABS(Q3-Q4)/ABS(S3-S4)*1000</f>
        <v>3.9382410811763959</v>
      </c>
      <c r="P4" s="2"/>
      <c r="Q4" s="2">
        <f>INDEX(S11:S856,1+MATCH(0,T11:T856,-1))</f>
        <v>1.7526200000000001</v>
      </c>
      <c r="R4" s="2"/>
      <c r="S4" s="10">
        <f>INDEX(T11:T856,MATCH(Q4,S11:S856,0))</f>
        <v>-0.82428000000000001</v>
      </c>
      <c r="T4" s="30">
        <f>U3/(Q6*T9)</f>
        <v>0.78304766835684092</v>
      </c>
      <c r="U4" s="8" t="s">
        <v>17</v>
      </c>
      <c r="X4" s="9"/>
      <c r="Y4" s="2">
        <f>ABS(AA3-AA4)/ABS(AC3-AC4)*1000</f>
        <v>3.001739371523132</v>
      </c>
      <c r="Z4" s="2"/>
      <c r="AA4" s="2">
        <f>INDEX(AC11:AC1000,1+MATCH(0,AD11:AD856,1))</f>
        <v>1.74316</v>
      </c>
      <c r="AB4" s="2"/>
      <c r="AC4" s="10">
        <f>INDEX(AD11:AD1056,MATCH(AA4,AC11:AC1056,0))</f>
        <v>0.79956099999999997</v>
      </c>
      <c r="AD4" s="30">
        <f>AE3/(AA6*AD9)</f>
        <v>0.80524539587169852</v>
      </c>
      <c r="AE4" s="8" t="s">
        <v>17</v>
      </c>
      <c r="AF4" s="9"/>
      <c r="AG4" s="2">
        <f>ABS(AI3-AI4)/ABS(AK3-AK4)*1000</f>
        <v>3.9991887126374852</v>
      </c>
      <c r="AH4" s="2"/>
      <c r="AI4" s="2">
        <f>INDEX(AK11:AK856,1+MATCH(0,AL11:AL856,-1))</f>
        <v>1.7367600000000001</v>
      </c>
      <c r="AJ4" s="2"/>
      <c r="AK4" s="10">
        <f>INDEX(AL11:AL856,MATCH(AI4,AK11:AK856,0))</f>
        <v>-0.25198400000000004</v>
      </c>
      <c r="AL4" s="30">
        <f>AM3/(AI6*AL9)</f>
        <v>0.78062840940668421</v>
      </c>
      <c r="AM4" s="8" t="s">
        <v>17</v>
      </c>
      <c r="AP4" s="9"/>
      <c r="AQ4" s="2">
        <f>ABS(AS3-AS4)/ABS(AU3-AU4)*1000</f>
        <v>2.7612610503645656</v>
      </c>
      <c r="AR4" s="2"/>
      <c r="AS4" s="2">
        <f>INDEX(AU11:AU1000,1+MATCH(0,AV11:AV856,1))</f>
        <v>1.73309</v>
      </c>
      <c r="AT4" s="2"/>
      <c r="AU4" s="10">
        <f>INDEX(AV11:AV1056,MATCH(AS4,AU11:AU1056,0))</f>
        <v>0.84289599999999998</v>
      </c>
      <c r="AV4" s="30">
        <f>AW3/(AS6*AV9)</f>
        <v>0.80421676459046743</v>
      </c>
      <c r="AW4" s="8" t="s">
        <v>17</v>
      </c>
      <c r="AX4" s="9"/>
      <c r="AY4" s="2">
        <f>ABS(BA3-BA4)/ABS(BC3-BC4)*1000</f>
        <v>3.0044302320936986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-1.5771500000000001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13.913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14.09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13.8123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14.0686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14.196800000000001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1.7594512077347455</v>
      </c>
      <c r="J6" s="30"/>
      <c r="K6" s="13">
        <f>INDEX(K11:K1056,MATCH(L6,L11:L1056,0))</f>
        <v>1.95313E-3</v>
      </c>
      <c r="L6" s="10">
        <f>INDEX(L11:L1056,MATCH(0,K11:K1056,-1))</f>
        <v>15.4572</v>
      </c>
      <c r="M6" s="8" t="s">
        <v>22</v>
      </c>
      <c r="N6" s="9"/>
      <c r="O6" s="2"/>
      <c r="P6" s="2"/>
      <c r="Q6" s="34">
        <f>(Q3-Q4)/(S3-S4)*(-S4)+Q4</f>
        <v>1.7493737866416079</v>
      </c>
      <c r="R6" s="34"/>
      <c r="S6" s="13">
        <f>INDEX(S11:S1056,MATCH(T6,T11:T1056,0))</f>
        <v>-4.6569799999999998E-3</v>
      </c>
      <c r="T6" s="10">
        <f>INDEX(T11:T1056,MATCH(0,S11:S1056,1))</f>
        <v>15.4694</v>
      </c>
      <c r="U6" s="8" t="s">
        <v>22</v>
      </c>
      <c r="X6" s="9"/>
      <c r="Y6" s="2"/>
      <c r="Z6" s="2"/>
      <c r="AA6" s="30">
        <f>(AA3-AA4)/(AC3-AC4)*(-AC4)+AA4</f>
        <v>1.7455600737336345</v>
      </c>
      <c r="AB6" s="30"/>
      <c r="AC6" s="13">
        <f>INDEX(AC11:AC1056,MATCH(AD6,AD11:AD1056,0))</f>
        <v>2.0477300000000002E-3</v>
      </c>
      <c r="AD6" s="10">
        <f>INDEX(AD11:AD1056,MATCH(0,AC11:AC1056,-1))</f>
        <v>15.566999999999998</v>
      </c>
      <c r="AE6" s="8" t="s">
        <v>22</v>
      </c>
      <c r="AF6" s="9"/>
      <c r="AG6" s="2"/>
      <c r="AH6" s="2"/>
      <c r="AI6" s="34">
        <f>(AI3-AI4)/(AK3-AK4)*(-AK4)+AI4</f>
        <v>1.7357522684314348</v>
      </c>
      <c r="AJ6" s="34"/>
      <c r="AK6" s="13">
        <f>INDEX(AK11:AK1056,MATCH(AL6,AL11:AL1056,0))</f>
        <v>-4.6386700000000001E-3</v>
      </c>
      <c r="AL6" s="10">
        <f>INDEX(AL11:AL1056,MATCH(0,AK11:AK1056,1))</f>
        <v>15.512099999999998</v>
      </c>
      <c r="AM6" s="8" t="s">
        <v>22</v>
      </c>
      <c r="AP6" s="9"/>
      <c r="AQ6" s="2"/>
      <c r="AR6" s="2"/>
      <c r="AS6" s="30">
        <f>(AS3-AS4)/(AU3-AU4)*(-AU4)+AS4</f>
        <v>1.7354174558943081</v>
      </c>
      <c r="AT6" s="30"/>
      <c r="AU6" s="13">
        <f>INDEX(AU11:AU1056,MATCH(AV6,AV11:AV1056,0))</f>
        <v>1.9043E-3</v>
      </c>
      <c r="AV6" s="10">
        <f>INDEX(AV11:AV1056,MATCH(0,AU11:AU1056,-1))</f>
        <v>15.6036</v>
      </c>
      <c r="AW6" s="8" t="s">
        <v>22</v>
      </c>
      <c r="AX6" s="9"/>
      <c r="AY6" s="2"/>
      <c r="AZ6" s="2"/>
      <c r="BA6" s="34">
        <f>(BA3-BA4)/(BC3-BC4)*(-BC4)+BA4</f>
        <v>1.7326315628594535</v>
      </c>
      <c r="BB6" s="34"/>
      <c r="BC6" s="13">
        <f>INDEX(BC11:BC1056,MATCH(BD6,BD11:BD1056,0))</f>
        <v>-9.4726600000000008E-3</v>
      </c>
      <c r="BD6" s="10">
        <f>INDEX(BD11:BD1056,MATCH(0,BC11:BC1056,1))</f>
        <v>16.058300000000003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-3.1524700000000001E-3</v>
      </c>
      <c r="L7" s="10">
        <f>INDEX(L11:L856,1+MATCH(0,K11:K856,-1))</f>
        <v>15.4572</v>
      </c>
      <c r="M7" s="12">
        <f>INDEX(K11:K1056,MATCH(M9,M11:M1056,0))</f>
        <v>1.5728800000000001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15.4663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-3.1066900000000001E-3</v>
      </c>
      <c r="AD7" s="10">
        <f>INDEX(AD11:AD856,1+MATCH(0,AC11:AC856,-1))</f>
        <v>15.5731</v>
      </c>
      <c r="AE7" s="12">
        <f>INDEX(AC11:AC1056,MATCH(AE9,AE11:AE1056,0))</f>
        <v>1.5521199999999999</v>
      </c>
      <c r="AF7" s="9"/>
      <c r="AG7" s="2"/>
      <c r="AH7" s="2"/>
      <c r="AI7" s="2"/>
      <c r="AJ7" s="2"/>
      <c r="AK7" s="13">
        <f>INDEX(AK11:AK1056,MATCH(AL7,AL11:AL1056,0))</f>
        <v>4.5776399999999999E-4</v>
      </c>
      <c r="AL7" s="10">
        <f>INDEX(AL11:AL1056,1+MATCH(0,AK11:AK1056,1))</f>
        <v>15.509</v>
      </c>
      <c r="AM7" s="12">
        <f>INDEX(AK11:AK1056,MATCH(AM9,AM11:AM1056,0))</f>
        <v>1.5203899999999999</v>
      </c>
      <c r="AP7" s="9"/>
      <c r="AQ7" s="2"/>
      <c r="AR7" s="2"/>
      <c r="AS7" s="2"/>
      <c r="AT7" s="2"/>
      <c r="AU7" s="13">
        <f>INDEX(AU11:AU856,MATCH(AV7,AV11:AV856,1))</f>
        <v>-3.0822800000000002E-3</v>
      </c>
      <c r="AV7" s="10">
        <f>INDEX(AV11:AV856,1+MATCH(0,AU11:AU856,-1))</f>
        <v>15.6097</v>
      </c>
      <c r="AW7" s="12">
        <f>INDEX(AU11:AU1056,MATCH(AW9,AW11:AW1056,0))</f>
        <v>1.5460199999999999</v>
      </c>
      <c r="AX7" s="9"/>
      <c r="AY7" s="2"/>
      <c r="AZ7" s="2"/>
      <c r="BA7" s="2"/>
      <c r="BB7" s="2"/>
      <c r="BC7" s="13">
        <f>INDEX(BC11:BC1056,MATCH(BD7,BD11:BD1056,0))</f>
        <v>-9.4726600000000008E-3</v>
      </c>
      <c r="BD7" s="10">
        <f>INDEX(BD11:BD1056,1+MATCH(0,BC11:BC1056,1))</f>
        <v>16.058300000000003</v>
      </c>
      <c r="BE7" s="12">
        <f>INDEX(BC11:BC1056,MATCH(BE9,BE11:BE1056,0))</f>
        <v>1.5249600000000001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3.2114359269997577</v>
      </c>
      <c r="J9" s="2"/>
      <c r="K9" s="2"/>
      <c r="L9" s="3">
        <f>(L6-L7)/(K6-K7)*(-K7)+L7</f>
        <v>15.4572</v>
      </c>
      <c r="M9" s="16">
        <f>MAX(M11:M1056)</f>
        <v>21.889740289999999</v>
      </c>
      <c r="N9" s="9"/>
      <c r="O9" s="2"/>
      <c r="P9" s="2"/>
      <c r="Q9" s="2"/>
      <c r="R9" s="2"/>
      <c r="S9" s="2"/>
      <c r="T9" s="3">
        <f>(T6-T7)/(S6-S7)*(-S7)+T7</f>
        <v>15.466563909216102</v>
      </c>
      <c r="U9" s="16">
        <f>MAX(U11:U1056)</f>
        <v>21.186765305999998</v>
      </c>
      <c r="X9" s="9"/>
      <c r="Y9" s="2"/>
      <c r="Z9" s="2"/>
      <c r="AA9" s="15">
        <f>(MAX(AD2,AL2)-MIN(AD2,AL2))/MAX(AD2,AL2)%</f>
        <v>3.9741614719615246</v>
      </c>
      <c r="AB9" s="2"/>
      <c r="AC9" s="2"/>
      <c r="AD9" s="3">
        <f>(AD6-AD7)/(AC6-AC7)*(-AC7)+AD7</f>
        <v>15.569423386724402</v>
      </c>
      <c r="AE9" s="16">
        <f>MAX(AE11:AE1056)</f>
        <v>21.884447099999999</v>
      </c>
      <c r="AF9" s="9"/>
      <c r="AG9" s="2"/>
      <c r="AH9" s="2"/>
      <c r="AI9" s="2"/>
      <c r="AJ9" s="2"/>
      <c r="AK9" s="2"/>
      <c r="AL9" s="3">
        <f>(AL6-AL7)/(AK6-AK7)*(-AK7)+AL7</f>
        <v>15.509278443397873</v>
      </c>
      <c r="AM9" s="16">
        <f>MAX(AM11:AM1056)</f>
        <v>21.014723835000002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15.605929498373635</v>
      </c>
      <c r="AW9" s="16">
        <f>MAX(AW11:AW1056)</f>
        <v>21.780443775999998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21.671273232000001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1.7594512077347455</v>
      </c>
      <c r="B11" s="19">
        <f>IFERROR(L9,0)</f>
        <v>15.4572</v>
      </c>
      <c r="C11" s="20">
        <f>IFERROR(L4,0)</f>
        <v>0.80488262978410097</v>
      </c>
      <c r="D11" s="21">
        <f>IFERROR(L2,0)</f>
        <v>21.889740289999995</v>
      </c>
      <c r="E11" s="21">
        <f>IFERROR(I9,0)</f>
        <v>3.2114359269997577</v>
      </c>
      <c r="F11" s="9"/>
      <c r="G11" s="22">
        <v>1.7948900000000001</v>
      </c>
      <c r="H11" s="22">
        <v>11.406499999999999</v>
      </c>
      <c r="I11" s="22">
        <v>1.9152800000000001E-2</v>
      </c>
      <c r="J11" s="22">
        <v>1</v>
      </c>
      <c r="K11" s="22">
        <v>1.79413</v>
      </c>
      <c r="L11">
        <f>-I11/$F$2*1000</f>
        <v>-19.152800000000003</v>
      </c>
      <c r="M11">
        <f>L11*G11</f>
        <v>-34.377169192000004</v>
      </c>
      <c r="N11" s="9"/>
      <c r="O11" s="22">
        <v>-9.49097E-2</v>
      </c>
      <c r="P11" s="22">
        <v>44.179600000000001</v>
      </c>
      <c r="Q11" s="22">
        <v>-1.55426E-2</v>
      </c>
      <c r="R11" s="22">
        <v>1</v>
      </c>
      <c r="S11" s="22">
        <v>-9.5611600000000005E-2</v>
      </c>
      <c r="T11">
        <f>-Q11/$F$2*1000</f>
        <v>15.5426</v>
      </c>
      <c r="U11">
        <f>T11*O11</f>
        <v>-1.47514350322</v>
      </c>
      <c r="V11" s="23"/>
      <c r="W11" s="24"/>
      <c r="X11" s="9"/>
      <c r="Y11" s="22">
        <v>1.7948900000000001</v>
      </c>
      <c r="Z11" s="22">
        <v>72.232600000000005</v>
      </c>
      <c r="AA11" s="22">
        <v>3.4536699999999997E-2</v>
      </c>
      <c r="AB11" s="22">
        <v>1</v>
      </c>
      <c r="AC11" s="22">
        <v>1.79413</v>
      </c>
      <c r="AD11">
        <f>-AA11/$F$2*1000</f>
        <v>-34.536699999999996</v>
      </c>
      <c r="AE11">
        <f>AD11*Y11</f>
        <v>-61.989577462999996</v>
      </c>
      <c r="AF11" s="9"/>
      <c r="AG11" s="22">
        <v>-9.49097E-2</v>
      </c>
      <c r="AH11" s="22">
        <v>106.94799999999999</v>
      </c>
      <c r="AI11" s="22">
        <v>-1.5594500000000001E-2</v>
      </c>
      <c r="AJ11" s="22">
        <v>1</v>
      </c>
      <c r="AK11" s="22">
        <v>-9.5489500000000005E-2</v>
      </c>
      <c r="AL11">
        <f>-AI11/$F$2*1000</f>
        <v>15.5945</v>
      </c>
      <c r="AM11">
        <f>AL11*AG11</f>
        <v>-1.4800693166500001</v>
      </c>
      <c r="AP11" s="9"/>
      <c r="AQ11" s="22">
        <v>1.7948900000000001</v>
      </c>
      <c r="AR11" s="22">
        <v>135.429</v>
      </c>
      <c r="AS11" s="22">
        <v>4.7637899999999997E-2</v>
      </c>
      <c r="AT11" s="22">
        <v>1</v>
      </c>
      <c r="AU11" s="22">
        <v>1.79474</v>
      </c>
      <c r="AV11">
        <f>-AS11/$F$2*1000</f>
        <v>-47.637899999999995</v>
      </c>
      <c r="AW11">
        <f>AV11*AQ11</f>
        <v>-85.504790330999995</v>
      </c>
      <c r="AX11" s="9"/>
      <c r="AY11" s="22">
        <v>-9.49097E-2</v>
      </c>
      <c r="AZ11" s="22">
        <v>179.28299999999999</v>
      </c>
      <c r="BA11" s="22">
        <v>-1.61713E-2</v>
      </c>
      <c r="BB11" s="22">
        <v>1</v>
      </c>
      <c r="BC11" s="22">
        <v>-9.5001199999999994E-2</v>
      </c>
      <c r="BD11">
        <f>-BA11/$F$2*1000</f>
        <v>16.171299999999999</v>
      </c>
      <c r="BE11">
        <f>BD11*AY11</f>
        <v>-1.5348132316099998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1.7493737866416079</v>
      </c>
      <c r="B12" s="19">
        <f>IFERROR(T9,0)</f>
        <v>15.466563909216102</v>
      </c>
      <c r="C12" s="20">
        <f>IFERROR(T4,0)</f>
        <v>0.78304766835684092</v>
      </c>
      <c r="D12" s="21">
        <f>IFERROR(T2,0)</f>
        <v>21.186765305999995</v>
      </c>
      <c r="E12" s="21"/>
      <c r="F12" s="9"/>
      <c r="G12" s="22">
        <v>1.78986</v>
      </c>
      <c r="H12" s="22">
        <v>11.416600000000001</v>
      </c>
      <c r="I12" s="22">
        <v>1.50238E-2</v>
      </c>
      <c r="J12" s="22">
        <v>2</v>
      </c>
      <c r="K12" s="22">
        <v>1.78894</v>
      </c>
      <c r="L12">
        <f t="shared" ref="L12:L75" si="0">-I12/$F$2*1000</f>
        <v>-15.0238</v>
      </c>
      <c r="M12">
        <f t="shared" ref="M12:M75" si="1">L12*G12</f>
        <v>-26.890498667999999</v>
      </c>
      <c r="N12" s="9"/>
      <c r="O12" s="22">
        <v>-8.9874300000000004E-2</v>
      </c>
      <c r="P12" s="22">
        <v>44.189700000000002</v>
      </c>
      <c r="Q12" s="22">
        <v>-1.5539600000000001E-2</v>
      </c>
      <c r="R12" s="22">
        <v>2</v>
      </c>
      <c r="S12" s="22">
        <v>-9.0484599999999998E-2</v>
      </c>
      <c r="T12">
        <f t="shared" ref="T12:T75" si="2">-Q12/$F$2*1000</f>
        <v>15.5396</v>
      </c>
      <c r="U12">
        <f t="shared" ref="U12:U75" si="3">T12*O12</f>
        <v>-1.39661067228</v>
      </c>
      <c r="V12" s="23"/>
      <c r="W12" s="24"/>
      <c r="X12" s="9"/>
      <c r="Y12" s="22">
        <v>1.78986</v>
      </c>
      <c r="Z12" s="22">
        <v>72.242699999999999</v>
      </c>
      <c r="AA12" s="22">
        <v>2.90161E-2</v>
      </c>
      <c r="AB12" s="22">
        <v>2</v>
      </c>
      <c r="AC12" s="22">
        <v>1.78894</v>
      </c>
      <c r="AD12">
        <f t="shared" ref="AD12:AD75" si="4">-AA12/$F$2*1000</f>
        <v>-29.016099999999998</v>
      </c>
      <c r="AE12">
        <f t="shared" ref="AE12:AE75" si="5">AD12*Y12</f>
        <v>-51.934756745999998</v>
      </c>
      <c r="AF12" s="9"/>
      <c r="AG12" s="22">
        <v>-8.9874300000000004E-2</v>
      </c>
      <c r="AH12" s="22">
        <v>106.958</v>
      </c>
      <c r="AI12" s="22">
        <v>-1.5588400000000001E-2</v>
      </c>
      <c r="AJ12" s="22">
        <v>2</v>
      </c>
      <c r="AK12" s="22">
        <v>-9.0515100000000001E-2</v>
      </c>
      <c r="AL12">
        <f t="shared" ref="AL12:AL75" si="6">-AI12/$F$2*1000</f>
        <v>15.5884</v>
      </c>
      <c r="AM12">
        <f t="shared" ref="AM12:AM75" si="7">AL12*AG12</f>
        <v>-1.40099653812</v>
      </c>
      <c r="AP12" s="9"/>
      <c r="AQ12" s="22">
        <v>1.78986</v>
      </c>
      <c r="AR12" s="22">
        <v>135.43899999999999</v>
      </c>
      <c r="AS12" s="22">
        <v>4.0832500000000001E-2</v>
      </c>
      <c r="AT12" s="22">
        <v>2</v>
      </c>
      <c r="AU12" s="22">
        <v>1.78925</v>
      </c>
      <c r="AV12">
        <f t="shared" ref="AV12:AV75" si="8">-AS12/$F$2*1000</f>
        <v>-40.832500000000003</v>
      </c>
      <c r="AW12">
        <f t="shared" ref="AW12:AW75" si="9">AV12*AQ12</f>
        <v>-73.08445845</v>
      </c>
      <c r="AX12" s="9"/>
      <c r="AY12" s="22">
        <v>-8.9874300000000004E-2</v>
      </c>
      <c r="AZ12" s="22">
        <v>179.29300000000001</v>
      </c>
      <c r="BA12" s="22">
        <v>-1.6165200000000001E-2</v>
      </c>
      <c r="BB12" s="22">
        <v>2</v>
      </c>
      <c r="BC12" s="22">
        <v>-9.1766399999999998E-2</v>
      </c>
      <c r="BD12">
        <f t="shared" ref="BD12:BD75" si="10">-BA12/$F$2*1000</f>
        <v>16.165200000000002</v>
      </c>
      <c r="BE12">
        <f t="shared" ref="BE12:BE75" si="11">BD12*AY12</f>
        <v>-1.4528360343600002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1.7455600737336345</v>
      </c>
      <c r="B13" s="19">
        <f>IFERROR(AD9,0)</f>
        <v>15.569423386724402</v>
      </c>
      <c r="C13" s="20">
        <f>IFERROR(AD4,0)</f>
        <v>0.80524539587169852</v>
      </c>
      <c r="D13" s="21">
        <f>IFERROR(AD2,0)</f>
        <v>21.884447099999999</v>
      </c>
      <c r="E13" s="21">
        <f>IFERROR(AA9,0)</f>
        <v>3.9741614719615246</v>
      </c>
      <c r="F13" s="9"/>
      <c r="G13" s="22">
        <v>1.7848200000000001</v>
      </c>
      <c r="H13" s="22">
        <v>11.426600000000001</v>
      </c>
      <c r="I13" s="22">
        <v>1.14655E-2</v>
      </c>
      <c r="J13" s="22">
        <v>3</v>
      </c>
      <c r="K13" s="22">
        <v>1.7837499999999999</v>
      </c>
      <c r="L13">
        <f t="shared" si="0"/>
        <v>-11.4655</v>
      </c>
      <c r="M13">
        <f t="shared" si="1"/>
        <v>-20.463853710000002</v>
      </c>
      <c r="N13" s="9"/>
      <c r="O13" s="22">
        <v>-8.4838899999999995E-2</v>
      </c>
      <c r="P13" s="22">
        <v>44.199800000000003</v>
      </c>
      <c r="Q13" s="22">
        <v>-1.5533399999999999E-2</v>
      </c>
      <c r="R13" s="22">
        <v>3</v>
      </c>
      <c r="S13" s="22">
        <v>-8.5510299999999997E-2</v>
      </c>
      <c r="T13">
        <f t="shared" si="2"/>
        <v>15.533399999999999</v>
      </c>
      <c r="U13">
        <f t="shared" si="3"/>
        <v>-1.3178365692599998</v>
      </c>
      <c r="V13" s="23"/>
      <c r="W13" s="24"/>
      <c r="X13" s="9"/>
      <c r="Y13" s="22">
        <v>1.7848200000000001</v>
      </c>
      <c r="Z13" s="22">
        <v>72.252799999999993</v>
      </c>
      <c r="AA13" s="22">
        <v>2.3998999999999999E-2</v>
      </c>
      <c r="AB13" s="22">
        <v>3</v>
      </c>
      <c r="AC13" s="22">
        <v>1.78467</v>
      </c>
      <c r="AD13">
        <f t="shared" si="4"/>
        <v>-23.998999999999999</v>
      </c>
      <c r="AE13">
        <f t="shared" si="5"/>
        <v>-42.833895179999999</v>
      </c>
      <c r="AF13" s="9"/>
      <c r="AG13" s="22">
        <v>-8.4838899999999995E-2</v>
      </c>
      <c r="AH13" s="22">
        <v>106.968</v>
      </c>
      <c r="AI13" s="22">
        <v>-1.55823E-2</v>
      </c>
      <c r="AJ13" s="22">
        <v>3</v>
      </c>
      <c r="AK13" s="22">
        <v>-8.55408E-2</v>
      </c>
      <c r="AL13">
        <f t="shared" si="6"/>
        <v>15.5823</v>
      </c>
      <c r="AM13">
        <f t="shared" si="7"/>
        <v>-1.3219851914699998</v>
      </c>
      <c r="AP13" s="9"/>
      <c r="AQ13" s="22">
        <v>1.7848200000000001</v>
      </c>
      <c r="AR13" s="22">
        <v>135.44900000000001</v>
      </c>
      <c r="AS13" s="22">
        <v>3.4765600000000001E-2</v>
      </c>
      <c r="AT13" s="22">
        <v>3</v>
      </c>
      <c r="AU13" s="22">
        <v>1.7837499999999999</v>
      </c>
      <c r="AV13">
        <f t="shared" si="8"/>
        <v>-34.765599999999999</v>
      </c>
      <c r="AW13">
        <f t="shared" si="9"/>
        <v>-62.050338191999998</v>
      </c>
      <c r="AX13" s="9"/>
      <c r="AY13" s="22">
        <v>-8.4838899999999995E-2</v>
      </c>
      <c r="AZ13" s="22">
        <v>179.303</v>
      </c>
      <c r="BA13" s="22">
        <v>-1.6156E-2</v>
      </c>
      <c r="BB13" s="22">
        <v>3</v>
      </c>
      <c r="BC13" s="22">
        <v>-8.5205100000000006E-2</v>
      </c>
      <c r="BD13">
        <f t="shared" si="10"/>
        <v>16.155999999999999</v>
      </c>
      <c r="BE13">
        <f t="shared" si="11"/>
        <v>-1.3706572683999998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1.7357522684314348</v>
      </c>
      <c r="B14" s="19">
        <f>IFERROR(AL9,0)</f>
        <v>15.509278443397873</v>
      </c>
      <c r="C14" s="20">
        <f>IFERROR(AL4,0)</f>
        <v>0.78062840940668421</v>
      </c>
      <c r="D14" s="21">
        <f>IFERROR(AL2,0)</f>
        <v>21.014723834999998</v>
      </c>
      <c r="E14" s="21"/>
      <c r="F14" s="9"/>
      <c r="G14" s="22">
        <v>1.77979</v>
      </c>
      <c r="H14" s="22">
        <v>11.4367</v>
      </c>
      <c r="I14" s="22">
        <v>8.4381100000000004E-3</v>
      </c>
      <c r="J14" s="22">
        <v>4</v>
      </c>
      <c r="K14" s="22">
        <v>1.77887</v>
      </c>
      <c r="L14">
        <f t="shared" si="0"/>
        <v>-8.43811</v>
      </c>
      <c r="M14">
        <f t="shared" si="1"/>
        <v>-15.0180637969</v>
      </c>
      <c r="N14" s="9"/>
      <c r="O14" s="22">
        <v>-7.9803499999999999E-2</v>
      </c>
      <c r="P14" s="22">
        <v>44.209800000000001</v>
      </c>
      <c r="Q14" s="22">
        <v>-1.5527300000000001E-2</v>
      </c>
      <c r="R14" s="22">
        <v>4</v>
      </c>
      <c r="S14" s="22">
        <v>-8.0474900000000002E-2</v>
      </c>
      <c r="T14">
        <f t="shared" si="2"/>
        <v>15.5273</v>
      </c>
      <c r="U14">
        <f t="shared" si="3"/>
        <v>-1.2391328855500001</v>
      </c>
      <c r="V14" s="23"/>
      <c r="W14" s="24"/>
      <c r="X14" s="9"/>
      <c r="Y14" s="22">
        <v>1.77979</v>
      </c>
      <c r="Z14" s="22">
        <v>72.262900000000002</v>
      </c>
      <c r="AA14" s="22">
        <v>1.9500699999999999E-2</v>
      </c>
      <c r="AB14" s="22">
        <v>4</v>
      </c>
      <c r="AC14" s="22">
        <v>1.77887</v>
      </c>
      <c r="AD14">
        <f t="shared" si="4"/>
        <v>-19.500699999999998</v>
      </c>
      <c r="AE14">
        <f t="shared" si="5"/>
        <v>-34.707150852999995</v>
      </c>
      <c r="AF14" s="9"/>
      <c r="AG14" s="22">
        <v>-7.9803499999999999E-2</v>
      </c>
      <c r="AH14" s="22">
        <v>106.97799999999999</v>
      </c>
      <c r="AI14" s="22">
        <v>-1.55762E-2</v>
      </c>
      <c r="AJ14" s="22">
        <v>4</v>
      </c>
      <c r="AK14" s="22">
        <v>-8.0535899999999994E-2</v>
      </c>
      <c r="AL14">
        <f t="shared" si="6"/>
        <v>15.5762</v>
      </c>
      <c r="AM14">
        <f t="shared" si="7"/>
        <v>-1.2430352766999999</v>
      </c>
      <c r="AP14" s="9"/>
      <c r="AQ14" s="22">
        <v>1.77979</v>
      </c>
      <c r="AR14" s="22">
        <v>135.459</v>
      </c>
      <c r="AS14" s="22">
        <v>2.9254200000000001E-2</v>
      </c>
      <c r="AT14" s="22">
        <v>4</v>
      </c>
      <c r="AU14" s="22">
        <v>1.77887</v>
      </c>
      <c r="AV14">
        <f t="shared" si="8"/>
        <v>-29.254200000000001</v>
      </c>
      <c r="AW14">
        <f t="shared" si="9"/>
        <v>-52.066332618000004</v>
      </c>
      <c r="AX14" s="9"/>
      <c r="AY14" s="22">
        <v>-7.9803499999999999E-2</v>
      </c>
      <c r="AZ14" s="22">
        <v>179.31299999999999</v>
      </c>
      <c r="BA14" s="22">
        <v>-1.61438E-2</v>
      </c>
      <c r="BB14" s="22">
        <v>4</v>
      </c>
      <c r="BC14" s="22">
        <v>-8.0444299999999996E-2</v>
      </c>
      <c r="BD14">
        <f t="shared" si="10"/>
        <v>16.143799999999999</v>
      </c>
      <c r="BE14">
        <f t="shared" si="11"/>
        <v>-1.2883317432999999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1.7354174558943081</v>
      </c>
      <c r="B15" s="19">
        <f>IFERROR(AV9,0)</f>
        <v>15.605929498373635</v>
      </c>
      <c r="C15" s="20">
        <f>IFERROR(AV4,0)</f>
        <v>0.80421676459046743</v>
      </c>
      <c r="D15" s="21">
        <f>IFERROR(AV2,0)</f>
        <v>21.780443775999998</v>
      </c>
      <c r="E15" s="21">
        <f>IFERROR(AS9,0)</f>
        <v>0</v>
      </c>
      <c r="F15" s="9"/>
      <c r="G15" s="22">
        <v>1.77475</v>
      </c>
      <c r="H15" s="22">
        <v>11.4468</v>
      </c>
      <c r="I15" s="22">
        <v>5.7769800000000001E-3</v>
      </c>
      <c r="J15" s="22">
        <v>5</v>
      </c>
      <c r="K15" s="22">
        <v>1.77399</v>
      </c>
      <c r="L15">
        <f t="shared" si="0"/>
        <v>-5.77698</v>
      </c>
      <c r="M15">
        <f t="shared" si="1"/>
        <v>-10.252695255000001</v>
      </c>
      <c r="N15" s="9"/>
      <c r="O15" s="22">
        <v>-7.4768100000000004E-2</v>
      </c>
      <c r="P15" s="22">
        <v>44.219900000000003</v>
      </c>
      <c r="Q15" s="22">
        <v>-1.5527300000000001E-2</v>
      </c>
      <c r="R15" s="22">
        <v>5</v>
      </c>
      <c r="S15" s="22">
        <v>-7.5408900000000001E-2</v>
      </c>
      <c r="T15">
        <f t="shared" si="2"/>
        <v>15.5273</v>
      </c>
      <c r="U15">
        <f t="shared" si="3"/>
        <v>-1.16094671913</v>
      </c>
      <c r="V15" s="23"/>
      <c r="W15" s="24"/>
      <c r="X15" s="9"/>
      <c r="Y15" s="22">
        <v>1.77475</v>
      </c>
      <c r="Z15" s="22">
        <v>72.272900000000007</v>
      </c>
      <c r="AA15" s="22">
        <v>1.5389999999999999E-2</v>
      </c>
      <c r="AB15" s="22">
        <v>5</v>
      </c>
      <c r="AC15" s="22">
        <v>1.7736799999999999</v>
      </c>
      <c r="AD15">
        <f t="shared" si="4"/>
        <v>-15.389999999999999</v>
      </c>
      <c r="AE15">
        <f t="shared" si="5"/>
        <v>-27.313402499999999</v>
      </c>
      <c r="AF15" s="9"/>
      <c r="AG15" s="22">
        <v>-7.4768100000000004E-2</v>
      </c>
      <c r="AH15" s="22">
        <v>106.988</v>
      </c>
      <c r="AI15" s="22">
        <v>-1.5573099999999999E-2</v>
      </c>
      <c r="AJ15" s="22">
        <v>5</v>
      </c>
      <c r="AK15" s="22">
        <v>-7.5378399999999998E-2</v>
      </c>
      <c r="AL15">
        <f t="shared" si="6"/>
        <v>15.5731</v>
      </c>
      <c r="AM15">
        <f t="shared" si="7"/>
        <v>-1.1643710981100002</v>
      </c>
      <c r="AP15" s="9"/>
      <c r="AQ15" s="22">
        <v>1.77475</v>
      </c>
      <c r="AR15" s="22">
        <v>135.46899999999999</v>
      </c>
      <c r="AS15" s="22">
        <v>2.43073E-2</v>
      </c>
      <c r="AT15" s="22">
        <v>5</v>
      </c>
      <c r="AU15" s="22">
        <v>1.7736799999999999</v>
      </c>
      <c r="AV15">
        <f t="shared" si="8"/>
        <v>-24.307300000000001</v>
      </c>
      <c r="AW15">
        <f t="shared" si="9"/>
        <v>-43.139380675000005</v>
      </c>
      <c r="AX15" s="9"/>
      <c r="AY15" s="22">
        <v>-7.4768100000000004E-2</v>
      </c>
      <c r="AZ15" s="22">
        <v>179.32300000000001</v>
      </c>
      <c r="BA15" s="22">
        <v>-1.61438E-2</v>
      </c>
      <c r="BB15" s="22">
        <v>5</v>
      </c>
      <c r="BC15" s="22">
        <v>-7.5439500000000007E-2</v>
      </c>
      <c r="BD15">
        <f t="shared" si="10"/>
        <v>16.143799999999999</v>
      </c>
      <c r="BE15">
        <f t="shared" si="11"/>
        <v>-1.2070412527800001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1.7326315628594535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11.456899999999999</v>
      </c>
      <c r="I16" s="22">
        <v>3.46802E-3</v>
      </c>
      <c r="J16" s="22">
        <v>6</v>
      </c>
      <c r="K16" s="22">
        <v>1.7690999999999999</v>
      </c>
      <c r="L16">
        <f t="shared" si="0"/>
        <v>-3.4680200000000001</v>
      </c>
      <c r="M16">
        <f t="shared" si="1"/>
        <v>-6.1373896741999996</v>
      </c>
      <c r="N16" s="9"/>
      <c r="O16" s="22">
        <v>-6.9732699999999995E-2</v>
      </c>
      <c r="P16" s="22">
        <v>44.23</v>
      </c>
      <c r="Q16" s="22">
        <v>-1.55243E-2</v>
      </c>
      <c r="R16" s="22">
        <v>6</v>
      </c>
      <c r="S16" s="22">
        <v>-7.0281999999999997E-2</v>
      </c>
      <c r="T16">
        <f t="shared" si="2"/>
        <v>15.5243</v>
      </c>
      <c r="U16">
        <f t="shared" si="3"/>
        <v>-1.0825513546099998</v>
      </c>
      <c r="V16" s="23"/>
      <c r="W16" s="24"/>
      <c r="X16" s="9"/>
      <c r="Y16" s="22">
        <v>1.7697099999999999</v>
      </c>
      <c r="Z16" s="22">
        <v>72.283000000000001</v>
      </c>
      <c r="AA16" s="22">
        <v>1.1743200000000001E-2</v>
      </c>
      <c r="AB16" s="22">
        <v>6</v>
      </c>
      <c r="AC16" s="22">
        <v>1.7687999999999999</v>
      </c>
      <c r="AD16">
        <f t="shared" si="4"/>
        <v>-11.7432</v>
      </c>
      <c r="AE16">
        <f t="shared" si="5"/>
        <v>-20.782058471999999</v>
      </c>
      <c r="AF16" s="9"/>
      <c r="AG16" s="22">
        <v>-6.9732699999999995E-2</v>
      </c>
      <c r="AH16" s="22">
        <v>106.998</v>
      </c>
      <c r="AI16" s="22">
        <v>-1.55701E-2</v>
      </c>
      <c r="AJ16" s="22">
        <v>6</v>
      </c>
      <c r="AK16" s="22">
        <v>-7.0373500000000005E-2</v>
      </c>
      <c r="AL16">
        <f t="shared" si="6"/>
        <v>15.5701</v>
      </c>
      <c r="AM16">
        <f t="shared" si="7"/>
        <v>-1.0857451122699999</v>
      </c>
      <c r="AP16" s="9"/>
      <c r="AQ16" s="22">
        <v>1.7697099999999999</v>
      </c>
      <c r="AR16" s="22">
        <v>135.47900000000001</v>
      </c>
      <c r="AS16" s="22">
        <v>1.9793700000000001E-2</v>
      </c>
      <c r="AT16" s="22">
        <v>6</v>
      </c>
      <c r="AU16" s="22">
        <v>1.7687999999999999</v>
      </c>
      <c r="AV16">
        <f t="shared" si="8"/>
        <v>-19.793700000000001</v>
      </c>
      <c r="AW16">
        <f t="shared" si="9"/>
        <v>-35.029108827000002</v>
      </c>
      <c r="AX16" s="9"/>
      <c r="AY16" s="22">
        <v>-6.9732699999999995E-2</v>
      </c>
      <c r="AZ16" s="22">
        <v>179.334</v>
      </c>
      <c r="BA16" s="22">
        <v>-1.6137700000000001E-2</v>
      </c>
      <c r="BB16" s="22">
        <v>6</v>
      </c>
      <c r="BC16" s="22">
        <v>-7.0373500000000005E-2</v>
      </c>
      <c r="BD16">
        <f t="shared" si="10"/>
        <v>16.137700000000002</v>
      </c>
      <c r="BE16">
        <f t="shared" si="11"/>
        <v>-1.12532539279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11.466900000000001</v>
      </c>
      <c r="I17" s="22">
        <v>1.45111E-3</v>
      </c>
      <c r="J17" s="22">
        <v>7</v>
      </c>
      <c r="K17" s="22">
        <v>1.7636099999999999</v>
      </c>
      <c r="L17">
        <f t="shared" si="0"/>
        <v>-1.4511100000000001</v>
      </c>
      <c r="M17">
        <f t="shared" si="1"/>
        <v>-2.5607447948000002</v>
      </c>
      <c r="N17" s="9"/>
      <c r="O17" s="22">
        <v>-6.4697299999999999E-2</v>
      </c>
      <c r="P17" s="22">
        <v>44.240099999999998</v>
      </c>
      <c r="Q17" s="22">
        <v>-1.55151E-2</v>
      </c>
      <c r="R17" s="22">
        <v>7</v>
      </c>
      <c r="S17" s="22">
        <v>-6.5338099999999996E-2</v>
      </c>
      <c r="T17">
        <f t="shared" si="2"/>
        <v>15.5151</v>
      </c>
      <c r="U17">
        <f t="shared" si="3"/>
        <v>-1.00378507923</v>
      </c>
      <c r="V17" s="23"/>
      <c r="W17" s="24"/>
      <c r="X17" s="9"/>
      <c r="Y17" s="22">
        <v>1.76468</v>
      </c>
      <c r="Z17" s="22">
        <v>72.293099999999995</v>
      </c>
      <c r="AA17" s="22">
        <v>8.48083E-3</v>
      </c>
      <c r="AB17" s="22">
        <v>7</v>
      </c>
      <c r="AC17" s="22">
        <v>1.7642199999999999</v>
      </c>
      <c r="AD17">
        <f t="shared" si="4"/>
        <v>-8.4808299999999992</v>
      </c>
      <c r="AE17">
        <f t="shared" si="5"/>
        <v>-14.965951084399999</v>
      </c>
      <c r="AF17" s="9"/>
      <c r="AG17" s="22">
        <v>-6.4697299999999999E-2</v>
      </c>
      <c r="AH17" s="22">
        <v>107.008</v>
      </c>
      <c r="AI17" s="22">
        <v>-1.5566999999999999E-2</v>
      </c>
      <c r="AJ17" s="22">
        <v>7</v>
      </c>
      <c r="AK17" s="22">
        <v>-6.5368700000000002E-2</v>
      </c>
      <c r="AL17">
        <f t="shared" si="6"/>
        <v>15.566999999999998</v>
      </c>
      <c r="AM17">
        <f t="shared" si="7"/>
        <v>-1.0071428690999999</v>
      </c>
      <c r="AP17" s="9"/>
      <c r="AQ17" s="22">
        <v>1.76468</v>
      </c>
      <c r="AR17" s="22">
        <v>135.489</v>
      </c>
      <c r="AS17" s="22">
        <v>1.57623E-2</v>
      </c>
      <c r="AT17" s="22">
        <v>7</v>
      </c>
      <c r="AU17" s="22">
        <v>1.7636099999999999</v>
      </c>
      <c r="AV17">
        <f t="shared" si="8"/>
        <v>-15.7623</v>
      </c>
      <c r="AW17">
        <f t="shared" si="9"/>
        <v>-27.815415563999998</v>
      </c>
      <c r="AX17" s="9"/>
      <c r="AY17" s="22">
        <v>-6.4697299999999999E-2</v>
      </c>
      <c r="AZ17" s="22">
        <v>179.34399999999999</v>
      </c>
      <c r="BA17" s="22">
        <v>-1.61285E-2</v>
      </c>
      <c r="BB17" s="22">
        <v>7</v>
      </c>
      <c r="BC17" s="22">
        <v>-6.5002400000000002E-2</v>
      </c>
      <c r="BD17">
        <f t="shared" si="10"/>
        <v>16.128499999999999</v>
      </c>
      <c r="BE17">
        <f t="shared" si="11"/>
        <v>-1.0434704030499999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11.477</v>
      </c>
      <c r="I18" s="22">
        <v>-2.5164799999999999E-4</v>
      </c>
      <c r="J18" s="22">
        <v>8</v>
      </c>
      <c r="K18" s="22">
        <v>1.7587299999999999</v>
      </c>
      <c r="L18">
        <f t="shared" si="0"/>
        <v>0.25164799999999998</v>
      </c>
      <c r="M18">
        <f t="shared" si="1"/>
        <v>0.44280988671999999</v>
      </c>
      <c r="N18" s="9"/>
      <c r="O18" s="22">
        <v>-5.9661899999999997E-2</v>
      </c>
      <c r="P18" s="22">
        <v>44.250100000000003</v>
      </c>
      <c r="Q18" s="22">
        <v>-1.5506000000000001E-2</v>
      </c>
      <c r="R18" s="22">
        <v>8</v>
      </c>
      <c r="S18" s="22">
        <v>-6.0333299999999999E-2</v>
      </c>
      <c r="T18">
        <f t="shared" si="2"/>
        <v>15.506</v>
      </c>
      <c r="U18">
        <f t="shared" si="3"/>
        <v>-0.92511742139999997</v>
      </c>
      <c r="V18" s="23"/>
      <c r="W18" s="24"/>
      <c r="X18" s="9"/>
      <c r="Y18" s="22">
        <v>1.7596400000000001</v>
      </c>
      <c r="Z18" s="22">
        <v>72.303100000000001</v>
      </c>
      <c r="AA18" s="22">
        <v>5.6518599999999999E-3</v>
      </c>
      <c r="AB18" s="22">
        <v>8</v>
      </c>
      <c r="AC18" s="22">
        <v>1.7587299999999999</v>
      </c>
      <c r="AD18">
        <f t="shared" si="4"/>
        <v>-5.6518600000000001</v>
      </c>
      <c r="AE18">
        <f t="shared" si="5"/>
        <v>-9.9452389304000004</v>
      </c>
      <c r="AF18" s="9"/>
      <c r="AG18" s="22">
        <v>-5.9661899999999997E-2</v>
      </c>
      <c r="AH18" s="22">
        <v>107.018</v>
      </c>
      <c r="AI18" s="22">
        <v>-1.5566999999999999E-2</v>
      </c>
      <c r="AJ18" s="22">
        <v>8</v>
      </c>
      <c r="AK18" s="22">
        <v>-6.0394299999999998E-2</v>
      </c>
      <c r="AL18">
        <f t="shared" si="6"/>
        <v>15.566999999999998</v>
      </c>
      <c r="AM18">
        <f t="shared" si="7"/>
        <v>-0.92875679729999983</v>
      </c>
      <c r="AP18" s="9"/>
      <c r="AQ18" s="22">
        <v>1.7596400000000001</v>
      </c>
      <c r="AR18" s="22">
        <v>135.499</v>
      </c>
      <c r="AS18" s="22">
        <v>1.2146000000000001E-2</v>
      </c>
      <c r="AT18" s="22">
        <v>8</v>
      </c>
      <c r="AU18" s="22">
        <v>1.7587299999999999</v>
      </c>
      <c r="AV18">
        <f t="shared" si="8"/>
        <v>-12.146000000000001</v>
      </c>
      <c r="AW18">
        <f t="shared" si="9"/>
        <v>-21.372587440000004</v>
      </c>
      <c r="AX18" s="9"/>
      <c r="AY18" s="22">
        <v>-5.9661899999999997E-2</v>
      </c>
      <c r="AZ18" s="22">
        <v>179.35400000000001</v>
      </c>
      <c r="BA18" s="22">
        <v>-1.61163E-2</v>
      </c>
      <c r="BB18" s="22">
        <v>8</v>
      </c>
      <c r="BC18" s="22">
        <v>-6.0058599999999997E-2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11.4871</v>
      </c>
      <c r="I19" s="22">
        <v>-1.7446899999999999E-3</v>
      </c>
      <c r="J19" s="22">
        <v>9</v>
      </c>
      <c r="K19" s="22">
        <v>1.7538499999999999</v>
      </c>
      <c r="L19">
        <f t="shared" si="0"/>
        <v>1.7446899999999999</v>
      </c>
      <c r="M19">
        <f t="shared" si="1"/>
        <v>3.0612505208999998</v>
      </c>
      <c r="N19" s="9"/>
      <c r="O19" s="22">
        <v>-5.4626500000000001E-2</v>
      </c>
      <c r="P19" s="22">
        <v>44.260199999999998</v>
      </c>
      <c r="Q19" s="22">
        <v>-1.55029E-2</v>
      </c>
      <c r="R19" s="22">
        <v>9</v>
      </c>
      <c r="S19" s="22">
        <v>-5.53284E-2</v>
      </c>
      <c r="T19">
        <f t="shared" si="2"/>
        <v>15.5029</v>
      </c>
      <c r="U19">
        <f t="shared" si="3"/>
        <v>-0.84686916685000002</v>
      </c>
      <c r="V19" s="23"/>
      <c r="W19" s="24"/>
      <c r="X19" s="9"/>
      <c r="Y19" s="22">
        <v>1.75461</v>
      </c>
      <c r="Z19" s="22">
        <v>72.313199999999995</v>
      </c>
      <c r="AA19" s="22">
        <v>3.1472800000000001E-3</v>
      </c>
      <c r="AB19" s="22">
        <v>9</v>
      </c>
      <c r="AC19" s="22">
        <v>1.7535400000000001</v>
      </c>
      <c r="AD19">
        <f t="shared" si="4"/>
        <v>-3.1472800000000003</v>
      </c>
      <c r="AE19">
        <f t="shared" si="5"/>
        <v>-5.5222489608000007</v>
      </c>
      <c r="AF19" s="9"/>
      <c r="AG19" s="22">
        <v>-5.4626500000000001E-2</v>
      </c>
      <c r="AH19" s="22">
        <v>107.02800000000001</v>
      </c>
      <c r="AI19" s="22">
        <v>-1.5560900000000001E-2</v>
      </c>
      <c r="AJ19" s="22">
        <v>9</v>
      </c>
      <c r="AK19" s="22">
        <v>-5.5267299999999998E-2</v>
      </c>
      <c r="AL19">
        <f t="shared" si="6"/>
        <v>15.5609</v>
      </c>
      <c r="AM19">
        <f t="shared" si="7"/>
        <v>-0.85003750384999999</v>
      </c>
      <c r="AP19" s="9"/>
      <c r="AQ19" s="22">
        <v>1.75461</v>
      </c>
      <c r="AR19" s="22">
        <v>135.50899999999999</v>
      </c>
      <c r="AS19" s="22">
        <v>8.8226299999999997E-3</v>
      </c>
      <c r="AT19" s="22">
        <v>9</v>
      </c>
      <c r="AU19" s="22">
        <v>1.7535400000000001</v>
      </c>
      <c r="AV19">
        <f t="shared" si="8"/>
        <v>-8.8226300000000002</v>
      </c>
      <c r="AW19">
        <f t="shared" si="9"/>
        <v>-15.4802748243</v>
      </c>
      <c r="AX19" s="9"/>
      <c r="AY19" s="22">
        <v>-5.4626500000000001E-2</v>
      </c>
      <c r="AZ19" s="22">
        <v>179.364</v>
      </c>
      <c r="BA19" s="22">
        <v>-1.61163E-2</v>
      </c>
      <c r="BB19" s="22">
        <v>9</v>
      </c>
      <c r="BC19" s="22">
        <v>-5.52063E-2</v>
      </c>
      <c r="BD19">
        <f t="shared" si="10"/>
        <v>16.116299999999999</v>
      </c>
      <c r="BE19">
        <f t="shared" si="11"/>
        <v>-0.88037706194999998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11.4971</v>
      </c>
      <c r="I20" s="22">
        <v>-3.0133099999999999E-3</v>
      </c>
      <c r="J20" s="22">
        <v>10</v>
      </c>
      <c r="K20" s="22">
        <v>1.7492700000000001</v>
      </c>
      <c r="L20">
        <f t="shared" si="0"/>
        <v>3.0133100000000002</v>
      </c>
      <c r="M20">
        <f t="shared" si="1"/>
        <v>5.2719967767000009</v>
      </c>
      <c r="N20" s="9"/>
      <c r="O20" s="22">
        <v>-4.9591099999999999E-2</v>
      </c>
      <c r="P20" s="22">
        <v>44.270299999999999</v>
      </c>
      <c r="Q20" s="22">
        <v>-1.54999E-2</v>
      </c>
      <c r="R20" s="22">
        <v>10</v>
      </c>
      <c r="S20" s="22">
        <v>-5.0262500000000002E-2</v>
      </c>
      <c r="T20">
        <f t="shared" si="2"/>
        <v>15.4999</v>
      </c>
      <c r="U20">
        <f t="shared" si="3"/>
        <v>-0.76865709089000001</v>
      </c>
      <c r="V20" s="23"/>
      <c r="W20" s="24"/>
      <c r="X20" s="9"/>
      <c r="Y20" s="22">
        <v>1.7495700000000001</v>
      </c>
      <c r="Z20" s="22">
        <v>72.323300000000003</v>
      </c>
      <c r="AA20" s="22">
        <v>1.0327100000000001E-3</v>
      </c>
      <c r="AB20" s="22">
        <v>10</v>
      </c>
      <c r="AC20" s="22">
        <v>1.7486600000000001</v>
      </c>
      <c r="AD20">
        <f t="shared" si="4"/>
        <v>-1.03271</v>
      </c>
      <c r="AE20">
        <f t="shared" si="5"/>
        <v>-1.8067984347000001</v>
      </c>
      <c r="AF20" s="9"/>
      <c r="AG20" s="22">
        <v>-4.9591099999999999E-2</v>
      </c>
      <c r="AH20" s="22">
        <v>107.038</v>
      </c>
      <c r="AI20" s="22">
        <v>-1.55579E-2</v>
      </c>
      <c r="AJ20" s="22">
        <v>10</v>
      </c>
      <c r="AK20" s="22">
        <v>-5.02014E-2</v>
      </c>
      <c r="AL20">
        <f t="shared" si="6"/>
        <v>15.5579</v>
      </c>
      <c r="AM20">
        <f t="shared" si="7"/>
        <v>-0.77153337468999994</v>
      </c>
      <c r="AP20" s="9"/>
      <c r="AQ20" s="22">
        <v>1.7495700000000001</v>
      </c>
      <c r="AR20" s="22">
        <v>135.51900000000001</v>
      </c>
      <c r="AS20" s="22">
        <v>5.8715800000000004E-3</v>
      </c>
      <c r="AT20" s="22">
        <v>10</v>
      </c>
      <c r="AU20" s="22">
        <v>1.7483500000000001</v>
      </c>
      <c r="AV20">
        <f t="shared" si="8"/>
        <v>-5.8715800000000007</v>
      </c>
      <c r="AW20">
        <f t="shared" si="9"/>
        <v>-10.272740220600001</v>
      </c>
      <c r="AX20" s="9"/>
      <c r="AY20" s="22">
        <v>-4.9591099999999999E-2</v>
      </c>
      <c r="AZ20" s="22">
        <v>179.374</v>
      </c>
      <c r="BA20" s="22">
        <v>-1.61041E-2</v>
      </c>
      <c r="BB20" s="22">
        <v>10</v>
      </c>
      <c r="BC20" s="22">
        <v>-5.00793E-2</v>
      </c>
      <c r="BD20">
        <f t="shared" si="10"/>
        <v>16.104099999999999</v>
      </c>
      <c r="BE20">
        <f t="shared" si="11"/>
        <v>-0.79862003350999988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11.507199999999999</v>
      </c>
      <c r="I21" s="22">
        <v>-4.1369600000000003E-3</v>
      </c>
      <c r="J21" s="22">
        <v>11</v>
      </c>
      <c r="K21" s="22">
        <v>1.7434700000000001</v>
      </c>
      <c r="L21">
        <f t="shared" si="0"/>
        <v>4.1369600000000002</v>
      </c>
      <c r="M21">
        <f t="shared" si="1"/>
        <v>7.2170921984000005</v>
      </c>
      <c r="N21" s="9"/>
      <c r="O21" s="22">
        <v>-4.4555699999999997E-2</v>
      </c>
      <c r="P21" s="22">
        <v>44.280299999999997</v>
      </c>
      <c r="Q21" s="22">
        <v>-1.54968E-2</v>
      </c>
      <c r="R21" s="22">
        <v>11</v>
      </c>
      <c r="S21" s="22">
        <v>-4.5016500000000001E-2</v>
      </c>
      <c r="T21">
        <f t="shared" si="2"/>
        <v>15.4968</v>
      </c>
      <c r="U21">
        <f t="shared" si="3"/>
        <v>-0.69047077175999994</v>
      </c>
      <c r="V21" s="23"/>
      <c r="W21" s="24"/>
      <c r="X21" s="9"/>
      <c r="Y21" s="22">
        <v>1.74454</v>
      </c>
      <c r="Z21" s="22">
        <v>72.333399999999997</v>
      </c>
      <c r="AA21" s="22">
        <v>-7.9956099999999996E-4</v>
      </c>
      <c r="AB21" s="22">
        <v>11</v>
      </c>
      <c r="AC21" s="22">
        <v>1.74316</v>
      </c>
      <c r="AD21">
        <f t="shared" si="4"/>
        <v>0.79956099999999997</v>
      </c>
      <c r="AE21">
        <f t="shared" si="5"/>
        <v>1.3948661469399999</v>
      </c>
      <c r="AF21" s="9"/>
      <c r="AG21" s="22">
        <v>-4.4555699999999997E-2</v>
      </c>
      <c r="AH21" s="22">
        <v>107.04900000000001</v>
      </c>
      <c r="AI21" s="22">
        <v>-1.5551799999999999E-2</v>
      </c>
      <c r="AJ21" s="22">
        <v>11</v>
      </c>
      <c r="AK21" s="22">
        <v>-4.5028699999999998E-2</v>
      </c>
      <c r="AL21">
        <f t="shared" si="6"/>
        <v>15.5518</v>
      </c>
      <c r="AM21">
        <f t="shared" si="7"/>
        <v>-0.69292133525999999</v>
      </c>
      <c r="AP21" s="9"/>
      <c r="AQ21" s="22">
        <v>1.74454</v>
      </c>
      <c r="AR21" s="22">
        <v>135.53</v>
      </c>
      <c r="AS21" s="22">
        <v>3.2604999999999999E-3</v>
      </c>
      <c r="AT21" s="22">
        <v>11</v>
      </c>
      <c r="AU21" s="22">
        <v>1.74316</v>
      </c>
      <c r="AV21">
        <f t="shared" si="8"/>
        <v>-3.2605</v>
      </c>
      <c r="AW21">
        <f t="shared" si="9"/>
        <v>-5.6880726699999995</v>
      </c>
      <c r="AX21" s="9"/>
      <c r="AY21" s="22">
        <v>-4.4555699999999997E-2</v>
      </c>
      <c r="AZ21" s="22">
        <v>179.38399999999999</v>
      </c>
      <c r="BA21" s="22">
        <v>-1.6091899999999999E-2</v>
      </c>
      <c r="BB21" s="22">
        <v>11</v>
      </c>
      <c r="BC21" s="22">
        <v>-4.4799800000000001E-2</v>
      </c>
      <c r="BD21">
        <f t="shared" si="10"/>
        <v>16.091899999999999</v>
      </c>
      <c r="BE21">
        <f t="shared" si="11"/>
        <v>-0.71698586882999993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11.517300000000001</v>
      </c>
      <c r="I22" s="22">
        <v>-5.0903299999999997E-3</v>
      </c>
      <c r="J22" s="22">
        <v>12</v>
      </c>
      <c r="K22" s="22">
        <v>1.73767</v>
      </c>
      <c r="L22">
        <f t="shared" si="0"/>
        <v>5.0903299999999998</v>
      </c>
      <c r="M22">
        <f t="shared" si="1"/>
        <v>8.8546290350000003</v>
      </c>
      <c r="N22" s="9"/>
      <c r="O22" s="22">
        <v>-3.9520300000000001E-2</v>
      </c>
      <c r="P22" s="22">
        <v>44.290399999999998</v>
      </c>
      <c r="Q22" s="22">
        <v>-1.54999E-2</v>
      </c>
      <c r="R22" s="22">
        <v>12</v>
      </c>
      <c r="S22" s="22">
        <v>-3.9974999999999997E-2</v>
      </c>
      <c r="T22">
        <f t="shared" si="2"/>
        <v>15.4999</v>
      </c>
      <c r="U22">
        <f t="shared" si="3"/>
        <v>-0.61256069797000001</v>
      </c>
      <c r="V22" s="23"/>
      <c r="W22" s="24"/>
      <c r="X22" s="9"/>
      <c r="Y22" s="22">
        <v>1.7395</v>
      </c>
      <c r="Z22" s="22">
        <v>72.343400000000003</v>
      </c>
      <c r="AA22" s="22">
        <v>-2.3153700000000002E-3</v>
      </c>
      <c r="AB22" s="22">
        <v>12</v>
      </c>
      <c r="AC22" s="22">
        <v>1.7385900000000001</v>
      </c>
      <c r="AD22">
        <f t="shared" si="4"/>
        <v>2.3153700000000002</v>
      </c>
      <c r="AE22">
        <f t="shared" si="5"/>
        <v>4.0275861150000001</v>
      </c>
      <c r="AF22" s="9"/>
      <c r="AG22" s="22">
        <v>-3.9520300000000001E-2</v>
      </c>
      <c r="AH22" s="22">
        <v>107.059</v>
      </c>
      <c r="AI22" s="22">
        <v>-1.5545700000000001E-2</v>
      </c>
      <c r="AJ22" s="22">
        <v>12</v>
      </c>
      <c r="AK22" s="22">
        <v>-4.0011600000000001E-2</v>
      </c>
      <c r="AL22">
        <f t="shared" si="6"/>
        <v>15.5457</v>
      </c>
      <c r="AM22">
        <f t="shared" si="7"/>
        <v>-0.61437072771000001</v>
      </c>
      <c r="AP22" s="9"/>
      <c r="AQ22" s="22">
        <v>1.7395</v>
      </c>
      <c r="AR22" s="22">
        <v>135.54</v>
      </c>
      <c r="AS22" s="22">
        <v>1.0366799999999999E-3</v>
      </c>
      <c r="AT22" s="22">
        <v>12</v>
      </c>
      <c r="AU22" s="22">
        <v>1.73828</v>
      </c>
      <c r="AV22">
        <f t="shared" si="8"/>
        <v>-1.0366799999999998</v>
      </c>
      <c r="AW22">
        <f t="shared" si="9"/>
        <v>-1.8033048599999997</v>
      </c>
      <c r="AX22" s="9"/>
      <c r="AY22" s="22">
        <v>-3.9520300000000001E-2</v>
      </c>
      <c r="AZ22" s="22">
        <v>179.39400000000001</v>
      </c>
      <c r="BA22" s="22">
        <v>-1.60889E-2</v>
      </c>
      <c r="BB22" s="22">
        <v>12</v>
      </c>
      <c r="BC22" s="22">
        <v>-4.0048199999999999E-2</v>
      </c>
      <c r="BD22">
        <f t="shared" si="10"/>
        <v>16.088899999999999</v>
      </c>
      <c r="BE22">
        <f t="shared" si="11"/>
        <v>-0.63583815466999993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11.5274</v>
      </c>
      <c r="I23" s="22">
        <v>-5.9509300000000001E-3</v>
      </c>
      <c r="J23" s="22">
        <v>13</v>
      </c>
      <c r="K23" s="22">
        <v>1.7340100000000001</v>
      </c>
      <c r="L23">
        <f t="shared" si="0"/>
        <v>5.9509300000000005</v>
      </c>
      <c r="M23">
        <f t="shared" si="1"/>
        <v>10.3217095571</v>
      </c>
      <c r="N23" s="9"/>
      <c r="O23" s="22">
        <v>-3.4484899999999999E-2</v>
      </c>
      <c r="P23" s="22">
        <v>44.3005</v>
      </c>
      <c r="Q23" s="22">
        <v>-1.54968E-2</v>
      </c>
      <c r="R23" s="22">
        <v>13</v>
      </c>
      <c r="S23" s="22">
        <v>-3.4851100000000003E-2</v>
      </c>
      <c r="T23">
        <f t="shared" si="2"/>
        <v>15.4968</v>
      </c>
      <c r="U23">
        <f t="shared" si="3"/>
        <v>-0.53440559832000001</v>
      </c>
      <c r="V23" s="23"/>
      <c r="W23" s="24"/>
      <c r="X23" s="9"/>
      <c r="Y23" s="22">
        <v>1.73447</v>
      </c>
      <c r="Z23" s="22">
        <v>72.353499999999997</v>
      </c>
      <c r="AA23" s="22">
        <v>-3.6474599999999999E-3</v>
      </c>
      <c r="AB23" s="22">
        <v>13</v>
      </c>
      <c r="AC23" s="22">
        <v>1.7337</v>
      </c>
      <c r="AD23">
        <f t="shared" si="4"/>
        <v>3.6474600000000001</v>
      </c>
      <c r="AE23">
        <f t="shared" si="5"/>
        <v>6.3264099462000001</v>
      </c>
      <c r="AF23" s="9"/>
      <c r="AG23" s="22">
        <v>-3.4484899999999999E-2</v>
      </c>
      <c r="AH23" s="22">
        <v>107.069</v>
      </c>
      <c r="AI23" s="22">
        <v>-1.55426E-2</v>
      </c>
      <c r="AJ23" s="22">
        <v>13</v>
      </c>
      <c r="AK23" s="22">
        <v>-3.4884600000000002E-2</v>
      </c>
      <c r="AL23">
        <f t="shared" si="6"/>
        <v>15.5426</v>
      </c>
      <c r="AM23">
        <f t="shared" si="7"/>
        <v>-0.53598500673999994</v>
      </c>
      <c r="AP23" s="9"/>
      <c r="AQ23" s="22">
        <v>1.73447</v>
      </c>
      <c r="AR23" s="22">
        <v>135.55000000000001</v>
      </c>
      <c r="AS23" s="22">
        <v>-8.4289599999999999E-4</v>
      </c>
      <c r="AT23" s="22">
        <v>13</v>
      </c>
      <c r="AU23" s="22">
        <v>1.73309</v>
      </c>
      <c r="AV23">
        <f t="shared" si="8"/>
        <v>0.84289599999999998</v>
      </c>
      <c r="AW23">
        <f t="shared" si="9"/>
        <v>1.46197782512</v>
      </c>
      <c r="AX23" s="9"/>
      <c r="AY23" s="22">
        <v>-3.4484899999999999E-2</v>
      </c>
      <c r="AZ23" s="22">
        <v>179.404</v>
      </c>
      <c r="BA23" s="22">
        <v>-1.6082800000000001E-2</v>
      </c>
      <c r="BB23" s="22">
        <v>13</v>
      </c>
      <c r="BC23" s="22">
        <v>-3.4722900000000001E-2</v>
      </c>
      <c r="BD23">
        <f t="shared" si="10"/>
        <v>16.082800000000002</v>
      </c>
      <c r="BE23">
        <f t="shared" si="11"/>
        <v>-0.5546137497200001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11.5374</v>
      </c>
      <c r="I24" s="22">
        <v>-6.7138700000000003E-3</v>
      </c>
      <c r="J24" s="22">
        <v>14</v>
      </c>
      <c r="K24" s="22">
        <v>1.72821</v>
      </c>
      <c r="L24">
        <f t="shared" si="0"/>
        <v>6.71387</v>
      </c>
      <c r="M24">
        <f t="shared" si="1"/>
        <v>11.611168194099999</v>
      </c>
      <c r="N24" s="9"/>
      <c r="O24" s="22">
        <v>-2.94495E-2</v>
      </c>
      <c r="P24" s="22">
        <v>44.310499999999998</v>
      </c>
      <c r="Q24" s="22">
        <v>-1.54938E-2</v>
      </c>
      <c r="R24" s="22">
        <v>14</v>
      </c>
      <c r="S24" s="22">
        <v>-2.9895000000000001E-2</v>
      </c>
      <c r="T24">
        <f t="shared" si="2"/>
        <v>15.4938</v>
      </c>
      <c r="U24">
        <f t="shared" si="3"/>
        <v>-0.45628466309999999</v>
      </c>
      <c r="V24" s="23"/>
      <c r="W24" s="24"/>
      <c r="X24" s="9"/>
      <c r="Y24" s="22">
        <v>1.72943</v>
      </c>
      <c r="Z24" s="22">
        <v>72.363600000000005</v>
      </c>
      <c r="AA24" s="22">
        <v>-4.7634900000000004E-3</v>
      </c>
      <c r="AB24" s="22">
        <v>14</v>
      </c>
      <c r="AC24" s="22">
        <v>1.72821</v>
      </c>
      <c r="AD24">
        <f t="shared" si="4"/>
        <v>4.76349</v>
      </c>
      <c r="AE24">
        <f t="shared" si="5"/>
        <v>8.2381225107000002</v>
      </c>
      <c r="AF24" s="9"/>
      <c r="AG24" s="22">
        <v>-2.94495E-2</v>
      </c>
      <c r="AH24" s="22">
        <v>107.07899999999999</v>
      </c>
      <c r="AI24" s="22">
        <v>-1.55365E-2</v>
      </c>
      <c r="AJ24" s="22">
        <v>14</v>
      </c>
      <c r="AK24" s="22">
        <v>-2.9953E-2</v>
      </c>
      <c r="AL24">
        <f t="shared" si="6"/>
        <v>15.5365</v>
      </c>
      <c r="AM24">
        <f t="shared" si="7"/>
        <v>-0.45754215674999998</v>
      </c>
      <c r="AP24" s="9"/>
      <c r="AQ24" s="22">
        <v>1.72943</v>
      </c>
      <c r="AR24" s="22">
        <v>135.56</v>
      </c>
      <c r="AS24" s="22">
        <v>-2.4182100000000001E-3</v>
      </c>
      <c r="AT24" s="22">
        <v>14</v>
      </c>
      <c r="AU24" s="22">
        <v>1.7285200000000001</v>
      </c>
      <c r="AV24">
        <f t="shared" si="8"/>
        <v>2.4182100000000002</v>
      </c>
      <c r="AW24">
        <f t="shared" si="9"/>
        <v>4.1821249203000006</v>
      </c>
      <c r="AX24" s="9"/>
      <c r="AY24" s="22">
        <v>-2.94495E-2</v>
      </c>
      <c r="AZ24" s="22">
        <v>179.41399999999999</v>
      </c>
      <c r="BA24" s="22">
        <v>-1.60889E-2</v>
      </c>
      <c r="BB24" s="22">
        <v>14</v>
      </c>
      <c r="BC24" s="22">
        <v>-2.95471E-2</v>
      </c>
      <c r="BD24">
        <f t="shared" si="10"/>
        <v>16.088899999999999</v>
      </c>
      <c r="BE24">
        <f t="shared" si="11"/>
        <v>-0.47381006054999997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11.547499999999999</v>
      </c>
      <c r="I25" s="22">
        <v>-7.40662E-3</v>
      </c>
      <c r="J25" s="22">
        <v>15</v>
      </c>
      <c r="K25" s="22">
        <v>1.72333</v>
      </c>
      <c r="L25">
        <f t="shared" si="0"/>
        <v>7.4066200000000002</v>
      </c>
      <c r="M25">
        <f t="shared" si="1"/>
        <v>12.771975528</v>
      </c>
      <c r="N25" s="9"/>
      <c r="O25" s="22">
        <v>-2.4414100000000001E-2</v>
      </c>
      <c r="P25" s="22">
        <v>44.320599999999999</v>
      </c>
      <c r="Q25" s="22">
        <v>-1.54877E-2</v>
      </c>
      <c r="R25" s="22">
        <v>15</v>
      </c>
      <c r="S25" s="22">
        <v>-2.4832199999999999E-2</v>
      </c>
      <c r="T25">
        <f t="shared" si="2"/>
        <v>15.4877</v>
      </c>
      <c r="U25">
        <f t="shared" si="3"/>
        <v>-0.37811825657000003</v>
      </c>
      <c r="V25" s="23"/>
      <c r="W25" s="24"/>
      <c r="X25" s="9"/>
      <c r="Y25" s="22">
        <v>1.7243999999999999</v>
      </c>
      <c r="Z25" s="22">
        <v>72.373599999999996</v>
      </c>
      <c r="AA25" s="22">
        <v>-5.74341E-3</v>
      </c>
      <c r="AB25" s="22">
        <v>15</v>
      </c>
      <c r="AC25" s="22">
        <v>1.72363</v>
      </c>
      <c r="AD25">
        <f t="shared" si="4"/>
        <v>5.7434099999999999</v>
      </c>
      <c r="AE25">
        <f t="shared" si="5"/>
        <v>9.903936203999999</v>
      </c>
      <c r="AF25" s="9"/>
      <c r="AG25" s="22">
        <v>-2.4414100000000001E-2</v>
      </c>
      <c r="AH25" s="22">
        <v>107.089</v>
      </c>
      <c r="AI25" s="22">
        <v>-1.55304E-2</v>
      </c>
      <c r="AJ25" s="22">
        <v>15</v>
      </c>
      <c r="AK25" s="22">
        <v>-2.4862700000000001E-2</v>
      </c>
      <c r="AL25">
        <f t="shared" si="6"/>
        <v>15.5304</v>
      </c>
      <c r="AM25">
        <f t="shared" si="7"/>
        <v>-0.37916073863999999</v>
      </c>
      <c r="AP25" s="9"/>
      <c r="AQ25" s="22">
        <v>1.7243999999999999</v>
      </c>
      <c r="AR25" s="22">
        <v>135.57</v>
      </c>
      <c r="AS25" s="22">
        <v>-3.7383999999999998E-3</v>
      </c>
      <c r="AT25" s="22">
        <v>15</v>
      </c>
      <c r="AU25" s="22">
        <v>1.72302</v>
      </c>
      <c r="AV25">
        <f t="shared" si="8"/>
        <v>3.7383999999999999</v>
      </c>
      <c r="AW25">
        <f t="shared" si="9"/>
        <v>6.4464969599999993</v>
      </c>
      <c r="AX25" s="9"/>
      <c r="AY25" s="22">
        <v>-2.4414100000000001E-2</v>
      </c>
      <c r="AZ25" s="22">
        <v>179.42400000000001</v>
      </c>
      <c r="BA25" s="22">
        <v>-1.6079699999999999E-2</v>
      </c>
      <c r="BB25" s="22">
        <v>15</v>
      </c>
      <c r="BC25" s="22">
        <v>-2.48016E-2</v>
      </c>
      <c r="BD25">
        <f t="shared" si="10"/>
        <v>16.079699999999999</v>
      </c>
      <c r="BE25">
        <f t="shared" si="11"/>
        <v>-0.39257140376999999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11.557600000000001</v>
      </c>
      <c r="I26" s="22">
        <v>-8.0078100000000006E-3</v>
      </c>
      <c r="J26" s="22">
        <v>16</v>
      </c>
      <c r="K26" s="22">
        <v>1.71844</v>
      </c>
      <c r="L26">
        <f t="shared" si="0"/>
        <v>8.007810000000001</v>
      </c>
      <c r="M26">
        <f t="shared" si="1"/>
        <v>13.768308201600002</v>
      </c>
      <c r="N26" s="9"/>
      <c r="O26" s="22">
        <v>-1.9378699999999999E-2</v>
      </c>
      <c r="P26" s="22">
        <v>44.3307</v>
      </c>
      <c r="Q26" s="22">
        <v>-1.54816E-2</v>
      </c>
      <c r="R26" s="22">
        <v>16</v>
      </c>
      <c r="S26" s="22">
        <v>-1.97815E-2</v>
      </c>
      <c r="T26">
        <f t="shared" si="2"/>
        <v>15.4816</v>
      </c>
      <c r="U26">
        <f t="shared" si="3"/>
        <v>-0.30001328191999999</v>
      </c>
      <c r="V26" s="23"/>
      <c r="W26" s="24"/>
      <c r="X26" s="9"/>
      <c r="Y26" s="22">
        <v>1.71936</v>
      </c>
      <c r="Z26" s="22">
        <v>72.383700000000005</v>
      </c>
      <c r="AA26" s="22">
        <v>-6.5826399999999998E-3</v>
      </c>
      <c r="AB26" s="22">
        <v>16</v>
      </c>
      <c r="AC26" s="22">
        <v>1.71875</v>
      </c>
      <c r="AD26">
        <f t="shared" si="4"/>
        <v>6.5826399999999996</v>
      </c>
      <c r="AE26">
        <f t="shared" si="5"/>
        <v>11.3179279104</v>
      </c>
      <c r="AF26" s="9"/>
      <c r="AG26" s="22">
        <v>-1.9378699999999999E-2</v>
      </c>
      <c r="AH26" s="22">
        <v>107.099</v>
      </c>
      <c r="AI26" s="22">
        <v>-1.55243E-2</v>
      </c>
      <c r="AJ26" s="22">
        <v>16</v>
      </c>
      <c r="AK26" s="22">
        <v>-1.9747899999999999E-2</v>
      </c>
      <c r="AL26">
        <f t="shared" si="6"/>
        <v>15.5243</v>
      </c>
      <c r="AM26">
        <f t="shared" si="7"/>
        <v>-0.30084075240999997</v>
      </c>
      <c r="AP26" s="9"/>
      <c r="AQ26" s="22">
        <v>1.71936</v>
      </c>
      <c r="AR26" s="22">
        <v>135.58000000000001</v>
      </c>
      <c r="AS26" s="22">
        <v>-4.8565700000000002E-3</v>
      </c>
      <c r="AT26" s="22">
        <v>16</v>
      </c>
      <c r="AU26" s="22">
        <v>1.71783</v>
      </c>
      <c r="AV26">
        <f t="shared" si="8"/>
        <v>4.8565700000000005</v>
      </c>
      <c r="AW26">
        <f t="shared" si="9"/>
        <v>8.3501921952</v>
      </c>
      <c r="AX26" s="9"/>
      <c r="AY26" s="22">
        <v>-1.9378699999999999E-2</v>
      </c>
      <c r="AZ26" s="22">
        <v>179.434</v>
      </c>
      <c r="BA26" s="22">
        <v>-1.6070600000000001E-2</v>
      </c>
      <c r="BB26" s="22">
        <v>16</v>
      </c>
      <c r="BC26" s="22">
        <v>-1.9766200000000001E-2</v>
      </c>
      <c r="BD26">
        <f t="shared" si="10"/>
        <v>16.070600000000002</v>
      </c>
      <c r="BE26">
        <f t="shared" si="11"/>
        <v>-0.31142733622000002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11.567600000000001</v>
      </c>
      <c r="I27" s="22">
        <v>-8.5510299999999994E-3</v>
      </c>
      <c r="J27" s="22">
        <v>17</v>
      </c>
      <c r="K27" s="22">
        <v>1.71326</v>
      </c>
      <c r="L27">
        <f t="shared" si="0"/>
        <v>8.551029999999999</v>
      </c>
      <c r="M27">
        <f t="shared" si="1"/>
        <v>14.659201749599999</v>
      </c>
      <c r="N27" s="9"/>
      <c r="O27" s="22">
        <v>-1.43433E-2</v>
      </c>
      <c r="P27" s="22">
        <v>44.340800000000002</v>
      </c>
      <c r="Q27" s="22">
        <v>-1.5472400000000001E-2</v>
      </c>
      <c r="R27" s="22">
        <v>17</v>
      </c>
      <c r="S27" s="22">
        <v>-1.4749099999999999E-2</v>
      </c>
      <c r="T27">
        <f t="shared" si="2"/>
        <v>15.4724</v>
      </c>
      <c r="U27">
        <f t="shared" si="3"/>
        <v>-0.22192527492</v>
      </c>
      <c r="X27" s="9"/>
      <c r="Y27" s="22">
        <v>1.7143200000000001</v>
      </c>
      <c r="Z27" s="22">
        <v>72.393799999999999</v>
      </c>
      <c r="AA27" s="22">
        <v>-7.3333699999999996E-3</v>
      </c>
      <c r="AB27" s="22">
        <v>17</v>
      </c>
      <c r="AC27" s="22">
        <v>1.71326</v>
      </c>
      <c r="AD27">
        <f t="shared" si="4"/>
        <v>7.3333699999999995</v>
      </c>
      <c r="AE27">
        <f t="shared" si="5"/>
        <v>12.5717428584</v>
      </c>
      <c r="AF27" s="9"/>
      <c r="AG27" s="22">
        <v>-1.43433E-2</v>
      </c>
      <c r="AH27" s="22">
        <v>107.10899999999999</v>
      </c>
      <c r="AI27" s="22">
        <v>-1.5521200000000001E-2</v>
      </c>
      <c r="AJ27" s="22">
        <v>17</v>
      </c>
      <c r="AK27" s="22">
        <v>-1.4682000000000001E-2</v>
      </c>
      <c r="AL27">
        <f t="shared" si="6"/>
        <v>15.5212</v>
      </c>
      <c r="AM27">
        <f t="shared" si="7"/>
        <v>-0.22262522796000001</v>
      </c>
      <c r="AP27" s="9"/>
      <c r="AQ27" s="22">
        <v>1.7143200000000001</v>
      </c>
      <c r="AR27" s="22">
        <v>135.59</v>
      </c>
      <c r="AS27" s="22">
        <v>-5.83191E-3</v>
      </c>
      <c r="AT27" s="22">
        <v>17</v>
      </c>
      <c r="AU27" s="22">
        <v>1.71326</v>
      </c>
      <c r="AV27">
        <f t="shared" si="8"/>
        <v>5.8319099999999997</v>
      </c>
      <c r="AW27">
        <f t="shared" si="9"/>
        <v>9.9977599511999991</v>
      </c>
      <c r="AX27" s="9"/>
      <c r="AY27" s="22">
        <v>-1.43433E-2</v>
      </c>
      <c r="AZ27" s="22">
        <v>179.44399999999999</v>
      </c>
      <c r="BA27" s="22">
        <v>-1.6070600000000001E-2</v>
      </c>
      <c r="BB27" s="22">
        <v>17</v>
      </c>
      <c r="BC27" s="22">
        <v>-1.4483599999999999E-2</v>
      </c>
      <c r="BD27">
        <f t="shared" si="10"/>
        <v>16.070600000000002</v>
      </c>
      <c r="BE27">
        <f t="shared" si="11"/>
        <v>-0.23050543698000003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11.5777</v>
      </c>
      <c r="I28" s="22">
        <v>-9.0362499999999991E-3</v>
      </c>
      <c r="J28" s="22">
        <v>18</v>
      </c>
      <c r="K28" s="22">
        <v>1.70807</v>
      </c>
      <c r="L28">
        <f t="shared" si="0"/>
        <v>9.036249999999999</v>
      </c>
      <c r="M28">
        <f t="shared" si="1"/>
        <v>15.445571762499998</v>
      </c>
      <c r="N28" s="9"/>
      <c r="O28" s="22">
        <v>-9.3078599999999994E-3</v>
      </c>
      <c r="P28" s="22">
        <v>44.3508</v>
      </c>
      <c r="Q28" s="22">
        <v>-1.5472400000000001E-2</v>
      </c>
      <c r="R28" s="22">
        <v>18</v>
      </c>
      <c r="S28" s="22">
        <v>-9.6740699999999999E-3</v>
      </c>
      <c r="T28">
        <f t="shared" si="2"/>
        <v>15.4724</v>
      </c>
      <c r="U28">
        <f t="shared" si="3"/>
        <v>-0.14401493306399998</v>
      </c>
      <c r="X28" s="9"/>
      <c r="Y28" s="22">
        <v>1.70929</v>
      </c>
      <c r="Z28" s="22">
        <v>72.403899999999993</v>
      </c>
      <c r="AA28" s="22">
        <v>-7.9895000000000001E-3</v>
      </c>
      <c r="AB28" s="22">
        <v>18</v>
      </c>
      <c r="AC28" s="22">
        <v>1.70807</v>
      </c>
      <c r="AD28">
        <f t="shared" si="4"/>
        <v>7.9895000000000005</v>
      </c>
      <c r="AE28">
        <f t="shared" si="5"/>
        <v>13.656372455000001</v>
      </c>
      <c r="AF28" s="9"/>
      <c r="AG28" s="22">
        <v>-9.3078599999999994E-3</v>
      </c>
      <c r="AH28" s="22">
        <v>107.119</v>
      </c>
      <c r="AI28" s="22">
        <v>-1.55151E-2</v>
      </c>
      <c r="AJ28" s="22">
        <v>18</v>
      </c>
      <c r="AK28" s="22">
        <v>-9.7137500000000002E-3</v>
      </c>
      <c r="AL28">
        <f t="shared" si="6"/>
        <v>15.5151</v>
      </c>
      <c r="AM28">
        <f t="shared" si="7"/>
        <v>-0.14441237868599999</v>
      </c>
      <c r="AP28" s="9"/>
      <c r="AQ28" s="22">
        <v>1.70929</v>
      </c>
      <c r="AR28" s="22">
        <v>135.6</v>
      </c>
      <c r="AS28" s="22">
        <v>-6.67725E-3</v>
      </c>
      <c r="AT28" s="22">
        <v>18</v>
      </c>
      <c r="AU28" s="22">
        <v>1.70807</v>
      </c>
      <c r="AV28">
        <f t="shared" si="8"/>
        <v>6.6772499999999999</v>
      </c>
      <c r="AW28">
        <f t="shared" si="9"/>
        <v>11.413356652499999</v>
      </c>
      <c r="AX28" s="9"/>
      <c r="AY28" s="22">
        <v>-9.3078599999999994E-3</v>
      </c>
      <c r="AZ28" s="22">
        <v>179.45400000000001</v>
      </c>
      <c r="BA28" s="22">
        <v>-1.6058300000000001E-2</v>
      </c>
      <c r="BB28" s="22">
        <v>18</v>
      </c>
      <c r="BC28" s="22">
        <v>-9.4726600000000008E-3</v>
      </c>
      <c r="BD28">
        <f t="shared" si="10"/>
        <v>16.058300000000003</v>
      </c>
      <c r="BE28">
        <f t="shared" si="11"/>
        <v>-0.14946840823800001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11.5878</v>
      </c>
      <c r="I29" s="22">
        <v>-9.4818100000000002E-3</v>
      </c>
      <c r="J29" s="22">
        <v>19</v>
      </c>
      <c r="K29" s="22">
        <v>1.7028799999999999</v>
      </c>
      <c r="L29">
        <f t="shared" si="0"/>
        <v>9.4818099999999994</v>
      </c>
      <c r="M29">
        <f t="shared" si="1"/>
        <v>16.159374692499998</v>
      </c>
      <c r="N29" s="9"/>
      <c r="O29" s="22">
        <v>-4.2724599999999996E-3</v>
      </c>
      <c r="P29" s="22">
        <v>44.360900000000001</v>
      </c>
      <c r="Q29" s="22">
        <v>-1.5469399999999999E-2</v>
      </c>
      <c r="R29" s="22">
        <v>19</v>
      </c>
      <c r="S29" s="22">
        <v>-4.6569799999999998E-3</v>
      </c>
      <c r="T29">
        <f t="shared" si="2"/>
        <v>15.4694</v>
      </c>
      <c r="U29">
        <f t="shared" si="3"/>
        <v>-6.6092392723999999E-2</v>
      </c>
      <c r="X29" s="9"/>
      <c r="Y29" s="22">
        <v>1.70425</v>
      </c>
      <c r="Z29" s="22">
        <v>72.413899999999998</v>
      </c>
      <c r="AA29" s="22">
        <v>-8.5693399999999999E-3</v>
      </c>
      <c r="AB29" s="22">
        <v>19</v>
      </c>
      <c r="AC29" s="22">
        <v>1.7028799999999999</v>
      </c>
      <c r="AD29">
        <f t="shared" si="4"/>
        <v>8.5693400000000004</v>
      </c>
      <c r="AE29">
        <f t="shared" si="5"/>
        <v>14.604297695000001</v>
      </c>
      <c r="AF29" s="9"/>
      <c r="AG29" s="22">
        <v>-4.2724599999999996E-3</v>
      </c>
      <c r="AH29" s="22">
        <v>107.129</v>
      </c>
      <c r="AI29" s="22">
        <v>-1.5512099999999999E-2</v>
      </c>
      <c r="AJ29" s="22">
        <v>19</v>
      </c>
      <c r="AK29" s="22">
        <v>-4.6386700000000001E-3</v>
      </c>
      <c r="AL29">
        <f t="shared" si="6"/>
        <v>15.512099999999998</v>
      </c>
      <c r="AM29">
        <f t="shared" si="7"/>
        <v>-6.6274826765999981E-2</v>
      </c>
      <c r="AP29" s="9"/>
      <c r="AQ29" s="22">
        <v>1.70425</v>
      </c>
      <c r="AR29" s="22">
        <v>135.61000000000001</v>
      </c>
      <c r="AS29" s="22">
        <v>-7.4188199999999996E-3</v>
      </c>
      <c r="AT29" s="22">
        <v>19</v>
      </c>
      <c r="AU29" s="22">
        <v>1.70319</v>
      </c>
      <c r="AV29">
        <f t="shared" si="8"/>
        <v>7.4188199999999993</v>
      </c>
      <c r="AW29">
        <f t="shared" si="9"/>
        <v>12.643523985</v>
      </c>
      <c r="AX29" s="9"/>
      <c r="AY29" s="22">
        <v>-4.2724599999999996E-3</v>
      </c>
      <c r="AZ29" s="22">
        <v>179.464</v>
      </c>
      <c r="BA29" s="22">
        <v>-1.6058300000000001E-2</v>
      </c>
      <c r="BB29" s="22">
        <v>19</v>
      </c>
      <c r="BC29" s="22">
        <v>-4.2510999999999998E-3</v>
      </c>
      <c r="BD29">
        <f t="shared" si="10"/>
        <v>16.058300000000003</v>
      </c>
      <c r="BE29">
        <f t="shared" si="11"/>
        <v>-6.8608444418E-2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11.597899999999999</v>
      </c>
      <c r="I30" s="22">
        <v>-9.8968500000000004E-3</v>
      </c>
      <c r="J30" s="22">
        <v>20</v>
      </c>
      <c r="K30" s="22">
        <v>1.6982999999999999</v>
      </c>
      <c r="L30">
        <f t="shared" si="0"/>
        <v>9.8968500000000006</v>
      </c>
      <c r="M30">
        <f t="shared" si="1"/>
        <v>16.816925457</v>
      </c>
      <c r="N30" s="9"/>
      <c r="O30" s="22">
        <v>7.6293900000000002E-4</v>
      </c>
      <c r="P30" s="22">
        <v>44.371000000000002</v>
      </c>
      <c r="Q30" s="22">
        <v>-1.5466300000000001E-2</v>
      </c>
      <c r="R30" s="22">
        <v>20</v>
      </c>
      <c r="S30" s="22">
        <v>4.3334999999999999E-4</v>
      </c>
      <c r="T30">
        <f t="shared" si="2"/>
        <v>15.4663</v>
      </c>
      <c r="U30">
        <f t="shared" si="3"/>
        <v>1.1799843455700001E-2</v>
      </c>
      <c r="X30" s="9"/>
      <c r="Y30" s="22">
        <v>1.69922</v>
      </c>
      <c r="Z30" s="22">
        <v>72.424000000000007</v>
      </c>
      <c r="AA30" s="22">
        <v>-9.0820299999999996E-3</v>
      </c>
      <c r="AB30" s="22">
        <v>20</v>
      </c>
      <c r="AC30" s="22">
        <v>1.698</v>
      </c>
      <c r="AD30">
        <f t="shared" si="4"/>
        <v>9.0820299999999996</v>
      </c>
      <c r="AE30">
        <f t="shared" si="5"/>
        <v>15.432367016599999</v>
      </c>
      <c r="AF30" s="9"/>
      <c r="AG30" s="22">
        <v>7.6293900000000002E-4</v>
      </c>
      <c r="AH30" s="22">
        <v>107.139</v>
      </c>
      <c r="AI30" s="22">
        <v>-1.5509E-2</v>
      </c>
      <c r="AJ30" s="22">
        <v>20</v>
      </c>
      <c r="AK30" s="22">
        <v>4.5776399999999999E-4</v>
      </c>
      <c r="AL30">
        <f t="shared" si="6"/>
        <v>15.509</v>
      </c>
      <c r="AM30">
        <f t="shared" si="7"/>
        <v>1.1832420951000001E-2</v>
      </c>
      <c r="AP30" s="9"/>
      <c r="AQ30" s="22">
        <v>1.69922</v>
      </c>
      <c r="AR30" s="22">
        <v>135.62</v>
      </c>
      <c r="AS30" s="22">
        <v>-8.0657999999999997E-3</v>
      </c>
      <c r="AT30" s="22">
        <v>20</v>
      </c>
      <c r="AU30" s="22">
        <v>1.698</v>
      </c>
      <c r="AV30">
        <f t="shared" si="8"/>
        <v>8.0657999999999994</v>
      </c>
      <c r="AW30">
        <f t="shared" si="9"/>
        <v>13.705568675999999</v>
      </c>
      <c r="AX30" s="9"/>
      <c r="AY30" s="22">
        <v>7.6293900000000002E-4</v>
      </c>
      <c r="AZ30" s="22">
        <v>179.47499999999999</v>
      </c>
      <c r="BA30" s="22">
        <v>-1.6058300000000001E-2</v>
      </c>
      <c r="BB30" s="22">
        <v>20</v>
      </c>
      <c r="BC30" s="22">
        <v>5.1269499999999997E-4</v>
      </c>
      <c r="BD30">
        <f t="shared" si="10"/>
        <v>16.058300000000003</v>
      </c>
      <c r="BE30">
        <f t="shared" si="11"/>
        <v>1.2251503343700003E-2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11.607900000000001</v>
      </c>
      <c r="I31" s="22">
        <v>-1.026E-2</v>
      </c>
      <c r="J31" s="22">
        <v>21</v>
      </c>
      <c r="K31" s="22">
        <v>1.6928099999999999</v>
      </c>
      <c r="L31">
        <f t="shared" si="0"/>
        <v>10.26</v>
      </c>
      <c r="M31">
        <f t="shared" si="1"/>
        <v>17.382286799999999</v>
      </c>
      <c r="N31" s="9"/>
      <c r="O31" s="22">
        <v>5.7983399999999999E-3</v>
      </c>
      <c r="P31" s="22">
        <v>44.381</v>
      </c>
      <c r="Q31" s="22">
        <v>-1.5463299999999999E-2</v>
      </c>
      <c r="R31" s="22">
        <v>21</v>
      </c>
      <c r="S31" s="22">
        <v>5.4901100000000003E-3</v>
      </c>
      <c r="T31">
        <f t="shared" si="2"/>
        <v>15.463299999999998</v>
      </c>
      <c r="U31">
        <f t="shared" si="3"/>
        <v>8.9661470921999983E-2</v>
      </c>
      <c r="X31" s="9"/>
      <c r="Y31" s="22">
        <v>1.69418</v>
      </c>
      <c r="Z31" s="22">
        <v>72.434100000000001</v>
      </c>
      <c r="AA31" s="22">
        <v>-9.5519999999999997E-3</v>
      </c>
      <c r="AB31" s="22">
        <v>21</v>
      </c>
      <c r="AC31" s="22">
        <v>1.6928099999999999</v>
      </c>
      <c r="AD31">
        <f t="shared" si="4"/>
        <v>9.5519999999999996</v>
      </c>
      <c r="AE31">
        <f t="shared" si="5"/>
        <v>16.182807359999998</v>
      </c>
      <c r="AF31" s="9"/>
      <c r="AG31" s="22">
        <v>5.7983399999999999E-3</v>
      </c>
      <c r="AH31" s="22">
        <v>107.149</v>
      </c>
      <c r="AI31" s="22">
        <v>-1.5506000000000001E-2</v>
      </c>
      <c r="AJ31" s="22">
        <v>21</v>
      </c>
      <c r="AK31" s="22">
        <v>5.4992699999999997E-3</v>
      </c>
      <c r="AL31">
        <f t="shared" si="6"/>
        <v>15.506</v>
      </c>
      <c r="AM31">
        <f t="shared" si="7"/>
        <v>8.9909060040000002E-2</v>
      </c>
      <c r="AP31" s="9"/>
      <c r="AQ31" s="22">
        <v>1.69418</v>
      </c>
      <c r="AR31" s="22">
        <v>135.63</v>
      </c>
      <c r="AS31" s="22">
        <v>-8.6395299999999994E-3</v>
      </c>
      <c r="AT31" s="22">
        <v>21</v>
      </c>
      <c r="AU31" s="22">
        <v>1.6934199999999999</v>
      </c>
      <c r="AV31">
        <f t="shared" si="8"/>
        <v>8.6395299999999988</v>
      </c>
      <c r="AW31">
        <f t="shared" si="9"/>
        <v>14.636918935399999</v>
      </c>
      <c r="AX31" s="9"/>
      <c r="AY31" s="22">
        <v>5.7983399999999999E-3</v>
      </c>
      <c r="AZ31" s="22">
        <v>179.48500000000001</v>
      </c>
      <c r="BA31" s="22">
        <v>-1.6046100000000001E-2</v>
      </c>
      <c r="BB31" s="22">
        <v>21</v>
      </c>
      <c r="BC31" s="22">
        <v>5.2734399999999999E-3</v>
      </c>
      <c r="BD31">
        <f t="shared" si="10"/>
        <v>16.046099999999999</v>
      </c>
      <c r="BE31">
        <f t="shared" si="11"/>
        <v>9.3040743473999987E-2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11.618</v>
      </c>
      <c r="I32" s="22">
        <v>-1.05927E-2</v>
      </c>
      <c r="J32" s="22">
        <v>22</v>
      </c>
      <c r="K32" s="22">
        <v>1.6882299999999999</v>
      </c>
      <c r="L32">
        <f t="shared" si="0"/>
        <v>10.592700000000001</v>
      </c>
      <c r="M32">
        <f t="shared" si="1"/>
        <v>17.892659205000001</v>
      </c>
      <c r="N32" s="9"/>
      <c r="O32" s="22">
        <v>1.08337E-2</v>
      </c>
      <c r="P32" s="22">
        <v>44.391100000000002</v>
      </c>
      <c r="Q32" s="22">
        <v>-1.5457200000000001E-2</v>
      </c>
      <c r="R32" s="22">
        <v>22</v>
      </c>
      <c r="S32" s="22">
        <v>1.05164E-2</v>
      </c>
      <c r="T32">
        <f t="shared" si="2"/>
        <v>15.4572</v>
      </c>
      <c r="U32">
        <f t="shared" si="3"/>
        <v>0.16745866764</v>
      </c>
      <c r="X32" s="9"/>
      <c r="Y32" s="22">
        <v>1.6891499999999999</v>
      </c>
      <c r="Z32" s="22">
        <v>72.444100000000006</v>
      </c>
      <c r="AA32" s="22">
        <v>-9.9761999999999993E-3</v>
      </c>
      <c r="AB32" s="22">
        <v>22</v>
      </c>
      <c r="AC32" s="22">
        <v>1.6882299999999999</v>
      </c>
      <c r="AD32">
        <f t="shared" si="4"/>
        <v>9.9761999999999986</v>
      </c>
      <c r="AE32">
        <f t="shared" si="5"/>
        <v>16.851298229999998</v>
      </c>
      <c r="AF32" s="9"/>
      <c r="AG32" s="22">
        <v>1.08337E-2</v>
      </c>
      <c r="AH32" s="22">
        <v>107.15900000000001</v>
      </c>
      <c r="AI32" s="22">
        <v>-1.55029E-2</v>
      </c>
      <c r="AJ32" s="22">
        <v>22</v>
      </c>
      <c r="AK32" s="22">
        <v>1.05042E-2</v>
      </c>
      <c r="AL32">
        <f t="shared" si="6"/>
        <v>15.5029</v>
      </c>
      <c r="AM32">
        <f t="shared" si="7"/>
        <v>0.16795376773000001</v>
      </c>
      <c r="AP32" s="9"/>
      <c r="AQ32" s="22">
        <v>1.6891499999999999</v>
      </c>
      <c r="AR32" s="22">
        <v>135.63999999999999</v>
      </c>
      <c r="AS32" s="22">
        <v>-9.1552700000000001E-3</v>
      </c>
      <c r="AT32" s="22">
        <v>22</v>
      </c>
      <c r="AU32" s="22">
        <v>1.6882299999999999</v>
      </c>
      <c r="AV32">
        <f t="shared" si="8"/>
        <v>9.1552699999999998</v>
      </c>
      <c r="AW32">
        <f t="shared" si="9"/>
        <v>15.464624320499999</v>
      </c>
      <c r="AX32" s="9"/>
      <c r="AY32" s="22">
        <v>1.08337E-2</v>
      </c>
      <c r="AZ32" s="22">
        <v>179.495</v>
      </c>
      <c r="BA32" s="22">
        <v>-1.6039999999999999E-2</v>
      </c>
      <c r="BB32" s="22">
        <v>22</v>
      </c>
      <c r="BC32" s="22">
        <v>1.0577400000000001E-2</v>
      </c>
      <c r="BD32">
        <f t="shared" si="10"/>
        <v>16.04</v>
      </c>
      <c r="BE32">
        <f t="shared" si="11"/>
        <v>0.173772548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11.6281</v>
      </c>
      <c r="I33" s="22">
        <v>-1.091E-2</v>
      </c>
      <c r="J33" s="22">
        <v>23</v>
      </c>
      <c r="K33" s="22">
        <v>1.6836500000000001</v>
      </c>
      <c r="L33">
        <f t="shared" si="0"/>
        <v>10.91</v>
      </c>
      <c r="M33">
        <f t="shared" si="1"/>
        <v>18.373640099999999</v>
      </c>
      <c r="N33" s="9"/>
      <c r="O33" s="22">
        <v>1.5869100000000001E-2</v>
      </c>
      <c r="P33" s="22">
        <v>44.401200000000003</v>
      </c>
      <c r="Q33" s="22">
        <v>-1.5450999999999999E-2</v>
      </c>
      <c r="R33" s="22">
        <v>23</v>
      </c>
      <c r="S33" s="22">
        <v>1.55487E-2</v>
      </c>
      <c r="T33">
        <f t="shared" si="2"/>
        <v>15.450999999999999</v>
      </c>
      <c r="U33">
        <f t="shared" si="3"/>
        <v>0.24519346409999998</v>
      </c>
      <c r="X33" s="9"/>
      <c r="Y33" s="22">
        <v>1.68411</v>
      </c>
      <c r="Z33" s="22">
        <v>72.4542</v>
      </c>
      <c r="AA33" s="22">
        <v>-1.0363799999999999E-2</v>
      </c>
      <c r="AB33" s="22">
        <v>23</v>
      </c>
      <c r="AC33" s="22">
        <v>1.6833499999999999</v>
      </c>
      <c r="AD33">
        <f t="shared" si="4"/>
        <v>10.363799999999999</v>
      </c>
      <c r="AE33">
        <f t="shared" si="5"/>
        <v>17.453779217999998</v>
      </c>
      <c r="AF33" s="9"/>
      <c r="AG33" s="22">
        <v>1.5869100000000001E-2</v>
      </c>
      <c r="AH33" s="22">
        <v>107.169</v>
      </c>
      <c r="AI33" s="22">
        <v>-1.54999E-2</v>
      </c>
      <c r="AJ33" s="22">
        <v>23</v>
      </c>
      <c r="AK33" s="22">
        <v>1.5600599999999999E-2</v>
      </c>
      <c r="AL33">
        <f t="shared" si="6"/>
        <v>15.4999</v>
      </c>
      <c r="AM33">
        <f t="shared" si="7"/>
        <v>0.24596946309000001</v>
      </c>
      <c r="AP33" s="9"/>
      <c r="AQ33" s="22">
        <v>1.68411</v>
      </c>
      <c r="AR33" s="22">
        <v>135.65</v>
      </c>
      <c r="AS33" s="22">
        <v>-9.6130399999999998E-3</v>
      </c>
      <c r="AT33" s="22">
        <v>23</v>
      </c>
      <c r="AU33" s="22">
        <v>1.6830400000000001</v>
      </c>
      <c r="AV33">
        <f t="shared" si="8"/>
        <v>9.6130399999999998</v>
      </c>
      <c r="AW33">
        <f t="shared" si="9"/>
        <v>16.1894167944</v>
      </c>
      <c r="AX33" s="9"/>
      <c r="AY33" s="22">
        <v>1.5869100000000001E-2</v>
      </c>
      <c r="AZ33" s="22">
        <v>179.505</v>
      </c>
      <c r="BA33" s="22">
        <v>-1.6039999999999999E-2</v>
      </c>
      <c r="BB33" s="22">
        <v>23</v>
      </c>
      <c r="BC33" s="22">
        <v>1.53107E-2</v>
      </c>
      <c r="BD33">
        <f t="shared" si="10"/>
        <v>16.04</v>
      </c>
      <c r="BE33">
        <f t="shared" si="11"/>
        <v>0.25454036400000002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11.6381</v>
      </c>
      <c r="I34" s="22">
        <v>-1.12E-2</v>
      </c>
      <c r="J34" s="22">
        <v>24</v>
      </c>
      <c r="K34" s="22">
        <v>1.6778599999999999</v>
      </c>
      <c r="L34">
        <f t="shared" si="0"/>
        <v>11.2</v>
      </c>
      <c r="M34">
        <f t="shared" si="1"/>
        <v>18.805695999999998</v>
      </c>
      <c r="N34" s="9"/>
      <c r="O34" s="22">
        <v>2.0904499999999999E-2</v>
      </c>
      <c r="P34" s="22">
        <v>44.411299999999997</v>
      </c>
      <c r="Q34" s="22">
        <v>-1.5444899999999999E-2</v>
      </c>
      <c r="R34" s="22">
        <v>24</v>
      </c>
      <c r="S34" s="22">
        <v>2.052E-2</v>
      </c>
      <c r="T34">
        <f t="shared" si="2"/>
        <v>15.444899999999999</v>
      </c>
      <c r="U34">
        <f t="shared" si="3"/>
        <v>0.32286791204999998</v>
      </c>
      <c r="X34" s="9"/>
      <c r="Y34" s="22">
        <v>1.6790799999999999</v>
      </c>
      <c r="Z34" s="22">
        <v>72.464299999999994</v>
      </c>
      <c r="AA34" s="22">
        <v>-1.07178E-2</v>
      </c>
      <c r="AB34" s="22">
        <v>24</v>
      </c>
      <c r="AC34" s="22">
        <v>1.6778599999999999</v>
      </c>
      <c r="AD34">
        <f t="shared" si="4"/>
        <v>10.7178</v>
      </c>
      <c r="AE34">
        <f t="shared" si="5"/>
        <v>17.996043623999999</v>
      </c>
      <c r="AF34" s="9"/>
      <c r="AG34" s="22">
        <v>2.0904499999999999E-2</v>
      </c>
      <c r="AH34" s="22">
        <v>107.179</v>
      </c>
      <c r="AI34" s="22">
        <v>-1.54968E-2</v>
      </c>
      <c r="AJ34" s="22">
        <v>24</v>
      </c>
      <c r="AK34" s="22">
        <v>2.0535299999999999E-2</v>
      </c>
      <c r="AL34">
        <f t="shared" si="6"/>
        <v>15.4968</v>
      </c>
      <c r="AM34">
        <f t="shared" si="7"/>
        <v>0.32395285559999998</v>
      </c>
      <c r="AP34" s="9"/>
      <c r="AQ34" s="22">
        <v>1.6790799999999999</v>
      </c>
      <c r="AR34" s="22">
        <v>135.66</v>
      </c>
      <c r="AS34" s="22">
        <v>-1.00342E-2</v>
      </c>
      <c r="AT34" s="22">
        <v>24</v>
      </c>
      <c r="AU34" s="22">
        <v>1.6778599999999999</v>
      </c>
      <c r="AV34">
        <f t="shared" si="8"/>
        <v>10.0342</v>
      </c>
      <c r="AW34">
        <f t="shared" si="9"/>
        <v>16.848224536</v>
      </c>
      <c r="AX34" s="9"/>
      <c r="AY34" s="22">
        <v>2.0904499999999999E-2</v>
      </c>
      <c r="AZ34" s="22">
        <v>179.51499999999999</v>
      </c>
      <c r="BA34" s="22">
        <v>-1.60339E-2</v>
      </c>
      <c r="BB34" s="22">
        <v>24</v>
      </c>
      <c r="BC34" s="22">
        <v>2.12677E-2</v>
      </c>
      <c r="BD34">
        <f t="shared" si="10"/>
        <v>16.033899999999999</v>
      </c>
      <c r="BE34">
        <f t="shared" si="11"/>
        <v>0.33518066254999995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11.648199999999999</v>
      </c>
      <c r="I35" s="22">
        <v>-1.14685E-2</v>
      </c>
      <c r="J35" s="22">
        <v>25</v>
      </c>
      <c r="K35" s="22">
        <v>1.6726700000000001</v>
      </c>
      <c r="L35">
        <f t="shared" si="0"/>
        <v>11.468499999999999</v>
      </c>
      <c r="M35">
        <f t="shared" si="1"/>
        <v>19.198727739999999</v>
      </c>
      <c r="N35" s="9"/>
      <c r="O35" s="22">
        <v>2.5939899999999998E-2</v>
      </c>
      <c r="P35" s="22">
        <v>44.421300000000002</v>
      </c>
      <c r="Q35" s="22">
        <v>-1.54419E-2</v>
      </c>
      <c r="R35" s="22">
        <v>25</v>
      </c>
      <c r="S35" s="22">
        <v>2.5704999999999999E-2</v>
      </c>
      <c r="T35">
        <f t="shared" si="2"/>
        <v>15.4419</v>
      </c>
      <c r="U35">
        <f t="shared" si="3"/>
        <v>0.40056134180999997</v>
      </c>
      <c r="X35" s="9"/>
      <c r="Y35" s="22">
        <v>1.67404</v>
      </c>
      <c r="Z35" s="22">
        <v>72.474299999999999</v>
      </c>
      <c r="AA35" s="22">
        <v>-1.10413E-2</v>
      </c>
      <c r="AB35" s="22">
        <v>25</v>
      </c>
      <c r="AC35" s="22">
        <v>1.6732800000000001</v>
      </c>
      <c r="AD35">
        <f t="shared" si="4"/>
        <v>11.0413</v>
      </c>
      <c r="AE35">
        <f t="shared" si="5"/>
        <v>18.483577852</v>
      </c>
      <c r="AF35" s="9"/>
      <c r="AG35" s="22">
        <v>2.5939899999999998E-2</v>
      </c>
      <c r="AH35" s="22">
        <v>107.19</v>
      </c>
      <c r="AI35" s="22">
        <v>-1.54938E-2</v>
      </c>
      <c r="AJ35" s="22">
        <v>25</v>
      </c>
      <c r="AK35" s="22">
        <v>2.5610399999999998E-2</v>
      </c>
      <c r="AL35">
        <f t="shared" si="6"/>
        <v>15.4938</v>
      </c>
      <c r="AM35">
        <f t="shared" si="7"/>
        <v>0.40190762261999996</v>
      </c>
      <c r="AP35" s="9"/>
      <c r="AQ35" s="22">
        <v>1.67404</v>
      </c>
      <c r="AR35" s="22">
        <v>135.67099999999999</v>
      </c>
      <c r="AS35" s="22">
        <v>-1.0418699999999999E-2</v>
      </c>
      <c r="AT35" s="22">
        <v>25</v>
      </c>
      <c r="AU35" s="22">
        <v>1.6729700000000001</v>
      </c>
      <c r="AV35">
        <f t="shared" si="8"/>
        <v>10.418699999999999</v>
      </c>
      <c r="AW35">
        <f t="shared" si="9"/>
        <v>17.441320548</v>
      </c>
      <c r="AX35" s="9"/>
      <c r="AY35" s="22">
        <v>2.5939899999999998E-2</v>
      </c>
      <c r="AZ35" s="22">
        <v>179.52500000000001</v>
      </c>
      <c r="BA35" s="22">
        <v>-1.6036999999999999E-2</v>
      </c>
      <c r="BB35" s="22">
        <v>25</v>
      </c>
      <c r="BC35" s="22">
        <v>2.5857499999999999E-2</v>
      </c>
      <c r="BD35">
        <f t="shared" si="10"/>
        <v>16.036999999999999</v>
      </c>
      <c r="BE35">
        <f t="shared" si="11"/>
        <v>0.41599817629999997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11.658300000000001</v>
      </c>
      <c r="I36" s="22">
        <v>-1.17065E-2</v>
      </c>
      <c r="J36" s="22">
        <v>26</v>
      </c>
      <c r="K36" s="22">
        <v>1.6677900000000001</v>
      </c>
      <c r="L36">
        <f t="shared" si="0"/>
        <v>11.7065</v>
      </c>
      <c r="M36">
        <f t="shared" si="1"/>
        <v>19.538265565</v>
      </c>
      <c r="N36" s="9"/>
      <c r="O36" s="22">
        <v>3.0975300000000001E-2</v>
      </c>
      <c r="P36" s="22">
        <v>44.431399999999996</v>
      </c>
      <c r="Q36" s="22">
        <v>-1.5438800000000001E-2</v>
      </c>
      <c r="R36" s="22">
        <v>26</v>
      </c>
      <c r="S36" s="22">
        <v>3.0767800000000001E-2</v>
      </c>
      <c r="T36">
        <f t="shared" si="2"/>
        <v>15.438800000000001</v>
      </c>
      <c r="U36">
        <f t="shared" si="3"/>
        <v>0.47822146164000001</v>
      </c>
      <c r="X36" s="9"/>
      <c r="Y36" s="22">
        <v>1.6690100000000001</v>
      </c>
      <c r="Z36" s="22">
        <v>72.484399999999994</v>
      </c>
      <c r="AA36" s="22">
        <v>-1.13373E-2</v>
      </c>
      <c r="AB36" s="22">
        <v>26</v>
      </c>
      <c r="AC36" s="22">
        <v>1.6674800000000001</v>
      </c>
      <c r="AD36">
        <f t="shared" si="4"/>
        <v>11.337299999999999</v>
      </c>
      <c r="AE36">
        <f t="shared" si="5"/>
        <v>18.922067073000001</v>
      </c>
      <c r="AF36" s="9"/>
      <c r="AG36" s="22">
        <v>3.0975300000000001E-2</v>
      </c>
      <c r="AH36" s="22">
        <v>107.2</v>
      </c>
      <c r="AI36" s="22">
        <v>-1.54907E-2</v>
      </c>
      <c r="AJ36" s="22">
        <v>26</v>
      </c>
      <c r="AK36" s="22">
        <v>3.0694599999999999E-2</v>
      </c>
      <c r="AL36">
        <f t="shared" si="6"/>
        <v>15.4907</v>
      </c>
      <c r="AM36">
        <f t="shared" si="7"/>
        <v>0.47982907971000005</v>
      </c>
      <c r="AP36" s="9"/>
      <c r="AQ36" s="22">
        <v>1.6690100000000001</v>
      </c>
      <c r="AR36" s="22">
        <v>135.68100000000001</v>
      </c>
      <c r="AS36" s="22">
        <v>-1.07574E-2</v>
      </c>
      <c r="AT36" s="22">
        <v>26</v>
      </c>
      <c r="AU36" s="22">
        <v>1.6677900000000001</v>
      </c>
      <c r="AV36">
        <f t="shared" si="8"/>
        <v>10.757400000000001</v>
      </c>
      <c r="AW36">
        <f t="shared" si="9"/>
        <v>17.954208174000001</v>
      </c>
      <c r="AX36" s="9"/>
      <c r="AY36" s="22">
        <v>3.0975300000000001E-2</v>
      </c>
      <c r="AZ36" s="22">
        <v>179.535</v>
      </c>
      <c r="BA36" s="22">
        <v>-1.6036999999999999E-2</v>
      </c>
      <c r="BB36" s="22">
        <v>26</v>
      </c>
      <c r="BC36" s="22">
        <v>3.0804399999999999E-2</v>
      </c>
      <c r="BD36">
        <f t="shared" si="10"/>
        <v>16.036999999999999</v>
      </c>
      <c r="BE36">
        <f t="shared" si="11"/>
        <v>0.49675088609999996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11.6684</v>
      </c>
      <c r="I37" s="22">
        <v>-1.19293E-2</v>
      </c>
      <c r="J37" s="22">
        <v>27</v>
      </c>
      <c r="K37" s="22">
        <v>1.6626000000000001</v>
      </c>
      <c r="L37">
        <f t="shared" si="0"/>
        <v>11.9293</v>
      </c>
      <c r="M37">
        <f t="shared" si="1"/>
        <v>19.849997321</v>
      </c>
      <c r="N37" s="9"/>
      <c r="O37" s="22">
        <v>3.60107E-2</v>
      </c>
      <c r="P37" s="22">
        <v>44.441499999999998</v>
      </c>
      <c r="Q37" s="22">
        <v>-1.54358E-2</v>
      </c>
      <c r="R37" s="22">
        <v>27</v>
      </c>
      <c r="S37" s="22">
        <v>3.5855100000000001E-2</v>
      </c>
      <c r="T37">
        <f t="shared" si="2"/>
        <v>15.4358</v>
      </c>
      <c r="U37">
        <f t="shared" si="3"/>
        <v>0.55585396306000001</v>
      </c>
      <c r="X37" s="9"/>
      <c r="Y37" s="22">
        <v>1.6639699999999999</v>
      </c>
      <c r="Z37" s="22">
        <v>72.494500000000002</v>
      </c>
      <c r="AA37" s="22">
        <v>-1.1605799999999999E-2</v>
      </c>
      <c r="AB37" s="22">
        <v>27</v>
      </c>
      <c r="AC37" s="22">
        <v>1.6632100000000001</v>
      </c>
      <c r="AD37">
        <f t="shared" si="4"/>
        <v>11.605799999999999</v>
      </c>
      <c r="AE37">
        <f t="shared" si="5"/>
        <v>19.311703025999996</v>
      </c>
      <c r="AF37" s="9"/>
      <c r="AG37" s="22">
        <v>3.60107E-2</v>
      </c>
      <c r="AH37" s="22">
        <v>107.21</v>
      </c>
      <c r="AI37" s="22">
        <v>-1.5484599999999999E-2</v>
      </c>
      <c r="AJ37" s="22">
        <v>27</v>
      </c>
      <c r="AK37" s="22">
        <v>3.5620100000000002E-2</v>
      </c>
      <c r="AL37">
        <f t="shared" si="6"/>
        <v>15.484599999999999</v>
      </c>
      <c r="AM37">
        <f t="shared" si="7"/>
        <v>0.55761128521999992</v>
      </c>
      <c r="AP37" s="9"/>
      <c r="AQ37" s="22">
        <v>1.6639699999999999</v>
      </c>
      <c r="AR37" s="22">
        <v>135.691</v>
      </c>
      <c r="AS37" s="22">
        <v>-1.10779E-2</v>
      </c>
      <c r="AT37" s="22">
        <v>27</v>
      </c>
      <c r="AU37" s="22">
        <v>1.6632100000000001</v>
      </c>
      <c r="AV37">
        <f t="shared" si="8"/>
        <v>11.0779</v>
      </c>
      <c r="AW37">
        <f t="shared" si="9"/>
        <v>18.433293262999999</v>
      </c>
      <c r="AX37" s="9"/>
      <c r="AY37" s="22">
        <v>3.60107E-2</v>
      </c>
      <c r="AZ37" s="22">
        <v>179.54499999999999</v>
      </c>
      <c r="BA37" s="22">
        <v>-1.6039999999999999E-2</v>
      </c>
      <c r="BB37" s="22">
        <v>27</v>
      </c>
      <c r="BC37" s="22">
        <v>3.6862199999999998E-2</v>
      </c>
      <c r="BD37">
        <f t="shared" si="10"/>
        <v>16.04</v>
      </c>
      <c r="BE37">
        <f t="shared" si="11"/>
        <v>0.57761162799999999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11.6784</v>
      </c>
      <c r="I38" s="22">
        <v>-1.21338E-2</v>
      </c>
      <c r="J38" s="22">
        <v>28</v>
      </c>
      <c r="K38" s="22">
        <v>1.65802</v>
      </c>
      <c r="L38">
        <f t="shared" si="0"/>
        <v>12.133800000000001</v>
      </c>
      <c r="M38">
        <f t="shared" si="1"/>
        <v>20.129246172000002</v>
      </c>
      <c r="N38" s="9"/>
      <c r="O38" s="22">
        <v>4.1046100000000002E-2</v>
      </c>
      <c r="P38" s="22">
        <v>44.451500000000003</v>
      </c>
      <c r="Q38" s="22">
        <v>-1.5432700000000001E-2</v>
      </c>
      <c r="R38" s="22">
        <v>28</v>
      </c>
      <c r="S38" s="22">
        <v>4.08508E-2</v>
      </c>
      <c r="T38">
        <f t="shared" si="2"/>
        <v>15.432700000000001</v>
      </c>
      <c r="U38">
        <f t="shared" si="3"/>
        <v>0.63345214747</v>
      </c>
      <c r="X38" s="9"/>
      <c r="Y38" s="22">
        <v>1.6589400000000001</v>
      </c>
      <c r="Z38" s="22">
        <v>72.504599999999996</v>
      </c>
      <c r="AA38" s="22">
        <v>-1.1849999999999999E-2</v>
      </c>
      <c r="AB38" s="22">
        <v>28</v>
      </c>
      <c r="AC38" s="22">
        <v>1.65802</v>
      </c>
      <c r="AD38">
        <f t="shared" si="4"/>
        <v>11.85</v>
      </c>
      <c r="AE38">
        <f t="shared" si="5"/>
        <v>19.658439000000001</v>
      </c>
      <c r="AF38" s="9"/>
      <c r="AG38" s="22">
        <v>4.1046100000000002E-2</v>
      </c>
      <c r="AH38" s="22">
        <v>107.22</v>
      </c>
      <c r="AI38" s="22">
        <v>-1.54816E-2</v>
      </c>
      <c r="AJ38" s="22">
        <v>28</v>
      </c>
      <c r="AK38" s="22">
        <v>4.0832500000000001E-2</v>
      </c>
      <c r="AL38">
        <f t="shared" si="6"/>
        <v>15.4816</v>
      </c>
      <c r="AM38">
        <f t="shared" si="7"/>
        <v>0.63545930176000009</v>
      </c>
      <c r="AP38" s="9"/>
      <c r="AQ38" s="22">
        <v>1.6589400000000001</v>
      </c>
      <c r="AR38" s="22">
        <v>135.70099999999999</v>
      </c>
      <c r="AS38" s="22">
        <v>-1.1361700000000001E-2</v>
      </c>
      <c r="AT38" s="22">
        <v>28</v>
      </c>
      <c r="AU38" s="22">
        <v>1.65802</v>
      </c>
      <c r="AV38">
        <f t="shared" si="8"/>
        <v>11.361700000000001</v>
      </c>
      <c r="AW38">
        <f t="shared" si="9"/>
        <v>18.848378598000004</v>
      </c>
      <c r="AX38" s="9"/>
      <c r="AY38" s="22">
        <v>4.1046100000000002E-2</v>
      </c>
      <c r="AZ38" s="22">
        <v>179.55500000000001</v>
      </c>
      <c r="BA38" s="22">
        <v>-1.6039999999999999E-2</v>
      </c>
      <c r="BB38" s="22">
        <v>28</v>
      </c>
      <c r="BC38" s="22">
        <v>4.1064499999999997E-2</v>
      </c>
      <c r="BD38">
        <f t="shared" si="10"/>
        <v>16.04</v>
      </c>
      <c r="BE38">
        <f t="shared" si="11"/>
        <v>0.65837944400000004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11.688499999999999</v>
      </c>
      <c r="I39" s="22">
        <v>-1.23138E-2</v>
      </c>
      <c r="J39" s="22">
        <v>29</v>
      </c>
      <c r="K39" s="22">
        <v>1.6531400000000001</v>
      </c>
      <c r="L39">
        <f t="shared" si="0"/>
        <v>12.313800000000001</v>
      </c>
      <c r="M39">
        <f t="shared" si="1"/>
        <v>20.36579382</v>
      </c>
      <c r="N39" s="9"/>
      <c r="O39" s="22">
        <v>4.6081499999999997E-2</v>
      </c>
      <c r="P39" s="22">
        <v>44.461599999999997</v>
      </c>
      <c r="Q39" s="22">
        <v>-1.54266E-2</v>
      </c>
      <c r="R39" s="22">
        <v>29</v>
      </c>
      <c r="S39" s="22">
        <v>4.58374E-2</v>
      </c>
      <c r="T39">
        <f t="shared" si="2"/>
        <v>15.426600000000001</v>
      </c>
      <c r="U39">
        <f t="shared" si="3"/>
        <v>0.71088086789999994</v>
      </c>
      <c r="X39" s="9"/>
      <c r="Y39" s="22">
        <v>1.6538999999999999</v>
      </c>
      <c r="Z39" s="22">
        <v>72.514600000000002</v>
      </c>
      <c r="AA39" s="22">
        <v>-1.2069699999999999E-2</v>
      </c>
      <c r="AB39" s="22">
        <v>29</v>
      </c>
      <c r="AC39" s="22">
        <v>1.6531400000000001</v>
      </c>
      <c r="AD39">
        <f t="shared" si="4"/>
        <v>12.069699999999999</v>
      </c>
      <c r="AE39">
        <f t="shared" si="5"/>
        <v>19.962076829999997</v>
      </c>
      <c r="AF39" s="9"/>
      <c r="AG39" s="22">
        <v>4.6081499999999997E-2</v>
      </c>
      <c r="AH39" s="22">
        <v>107.23</v>
      </c>
      <c r="AI39" s="22">
        <v>-1.5472400000000001E-2</v>
      </c>
      <c r="AJ39" s="22">
        <v>29</v>
      </c>
      <c r="AK39" s="22">
        <v>4.5922900000000003E-2</v>
      </c>
      <c r="AL39">
        <f t="shared" si="6"/>
        <v>15.4724</v>
      </c>
      <c r="AM39">
        <f t="shared" si="7"/>
        <v>0.71299140059999999</v>
      </c>
      <c r="AP39" s="9"/>
      <c r="AQ39" s="22">
        <v>1.6538999999999999</v>
      </c>
      <c r="AR39" s="22">
        <v>135.71100000000001</v>
      </c>
      <c r="AS39" s="22">
        <v>-1.1618E-2</v>
      </c>
      <c r="AT39" s="22">
        <v>29</v>
      </c>
      <c r="AU39" s="22">
        <v>1.65283</v>
      </c>
      <c r="AV39">
        <f t="shared" si="8"/>
        <v>11.618</v>
      </c>
      <c r="AW39">
        <f t="shared" si="9"/>
        <v>19.215010199999998</v>
      </c>
      <c r="AX39" s="9"/>
      <c r="AY39" s="22">
        <v>4.6081499999999997E-2</v>
      </c>
      <c r="AZ39" s="22">
        <v>179.565</v>
      </c>
      <c r="BA39" s="22">
        <v>-1.6027799999999998E-2</v>
      </c>
      <c r="BB39" s="22">
        <v>29</v>
      </c>
      <c r="BC39" s="22">
        <v>4.6179199999999997E-2</v>
      </c>
      <c r="BD39">
        <f t="shared" si="10"/>
        <v>16.027799999999999</v>
      </c>
      <c r="BE39">
        <f t="shared" si="11"/>
        <v>0.73858506569999993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11.698600000000001</v>
      </c>
      <c r="I40" s="22">
        <v>-1.24847E-2</v>
      </c>
      <c r="J40" s="22">
        <v>30</v>
      </c>
      <c r="K40" s="22">
        <v>1.64795</v>
      </c>
      <c r="L40">
        <f t="shared" si="0"/>
        <v>12.4847</v>
      </c>
      <c r="M40">
        <f t="shared" si="1"/>
        <v>20.585522441999998</v>
      </c>
      <c r="N40" s="9"/>
      <c r="O40" s="22">
        <v>5.11169E-2</v>
      </c>
      <c r="P40" s="22">
        <v>44.471699999999998</v>
      </c>
      <c r="Q40" s="22">
        <v>-1.54266E-2</v>
      </c>
      <c r="R40" s="22">
        <v>30</v>
      </c>
      <c r="S40" s="22">
        <v>5.09796E-2</v>
      </c>
      <c r="T40">
        <f t="shared" si="2"/>
        <v>15.426600000000001</v>
      </c>
      <c r="U40">
        <f t="shared" si="3"/>
        <v>0.78855996954000007</v>
      </c>
      <c r="X40" s="9"/>
      <c r="Y40" s="22">
        <v>1.64886</v>
      </c>
      <c r="Z40" s="22">
        <v>72.524699999999996</v>
      </c>
      <c r="AA40" s="22">
        <v>-1.2274200000000001E-2</v>
      </c>
      <c r="AB40" s="22">
        <v>30</v>
      </c>
      <c r="AC40" s="22">
        <v>1.64764</v>
      </c>
      <c r="AD40">
        <f t="shared" si="4"/>
        <v>12.2742</v>
      </c>
      <c r="AE40">
        <f t="shared" si="5"/>
        <v>20.238437412</v>
      </c>
      <c r="AF40" s="9"/>
      <c r="AG40" s="22">
        <v>5.11169E-2</v>
      </c>
      <c r="AH40" s="22">
        <v>107.24</v>
      </c>
      <c r="AI40" s="22">
        <v>-1.5469399999999999E-2</v>
      </c>
      <c r="AJ40" s="22">
        <v>30</v>
      </c>
      <c r="AK40" s="22">
        <v>5.0851399999999998E-2</v>
      </c>
      <c r="AL40">
        <f t="shared" si="6"/>
        <v>15.4694</v>
      </c>
      <c r="AM40">
        <f t="shared" si="7"/>
        <v>0.79074777285999998</v>
      </c>
      <c r="AP40" s="9"/>
      <c r="AQ40" s="22">
        <v>1.64886</v>
      </c>
      <c r="AR40" s="22">
        <v>135.721</v>
      </c>
      <c r="AS40" s="22">
        <v>-1.1853000000000001E-2</v>
      </c>
      <c r="AT40" s="22">
        <v>30</v>
      </c>
      <c r="AU40" s="22">
        <v>1.64764</v>
      </c>
      <c r="AV40">
        <f t="shared" si="8"/>
        <v>11.853000000000002</v>
      </c>
      <c r="AW40">
        <f t="shared" si="9"/>
        <v>19.543937580000001</v>
      </c>
      <c r="AX40" s="9"/>
      <c r="AY40" s="22">
        <v>5.11169E-2</v>
      </c>
      <c r="AZ40" s="22">
        <v>179.57499999999999</v>
      </c>
      <c r="BA40" s="22">
        <v>-1.6036999999999999E-2</v>
      </c>
      <c r="BB40" s="22">
        <v>30</v>
      </c>
      <c r="BC40" s="22">
        <v>5.1287800000000001E-2</v>
      </c>
      <c r="BD40">
        <f t="shared" si="10"/>
        <v>16.036999999999999</v>
      </c>
      <c r="BE40">
        <f t="shared" si="11"/>
        <v>0.81976172529999991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11.708600000000001</v>
      </c>
      <c r="I41" s="22">
        <v>-1.2643400000000001E-2</v>
      </c>
      <c r="J41" s="22">
        <v>31</v>
      </c>
      <c r="K41" s="22">
        <v>1.64215</v>
      </c>
      <c r="L41">
        <f t="shared" si="0"/>
        <v>12.643400000000002</v>
      </c>
      <c r="M41">
        <f t="shared" si="1"/>
        <v>20.783600222</v>
      </c>
      <c r="N41" s="9"/>
      <c r="O41" s="22">
        <v>5.6152300000000002E-2</v>
      </c>
      <c r="P41" s="22">
        <v>44.4818</v>
      </c>
      <c r="Q41" s="22">
        <v>-1.5423600000000001E-2</v>
      </c>
      <c r="R41" s="22">
        <v>31</v>
      </c>
      <c r="S41" s="22">
        <v>5.5419900000000001E-2</v>
      </c>
      <c r="T41">
        <f t="shared" si="2"/>
        <v>15.4236</v>
      </c>
      <c r="U41">
        <f t="shared" si="3"/>
        <v>0.8660706142800001</v>
      </c>
      <c r="X41" s="9"/>
      <c r="Y41" s="22">
        <v>1.6438299999999999</v>
      </c>
      <c r="Z41" s="22">
        <v>72.534800000000004</v>
      </c>
      <c r="AA41" s="22">
        <v>-1.2451200000000001E-2</v>
      </c>
      <c r="AB41" s="22">
        <v>31</v>
      </c>
      <c r="AC41" s="22">
        <v>1.64276</v>
      </c>
      <c r="AD41">
        <f t="shared" si="4"/>
        <v>12.4512</v>
      </c>
      <c r="AE41">
        <f t="shared" si="5"/>
        <v>20.467656095999999</v>
      </c>
      <c r="AF41" s="9"/>
      <c r="AG41" s="22">
        <v>5.6152300000000002E-2</v>
      </c>
      <c r="AH41" s="22">
        <v>107.25</v>
      </c>
      <c r="AI41" s="22">
        <v>-1.5463299999999999E-2</v>
      </c>
      <c r="AJ41" s="22">
        <v>31</v>
      </c>
      <c r="AK41" s="22">
        <v>5.5481000000000003E-2</v>
      </c>
      <c r="AL41">
        <f t="shared" si="6"/>
        <v>15.463299999999998</v>
      </c>
      <c r="AM41">
        <f t="shared" si="7"/>
        <v>0.86829986058999997</v>
      </c>
      <c r="AP41" s="9"/>
      <c r="AQ41" s="22">
        <v>1.6438299999999999</v>
      </c>
      <c r="AR41" s="22">
        <v>135.73099999999999</v>
      </c>
      <c r="AS41" s="22">
        <v>-1.20667E-2</v>
      </c>
      <c r="AT41" s="22">
        <v>31</v>
      </c>
      <c r="AU41" s="22">
        <v>1.64276</v>
      </c>
      <c r="AV41">
        <f t="shared" si="8"/>
        <v>12.066699999999999</v>
      </c>
      <c r="AW41">
        <f t="shared" si="9"/>
        <v>19.835603460999998</v>
      </c>
      <c r="AX41" s="9"/>
      <c r="AY41" s="22">
        <v>5.6152300000000002E-2</v>
      </c>
      <c r="AZ41" s="22">
        <v>179.58500000000001</v>
      </c>
      <c r="BA41" s="22">
        <v>-1.6030900000000001E-2</v>
      </c>
      <c r="BB41" s="22">
        <v>31</v>
      </c>
      <c r="BC41" s="22">
        <v>5.5999800000000002E-2</v>
      </c>
      <c r="BD41">
        <f t="shared" si="10"/>
        <v>16.030899999999999</v>
      </c>
      <c r="BE41">
        <f t="shared" si="11"/>
        <v>0.90017190606999997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11.7187</v>
      </c>
      <c r="I42" s="22">
        <v>-1.27899E-2</v>
      </c>
      <c r="J42" s="22">
        <v>32</v>
      </c>
      <c r="K42" s="22">
        <v>1.63788</v>
      </c>
      <c r="L42">
        <f t="shared" si="0"/>
        <v>12.789899999999999</v>
      </c>
      <c r="M42">
        <f t="shared" si="1"/>
        <v>20.959960220999999</v>
      </c>
      <c r="N42" s="9"/>
      <c r="O42" s="22">
        <v>6.1187699999999998E-2</v>
      </c>
      <c r="P42" s="22">
        <v>44.491799999999998</v>
      </c>
      <c r="Q42" s="22">
        <v>-1.5417500000000001E-2</v>
      </c>
      <c r="R42" s="22">
        <v>32</v>
      </c>
      <c r="S42" s="22">
        <v>6.0546900000000001E-2</v>
      </c>
      <c r="T42">
        <f t="shared" si="2"/>
        <v>15.4175</v>
      </c>
      <c r="U42">
        <f t="shared" si="3"/>
        <v>0.94336136474999999</v>
      </c>
      <c r="X42" s="9"/>
      <c r="Y42" s="22">
        <v>1.63879</v>
      </c>
      <c r="Z42" s="22">
        <v>72.544799999999995</v>
      </c>
      <c r="AA42" s="22">
        <v>-1.2616E-2</v>
      </c>
      <c r="AB42" s="22">
        <v>32</v>
      </c>
      <c r="AC42" s="22">
        <v>1.63757</v>
      </c>
      <c r="AD42">
        <f t="shared" si="4"/>
        <v>12.616</v>
      </c>
      <c r="AE42">
        <f t="shared" si="5"/>
        <v>20.674974639999999</v>
      </c>
      <c r="AF42" s="9"/>
      <c r="AG42" s="22">
        <v>6.1187699999999998E-2</v>
      </c>
      <c r="AH42" s="22">
        <v>107.26</v>
      </c>
      <c r="AI42" s="22">
        <v>-1.54602E-2</v>
      </c>
      <c r="AJ42" s="22">
        <v>32</v>
      </c>
      <c r="AK42" s="22">
        <v>6.0577400000000003E-2</v>
      </c>
      <c r="AL42">
        <f t="shared" si="6"/>
        <v>15.4602</v>
      </c>
      <c r="AM42">
        <f t="shared" si="7"/>
        <v>0.94597407954000001</v>
      </c>
      <c r="AP42" s="9"/>
      <c r="AQ42" s="22">
        <v>1.63879</v>
      </c>
      <c r="AR42" s="22">
        <v>135.74100000000001</v>
      </c>
      <c r="AS42" s="22">
        <v>-1.2265E-2</v>
      </c>
      <c r="AT42" s="22">
        <v>32</v>
      </c>
      <c r="AU42" s="22">
        <v>1.63788</v>
      </c>
      <c r="AV42">
        <f t="shared" si="8"/>
        <v>12.265000000000001</v>
      </c>
      <c r="AW42">
        <f t="shared" si="9"/>
        <v>20.099759349999999</v>
      </c>
      <c r="AX42" s="9"/>
      <c r="AY42" s="22">
        <v>6.1187699999999998E-2</v>
      </c>
      <c r="AZ42" s="22">
        <v>179.595</v>
      </c>
      <c r="BA42" s="22">
        <v>-1.5625E-2</v>
      </c>
      <c r="BB42" s="22">
        <v>32</v>
      </c>
      <c r="BC42" s="22">
        <v>6.0150099999999998E-2</v>
      </c>
      <c r="BD42">
        <f t="shared" si="10"/>
        <v>15.625</v>
      </c>
      <c r="BE42">
        <f t="shared" si="11"/>
        <v>0.95605781249999999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11.7288</v>
      </c>
      <c r="I43" s="22">
        <v>-1.29242E-2</v>
      </c>
      <c r="J43" s="22">
        <v>33</v>
      </c>
      <c r="K43" s="22">
        <v>1.633</v>
      </c>
      <c r="L43">
        <f t="shared" si="0"/>
        <v>12.924200000000001</v>
      </c>
      <c r="M43">
        <f t="shared" si="1"/>
        <v>21.115040992000001</v>
      </c>
      <c r="N43" s="9"/>
      <c r="O43" s="22">
        <v>6.6223099999999993E-2</v>
      </c>
      <c r="P43" s="22">
        <v>44.501899999999999</v>
      </c>
      <c r="Q43" s="22">
        <v>-1.54114E-2</v>
      </c>
      <c r="R43" s="22">
        <v>33</v>
      </c>
      <c r="S43" s="22">
        <v>6.5551799999999993E-2</v>
      </c>
      <c r="T43">
        <f t="shared" si="2"/>
        <v>15.4114</v>
      </c>
      <c r="U43">
        <f t="shared" si="3"/>
        <v>1.02059068334</v>
      </c>
      <c r="X43" s="9"/>
      <c r="Y43" s="22">
        <v>1.6337600000000001</v>
      </c>
      <c r="Z43" s="22">
        <v>72.554900000000004</v>
      </c>
      <c r="AA43" s="22">
        <v>-1.2771599999999999E-2</v>
      </c>
      <c r="AB43" s="22">
        <v>33</v>
      </c>
      <c r="AC43" s="22">
        <v>1.63269</v>
      </c>
      <c r="AD43">
        <f t="shared" si="4"/>
        <v>12.771599999999999</v>
      </c>
      <c r="AE43">
        <f t="shared" si="5"/>
        <v>20.865729216000002</v>
      </c>
      <c r="AF43" s="9"/>
      <c r="AG43" s="22">
        <v>6.6223099999999993E-2</v>
      </c>
      <c r="AH43" s="22">
        <v>107.27</v>
      </c>
      <c r="AI43" s="22">
        <v>-1.54541E-2</v>
      </c>
      <c r="AJ43" s="22">
        <v>33</v>
      </c>
      <c r="AK43" s="22">
        <v>6.5551799999999993E-2</v>
      </c>
      <c r="AL43">
        <f t="shared" si="6"/>
        <v>15.4541</v>
      </c>
      <c r="AM43">
        <f t="shared" si="7"/>
        <v>1.0234184097099999</v>
      </c>
      <c r="AP43" s="9"/>
      <c r="AQ43" s="22">
        <v>1.6337600000000001</v>
      </c>
      <c r="AR43" s="22">
        <v>135.751</v>
      </c>
      <c r="AS43" s="22">
        <v>-1.24481E-2</v>
      </c>
      <c r="AT43" s="22">
        <v>33</v>
      </c>
      <c r="AU43" s="22">
        <v>1.63269</v>
      </c>
      <c r="AV43">
        <f t="shared" si="8"/>
        <v>12.4481</v>
      </c>
      <c r="AW43">
        <f t="shared" si="9"/>
        <v>20.337207856000003</v>
      </c>
      <c r="AX43" s="9"/>
      <c r="AY43" s="22">
        <v>6.6223099999999993E-2</v>
      </c>
      <c r="AZ43" s="22">
        <v>179.60499999999999</v>
      </c>
      <c r="BA43" s="22">
        <v>-1.5615800000000001E-2</v>
      </c>
      <c r="BB43" s="22">
        <v>33</v>
      </c>
      <c r="BC43" s="22">
        <v>6.5399200000000005E-2</v>
      </c>
      <c r="BD43">
        <f t="shared" si="10"/>
        <v>15.6158</v>
      </c>
      <c r="BE43">
        <f t="shared" si="11"/>
        <v>1.0341266849799999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11.738899999999999</v>
      </c>
      <c r="I44" s="22">
        <v>-1.30493E-2</v>
      </c>
      <c r="J44" s="22">
        <v>34</v>
      </c>
      <c r="K44" s="22">
        <v>1.62781</v>
      </c>
      <c r="L44">
        <f t="shared" si="0"/>
        <v>13.049300000000001</v>
      </c>
      <c r="M44">
        <f t="shared" si="1"/>
        <v>21.253655896000001</v>
      </c>
      <c r="N44" s="9"/>
      <c r="O44" s="22">
        <v>7.1258500000000002E-2</v>
      </c>
      <c r="P44" s="22">
        <v>44.512</v>
      </c>
      <c r="Q44" s="22">
        <v>-1.54053E-2</v>
      </c>
      <c r="R44" s="22">
        <v>34</v>
      </c>
      <c r="S44" s="22">
        <v>7.0465100000000003E-2</v>
      </c>
      <c r="T44">
        <f t="shared" si="2"/>
        <v>15.4053</v>
      </c>
      <c r="U44">
        <f t="shared" si="3"/>
        <v>1.0977585700500001</v>
      </c>
      <c r="X44" s="9"/>
      <c r="Y44" s="22">
        <v>1.6287199999999999</v>
      </c>
      <c r="Z44" s="22">
        <v>72.564999999999998</v>
      </c>
      <c r="AA44" s="22">
        <v>-1.2912E-2</v>
      </c>
      <c r="AB44" s="22">
        <v>34</v>
      </c>
      <c r="AC44" s="22">
        <v>1.6272</v>
      </c>
      <c r="AD44">
        <f t="shared" si="4"/>
        <v>12.911999999999999</v>
      </c>
      <c r="AE44">
        <f t="shared" si="5"/>
        <v>21.030032639999998</v>
      </c>
      <c r="AF44" s="9"/>
      <c r="AG44" s="22">
        <v>7.1258500000000002E-2</v>
      </c>
      <c r="AH44" s="22">
        <v>107.28</v>
      </c>
      <c r="AI44" s="22">
        <v>-1.5450999999999999E-2</v>
      </c>
      <c r="AJ44" s="22">
        <v>34</v>
      </c>
      <c r="AK44" s="22">
        <v>7.0465100000000003E-2</v>
      </c>
      <c r="AL44">
        <f t="shared" si="6"/>
        <v>15.450999999999999</v>
      </c>
      <c r="AM44">
        <f t="shared" si="7"/>
        <v>1.1010150834999999</v>
      </c>
      <c r="AP44" s="9"/>
      <c r="AQ44" s="22">
        <v>1.6287199999999999</v>
      </c>
      <c r="AR44" s="22">
        <v>135.761</v>
      </c>
      <c r="AS44" s="22">
        <v>-1.2616E-2</v>
      </c>
      <c r="AT44" s="22">
        <v>34</v>
      </c>
      <c r="AU44" s="22">
        <v>1.6274999999999999</v>
      </c>
      <c r="AV44">
        <f t="shared" si="8"/>
        <v>12.616</v>
      </c>
      <c r="AW44">
        <f t="shared" si="9"/>
        <v>20.547931519999999</v>
      </c>
      <c r="AX44" s="9"/>
      <c r="AY44" s="22">
        <v>7.1258500000000002E-2</v>
      </c>
      <c r="AZ44" s="22">
        <v>179.61600000000001</v>
      </c>
      <c r="BA44" s="22">
        <v>-1.5606699999999999E-2</v>
      </c>
      <c r="BB44" s="22">
        <v>34</v>
      </c>
      <c r="BC44" s="22">
        <v>7.0648199999999994E-2</v>
      </c>
      <c r="BD44">
        <f t="shared" si="10"/>
        <v>15.6067</v>
      </c>
      <c r="BE44">
        <f t="shared" si="11"/>
        <v>1.1121100319500001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11.748900000000001</v>
      </c>
      <c r="I45" s="22">
        <v>-1.31653E-2</v>
      </c>
      <c r="J45" s="22">
        <v>35</v>
      </c>
      <c r="K45" s="22">
        <v>1.62262</v>
      </c>
      <c r="L45">
        <f t="shared" si="0"/>
        <v>13.1653</v>
      </c>
      <c r="M45">
        <f t="shared" si="1"/>
        <v>21.376365957000001</v>
      </c>
      <c r="N45" s="9"/>
      <c r="O45" s="22">
        <v>7.6293899999999998E-2</v>
      </c>
      <c r="P45" s="22">
        <v>44.521999999999998</v>
      </c>
      <c r="Q45" s="22">
        <v>-1.54022E-2</v>
      </c>
      <c r="R45" s="22">
        <v>35</v>
      </c>
      <c r="S45" s="22">
        <v>7.5592000000000006E-2</v>
      </c>
      <c r="T45">
        <f t="shared" si="2"/>
        <v>15.402199999999999</v>
      </c>
      <c r="U45">
        <f t="shared" si="3"/>
        <v>1.1750939065799999</v>
      </c>
      <c r="X45" s="9"/>
      <c r="Y45" s="22">
        <v>1.6236900000000001</v>
      </c>
      <c r="Z45" s="22">
        <v>72.575100000000006</v>
      </c>
      <c r="AA45" s="22">
        <v>-1.3037099999999999E-2</v>
      </c>
      <c r="AB45" s="22">
        <v>35</v>
      </c>
      <c r="AC45" s="22">
        <v>1.6229199999999999</v>
      </c>
      <c r="AD45">
        <f t="shared" si="4"/>
        <v>13.037099999999999</v>
      </c>
      <c r="AE45">
        <f t="shared" si="5"/>
        <v>21.168208899</v>
      </c>
      <c r="AF45" s="9"/>
      <c r="AG45" s="22">
        <v>7.6293899999999998E-2</v>
      </c>
      <c r="AH45" s="22">
        <v>107.29</v>
      </c>
      <c r="AI45" s="22">
        <v>-1.5448E-2</v>
      </c>
      <c r="AJ45" s="22">
        <v>35</v>
      </c>
      <c r="AK45" s="22">
        <v>7.5531000000000001E-2</v>
      </c>
      <c r="AL45">
        <f t="shared" si="6"/>
        <v>15.448</v>
      </c>
      <c r="AM45">
        <f t="shared" si="7"/>
        <v>1.1785881672</v>
      </c>
      <c r="AP45" s="9"/>
      <c r="AQ45" s="22">
        <v>1.6236900000000001</v>
      </c>
      <c r="AR45" s="22">
        <v>135.77099999999999</v>
      </c>
      <c r="AS45" s="22">
        <v>-1.2771599999999999E-2</v>
      </c>
      <c r="AT45" s="22">
        <v>35</v>
      </c>
      <c r="AU45" s="22">
        <v>1.6223099999999999</v>
      </c>
      <c r="AV45">
        <f t="shared" si="8"/>
        <v>12.771599999999999</v>
      </c>
      <c r="AW45">
        <f t="shared" si="9"/>
        <v>20.737119203999999</v>
      </c>
      <c r="AX45" s="9"/>
      <c r="AY45" s="22">
        <v>7.6293899999999998E-2</v>
      </c>
      <c r="AZ45" s="22">
        <v>179.626</v>
      </c>
      <c r="BA45" s="22">
        <v>-1.55975E-2</v>
      </c>
      <c r="BB45" s="22">
        <v>35</v>
      </c>
      <c r="BC45" s="22">
        <v>7.5469999999999995E-2</v>
      </c>
      <c r="BD45">
        <f t="shared" si="10"/>
        <v>15.5975</v>
      </c>
      <c r="BE45">
        <f t="shared" si="11"/>
        <v>1.18999410525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11.759</v>
      </c>
      <c r="I46" s="22">
        <v>-1.32751E-2</v>
      </c>
      <c r="J46" s="22">
        <v>36</v>
      </c>
      <c r="K46" s="22">
        <v>1.61774</v>
      </c>
      <c r="L46">
        <f t="shared" si="0"/>
        <v>13.2751</v>
      </c>
      <c r="M46">
        <f t="shared" si="1"/>
        <v>21.487740615</v>
      </c>
      <c r="N46" s="9"/>
      <c r="O46" s="22">
        <v>8.1329299999999993E-2</v>
      </c>
      <c r="P46" s="22">
        <v>44.5321</v>
      </c>
      <c r="Q46" s="22">
        <v>-1.53992E-2</v>
      </c>
      <c r="R46" s="22">
        <v>36</v>
      </c>
      <c r="S46" s="22">
        <v>8.0627400000000002E-2</v>
      </c>
      <c r="T46">
        <f t="shared" si="2"/>
        <v>15.3992</v>
      </c>
      <c r="U46">
        <f t="shared" si="3"/>
        <v>1.25240615656</v>
      </c>
      <c r="X46" s="9"/>
      <c r="Y46" s="22">
        <v>1.6186499999999999</v>
      </c>
      <c r="Z46" s="22">
        <v>72.585099999999997</v>
      </c>
      <c r="AA46" s="22">
        <v>-1.3147000000000001E-2</v>
      </c>
      <c r="AB46" s="22">
        <v>36</v>
      </c>
      <c r="AC46" s="22">
        <v>1.6174299999999999</v>
      </c>
      <c r="AD46">
        <f t="shared" si="4"/>
        <v>13.147</v>
      </c>
      <c r="AE46">
        <f t="shared" si="5"/>
        <v>21.280391550000001</v>
      </c>
      <c r="AF46" s="9"/>
      <c r="AG46" s="22">
        <v>8.1329299999999993E-2</v>
      </c>
      <c r="AH46" s="22">
        <v>107.3</v>
      </c>
      <c r="AI46" s="22">
        <v>-1.5444899999999999E-2</v>
      </c>
      <c r="AJ46" s="22">
        <v>36</v>
      </c>
      <c r="AK46" s="22">
        <v>8.0657999999999994E-2</v>
      </c>
      <c r="AL46">
        <f t="shared" si="6"/>
        <v>15.444899999999999</v>
      </c>
      <c r="AM46">
        <f t="shared" si="7"/>
        <v>1.2561229055699998</v>
      </c>
      <c r="AP46" s="9"/>
      <c r="AQ46" s="22">
        <v>1.6186499999999999</v>
      </c>
      <c r="AR46" s="22">
        <v>135.78100000000001</v>
      </c>
      <c r="AS46" s="22">
        <v>-1.2912E-2</v>
      </c>
      <c r="AT46" s="22">
        <v>36</v>
      </c>
      <c r="AU46" s="22">
        <v>1.6174299999999999</v>
      </c>
      <c r="AV46">
        <f t="shared" si="8"/>
        <v>12.911999999999999</v>
      </c>
      <c r="AW46">
        <f t="shared" si="9"/>
        <v>20.900008799999998</v>
      </c>
      <c r="AX46" s="9"/>
      <c r="AY46" s="22">
        <v>8.1329299999999993E-2</v>
      </c>
      <c r="AZ46" s="22">
        <v>179.636</v>
      </c>
      <c r="BA46" s="22">
        <v>-1.5594500000000001E-2</v>
      </c>
      <c r="BB46" s="22">
        <v>36</v>
      </c>
      <c r="BC46" s="22">
        <v>8.0596899999999999E-2</v>
      </c>
      <c r="BD46">
        <f t="shared" si="10"/>
        <v>15.5945</v>
      </c>
      <c r="BE46">
        <f t="shared" si="11"/>
        <v>1.2682897688499999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11.7691</v>
      </c>
      <c r="I47" s="22">
        <v>-1.3378900000000001E-2</v>
      </c>
      <c r="J47" s="22">
        <v>37</v>
      </c>
      <c r="K47" s="22">
        <v>1.6128499999999999</v>
      </c>
      <c r="L47">
        <f t="shared" si="0"/>
        <v>13.378900000000002</v>
      </c>
      <c r="M47">
        <f t="shared" si="1"/>
        <v>21.588460618000003</v>
      </c>
      <c r="N47" s="9"/>
      <c r="O47" s="22">
        <v>8.6364700000000003E-2</v>
      </c>
      <c r="P47" s="22">
        <v>44.542200000000001</v>
      </c>
      <c r="Q47" s="22">
        <v>-1.5396099999999999E-2</v>
      </c>
      <c r="R47" s="22">
        <v>37</v>
      </c>
      <c r="S47" s="22">
        <v>8.5693400000000003E-2</v>
      </c>
      <c r="T47">
        <f t="shared" si="2"/>
        <v>15.396099999999999</v>
      </c>
      <c r="U47">
        <f t="shared" si="3"/>
        <v>1.32967955767</v>
      </c>
      <c r="X47" s="9"/>
      <c r="Y47" s="22">
        <v>1.6136200000000001</v>
      </c>
      <c r="Z47" s="22">
        <v>72.595200000000006</v>
      </c>
      <c r="AA47" s="22">
        <v>-1.32538E-2</v>
      </c>
      <c r="AB47" s="22">
        <v>37</v>
      </c>
      <c r="AC47" s="22">
        <v>1.6128499999999999</v>
      </c>
      <c r="AD47">
        <f t="shared" si="4"/>
        <v>13.2538</v>
      </c>
      <c r="AE47">
        <f t="shared" si="5"/>
        <v>21.386596755999999</v>
      </c>
      <c r="AF47" s="9"/>
      <c r="AG47" s="22">
        <v>8.6364700000000003E-2</v>
      </c>
      <c r="AH47" s="22">
        <v>107.31</v>
      </c>
      <c r="AI47" s="22">
        <v>-1.54419E-2</v>
      </c>
      <c r="AJ47" s="22">
        <v>37</v>
      </c>
      <c r="AK47" s="22">
        <v>8.5693400000000003E-2</v>
      </c>
      <c r="AL47">
        <f t="shared" si="6"/>
        <v>15.4419</v>
      </c>
      <c r="AM47">
        <f t="shared" si="7"/>
        <v>1.3336350609300001</v>
      </c>
      <c r="AP47" s="9"/>
      <c r="AQ47" s="22">
        <v>1.6136200000000001</v>
      </c>
      <c r="AR47" s="22">
        <v>135.791</v>
      </c>
      <c r="AS47" s="22">
        <v>-1.3037099999999999E-2</v>
      </c>
      <c r="AT47" s="22">
        <v>37</v>
      </c>
      <c r="AU47" s="22">
        <v>1.6128499999999999</v>
      </c>
      <c r="AV47">
        <f t="shared" si="8"/>
        <v>13.037099999999999</v>
      </c>
      <c r="AW47">
        <f t="shared" si="9"/>
        <v>21.036925302</v>
      </c>
      <c r="AX47" s="9"/>
      <c r="AY47" s="22">
        <v>8.6364700000000003E-2</v>
      </c>
      <c r="AZ47" s="22">
        <v>179.64599999999999</v>
      </c>
      <c r="BA47" s="22">
        <v>-1.55914E-2</v>
      </c>
      <c r="BB47" s="22">
        <v>37</v>
      </c>
      <c r="BC47" s="22">
        <v>8.5662799999999997E-2</v>
      </c>
      <c r="BD47">
        <f t="shared" si="10"/>
        <v>15.5914</v>
      </c>
      <c r="BE47">
        <f t="shared" si="11"/>
        <v>1.3465465835800001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11.7791</v>
      </c>
      <c r="I48" s="22">
        <v>-1.34644E-2</v>
      </c>
      <c r="J48" s="22">
        <v>38</v>
      </c>
      <c r="K48" s="22">
        <v>1.6073599999999999</v>
      </c>
      <c r="L48">
        <f t="shared" si="0"/>
        <v>13.464399999999999</v>
      </c>
      <c r="M48">
        <f t="shared" si="1"/>
        <v>21.658564551999998</v>
      </c>
      <c r="N48" s="9"/>
      <c r="O48" s="22">
        <v>9.1400099999999998E-2</v>
      </c>
      <c r="P48" s="22">
        <v>44.552300000000002</v>
      </c>
      <c r="Q48" s="22">
        <v>-1.5389999999999999E-2</v>
      </c>
      <c r="R48" s="22">
        <v>38</v>
      </c>
      <c r="S48" s="22">
        <v>9.0698200000000007E-2</v>
      </c>
      <c r="T48">
        <f t="shared" si="2"/>
        <v>15.389999999999999</v>
      </c>
      <c r="U48">
        <f t="shared" si="3"/>
        <v>1.4066475389999999</v>
      </c>
      <c r="X48" s="9"/>
      <c r="Y48" s="22">
        <v>1.6085799999999999</v>
      </c>
      <c r="Z48" s="22">
        <v>72.6053</v>
      </c>
      <c r="AA48" s="22">
        <v>-1.33575E-2</v>
      </c>
      <c r="AB48" s="22">
        <v>38</v>
      </c>
      <c r="AC48" s="22">
        <v>1.6079699999999999</v>
      </c>
      <c r="AD48">
        <f t="shared" si="4"/>
        <v>13.3575</v>
      </c>
      <c r="AE48">
        <f t="shared" si="5"/>
        <v>21.48660735</v>
      </c>
      <c r="AF48" s="9"/>
      <c r="AG48" s="22">
        <v>9.1400099999999998E-2</v>
      </c>
      <c r="AH48" s="22">
        <v>107.32</v>
      </c>
      <c r="AI48" s="22">
        <v>-1.54358E-2</v>
      </c>
      <c r="AJ48" s="22">
        <v>38</v>
      </c>
      <c r="AK48" s="22">
        <v>9.0667700000000004E-2</v>
      </c>
      <c r="AL48">
        <f t="shared" si="6"/>
        <v>15.4358</v>
      </c>
      <c r="AM48">
        <f t="shared" si="7"/>
        <v>1.4108336635800001</v>
      </c>
      <c r="AP48" s="9"/>
      <c r="AQ48" s="22">
        <v>1.6085799999999999</v>
      </c>
      <c r="AR48" s="22">
        <v>135.80099999999999</v>
      </c>
      <c r="AS48" s="22">
        <v>-1.3153099999999999E-2</v>
      </c>
      <c r="AT48" s="22">
        <v>38</v>
      </c>
      <c r="AU48" s="22">
        <v>1.6079699999999999</v>
      </c>
      <c r="AV48">
        <f t="shared" si="8"/>
        <v>13.153099999999998</v>
      </c>
      <c r="AW48">
        <f t="shared" si="9"/>
        <v>21.157813597999997</v>
      </c>
      <c r="AX48" s="9"/>
      <c r="AY48" s="22">
        <v>9.1400099999999998E-2</v>
      </c>
      <c r="AZ48" s="22">
        <v>179.65600000000001</v>
      </c>
      <c r="BA48" s="22">
        <v>-1.55853E-2</v>
      </c>
      <c r="BB48" s="22">
        <v>38</v>
      </c>
      <c r="BC48" s="22">
        <v>9.0728799999999998E-2</v>
      </c>
      <c r="BD48">
        <f t="shared" si="10"/>
        <v>15.5853</v>
      </c>
      <c r="BE48">
        <f t="shared" si="11"/>
        <v>1.42449797853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11.789199999999999</v>
      </c>
      <c r="I49" s="22">
        <v>-1.3543700000000001E-2</v>
      </c>
      <c r="J49" s="22">
        <v>39</v>
      </c>
      <c r="K49" s="22">
        <v>1.6024799999999999</v>
      </c>
      <c r="L49">
        <f t="shared" si="0"/>
        <v>13.543700000000001</v>
      </c>
      <c r="M49">
        <f t="shared" si="1"/>
        <v>21.718000135000004</v>
      </c>
      <c r="N49" s="9"/>
      <c r="O49" s="22">
        <v>9.6435499999999993E-2</v>
      </c>
      <c r="P49" s="22">
        <v>44.5623</v>
      </c>
      <c r="Q49" s="22">
        <v>-1.5387E-2</v>
      </c>
      <c r="R49" s="22">
        <v>39</v>
      </c>
      <c r="S49" s="22">
        <v>9.5764199999999994E-2</v>
      </c>
      <c r="T49">
        <f t="shared" si="2"/>
        <v>15.387</v>
      </c>
      <c r="U49">
        <f t="shared" si="3"/>
        <v>1.4838530384999999</v>
      </c>
      <c r="X49" s="9"/>
      <c r="Y49" s="22">
        <v>1.60355</v>
      </c>
      <c r="Z49" s="22">
        <v>72.615300000000005</v>
      </c>
      <c r="AA49" s="22">
        <v>-1.34521E-2</v>
      </c>
      <c r="AB49" s="22">
        <v>39</v>
      </c>
      <c r="AC49" s="22">
        <v>1.6024799999999999</v>
      </c>
      <c r="AD49">
        <f t="shared" si="4"/>
        <v>13.4521</v>
      </c>
      <c r="AE49">
        <f t="shared" si="5"/>
        <v>21.571114954999999</v>
      </c>
      <c r="AF49" s="9"/>
      <c r="AG49" s="22">
        <v>9.6435499999999993E-2</v>
      </c>
      <c r="AH49" s="22">
        <v>107.331</v>
      </c>
      <c r="AI49" s="22">
        <v>-1.5432700000000001E-2</v>
      </c>
      <c r="AJ49" s="22">
        <v>39</v>
      </c>
      <c r="AK49" s="22">
        <v>9.5672599999999997E-2</v>
      </c>
      <c r="AL49">
        <f t="shared" si="6"/>
        <v>15.432700000000001</v>
      </c>
      <c r="AM49">
        <f t="shared" si="7"/>
        <v>1.48826014085</v>
      </c>
      <c r="AP49" s="9"/>
      <c r="AQ49" s="22">
        <v>1.60355</v>
      </c>
      <c r="AR49" s="22">
        <v>135.81200000000001</v>
      </c>
      <c r="AS49" s="22">
        <v>-1.32599E-2</v>
      </c>
      <c r="AT49" s="22">
        <v>39</v>
      </c>
      <c r="AU49" s="22">
        <v>1.6027800000000001</v>
      </c>
      <c r="AV49">
        <f t="shared" si="8"/>
        <v>13.2599</v>
      </c>
      <c r="AW49">
        <f t="shared" si="9"/>
        <v>21.262912645</v>
      </c>
      <c r="AX49" s="9"/>
      <c r="AY49" s="22">
        <v>9.6435499999999993E-2</v>
      </c>
      <c r="AZ49" s="22">
        <v>179.666</v>
      </c>
      <c r="BA49" s="22">
        <v>-1.55792E-2</v>
      </c>
      <c r="BB49" s="22">
        <v>39</v>
      </c>
      <c r="BC49" s="22">
        <v>9.5703099999999999E-2</v>
      </c>
      <c r="BD49">
        <f t="shared" si="10"/>
        <v>15.5792</v>
      </c>
      <c r="BE49">
        <f t="shared" si="11"/>
        <v>1.5023879415999999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11.799300000000001</v>
      </c>
      <c r="I50" s="22">
        <v>-1.362E-2</v>
      </c>
      <c r="J50" s="22">
        <v>40</v>
      </c>
      <c r="K50" s="22">
        <v>1.5975999999999999</v>
      </c>
      <c r="L50">
        <f t="shared" si="0"/>
        <v>13.620000000000001</v>
      </c>
      <c r="M50">
        <f t="shared" si="1"/>
        <v>21.771706200000004</v>
      </c>
      <c r="N50" s="9"/>
      <c r="O50" s="22">
        <v>0.10147100000000001</v>
      </c>
      <c r="P50" s="22">
        <v>44.572400000000002</v>
      </c>
      <c r="Q50" s="22">
        <v>-1.5383900000000001E-2</v>
      </c>
      <c r="R50" s="22">
        <v>40</v>
      </c>
      <c r="S50" s="22">
        <v>0.100769</v>
      </c>
      <c r="T50">
        <f t="shared" si="2"/>
        <v>15.383900000000001</v>
      </c>
      <c r="U50">
        <f t="shared" si="3"/>
        <v>1.5610197169000002</v>
      </c>
      <c r="X50" s="9"/>
      <c r="Y50" s="22">
        <v>1.5985100000000001</v>
      </c>
      <c r="Z50" s="22">
        <v>72.625399999999999</v>
      </c>
      <c r="AA50" s="22">
        <v>-1.35406E-2</v>
      </c>
      <c r="AB50" s="22">
        <v>40</v>
      </c>
      <c r="AC50" s="22">
        <v>1.5975999999999999</v>
      </c>
      <c r="AD50">
        <f t="shared" si="4"/>
        <v>13.5406</v>
      </c>
      <c r="AE50">
        <f t="shared" si="5"/>
        <v>21.644784506000001</v>
      </c>
      <c r="AF50" s="9"/>
      <c r="AG50" s="22">
        <v>0.10147100000000001</v>
      </c>
      <c r="AH50" s="22">
        <v>107.34099999999999</v>
      </c>
      <c r="AI50" s="22">
        <v>-1.54266E-2</v>
      </c>
      <c r="AJ50" s="22">
        <v>40</v>
      </c>
      <c r="AK50" s="22">
        <v>0.10083</v>
      </c>
      <c r="AL50">
        <f t="shared" si="6"/>
        <v>15.426600000000001</v>
      </c>
      <c r="AM50">
        <f t="shared" si="7"/>
        <v>1.5653525286000001</v>
      </c>
      <c r="AP50" s="9"/>
      <c r="AQ50" s="22">
        <v>1.5985100000000001</v>
      </c>
      <c r="AR50" s="22">
        <v>135.822</v>
      </c>
      <c r="AS50" s="22">
        <v>-1.33606E-2</v>
      </c>
      <c r="AT50" s="22">
        <v>40</v>
      </c>
      <c r="AU50" s="22">
        <v>1.5975999999999999</v>
      </c>
      <c r="AV50">
        <f t="shared" si="8"/>
        <v>13.3606</v>
      </c>
      <c r="AW50">
        <f t="shared" si="9"/>
        <v>21.357052706000001</v>
      </c>
      <c r="AX50" s="9"/>
      <c r="AY50" s="22">
        <v>0.10147100000000001</v>
      </c>
      <c r="AZ50" s="22">
        <v>179.67599999999999</v>
      </c>
      <c r="BA50" s="22">
        <v>-1.5573099999999999E-2</v>
      </c>
      <c r="BB50" s="22">
        <v>40</v>
      </c>
      <c r="BC50" s="22">
        <v>0.100769</v>
      </c>
      <c r="BD50">
        <f t="shared" si="10"/>
        <v>15.5731</v>
      </c>
      <c r="BE50">
        <f t="shared" si="11"/>
        <v>1.5802180301000002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11.8093</v>
      </c>
      <c r="I51" s="22">
        <v>-1.3684099999999999E-2</v>
      </c>
      <c r="J51" s="22">
        <v>41</v>
      </c>
      <c r="K51" s="22">
        <v>1.5921000000000001</v>
      </c>
      <c r="L51">
        <f t="shared" si="0"/>
        <v>13.684099999999999</v>
      </c>
      <c r="M51">
        <f t="shared" si="1"/>
        <v>21.805339667999998</v>
      </c>
      <c r="N51" s="9"/>
      <c r="O51" s="22">
        <v>0.106506</v>
      </c>
      <c r="P51" s="22">
        <v>44.582500000000003</v>
      </c>
      <c r="Q51" s="22">
        <v>-1.53778E-2</v>
      </c>
      <c r="R51" s="22">
        <v>41</v>
      </c>
      <c r="S51" s="22">
        <v>0.10577400000000001</v>
      </c>
      <c r="T51">
        <f t="shared" si="2"/>
        <v>15.377800000000001</v>
      </c>
      <c r="U51">
        <f t="shared" si="3"/>
        <v>1.6378279668000002</v>
      </c>
      <c r="X51" s="9"/>
      <c r="Y51" s="22">
        <v>1.59348</v>
      </c>
      <c r="Z51" s="22">
        <v>72.635499999999993</v>
      </c>
      <c r="AA51" s="22">
        <v>-1.3623E-2</v>
      </c>
      <c r="AB51" s="22">
        <v>41</v>
      </c>
      <c r="AC51" s="22">
        <v>1.5924100000000001</v>
      </c>
      <c r="AD51">
        <f t="shared" si="4"/>
        <v>13.622999999999999</v>
      </c>
      <c r="AE51">
        <f t="shared" si="5"/>
        <v>21.70797804</v>
      </c>
      <c r="AF51" s="9"/>
      <c r="AG51" s="22">
        <v>0.106506</v>
      </c>
      <c r="AH51" s="22">
        <v>107.351</v>
      </c>
      <c r="AI51" s="22">
        <v>-1.5423600000000001E-2</v>
      </c>
      <c r="AJ51" s="22">
        <v>41</v>
      </c>
      <c r="AK51" s="22">
        <v>0.105804</v>
      </c>
      <c r="AL51">
        <f t="shared" si="6"/>
        <v>15.4236</v>
      </c>
      <c r="AM51">
        <f t="shared" si="7"/>
        <v>1.6427059416000001</v>
      </c>
      <c r="AP51" s="9"/>
      <c r="AQ51" s="22">
        <v>1.59348</v>
      </c>
      <c r="AR51" s="22">
        <v>135.83199999999999</v>
      </c>
      <c r="AS51" s="22">
        <v>-1.3446E-2</v>
      </c>
      <c r="AT51" s="22">
        <v>41</v>
      </c>
      <c r="AU51" s="22">
        <v>1.5924100000000001</v>
      </c>
      <c r="AV51">
        <f t="shared" si="8"/>
        <v>13.446</v>
      </c>
      <c r="AW51">
        <f t="shared" si="9"/>
        <v>21.425932079999999</v>
      </c>
      <c r="AX51" s="9"/>
      <c r="AY51" s="22">
        <v>0.106506</v>
      </c>
      <c r="AZ51" s="22">
        <v>179.68600000000001</v>
      </c>
      <c r="BA51" s="22">
        <v>-1.55701E-2</v>
      </c>
      <c r="BB51" s="22">
        <v>41</v>
      </c>
      <c r="BC51" s="22">
        <v>0.105682</v>
      </c>
      <c r="BD51">
        <f t="shared" si="10"/>
        <v>15.5701</v>
      </c>
      <c r="BE51">
        <f t="shared" si="11"/>
        <v>1.6583090706000001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11.8194</v>
      </c>
      <c r="I52" s="22">
        <v>-1.3754300000000001E-2</v>
      </c>
      <c r="J52" s="22">
        <v>42</v>
      </c>
      <c r="K52" s="22">
        <v>1.5878300000000001</v>
      </c>
      <c r="L52">
        <f t="shared" si="0"/>
        <v>13.754300000000001</v>
      </c>
      <c r="M52">
        <f t="shared" si="1"/>
        <v>21.847880292000003</v>
      </c>
      <c r="N52" s="9"/>
      <c r="O52" s="22">
        <v>0.111542</v>
      </c>
      <c r="P52" s="22">
        <v>44.592500000000001</v>
      </c>
      <c r="Q52" s="22">
        <v>-1.5374799999999999E-2</v>
      </c>
      <c r="R52" s="22">
        <v>42</v>
      </c>
      <c r="S52" s="22">
        <v>0.110809</v>
      </c>
      <c r="T52">
        <f t="shared" si="2"/>
        <v>15.374799999999999</v>
      </c>
      <c r="U52">
        <f t="shared" si="3"/>
        <v>1.7149359415999998</v>
      </c>
      <c r="X52" s="9"/>
      <c r="Y52" s="22">
        <v>1.5884400000000001</v>
      </c>
      <c r="Z52" s="22">
        <v>72.645600000000002</v>
      </c>
      <c r="AA52" s="22">
        <v>-1.3699299999999999E-2</v>
      </c>
      <c r="AB52" s="22">
        <v>42</v>
      </c>
      <c r="AC52" s="22">
        <v>1.58691</v>
      </c>
      <c r="AD52">
        <f t="shared" si="4"/>
        <v>13.699299999999999</v>
      </c>
      <c r="AE52">
        <f t="shared" si="5"/>
        <v>21.760516092</v>
      </c>
      <c r="AF52" s="9"/>
      <c r="AG52" s="22">
        <v>0.111542</v>
      </c>
      <c r="AH52" s="22">
        <v>107.361</v>
      </c>
      <c r="AI52" s="22">
        <v>-1.54266E-2</v>
      </c>
      <c r="AJ52" s="22">
        <v>42</v>
      </c>
      <c r="AK52" s="22">
        <v>0.110809</v>
      </c>
      <c r="AL52">
        <f t="shared" si="6"/>
        <v>15.426600000000001</v>
      </c>
      <c r="AM52">
        <f t="shared" si="7"/>
        <v>1.7207138172000001</v>
      </c>
      <c r="AP52" s="9"/>
      <c r="AQ52" s="22">
        <v>1.5884400000000001</v>
      </c>
      <c r="AR52" s="22">
        <v>135.84200000000001</v>
      </c>
      <c r="AS52" s="22">
        <v>-1.35315E-2</v>
      </c>
      <c r="AT52" s="22">
        <v>42</v>
      </c>
      <c r="AU52" s="22">
        <v>1.5872200000000001</v>
      </c>
      <c r="AV52">
        <f t="shared" si="8"/>
        <v>13.531499999999999</v>
      </c>
      <c r="AW52">
        <f t="shared" si="9"/>
        <v>21.493975859999999</v>
      </c>
      <c r="AX52" s="9"/>
      <c r="AY52" s="22">
        <v>0.111542</v>
      </c>
      <c r="AZ52" s="22">
        <v>179.696</v>
      </c>
      <c r="BA52" s="22">
        <v>-1.5564E-2</v>
      </c>
      <c r="BB52" s="22">
        <v>42</v>
      </c>
      <c r="BC52" s="22">
        <v>0.110809</v>
      </c>
      <c r="BD52">
        <f t="shared" si="10"/>
        <v>15.564</v>
      </c>
      <c r="BE52">
        <f t="shared" si="11"/>
        <v>1.736039688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11.829499999999999</v>
      </c>
      <c r="I53" s="22">
        <v>-1.38123E-2</v>
      </c>
      <c r="J53" s="22">
        <v>43</v>
      </c>
      <c r="K53" s="22">
        <v>1.5823400000000001</v>
      </c>
      <c r="L53">
        <f t="shared" si="0"/>
        <v>13.8123</v>
      </c>
      <c r="M53">
        <f t="shared" si="1"/>
        <v>21.870395819999999</v>
      </c>
      <c r="N53" s="9"/>
      <c r="O53" s="22">
        <v>0.116577</v>
      </c>
      <c r="P53" s="22">
        <v>44.602600000000002</v>
      </c>
      <c r="Q53" s="22">
        <v>-1.5368700000000001E-2</v>
      </c>
      <c r="R53" s="22">
        <v>43</v>
      </c>
      <c r="S53" s="22">
        <v>0.11575299999999999</v>
      </c>
      <c r="T53">
        <f t="shared" si="2"/>
        <v>15.3687</v>
      </c>
      <c r="U53">
        <f t="shared" si="3"/>
        <v>1.7916369399000001</v>
      </c>
      <c r="X53" s="9"/>
      <c r="Y53" s="22">
        <v>1.5833999999999999</v>
      </c>
      <c r="Z53" s="22">
        <v>72.655600000000007</v>
      </c>
      <c r="AA53" s="22">
        <v>-1.37695E-2</v>
      </c>
      <c r="AB53" s="22">
        <v>43</v>
      </c>
      <c r="AC53" s="22">
        <v>1.58264</v>
      </c>
      <c r="AD53">
        <f t="shared" si="4"/>
        <v>13.769500000000001</v>
      </c>
      <c r="AE53">
        <f t="shared" si="5"/>
        <v>21.8026263</v>
      </c>
      <c r="AF53" s="9"/>
      <c r="AG53" s="22">
        <v>0.116577</v>
      </c>
      <c r="AH53" s="22">
        <v>107.371</v>
      </c>
      <c r="AI53" s="22">
        <v>-1.54205E-2</v>
      </c>
      <c r="AJ53" s="22">
        <v>43</v>
      </c>
      <c r="AK53" s="22">
        <v>0.11587500000000001</v>
      </c>
      <c r="AL53">
        <f t="shared" si="6"/>
        <v>15.420500000000001</v>
      </c>
      <c r="AM53">
        <f t="shared" si="7"/>
        <v>1.7976756285</v>
      </c>
      <c r="AP53" s="9"/>
      <c r="AQ53" s="22">
        <v>1.5833999999999999</v>
      </c>
      <c r="AR53" s="22">
        <v>135.852</v>
      </c>
      <c r="AS53" s="22">
        <v>-1.36139E-2</v>
      </c>
      <c r="AT53" s="22">
        <v>43</v>
      </c>
      <c r="AU53" s="22">
        <v>1.5823400000000001</v>
      </c>
      <c r="AV53">
        <f t="shared" si="8"/>
        <v>13.613899999999999</v>
      </c>
      <c r="AW53">
        <f t="shared" si="9"/>
        <v>21.556249259999998</v>
      </c>
      <c r="AX53" s="9"/>
      <c r="AY53" s="22">
        <v>0.116577</v>
      </c>
      <c r="AZ53" s="22">
        <v>179.70599999999999</v>
      </c>
      <c r="BA53" s="22">
        <v>-1.55579E-2</v>
      </c>
      <c r="BB53" s="22">
        <v>43</v>
      </c>
      <c r="BC53" s="22">
        <v>0.115936</v>
      </c>
      <c r="BD53">
        <f t="shared" si="10"/>
        <v>15.5579</v>
      </c>
      <c r="BE53">
        <f t="shared" si="11"/>
        <v>1.8136933083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11.839600000000001</v>
      </c>
      <c r="I54" s="22">
        <v>-1.38672E-2</v>
      </c>
      <c r="J54" s="22">
        <v>44</v>
      </c>
      <c r="K54" s="22">
        <v>1.57684</v>
      </c>
      <c r="L54">
        <f t="shared" si="0"/>
        <v>13.8672</v>
      </c>
      <c r="M54">
        <f t="shared" si="1"/>
        <v>21.887572464000002</v>
      </c>
      <c r="N54" s="9"/>
      <c r="O54" s="22">
        <v>0.121613</v>
      </c>
      <c r="P54" s="22">
        <v>44.612699999999997</v>
      </c>
      <c r="Q54" s="22">
        <v>-1.53656E-2</v>
      </c>
      <c r="R54" s="22">
        <v>44</v>
      </c>
      <c r="S54" s="22">
        <v>0.120728</v>
      </c>
      <c r="T54">
        <f t="shared" si="2"/>
        <v>15.365600000000001</v>
      </c>
      <c r="U54">
        <f t="shared" si="3"/>
        <v>1.8686567128</v>
      </c>
      <c r="X54" s="9"/>
      <c r="Y54" s="22">
        <v>1.5783700000000001</v>
      </c>
      <c r="Z54" s="22">
        <v>72.665700000000001</v>
      </c>
      <c r="AA54" s="22">
        <v>-1.38367E-2</v>
      </c>
      <c r="AB54" s="22">
        <v>44</v>
      </c>
      <c r="AC54" s="22">
        <v>1.57745</v>
      </c>
      <c r="AD54">
        <f t="shared" si="4"/>
        <v>13.8367</v>
      </c>
      <c r="AE54">
        <f t="shared" si="5"/>
        <v>21.839432179000003</v>
      </c>
      <c r="AF54" s="9"/>
      <c r="AG54" s="22">
        <v>0.121613</v>
      </c>
      <c r="AH54" s="22">
        <v>107.381</v>
      </c>
      <c r="AI54" s="22">
        <v>-1.54144E-2</v>
      </c>
      <c r="AJ54" s="22">
        <v>44</v>
      </c>
      <c r="AK54" s="22">
        <v>0.12088</v>
      </c>
      <c r="AL54">
        <f t="shared" si="6"/>
        <v>15.414400000000001</v>
      </c>
      <c r="AM54">
        <f t="shared" si="7"/>
        <v>1.8745914272000002</v>
      </c>
      <c r="AP54" s="9"/>
      <c r="AQ54" s="22">
        <v>1.5783700000000001</v>
      </c>
      <c r="AR54" s="22">
        <v>135.86199999999999</v>
      </c>
      <c r="AS54" s="22">
        <v>-1.36902E-2</v>
      </c>
      <c r="AT54" s="22">
        <v>44</v>
      </c>
      <c r="AU54" s="22">
        <v>1.57745</v>
      </c>
      <c r="AV54">
        <f t="shared" si="8"/>
        <v>13.690199999999999</v>
      </c>
      <c r="AW54">
        <f t="shared" si="9"/>
        <v>21.608200973999999</v>
      </c>
      <c r="AX54" s="9"/>
      <c r="AY54" s="22">
        <v>0.121613</v>
      </c>
      <c r="AZ54" s="22">
        <v>179.71600000000001</v>
      </c>
      <c r="BA54" s="22">
        <v>-1.5551799999999999E-2</v>
      </c>
      <c r="BB54" s="22">
        <v>44</v>
      </c>
      <c r="BC54" s="22">
        <v>0.12088</v>
      </c>
      <c r="BD54">
        <f t="shared" si="10"/>
        <v>15.5518</v>
      </c>
      <c r="BE54">
        <f t="shared" si="11"/>
        <v>1.8913010534000001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11.849600000000001</v>
      </c>
      <c r="I55" s="22">
        <v>-1.3913E-2</v>
      </c>
      <c r="J55" s="22">
        <v>45</v>
      </c>
      <c r="K55" s="22">
        <v>1.5728800000000001</v>
      </c>
      <c r="L55">
        <f t="shared" si="0"/>
        <v>13.913</v>
      </c>
      <c r="M55">
        <f t="shared" si="1"/>
        <v>21.889740289999999</v>
      </c>
      <c r="N55" s="9"/>
      <c r="O55" s="22">
        <v>0.12664800000000001</v>
      </c>
      <c r="P55" s="22">
        <v>44.622700000000002</v>
      </c>
      <c r="Q55" s="22">
        <v>-1.53595E-2</v>
      </c>
      <c r="R55" s="22">
        <v>45</v>
      </c>
      <c r="S55" s="22">
        <v>0.12597700000000001</v>
      </c>
      <c r="T55">
        <f t="shared" si="2"/>
        <v>15.359500000000001</v>
      </c>
      <c r="U55">
        <f t="shared" si="3"/>
        <v>1.9452499560000003</v>
      </c>
      <c r="X55" s="9"/>
      <c r="Y55" s="22">
        <v>1.5733299999999999</v>
      </c>
      <c r="Z55" s="22">
        <v>72.675799999999995</v>
      </c>
      <c r="AA55" s="22">
        <v>-1.39008E-2</v>
      </c>
      <c r="AB55" s="22">
        <v>45</v>
      </c>
      <c r="AC55" s="22">
        <v>1.57196</v>
      </c>
      <c r="AD55">
        <f t="shared" si="4"/>
        <v>13.9008</v>
      </c>
      <c r="AE55">
        <f t="shared" si="5"/>
        <v>21.870545663999998</v>
      </c>
      <c r="AF55" s="9"/>
      <c r="AG55" s="22">
        <v>0.12664800000000001</v>
      </c>
      <c r="AH55" s="22">
        <v>107.39100000000001</v>
      </c>
      <c r="AI55" s="22">
        <v>-1.54053E-2</v>
      </c>
      <c r="AJ55" s="22">
        <v>45</v>
      </c>
      <c r="AK55" s="22">
        <v>0.12585399999999999</v>
      </c>
      <c r="AL55">
        <f t="shared" si="6"/>
        <v>15.4053</v>
      </c>
      <c r="AM55">
        <f t="shared" si="7"/>
        <v>1.9510504344000001</v>
      </c>
      <c r="AP55" s="9"/>
      <c r="AQ55" s="22">
        <v>1.5733299999999999</v>
      </c>
      <c r="AR55" s="22">
        <v>135.87200000000001</v>
      </c>
      <c r="AS55" s="22">
        <v>-1.3760400000000001E-2</v>
      </c>
      <c r="AT55" s="22">
        <v>45</v>
      </c>
      <c r="AU55" s="22">
        <v>1.57196</v>
      </c>
      <c r="AV55">
        <f t="shared" si="8"/>
        <v>13.760400000000001</v>
      </c>
      <c r="AW55">
        <f t="shared" si="9"/>
        <v>21.649650131999998</v>
      </c>
      <c r="AX55" s="9"/>
      <c r="AY55" s="22">
        <v>0.12664800000000001</v>
      </c>
      <c r="AZ55" s="22">
        <v>179.726</v>
      </c>
      <c r="BA55" s="22">
        <v>-1.55487E-2</v>
      </c>
      <c r="BB55" s="22">
        <v>45</v>
      </c>
      <c r="BC55" s="22">
        <v>0.125916</v>
      </c>
      <c r="BD55">
        <f t="shared" si="10"/>
        <v>15.5487</v>
      </c>
      <c r="BE55">
        <f t="shared" si="11"/>
        <v>1.9692117576000001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11.8597</v>
      </c>
      <c r="I56" s="22">
        <v>-1.39557E-2</v>
      </c>
      <c r="J56" s="22">
        <v>46</v>
      </c>
      <c r="K56" s="22">
        <v>1.56708</v>
      </c>
      <c r="L56">
        <f t="shared" si="0"/>
        <v>13.9557</v>
      </c>
      <c r="M56">
        <f t="shared" si="1"/>
        <v>21.886724310000002</v>
      </c>
      <c r="N56" s="9"/>
      <c r="O56" s="22">
        <v>0.13168299999999999</v>
      </c>
      <c r="P56" s="22">
        <v>44.632800000000003</v>
      </c>
      <c r="Q56" s="22">
        <v>-1.53534E-2</v>
      </c>
      <c r="R56" s="22">
        <v>46</v>
      </c>
      <c r="S56" s="22">
        <v>0.13101199999999999</v>
      </c>
      <c r="T56">
        <f t="shared" si="2"/>
        <v>15.353399999999999</v>
      </c>
      <c r="U56">
        <f t="shared" si="3"/>
        <v>2.0217817721999998</v>
      </c>
      <c r="X56" s="9"/>
      <c r="Y56" s="22">
        <v>1.5683</v>
      </c>
      <c r="Z56" s="22">
        <v>72.6858</v>
      </c>
      <c r="AA56" s="22">
        <v>-1.39496E-2</v>
      </c>
      <c r="AB56" s="22">
        <v>46</v>
      </c>
      <c r="AC56" s="22">
        <v>1.56708</v>
      </c>
      <c r="AD56">
        <f t="shared" si="4"/>
        <v>13.9496</v>
      </c>
      <c r="AE56">
        <f t="shared" si="5"/>
        <v>21.87715768</v>
      </c>
      <c r="AF56" s="9"/>
      <c r="AG56" s="22">
        <v>0.13168299999999999</v>
      </c>
      <c r="AH56" s="22">
        <v>107.401</v>
      </c>
      <c r="AI56" s="22">
        <v>-1.53992E-2</v>
      </c>
      <c r="AJ56" s="22">
        <v>46</v>
      </c>
      <c r="AK56" s="22">
        <v>0.13098099999999999</v>
      </c>
      <c r="AL56">
        <f t="shared" si="6"/>
        <v>15.3992</v>
      </c>
      <c r="AM56">
        <f t="shared" si="7"/>
        <v>2.0278128536</v>
      </c>
      <c r="AP56" s="9"/>
      <c r="AQ56" s="22">
        <v>1.5683</v>
      </c>
      <c r="AR56" s="22">
        <v>135.88200000000001</v>
      </c>
      <c r="AS56" s="22">
        <v>-1.38336E-2</v>
      </c>
      <c r="AT56" s="22">
        <v>46</v>
      </c>
      <c r="AU56" s="22">
        <v>1.56738</v>
      </c>
      <c r="AV56">
        <f t="shared" si="8"/>
        <v>13.833600000000001</v>
      </c>
      <c r="AW56">
        <f t="shared" si="9"/>
        <v>21.695234880000001</v>
      </c>
      <c r="AX56" s="9"/>
      <c r="AY56" s="22">
        <v>0.13168299999999999</v>
      </c>
      <c r="AZ56" s="22">
        <v>179.73599999999999</v>
      </c>
      <c r="BA56" s="22">
        <v>-1.5545700000000001E-2</v>
      </c>
      <c r="BB56" s="22">
        <v>46</v>
      </c>
      <c r="BC56" s="22">
        <v>0.13101199999999999</v>
      </c>
      <c r="BD56">
        <f t="shared" si="10"/>
        <v>15.5457</v>
      </c>
      <c r="BE56">
        <f t="shared" si="11"/>
        <v>2.0471044131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11.8698</v>
      </c>
      <c r="I57" s="22">
        <v>-1.40015E-2</v>
      </c>
      <c r="J57" s="22">
        <v>47</v>
      </c>
      <c r="K57" s="22">
        <v>1.56219</v>
      </c>
      <c r="L57">
        <f t="shared" si="0"/>
        <v>14.0015</v>
      </c>
      <c r="M57">
        <f t="shared" si="1"/>
        <v>21.887984890000002</v>
      </c>
      <c r="N57" s="9"/>
      <c r="O57" s="22">
        <v>0.13671900000000001</v>
      </c>
      <c r="P57" s="22">
        <v>44.642899999999997</v>
      </c>
      <c r="Q57" s="22">
        <v>-1.5350300000000001E-2</v>
      </c>
      <c r="R57" s="22">
        <v>47</v>
      </c>
      <c r="S57" s="22">
        <v>0.13610800000000001</v>
      </c>
      <c r="T57">
        <f t="shared" si="2"/>
        <v>15.350300000000001</v>
      </c>
      <c r="U57">
        <f t="shared" si="3"/>
        <v>2.0986776657000004</v>
      </c>
      <c r="X57" s="9"/>
      <c r="Y57" s="22">
        <v>1.5632600000000001</v>
      </c>
      <c r="Z57" s="22">
        <v>72.695899999999995</v>
      </c>
      <c r="AA57" s="22">
        <v>-1.3998399999999999E-2</v>
      </c>
      <c r="AB57" s="22">
        <v>47</v>
      </c>
      <c r="AC57" s="22">
        <v>1.56219</v>
      </c>
      <c r="AD57">
        <f t="shared" si="4"/>
        <v>13.9984</v>
      </c>
      <c r="AE57">
        <f t="shared" si="5"/>
        <v>21.883138784000003</v>
      </c>
      <c r="AF57" s="9"/>
      <c r="AG57" s="22">
        <v>0.13671900000000001</v>
      </c>
      <c r="AH57" s="22">
        <v>107.411</v>
      </c>
      <c r="AI57" s="22">
        <v>-1.5396099999999999E-2</v>
      </c>
      <c r="AJ57" s="22">
        <v>47</v>
      </c>
      <c r="AK57" s="22">
        <v>0.135986</v>
      </c>
      <c r="AL57">
        <f t="shared" si="6"/>
        <v>15.396099999999999</v>
      </c>
      <c r="AM57">
        <f t="shared" si="7"/>
        <v>2.1049393958999998</v>
      </c>
      <c r="AP57" s="9"/>
      <c r="AQ57" s="22">
        <v>1.5632600000000001</v>
      </c>
      <c r="AR57" s="22">
        <v>135.892</v>
      </c>
      <c r="AS57" s="22">
        <v>-1.39008E-2</v>
      </c>
      <c r="AT57" s="22">
        <v>47</v>
      </c>
      <c r="AU57" s="22">
        <v>1.56158</v>
      </c>
      <c r="AV57">
        <f t="shared" si="8"/>
        <v>13.9008</v>
      </c>
      <c r="AW57">
        <f t="shared" si="9"/>
        <v>21.730564608000002</v>
      </c>
      <c r="AX57" s="9"/>
      <c r="AY57" s="22">
        <v>0.13671900000000001</v>
      </c>
      <c r="AZ57" s="22">
        <v>179.74600000000001</v>
      </c>
      <c r="BA57" s="22">
        <v>-1.5545700000000001E-2</v>
      </c>
      <c r="BB57" s="22">
        <v>47</v>
      </c>
      <c r="BC57" s="22">
        <v>0.13595599999999999</v>
      </c>
      <c r="BD57">
        <f t="shared" si="10"/>
        <v>15.5457</v>
      </c>
      <c r="BE57">
        <f t="shared" si="11"/>
        <v>2.1253925583000002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11.879799999999999</v>
      </c>
      <c r="I58" s="22">
        <v>-1.40381E-2</v>
      </c>
      <c r="J58" s="22">
        <v>48</v>
      </c>
      <c r="K58" s="22">
        <v>1.55701</v>
      </c>
      <c r="L58">
        <f t="shared" si="0"/>
        <v>14.0381</v>
      </c>
      <c r="M58">
        <f t="shared" si="1"/>
        <v>21.874588563</v>
      </c>
      <c r="N58" s="9"/>
      <c r="O58" s="22">
        <v>0.14175399999999999</v>
      </c>
      <c r="P58" s="22">
        <v>44.652999999999999</v>
      </c>
      <c r="Q58" s="22">
        <v>-1.5344200000000001E-2</v>
      </c>
      <c r="R58" s="22">
        <v>48</v>
      </c>
      <c r="S58" s="22">
        <v>0.14108299999999999</v>
      </c>
      <c r="T58">
        <f t="shared" si="2"/>
        <v>15.344200000000001</v>
      </c>
      <c r="U58">
        <f t="shared" si="3"/>
        <v>2.1751017267999999</v>
      </c>
      <c r="X58" s="9"/>
      <c r="Y58" s="22">
        <v>1.55823</v>
      </c>
      <c r="Z58" s="22">
        <v>72.706000000000003</v>
      </c>
      <c r="AA58" s="22">
        <v>-1.40442E-2</v>
      </c>
      <c r="AB58" s="22">
        <v>48</v>
      </c>
      <c r="AC58" s="22">
        <v>1.5567</v>
      </c>
      <c r="AD58">
        <f t="shared" si="4"/>
        <v>14.0442</v>
      </c>
      <c r="AE58">
        <f t="shared" si="5"/>
        <v>21.884093765999999</v>
      </c>
      <c r="AF58" s="9"/>
      <c r="AG58" s="22">
        <v>0.14175399999999999</v>
      </c>
      <c r="AH58" s="22">
        <v>107.42100000000001</v>
      </c>
      <c r="AI58" s="22">
        <v>-1.5389999999999999E-2</v>
      </c>
      <c r="AJ58" s="22">
        <v>48</v>
      </c>
      <c r="AK58" s="22">
        <v>0.14105200000000001</v>
      </c>
      <c r="AL58">
        <f t="shared" si="6"/>
        <v>15.389999999999999</v>
      </c>
      <c r="AM58">
        <f t="shared" si="7"/>
        <v>2.1815940599999997</v>
      </c>
      <c r="AP58" s="9"/>
      <c r="AQ58" s="22">
        <v>1.55823</v>
      </c>
      <c r="AR58" s="22">
        <v>135.90199999999999</v>
      </c>
      <c r="AS58" s="22">
        <v>-1.3958699999999999E-2</v>
      </c>
      <c r="AT58" s="22">
        <v>48</v>
      </c>
      <c r="AU58" s="22">
        <v>1.55701</v>
      </c>
      <c r="AV58">
        <f t="shared" si="8"/>
        <v>13.958699999999999</v>
      </c>
      <c r="AW58">
        <f t="shared" si="9"/>
        <v>21.750865100999999</v>
      </c>
      <c r="AX58" s="9"/>
      <c r="AY58" s="22">
        <v>0.14175399999999999</v>
      </c>
      <c r="AZ58" s="22">
        <v>179.75700000000001</v>
      </c>
      <c r="BA58" s="22">
        <v>-1.55426E-2</v>
      </c>
      <c r="BB58" s="22">
        <v>48</v>
      </c>
      <c r="BC58" s="22">
        <v>0.14105200000000001</v>
      </c>
      <c r="BD58">
        <f t="shared" si="10"/>
        <v>15.5426</v>
      </c>
      <c r="BE58">
        <f t="shared" si="11"/>
        <v>2.2032257203999999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11.889900000000001</v>
      </c>
      <c r="I59" s="22">
        <v>-1.4074700000000001E-2</v>
      </c>
      <c r="J59" s="22">
        <v>49</v>
      </c>
      <c r="K59" s="22">
        <v>1.55182</v>
      </c>
      <c r="L59">
        <f t="shared" si="0"/>
        <v>14.0747</v>
      </c>
      <c r="M59">
        <f t="shared" si="1"/>
        <v>21.860683293000001</v>
      </c>
      <c r="N59" s="9"/>
      <c r="O59" s="22">
        <v>0.14679</v>
      </c>
      <c r="P59" s="22">
        <v>44.662999999999997</v>
      </c>
      <c r="Q59" s="22">
        <v>-1.53381E-2</v>
      </c>
      <c r="R59" s="22">
        <v>49</v>
      </c>
      <c r="S59" s="22">
        <v>0.146088</v>
      </c>
      <c r="T59">
        <f t="shared" si="2"/>
        <v>15.338100000000001</v>
      </c>
      <c r="U59">
        <f t="shared" si="3"/>
        <v>2.2514796990000003</v>
      </c>
      <c r="X59" s="9"/>
      <c r="Y59" s="22">
        <v>1.5531900000000001</v>
      </c>
      <c r="Z59" s="22">
        <v>72.716099999999997</v>
      </c>
      <c r="AA59" s="22">
        <v>-1.409E-2</v>
      </c>
      <c r="AB59" s="22">
        <v>49</v>
      </c>
      <c r="AC59" s="22">
        <v>1.5521199999999999</v>
      </c>
      <c r="AD59">
        <f t="shared" si="4"/>
        <v>14.09</v>
      </c>
      <c r="AE59">
        <f t="shared" si="5"/>
        <v>21.884447099999999</v>
      </c>
      <c r="AF59" s="9"/>
      <c r="AG59" s="22">
        <v>0.14679</v>
      </c>
      <c r="AH59" s="22">
        <v>107.431</v>
      </c>
      <c r="AI59" s="22">
        <v>-1.5383900000000001E-2</v>
      </c>
      <c r="AJ59" s="22">
        <v>49</v>
      </c>
      <c r="AK59" s="22">
        <v>0.146088</v>
      </c>
      <c r="AL59">
        <f t="shared" si="6"/>
        <v>15.383900000000001</v>
      </c>
      <c r="AM59">
        <f t="shared" si="7"/>
        <v>2.2582026810000002</v>
      </c>
      <c r="AP59" s="9"/>
      <c r="AQ59" s="22">
        <v>1.5531900000000001</v>
      </c>
      <c r="AR59" s="22">
        <v>135.91200000000001</v>
      </c>
      <c r="AS59" s="22">
        <v>-1.40137E-2</v>
      </c>
      <c r="AT59" s="22">
        <v>49</v>
      </c>
      <c r="AU59" s="22">
        <v>1.5521199999999999</v>
      </c>
      <c r="AV59">
        <f t="shared" si="8"/>
        <v>14.0137</v>
      </c>
      <c r="AW59">
        <f t="shared" si="9"/>
        <v>21.765938703</v>
      </c>
      <c r="AX59" s="9"/>
      <c r="AY59" s="22">
        <v>0.14679</v>
      </c>
      <c r="AZ59" s="22">
        <v>179.767</v>
      </c>
      <c r="BA59" s="22">
        <v>-1.55365E-2</v>
      </c>
      <c r="BB59" s="22">
        <v>49</v>
      </c>
      <c r="BC59" s="22">
        <v>0.146118</v>
      </c>
      <c r="BD59">
        <f t="shared" si="10"/>
        <v>15.5365</v>
      </c>
      <c r="BE59">
        <f t="shared" si="11"/>
        <v>2.2806028350000003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11.9</v>
      </c>
      <c r="I60" s="22">
        <v>-1.41022E-2</v>
      </c>
      <c r="J60" s="22">
        <v>50</v>
      </c>
      <c r="K60" s="22">
        <v>1.5472399999999999</v>
      </c>
      <c r="L60">
        <f t="shared" si="0"/>
        <v>14.1022</v>
      </c>
      <c r="M60">
        <f t="shared" si="1"/>
        <v>21.832461951999999</v>
      </c>
      <c r="N60" s="9"/>
      <c r="O60" s="22">
        <v>0.15182499999999999</v>
      </c>
      <c r="P60" s="22">
        <v>44.673099999999998</v>
      </c>
      <c r="Q60" s="22">
        <v>-1.5332E-2</v>
      </c>
      <c r="R60" s="22">
        <v>50</v>
      </c>
      <c r="S60" s="22">
        <v>0.15115400000000001</v>
      </c>
      <c r="T60">
        <f t="shared" si="2"/>
        <v>15.332000000000001</v>
      </c>
      <c r="U60">
        <f t="shared" si="3"/>
        <v>2.3277809</v>
      </c>
      <c r="X60" s="9"/>
      <c r="Y60" s="22">
        <v>1.54816</v>
      </c>
      <c r="Z60" s="22">
        <v>72.726100000000002</v>
      </c>
      <c r="AA60" s="22">
        <v>-1.4129600000000001E-2</v>
      </c>
      <c r="AB60" s="22">
        <v>50</v>
      </c>
      <c r="AC60" s="22">
        <v>1.54694</v>
      </c>
      <c r="AD60">
        <f t="shared" si="4"/>
        <v>14.129600000000002</v>
      </c>
      <c r="AE60">
        <f t="shared" si="5"/>
        <v>21.874881536000004</v>
      </c>
      <c r="AF60" s="9"/>
      <c r="AG60" s="22">
        <v>0.15182499999999999</v>
      </c>
      <c r="AH60" s="22">
        <v>107.441</v>
      </c>
      <c r="AI60" s="22">
        <v>-1.53778E-2</v>
      </c>
      <c r="AJ60" s="22">
        <v>50</v>
      </c>
      <c r="AK60" s="22">
        <v>0.15109300000000001</v>
      </c>
      <c r="AL60">
        <f t="shared" si="6"/>
        <v>15.377800000000001</v>
      </c>
      <c r="AM60">
        <f t="shared" si="7"/>
        <v>2.3347344849999998</v>
      </c>
      <c r="AP60" s="9"/>
      <c r="AQ60" s="22">
        <v>1.54816</v>
      </c>
      <c r="AR60" s="22">
        <v>135.922</v>
      </c>
      <c r="AS60" s="22">
        <v>-1.4068600000000001E-2</v>
      </c>
      <c r="AT60" s="22">
        <v>50</v>
      </c>
      <c r="AU60" s="22">
        <v>1.5460199999999999</v>
      </c>
      <c r="AV60">
        <f t="shared" si="8"/>
        <v>14.0686</v>
      </c>
      <c r="AW60">
        <f t="shared" si="9"/>
        <v>21.780443775999998</v>
      </c>
      <c r="AX60" s="9"/>
      <c r="AY60" s="22">
        <v>0.15182499999999999</v>
      </c>
      <c r="AZ60" s="22">
        <v>179.77699999999999</v>
      </c>
      <c r="BA60" s="22">
        <v>-1.5533399999999999E-2</v>
      </c>
      <c r="BB60" s="22">
        <v>50</v>
      </c>
      <c r="BC60" s="22">
        <v>0.151031</v>
      </c>
      <c r="BD60">
        <f t="shared" si="10"/>
        <v>15.533399999999999</v>
      </c>
      <c r="BE60">
        <f t="shared" si="11"/>
        <v>2.3583584549999994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11.9101</v>
      </c>
      <c r="I61" s="22">
        <v>-1.4129600000000001E-2</v>
      </c>
      <c r="J61" s="22">
        <v>51</v>
      </c>
      <c r="K61" s="22">
        <v>1.54175</v>
      </c>
      <c r="L61">
        <f t="shared" si="0"/>
        <v>14.129600000000002</v>
      </c>
      <c r="M61">
        <f t="shared" si="1"/>
        <v>21.803668352000003</v>
      </c>
      <c r="N61" s="9"/>
      <c r="O61" s="22">
        <v>0.15686</v>
      </c>
      <c r="P61" s="22">
        <v>44.683199999999999</v>
      </c>
      <c r="Q61" s="22">
        <v>-1.5329000000000001E-2</v>
      </c>
      <c r="R61" s="22">
        <v>51</v>
      </c>
      <c r="S61" s="22">
        <v>0.15618899999999999</v>
      </c>
      <c r="T61">
        <f t="shared" si="2"/>
        <v>15.329000000000001</v>
      </c>
      <c r="U61">
        <f t="shared" si="3"/>
        <v>2.4045069400000001</v>
      </c>
      <c r="X61" s="9"/>
      <c r="Y61" s="22">
        <v>1.54312</v>
      </c>
      <c r="Z61" s="22">
        <v>72.736199999999997</v>
      </c>
      <c r="AA61" s="22">
        <v>-1.4163200000000001E-2</v>
      </c>
      <c r="AB61" s="22">
        <v>51</v>
      </c>
      <c r="AC61" s="22">
        <v>1.54175</v>
      </c>
      <c r="AD61">
        <f t="shared" si="4"/>
        <v>14.163200000000002</v>
      </c>
      <c r="AE61">
        <f t="shared" si="5"/>
        <v>21.855517184000004</v>
      </c>
      <c r="AF61" s="9"/>
      <c r="AG61" s="22">
        <v>0.15686</v>
      </c>
      <c r="AH61" s="22">
        <v>107.45099999999999</v>
      </c>
      <c r="AI61" s="22">
        <v>-1.53778E-2</v>
      </c>
      <c r="AJ61" s="22">
        <v>51</v>
      </c>
      <c r="AK61" s="22">
        <v>0.15615799999999999</v>
      </c>
      <c r="AL61">
        <f t="shared" si="6"/>
        <v>15.377800000000001</v>
      </c>
      <c r="AM61">
        <f t="shared" si="7"/>
        <v>2.4121617080000002</v>
      </c>
      <c r="AP61" s="9"/>
      <c r="AQ61" s="22">
        <v>1.54312</v>
      </c>
      <c r="AR61" s="22">
        <v>135.93199999999999</v>
      </c>
      <c r="AS61" s="22">
        <v>-1.41113E-2</v>
      </c>
      <c r="AT61" s="22">
        <v>51</v>
      </c>
      <c r="AU61" s="22">
        <v>1.54236</v>
      </c>
      <c r="AV61">
        <f t="shared" si="8"/>
        <v>14.1113</v>
      </c>
      <c r="AW61">
        <f t="shared" si="9"/>
        <v>21.775429255999999</v>
      </c>
      <c r="AX61" s="9"/>
      <c r="AY61" s="22">
        <v>0.15686</v>
      </c>
      <c r="AZ61" s="22">
        <v>179.78700000000001</v>
      </c>
      <c r="BA61" s="22">
        <v>-1.5527300000000001E-2</v>
      </c>
      <c r="BB61" s="22">
        <v>51</v>
      </c>
      <c r="BC61" s="22">
        <v>0.15603600000000001</v>
      </c>
      <c r="BD61">
        <f t="shared" si="10"/>
        <v>15.5273</v>
      </c>
      <c r="BE61">
        <f t="shared" si="11"/>
        <v>2.4356122780000002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11.9201</v>
      </c>
      <c r="I62" s="22">
        <v>-1.4157100000000001E-2</v>
      </c>
      <c r="J62" s="22">
        <v>52</v>
      </c>
      <c r="K62" s="22">
        <v>1.53748</v>
      </c>
      <c r="L62">
        <f t="shared" si="0"/>
        <v>14.1571</v>
      </c>
      <c r="M62">
        <f t="shared" si="1"/>
        <v>21.774893938999998</v>
      </c>
      <c r="N62" s="9"/>
      <c r="O62" s="22">
        <v>0.16189600000000001</v>
      </c>
      <c r="P62" s="22">
        <v>44.693199999999997</v>
      </c>
      <c r="Q62" s="22">
        <v>-1.53259E-2</v>
      </c>
      <c r="R62" s="22">
        <v>52</v>
      </c>
      <c r="S62" s="22">
        <v>0.16128500000000001</v>
      </c>
      <c r="T62">
        <f t="shared" si="2"/>
        <v>15.325900000000001</v>
      </c>
      <c r="U62">
        <f t="shared" si="3"/>
        <v>2.4812019064000004</v>
      </c>
      <c r="X62" s="9"/>
      <c r="Y62" s="22">
        <v>1.53809</v>
      </c>
      <c r="Z62" s="22">
        <v>72.746300000000005</v>
      </c>
      <c r="AA62" s="22">
        <v>-1.41937E-2</v>
      </c>
      <c r="AB62" s="22">
        <v>52</v>
      </c>
      <c r="AC62" s="22">
        <v>1.5371699999999999</v>
      </c>
      <c r="AD62">
        <f t="shared" si="4"/>
        <v>14.1937</v>
      </c>
      <c r="AE62">
        <f t="shared" si="5"/>
        <v>21.831188033</v>
      </c>
      <c r="AF62" s="9"/>
      <c r="AG62" s="22">
        <v>0.16189600000000001</v>
      </c>
      <c r="AH62" s="22">
        <v>107.461</v>
      </c>
      <c r="AI62" s="22">
        <v>-1.5374799999999999E-2</v>
      </c>
      <c r="AJ62" s="22">
        <v>52</v>
      </c>
      <c r="AK62" s="22">
        <v>0.161102</v>
      </c>
      <c r="AL62">
        <f t="shared" si="6"/>
        <v>15.374799999999999</v>
      </c>
      <c r="AM62">
        <f t="shared" si="7"/>
        <v>2.4891186207999998</v>
      </c>
      <c r="AP62" s="9"/>
      <c r="AQ62" s="22">
        <v>1.53809</v>
      </c>
      <c r="AR62" s="22">
        <v>135.94200000000001</v>
      </c>
      <c r="AS62" s="22">
        <v>-1.4151E-2</v>
      </c>
      <c r="AT62" s="22">
        <v>52</v>
      </c>
      <c r="AU62" s="22">
        <v>1.53748</v>
      </c>
      <c r="AV62">
        <f t="shared" si="8"/>
        <v>14.151</v>
      </c>
      <c r="AW62">
        <f t="shared" si="9"/>
        <v>21.765511589999999</v>
      </c>
      <c r="AX62" s="9"/>
      <c r="AY62" s="22">
        <v>0.16189600000000001</v>
      </c>
      <c r="AZ62" s="22">
        <v>179.797</v>
      </c>
      <c r="BA62" s="22">
        <v>-1.5521200000000001E-2</v>
      </c>
      <c r="BB62" s="22">
        <v>52</v>
      </c>
      <c r="BC62" s="22">
        <v>0.161163</v>
      </c>
      <c r="BD62">
        <f t="shared" si="10"/>
        <v>15.5212</v>
      </c>
      <c r="BE62">
        <f t="shared" si="11"/>
        <v>2.5128201952000002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11.930199999999999</v>
      </c>
      <c r="I63" s="22">
        <v>-1.41815E-2</v>
      </c>
      <c r="J63" s="22">
        <v>53</v>
      </c>
      <c r="K63" s="22">
        <v>1.5319799999999999</v>
      </c>
      <c r="L63">
        <f t="shared" si="0"/>
        <v>14.1815</v>
      </c>
      <c r="M63">
        <f t="shared" si="1"/>
        <v>21.740948575000001</v>
      </c>
      <c r="N63" s="9"/>
      <c r="O63" s="22">
        <v>0.166931</v>
      </c>
      <c r="P63" s="22">
        <v>44.703299999999999</v>
      </c>
      <c r="Q63" s="22">
        <v>-1.53198E-2</v>
      </c>
      <c r="R63" s="22">
        <v>53</v>
      </c>
      <c r="S63" s="22">
        <v>0.16619900000000001</v>
      </c>
      <c r="T63">
        <f t="shared" si="2"/>
        <v>15.319799999999999</v>
      </c>
      <c r="U63">
        <f t="shared" si="3"/>
        <v>2.5573495337999996</v>
      </c>
      <c r="X63" s="9"/>
      <c r="Y63" s="22">
        <v>1.53305</v>
      </c>
      <c r="Z63" s="22">
        <v>72.756299999999996</v>
      </c>
      <c r="AA63" s="22">
        <v>-1.4224199999999999E-2</v>
      </c>
      <c r="AB63" s="22">
        <v>53</v>
      </c>
      <c r="AC63" s="22">
        <v>1.5313699999999999</v>
      </c>
      <c r="AD63">
        <f t="shared" si="4"/>
        <v>14.2242</v>
      </c>
      <c r="AE63">
        <f t="shared" si="5"/>
        <v>21.806409810000002</v>
      </c>
      <c r="AF63" s="9"/>
      <c r="AG63" s="22">
        <v>0.166931</v>
      </c>
      <c r="AH63" s="22">
        <v>107.471</v>
      </c>
      <c r="AI63" s="22">
        <v>-1.53717E-2</v>
      </c>
      <c r="AJ63" s="22">
        <v>53</v>
      </c>
      <c r="AK63" s="22">
        <v>0.16616800000000001</v>
      </c>
      <c r="AL63">
        <f t="shared" si="6"/>
        <v>15.371700000000001</v>
      </c>
      <c r="AM63">
        <f t="shared" si="7"/>
        <v>2.5660132526999999</v>
      </c>
      <c r="AP63" s="9"/>
      <c r="AQ63" s="22">
        <v>1.53305</v>
      </c>
      <c r="AR63" s="22">
        <v>135.953</v>
      </c>
      <c r="AS63" s="22">
        <v>-1.41846E-2</v>
      </c>
      <c r="AT63" s="22">
        <v>53</v>
      </c>
      <c r="AU63" s="22">
        <v>1.5322899999999999</v>
      </c>
      <c r="AV63">
        <f t="shared" si="8"/>
        <v>14.1846</v>
      </c>
      <c r="AW63">
        <f t="shared" si="9"/>
        <v>21.745701029999999</v>
      </c>
      <c r="AX63" s="9"/>
      <c r="AY63" s="22">
        <v>0.166931</v>
      </c>
      <c r="AZ63" s="22">
        <v>179.80699999999999</v>
      </c>
      <c r="BA63" s="22">
        <v>-1.5512099999999999E-2</v>
      </c>
      <c r="BB63" s="22">
        <v>53</v>
      </c>
      <c r="BC63" s="22">
        <v>0.166107</v>
      </c>
      <c r="BD63">
        <f t="shared" si="10"/>
        <v>15.512099999999998</v>
      </c>
      <c r="BE63">
        <f t="shared" si="11"/>
        <v>2.5894503650999998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11.940300000000001</v>
      </c>
      <c r="I64" s="22">
        <v>-1.42059E-2</v>
      </c>
      <c r="J64" s="22">
        <v>54</v>
      </c>
      <c r="K64" s="22">
        <v>1.5270999999999999</v>
      </c>
      <c r="L64">
        <f t="shared" si="0"/>
        <v>14.2059</v>
      </c>
      <c r="M64">
        <f t="shared" si="1"/>
        <v>21.706899317999998</v>
      </c>
      <c r="N64" s="9"/>
      <c r="O64" s="22">
        <v>0.17196700000000001</v>
      </c>
      <c r="P64" s="22">
        <v>44.7134</v>
      </c>
      <c r="Q64" s="22">
        <v>-1.53168E-2</v>
      </c>
      <c r="R64" s="22">
        <v>54</v>
      </c>
      <c r="S64" s="22">
        <v>0.171265</v>
      </c>
      <c r="T64">
        <f t="shared" si="2"/>
        <v>15.316800000000001</v>
      </c>
      <c r="U64">
        <f t="shared" si="3"/>
        <v>2.6339841456000004</v>
      </c>
      <c r="X64" s="9"/>
      <c r="Y64" s="22">
        <v>1.5280199999999999</v>
      </c>
      <c r="Z64" s="22">
        <v>72.766400000000004</v>
      </c>
      <c r="AA64" s="22">
        <v>-1.4251700000000001E-2</v>
      </c>
      <c r="AB64" s="22">
        <v>54</v>
      </c>
      <c r="AC64" s="22">
        <v>1.5270999999999999</v>
      </c>
      <c r="AD64">
        <f t="shared" si="4"/>
        <v>14.251700000000001</v>
      </c>
      <c r="AE64">
        <f t="shared" si="5"/>
        <v>21.776882634</v>
      </c>
      <c r="AF64" s="9"/>
      <c r="AG64" s="22">
        <v>0.17196700000000001</v>
      </c>
      <c r="AH64" s="22">
        <v>107.482</v>
      </c>
      <c r="AI64" s="22">
        <v>-1.5368700000000001E-2</v>
      </c>
      <c r="AJ64" s="22">
        <v>54</v>
      </c>
      <c r="AK64" s="22">
        <v>0.171204</v>
      </c>
      <c r="AL64">
        <f t="shared" si="6"/>
        <v>15.3687</v>
      </c>
      <c r="AM64">
        <f t="shared" si="7"/>
        <v>2.6429092329000001</v>
      </c>
      <c r="AP64" s="9"/>
      <c r="AQ64" s="22">
        <v>1.5280199999999999</v>
      </c>
      <c r="AR64" s="22">
        <v>135.96299999999999</v>
      </c>
      <c r="AS64" s="22">
        <v>-1.4218099999999999E-2</v>
      </c>
      <c r="AT64" s="22">
        <v>54</v>
      </c>
      <c r="AU64" s="22">
        <v>1.5270999999999999</v>
      </c>
      <c r="AV64">
        <f t="shared" si="8"/>
        <v>14.2181</v>
      </c>
      <c r="AW64">
        <f t="shared" si="9"/>
        <v>21.725541161999999</v>
      </c>
      <c r="AX64" s="9"/>
      <c r="AY64" s="22">
        <v>0.17196700000000001</v>
      </c>
      <c r="AZ64" s="22">
        <v>179.81700000000001</v>
      </c>
      <c r="BA64" s="22">
        <v>-1.5509E-2</v>
      </c>
      <c r="BB64" s="22">
        <v>54</v>
      </c>
      <c r="BC64" s="22">
        <v>0.17117299999999999</v>
      </c>
      <c r="BD64">
        <f t="shared" si="10"/>
        <v>15.509</v>
      </c>
      <c r="BE64">
        <f t="shared" si="11"/>
        <v>2.6670362030000003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11.9503</v>
      </c>
      <c r="I65" s="22">
        <v>-1.42273E-2</v>
      </c>
      <c r="J65" s="22">
        <v>55</v>
      </c>
      <c r="K65" s="22">
        <v>1.5222199999999999</v>
      </c>
      <c r="L65">
        <f t="shared" si="0"/>
        <v>14.2273</v>
      </c>
      <c r="M65">
        <f t="shared" si="1"/>
        <v>21.667893354</v>
      </c>
      <c r="N65" s="9"/>
      <c r="O65" s="22">
        <v>0.17700199999999999</v>
      </c>
      <c r="P65" s="22">
        <v>44.723500000000001</v>
      </c>
      <c r="Q65" s="22">
        <v>-1.53107E-2</v>
      </c>
      <c r="R65" s="22">
        <v>55</v>
      </c>
      <c r="S65" s="22">
        <v>0.17623900000000001</v>
      </c>
      <c r="T65">
        <f t="shared" si="2"/>
        <v>15.310700000000001</v>
      </c>
      <c r="U65">
        <f t="shared" si="3"/>
        <v>2.7100245213999998</v>
      </c>
      <c r="X65" s="9"/>
      <c r="Y65" s="22">
        <v>1.52298</v>
      </c>
      <c r="Z65" s="22">
        <v>72.776499999999999</v>
      </c>
      <c r="AA65" s="22">
        <v>-1.42761E-2</v>
      </c>
      <c r="AB65" s="22">
        <v>55</v>
      </c>
      <c r="AC65" s="22">
        <v>1.5216099999999999</v>
      </c>
      <c r="AD65">
        <f t="shared" si="4"/>
        <v>14.2761</v>
      </c>
      <c r="AE65">
        <f t="shared" si="5"/>
        <v>21.742214778000001</v>
      </c>
      <c r="AF65" s="9"/>
      <c r="AG65" s="22">
        <v>0.17700199999999999</v>
      </c>
      <c r="AH65" s="22">
        <v>107.492</v>
      </c>
      <c r="AI65" s="22">
        <v>-1.53656E-2</v>
      </c>
      <c r="AJ65" s="22">
        <v>55</v>
      </c>
      <c r="AK65" s="22">
        <v>0.17630000000000001</v>
      </c>
      <c r="AL65">
        <f t="shared" si="6"/>
        <v>15.365600000000001</v>
      </c>
      <c r="AM65">
        <f t="shared" si="7"/>
        <v>2.7197419312000002</v>
      </c>
      <c r="AP65" s="9"/>
      <c r="AQ65" s="22">
        <v>1.52298</v>
      </c>
      <c r="AR65" s="22">
        <v>135.97300000000001</v>
      </c>
      <c r="AS65" s="22">
        <v>-1.42487E-2</v>
      </c>
      <c r="AT65" s="22">
        <v>55</v>
      </c>
      <c r="AU65" s="22">
        <v>1.5219100000000001</v>
      </c>
      <c r="AV65">
        <f t="shared" si="8"/>
        <v>14.248699999999999</v>
      </c>
      <c r="AW65">
        <f t="shared" si="9"/>
        <v>21.700485126</v>
      </c>
      <c r="AX65" s="9"/>
      <c r="AY65" s="22">
        <v>0.17700199999999999</v>
      </c>
      <c r="AZ65" s="22">
        <v>179.827</v>
      </c>
      <c r="BA65" s="22">
        <v>-1.55029E-2</v>
      </c>
      <c r="BB65" s="22">
        <v>55</v>
      </c>
      <c r="BC65" s="22">
        <v>0.17627000000000001</v>
      </c>
      <c r="BD65">
        <f t="shared" si="10"/>
        <v>15.5029</v>
      </c>
      <c r="BE65">
        <f t="shared" si="11"/>
        <v>2.7440443058000001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11.9604</v>
      </c>
      <c r="I66" s="22">
        <v>-1.4251700000000001E-2</v>
      </c>
      <c r="J66" s="22">
        <v>56</v>
      </c>
      <c r="K66" s="22">
        <v>1.5167200000000001</v>
      </c>
      <c r="L66">
        <f t="shared" si="0"/>
        <v>14.251700000000001</v>
      </c>
      <c r="M66">
        <f t="shared" si="1"/>
        <v>21.633225498000002</v>
      </c>
      <c r="N66" s="9"/>
      <c r="O66" s="22">
        <v>0.182037</v>
      </c>
      <c r="P66" s="22">
        <v>44.733499999999999</v>
      </c>
      <c r="Q66" s="22">
        <v>-1.53107E-2</v>
      </c>
      <c r="R66" s="22">
        <v>56</v>
      </c>
      <c r="S66" s="22">
        <v>0.18130499999999999</v>
      </c>
      <c r="T66">
        <f t="shared" si="2"/>
        <v>15.310700000000001</v>
      </c>
      <c r="U66">
        <f t="shared" si="3"/>
        <v>2.7871138959000001</v>
      </c>
      <c r="X66" s="9"/>
      <c r="Y66" s="22">
        <v>1.5179400000000001</v>
      </c>
      <c r="Z66" s="22">
        <v>72.786500000000004</v>
      </c>
      <c r="AA66" s="22">
        <v>-1.4300500000000001E-2</v>
      </c>
      <c r="AB66" s="22">
        <v>56</v>
      </c>
      <c r="AC66" s="22">
        <v>1.5170300000000001</v>
      </c>
      <c r="AD66">
        <f t="shared" si="4"/>
        <v>14.300500000000001</v>
      </c>
      <c r="AE66">
        <f t="shared" si="5"/>
        <v>21.707300970000002</v>
      </c>
      <c r="AF66" s="9"/>
      <c r="AG66" s="22">
        <v>0.182037</v>
      </c>
      <c r="AH66" s="22">
        <v>107.502</v>
      </c>
      <c r="AI66" s="22">
        <v>-1.53595E-2</v>
      </c>
      <c r="AJ66" s="22">
        <v>56</v>
      </c>
      <c r="AK66" s="22">
        <v>0.18130499999999999</v>
      </c>
      <c r="AL66">
        <f t="shared" si="6"/>
        <v>15.359500000000001</v>
      </c>
      <c r="AM66">
        <f t="shared" si="7"/>
        <v>2.7959973015000004</v>
      </c>
      <c r="AP66" s="9"/>
      <c r="AQ66" s="22">
        <v>1.5179400000000001</v>
      </c>
      <c r="AR66" s="22">
        <v>135.983</v>
      </c>
      <c r="AS66" s="22">
        <v>-1.4279200000000001E-2</v>
      </c>
      <c r="AT66" s="22">
        <v>56</v>
      </c>
      <c r="AU66" s="22">
        <v>1.5167200000000001</v>
      </c>
      <c r="AV66">
        <f t="shared" si="8"/>
        <v>14.279200000000001</v>
      </c>
      <c r="AW66">
        <f t="shared" si="9"/>
        <v>21.674968848000002</v>
      </c>
      <c r="AX66" s="9"/>
      <c r="AY66" s="22">
        <v>0.182037</v>
      </c>
      <c r="AZ66" s="22">
        <v>179.83699999999999</v>
      </c>
      <c r="BA66" s="22">
        <v>-1.54999E-2</v>
      </c>
      <c r="BB66" s="22">
        <v>56</v>
      </c>
      <c r="BC66" s="22">
        <v>0.181396</v>
      </c>
      <c r="BD66">
        <f t="shared" si="10"/>
        <v>15.4999</v>
      </c>
      <c r="BE66">
        <f t="shared" si="11"/>
        <v>2.8215552963000001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11.970499999999999</v>
      </c>
      <c r="I67" s="22">
        <v>-1.42731E-2</v>
      </c>
      <c r="J67" s="22">
        <v>57</v>
      </c>
      <c r="K67" s="22">
        <v>1.5115400000000001</v>
      </c>
      <c r="L67">
        <f t="shared" si="0"/>
        <v>14.273100000000001</v>
      </c>
      <c r="M67">
        <f t="shared" si="1"/>
        <v>21.593915721000002</v>
      </c>
      <c r="N67" s="9"/>
      <c r="O67" s="22">
        <v>0.18707299999999999</v>
      </c>
      <c r="P67" s="22">
        <v>44.743600000000001</v>
      </c>
      <c r="Q67" s="22">
        <v>-1.53107E-2</v>
      </c>
      <c r="R67" s="22">
        <v>57</v>
      </c>
      <c r="S67" s="22">
        <v>0.18631</v>
      </c>
      <c r="T67">
        <f t="shared" si="2"/>
        <v>15.310700000000001</v>
      </c>
      <c r="U67">
        <f t="shared" si="3"/>
        <v>2.8642185810999998</v>
      </c>
      <c r="X67" s="9"/>
      <c r="Y67" s="22">
        <v>1.51291</v>
      </c>
      <c r="Z67" s="22">
        <v>72.796599999999998</v>
      </c>
      <c r="AA67" s="22">
        <v>-1.4324999999999999E-2</v>
      </c>
      <c r="AB67" s="22">
        <v>57</v>
      </c>
      <c r="AC67" s="22">
        <v>1.5118400000000001</v>
      </c>
      <c r="AD67">
        <f t="shared" si="4"/>
        <v>14.324999999999999</v>
      </c>
      <c r="AE67">
        <f t="shared" si="5"/>
        <v>21.672435749999998</v>
      </c>
      <c r="AF67" s="9"/>
      <c r="AG67" s="22">
        <v>0.18707299999999999</v>
      </c>
      <c r="AH67" s="22">
        <v>107.512</v>
      </c>
      <c r="AI67" s="22">
        <v>-1.5350300000000001E-2</v>
      </c>
      <c r="AJ67" s="22">
        <v>57</v>
      </c>
      <c r="AK67" s="22">
        <v>0.18637100000000001</v>
      </c>
      <c r="AL67">
        <f t="shared" si="6"/>
        <v>15.350300000000001</v>
      </c>
      <c r="AM67">
        <f t="shared" si="7"/>
        <v>2.8716266719000001</v>
      </c>
      <c r="AP67" s="9"/>
      <c r="AQ67" s="22">
        <v>1.51291</v>
      </c>
      <c r="AR67" s="22">
        <v>135.99299999999999</v>
      </c>
      <c r="AS67" s="22">
        <v>-1.43097E-2</v>
      </c>
      <c r="AT67" s="22">
        <v>57</v>
      </c>
      <c r="AU67" s="22">
        <v>1.5121500000000001</v>
      </c>
      <c r="AV67">
        <f t="shared" si="8"/>
        <v>14.309699999999999</v>
      </c>
      <c r="AW67">
        <f t="shared" si="9"/>
        <v>21.649288227</v>
      </c>
      <c r="AX67" s="9"/>
      <c r="AY67" s="22">
        <v>0.18707299999999999</v>
      </c>
      <c r="AZ67" s="22">
        <v>179.84700000000001</v>
      </c>
      <c r="BA67" s="22">
        <v>-1.54999E-2</v>
      </c>
      <c r="BB67" s="22">
        <v>57</v>
      </c>
      <c r="BC67" s="22">
        <v>0.18640100000000001</v>
      </c>
      <c r="BD67">
        <f t="shared" si="10"/>
        <v>15.4999</v>
      </c>
      <c r="BE67">
        <f t="shared" si="11"/>
        <v>2.8996127926999997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11.980600000000001</v>
      </c>
      <c r="I68" s="22">
        <v>-1.42883E-2</v>
      </c>
      <c r="J68" s="22">
        <v>58</v>
      </c>
      <c r="K68" s="22">
        <v>1.50726</v>
      </c>
      <c r="L68">
        <f t="shared" si="0"/>
        <v>14.2883</v>
      </c>
      <c r="M68">
        <f t="shared" si="1"/>
        <v>21.544898921000001</v>
      </c>
      <c r="N68" s="9"/>
      <c r="O68" s="22">
        <v>0.192108</v>
      </c>
      <c r="P68" s="22">
        <v>44.753700000000002</v>
      </c>
      <c r="Q68" s="22">
        <v>-1.53046E-2</v>
      </c>
      <c r="R68" s="22">
        <v>58</v>
      </c>
      <c r="S68" s="22">
        <v>0.19137599999999999</v>
      </c>
      <c r="T68">
        <f t="shared" si="2"/>
        <v>15.304600000000001</v>
      </c>
      <c r="U68">
        <f t="shared" si="3"/>
        <v>2.9401360968000003</v>
      </c>
      <c r="X68" s="9"/>
      <c r="Y68" s="22">
        <v>1.50787</v>
      </c>
      <c r="Z68" s="22">
        <v>72.806700000000006</v>
      </c>
      <c r="AA68" s="22">
        <v>-1.4346299999999999E-2</v>
      </c>
      <c r="AB68" s="22">
        <v>58</v>
      </c>
      <c r="AC68" s="22">
        <v>1.50665</v>
      </c>
      <c r="AD68">
        <f t="shared" si="4"/>
        <v>14.346299999999999</v>
      </c>
      <c r="AE68">
        <f t="shared" si="5"/>
        <v>21.632355381</v>
      </c>
      <c r="AF68" s="9"/>
      <c r="AG68" s="22">
        <v>0.192108</v>
      </c>
      <c r="AH68" s="22">
        <v>107.52200000000001</v>
      </c>
      <c r="AI68" s="22">
        <v>-1.5347299999999999E-2</v>
      </c>
      <c r="AJ68" s="22">
        <v>58</v>
      </c>
      <c r="AK68" s="22">
        <v>0.19134499999999999</v>
      </c>
      <c r="AL68">
        <f t="shared" si="6"/>
        <v>15.347299999999999</v>
      </c>
      <c r="AM68">
        <f t="shared" si="7"/>
        <v>2.9483391083999999</v>
      </c>
      <c r="AP68" s="9"/>
      <c r="AQ68" s="22">
        <v>1.50787</v>
      </c>
      <c r="AR68" s="22">
        <v>136.00299999999999</v>
      </c>
      <c r="AS68" s="22">
        <v>-1.4334100000000001E-2</v>
      </c>
      <c r="AT68" s="22">
        <v>58</v>
      </c>
      <c r="AU68" s="22">
        <v>1.50665</v>
      </c>
      <c r="AV68">
        <f t="shared" si="8"/>
        <v>14.334100000000001</v>
      </c>
      <c r="AW68">
        <f t="shared" si="9"/>
        <v>21.613959367000003</v>
      </c>
      <c r="AX68" s="9"/>
      <c r="AY68" s="22">
        <v>0.192108</v>
      </c>
      <c r="AZ68" s="22">
        <v>179.857</v>
      </c>
      <c r="BA68" s="22">
        <v>-1.54968E-2</v>
      </c>
      <c r="BB68" s="22">
        <v>58</v>
      </c>
      <c r="BC68" s="22">
        <v>0.19131500000000001</v>
      </c>
      <c r="BD68">
        <f t="shared" si="10"/>
        <v>15.4968</v>
      </c>
      <c r="BE68">
        <f t="shared" si="11"/>
        <v>2.9770592544000003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11.990600000000001</v>
      </c>
      <c r="I69" s="22">
        <v>-1.4306599999999999E-2</v>
      </c>
      <c r="J69" s="22">
        <v>59</v>
      </c>
      <c r="K69" s="22">
        <v>1.50146</v>
      </c>
      <c r="L69">
        <f t="shared" si="0"/>
        <v>14.3066</v>
      </c>
      <c r="M69">
        <f t="shared" si="1"/>
        <v>21.500530743999999</v>
      </c>
      <c r="N69" s="9"/>
      <c r="O69" s="22">
        <v>0.19714400000000001</v>
      </c>
      <c r="P69" s="22">
        <v>44.7637</v>
      </c>
      <c r="Q69" s="22">
        <v>-1.5301500000000001E-2</v>
      </c>
      <c r="R69" s="22">
        <v>59</v>
      </c>
      <c r="S69" s="22">
        <v>0.196381</v>
      </c>
      <c r="T69">
        <f t="shared" si="2"/>
        <v>15.301500000000001</v>
      </c>
      <c r="U69">
        <f t="shared" si="3"/>
        <v>3.0165989160000004</v>
      </c>
      <c r="X69" s="9"/>
      <c r="Y69" s="22">
        <v>1.50284</v>
      </c>
      <c r="Z69" s="22">
        <v>72.816800000000001</v>
      </c>
      <c r="AA69" s="22">
        <v>-1.4367700000000001E-2</v>
      </c>
      <c r="AB69" s="22">
        <v>59</v>
      </c>
      <c r="AC69" s="22">
        <v>1.50146</v>
      </c>
      <c r="AD69">
        <f t="shared" si="4"/>
        <v>14.367700000000001</v>
      </c>
      <c r="AE69">
        <f t="shared" si="5"/>
        <v>21.592354268000001</v>
      </c>
      <c r="AF69" s="9"/>
      <c r="AG69" s="22">
        <v>0.19714400000000001</v>
      </c>
      <c r="AH69" s="22">
        <v>107.532</v>
      </c>
      <c r="AI69" s="22">
        <v>-1.5344200000000001E-2</v>
      </c>
      <c r="AJ69" s="22">
        <v>59</v>
      </c>
      <c r="AK69" s="22">
        <v>0.196381</v>
      </c>
      <c r="AL69">
        <f t="shared" si="6"/>
        <v>15.344200000000001</v>
      </c>
      <c r="AM69">
        <f t="shared" si="7"/>
        <v>3.0250169648000003</v>
      </c>
      <c r="AP69" s="9"/>
      <c r="AQ69" s="22">
        <v>1.50284</v>
      </c>
      <c r="AR69" s="22">
        <v>136.01300000000001</v>
      </c>
      <c r="AS69" s="22">
        <v>-1.43616E-2</v>
      </c>
      <c r="AT69" s="22">
        <v>59</v>
      </c>
      <c r="AU69" s="22">
        <v>1.50177</v>
      </c>
      <c r="AV69">
        <f t="shared" si="8"/>
        <v>14.361600000000001</v>
      </c>
      <c r="AW69">
        <f t="shared" si="9"/>
        <v>21.583186944000001</v>
      </c>
      <c r="AX69" s="9"/>
      <c r="AY69" s="22">
        <v>0.19714400000000001</v>
      </c>
      <c r="AZ69" s="22">
        <v>179.86699999999999</v>
      </c>
      <c r="BA69" s="22">
        <v>-1.54907E-2</v>
      </c>
      <c r="BB69" s="22">
        <v>59</v>
      </c>
      <c r="BC69" s="22">
        <v>0.19647200000000001</v>
      </c>
      <c r="BD69">
        <f t="shared" si="10"/>
        <v>15.4907</v>
      </c>
      <c r="BE69">
        <f t="shared" si="11"/>
        <v>3.0538985608000004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12.0007</v>
      </c>
      <c r="I70" s="22">
        <v>-1.43158E-2</v>
      </c>
      <c r="J70" s="22">
        <v>60</v>
      </c>
      <c r="K70" s="22">
        <v>1.49658</v>
      </c>
      <c r="L70">
        <f t="shared" si="0"/>
        <v>14.315799999999999</v>
      </c>
      <c r="M70">
        <f t="shared" si="1"/>
        <v>21.44220524</v>
      </c>
      <c r="N70" s="9"/>
      <c r="O70" s="22">
        <v>0.202179</v>
      </c>
      <c r="P70" s="22">
        <v>44.773800000000001</v>
      </c>
      <c r="Q70" s="22">
        <v>-1.5295400000000001E-2</v>
      </c>
      <c r="R70" s="22">
        <v>60</v>
      </c>
      <c r="S70" s="22">
        <v>0.20144699999999999</v>
      </c>
      <c r="T70">
        <f t="shared" si="2"/>
        <v>15.295400000000001</v>
      </c>
      <c r="U70">
        <f t="shared" si="3"/>
        <v>3.0924086766000003</v>
      </c>
      <c r="X70" s="9"/>
      <c r="Y70" s="22">
        <v>1.4978</v>
      </c>
      <c r="Z70" s="22">
        <v>72.826800000000006</v>
      </c>
      <c r="AA70" s="22">
        <v>-1.4385999999999999E-2</v>
      </c>
      <c r="AB70" s="22">
        <v>60</v>
      </c>
      <c r="AC70" s="22">
        <v>1.49719</v>
      </c>
      <c r="AD70">
        <f t="shared" si="4"/>
        <v>14.385999999999999</v>
      </c>
      <c r="AE70">
        <f t="shared" si="5"/>
        <v>21.5473508</v>
      </c>
      <c r="AF70" s="9"/>
      <c r="AG70" s="22">
        <v>0.202179</v>
      </c>
      <c r="AH70" s="22">
        <v>107.542</v>
      </c>
      <c r="AI70" s="22">
        <v>-1.5341199999999999E-2</v>
      </c>
      <c r="AJ70" s="22">
        <v>60</v>
      </c>
      <c r="AK70" s="22">
        <v>0.20147699999999999</v>
      </c>
      <c r="AL70">
        <f t="shared" si="6"/>
        <v>15.341199999999999</v>
      </c>
      <c r="AM70">
        <f t="shared" si="7"/>
        <v>3.1016684747999999</v>
      </c>
      <c r="AP70" s="9"/>
      <c r="AQ70" s="22">
        <v>1.4978</v>
      </c>
      <c r="AR70" s="22">
        <v>136.023</v>
      </c>
      <c r="AS70" s="22">
        <v>-1.4382900000000001E-2</v>
      </c>
      <c r="AT70" s="22">
        <v>60</v>
      </c>
      <c r="AU70" s="22">
        <v>1.49658</v>
      </c>
      <c r="AV70">
        <f t="shared" si="8"/>
        <v>14.382900000000001</v>
      </c>
      <c r="AW70">
        <f t="shared" si="9"/>
        <v>21.542707620000002</v>
      </c>
      <c r="AX70" s="9"/>
      <c r="AY70" s="22">
        <v>0.202179</v>
      </c>
      <c r="AZ70" s="22">
        <v>179.87700000000001</v>
      </c>
      <c r="BA70" s="22">
        <v>-1.5484599999999999E-2</v>
      </c>
      <c r="BB70" s="22">
        <v>60</v>
      </c>
      <c r="BC70" s="22">
        <v>0.20150799999999999</v>
      </c>
      <c r="BD70">
        <f t="shared" si="10"/>
        <v>15.484599999999999</v>
      </c>
      <c r="BE70">
        <f t="shared" si="11"/>
        <v>3.1306609433999997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12.0108</v>
      </c>
      <c r="I71" s="22">
        <v>-1.4324999999999999E-2</v>
      </c>
      <c r="J71" s="22">
        <v>61</v>
      </c>
      <c r="K71" s="22">
        <v>1.4917</v>
      </c>
      <c r="L71">
        <f t="shared" si="0"/>
        <v>14.324999999999999</v>
      </c>
      <c r="M71">
        <f t="shared" si="1"/>
        <v>21.383930249999999</v>
      </c>
      <c r="N71" s="9"/>
      <c r="O71" s="22">
        <v>0.20721400000000001</v>
      </c>
      <c r="P71" s="22">
        <v>44.783900000000003</v>
      </c>
      <c r="Q71" s="22">
        <v>-1.52893E-2</v>
      </c>
      <c r="R71" s="22">
        <v>61</v>
      </c>
      <c r="S71" s="22">
        <v>0.20632900000000001</v>
      </c>
      <c r="T71">
        <f t="shared" si="2"/>
        <v>15.289300000000001</v>
      </c>
      <c r="U71">
        <f t="shared" si="3"/>
        <v>3.1681570102000003</v>
      </c>
      <c r="X71" s="9"/>
      <c r="Y71" s="22">
        <v>1.4927699999999999</v>
      </c>
      <c r="Z71" s="22">
        <v>72.8369</v>
      </c>
      <c r="AA71" s="22">
        <v>-1.4401199999999999E-2</v>
      </c>
      <c r="AB71" s="22">
        <v>61</v>
      </c>
      <c r="AC71" s="22">
        <v>1.49231</v>
      </c>
      <c r="AD71">
        <f t="shared" si="4"/>
        <v>14.401199999999999</v>
      </c>
      <c r="AE71">
        <f t="shared" si="5"/>
        <v>21.497679323999996</v>
      </c>
      <c r="AF71" s="9"/>
      <c r="AG71" s="22">
        <v>0.20721400000000001</v>
      </c>
      <c r="AH71" s="22">
        <v>107.55200000000001</v>
      </c>
      <c r="AI71" s="22">
        <v>-1.5341199999999999E-2</v>
      </c>
      <c r="AJ71" s="22">
        <v>61</v>
      </c>
      <c r="AK71" s="22">
        <v>0.20657300000000001</v>
      </c>
      <c r="AL71">
        <f t="shared" si="6"/>
        <v>15.341199999999999</v>
      </c>
      <c r="AM71">
        <f t="shared" si="7"/>
        <v>3.1789114168000001</v>
      </c>
      <c r="AP71" s="9"/>
      <c r="AQ71" s="22">
        <v>1.4927699999999999</v>
      </c>
      <c r="AR71" s="22">
        <v>136.03299999999999</v>
      </c>
      <c r="AS71" s="22">
        <v>-1.43982E-2</v>
      </c>
      <c r="AT71" s="22">
        <v>61</v>
      </c>
      <c r="AU71" s="22">
        <v>1.4917</v>
      </c>
      <c r="AV71">
        <f t="shared" si="8"/>
        <v>14.398199999999999</v>
      </c>
      <c r="AW71">
        <f t="shared" si="9"/>
        <v>21.493201013999997</v>
      </c>
      <c r="AX71" s="9"/>
      <c r="AY71" s="22">
        <v>0.20721400000000001</v>
      </c>
      <c r="AZ71" s="22">
        <v>179.887</v>
      </c>
      <c r="BA71" s="22">
        <v>-1.54816E-2</v>
      </c>
      <c r="BB71" s="22">
        <v>61</v>
      </c>
      <c r="BC71" s="22">
        <v>0.206482</v>
      </c>
      <c r="BD71">
        <f t="shared" si="10"/>
        <v>15.4816</v>
      </c>
      <c r="BE71">
        <f t="shared" si="11"/>
        <v>3.2080042624000003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12.020799999999999</v>
      </c>
      <c r="I72" s="22">
        <v>-1.4334100000000001E-2</v>
      </c>
      <c r="J72" s="22">
        <v>62</v>
      </c>
      <c r="K72" s="22">
        <v>1.48682</v>
      </c>
      <c r="L72">
        <f t="shared" si="0"/>
        <v>14.334100000000001</v>
      </c>
      <c r="M72">
        <f t="shared" si="1"/>
        <v>21.325270593000003</v>
      </c>
      <c r="N72" s="9"/>
      <c r="O72" s="22">
        <v>0.21224999999999999</v>
      </c>
      <c r="P72" s="22">
        <v>44.793999999999997</v>
      </c>
      <c r="Q72" s="22">
        <v>-1.5286299999999999E-2</v>
      </c>
      <c r="R72" s="22">
        <v>62</v>
      </c>
      <c r="S72" s="22">
        <v>0.21157799999999999</v>
      </c>
      <c r="T72">
        <f t="shared" si="2"/>
        <v>15.286299999999999</v>
      </c>
      <c r="U72">
        <f t="shared" si="3"/>
        <v>3.2445171749999995</v>
      </c>
      <c r="X72" s="9"/>
      <c r="Y72" s="22">
        <v>1.48773</v>
      </c>
      <c r="Z72" s="22">
        <v>72.846999999999994</v>
      </c>
      <c r="AA72" s="22">
        <v>-1.4419599999999999E-2</v>
      </c>
      <c r="AB72" s="22">
        <v>62</v>
      </c>
      <c r="AC72" s="22">
        <v>1.48651</v>
      </c>
      <c r="AD72">
        <f t="shared" si="4"/>
        <v>14.419599999999999</v>
      </c>
      <c r="AE72">
        <f t="shared" si="5"/>
        <v>21.452471507999999</v>
      </c>
      <c r="AF72" s="9"/>
      <c r="AG72" s="22">
        <v>0.21224999999999999</v>
      </c>
      <c r="AH72" s="22">
        <v>107.562</v>
      </c>
      <c r="AI72" s="22">
        <v>-1.5341199999999999E-2</v>
      </c>
      <c r="AJ72" s="22">
        <v>62</v>
      </c>
      <c r="AK72" s="22">
        <v>0.21148700000000001</v>
      </c>
      <c r="AL72">
        <f t="shared" si="6"/>
        <v>15.341199999999999</v>
      </c>
      <c r="AM72">
        <f t="shared" si="7"/>
        <v>3.2561696999999996</v>
      </c>
      <c r="AP72" s="9"/>
      <c r="AQ72" s="22">
        <v>1.48773</v>
      </c>
      <c r="AR72" s="22">
        <v>136.04300000000001</v>
      </c>
      <c r="AS72" s="22">
        <v>-1.44165E-2</v>
      </c>
      <c r="AT72" s="22">
        <v>62</v>
      </c>
      <c r="AU72" s="22">
        <v>1.48651</v>
      </c>
      <c r="AV72">
        <f t="shared" si="8"/>
        <v>14.416500000000001</v>
      </c>
      <c r="AW72">
        <f t="shared" si="9"/>
        <v>21.447859545</v>
      </c>
      <c r="AX72" s="9"/>
      <c r="AY72" s="22">
        <v>0.21224999999999999</v>
      </c>
      <c r="AZ72" s="22">
        <v>179.89699999999999</v>
      </c>
      <c r="BA72" s="22">
        <v>-1.5478499999999999E-2</v>
      </c>
      <c r="BB72" s="22">
        <v>62</v>
      </c>
      <c r="BC72" s="22">
        <v>0.21145600000000001</v>
      </c>
      <c r="BD72">
        <f t="shared" si="10"/>
        <v>15.478499999999999</v>
      </c>
      <c r="BE72">
        <f t="shared" si="11"/>
        <v>3.2853116249999994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12.030900000000001</v>
      </c>
      <c r="I73" s="22">
        <v>-1.43433E-2</v>
      </c>
      <c r="J73" s="22">
        <v>63</v>
      </c>
      <c r="K73" s="22">
        <v>1.48163</v>
      </c>
      <c r="L73">
        <f t="shared" si="0"/>
        <v>14.343299999999999</v>
      </c>
      <c r="M73">
        <f t="shared" si="1"/>
        <v>21.266810909999997</v>
      </c>
      <c r="N73" s="9"/>
      <c r="O73" s="22">
        <v>0.21728500000000001</v>
      </c>
      <c r="P73" s="22">
        <v>44.804000000000002</v>
      </c>
      <c r="Q73" s="22">
        <v>-1.5280200000000001E-2</v>
      </c>
      <c r="R73" s="22">
        <v>63</v>
      </c>
      <c r="S73" s="22">
        <v>0.216583</v>
      </c>
      <c r="T73">
        <f t="shared" si="2"/>
        <v>15.280200000000001</v>
      </c>
      <c r="U73">
        <f t="shared" si="3"/>
        <v>3.3201582570000001</v>
      </c>
      <c r="X73" s="9"/>
      <c r="Y73" s="22">
        <v>1.4826999999999999</v>
      </c>
      <c r="Z73" s="22">
        <v>72.856999999999999</v>
      </c>
      <c r="AA73" s="22">
        <v>-1.44318E-2</v>
      </c>
      <c r="AB73" s="22">
        <v>63</v>
      </c>
      <c r="AC73" s="22">
        <v>1.48163</v>
      </c>
      <c r="AD73">
        <f t="shared" si="4"/>
        <v>14.431799999999999</v>
      </c>
      <c r="AE73">
        <f t="shared" si="5"/>
        <v>21.398029859999998</v>
      </c>
      <c r="AF73" s="9"/>
      <c r="AG73" s="22">
        <v>0.21728500000000001</v>
      </c>
      <c r="AH73" s="22">
        <v>107.572</v>
      </c>
      <c r="AI73" s="22">
        <v>-1.5344200000000001E-2</v>
      </c>
      <c r="AJ73" s="22">
        <v>63</v>
      </c>
      <c r="AK73" s="22">
        <v>0.216553</v>
      </c>
      <c r="AL73">
        <f t="shared" si="6"/>
        <v>15.344200000000001</v>
      </c>
      <c r="AM73">
        <f t="shared" si="7"/>
        <v>3.3340644970000004</v>
      </c>
      <c r="AP73" s="9"/>
      <c r="AQ73" s="22">
        <v>1.4826999999999999</v>
      </c>
      <c r="AR73" s="22">
        <v>136.053</v>
      </c>
      <c r="AS73" s="22">
        <v>-1.4428699999999999E-2</v>
      </c>
      <c r="AT73" s="22">
        <v>63</v>
      </c>
      <c r="AU73" s="22">
        <v>1.48193</v>
      </c>
      <c r="AV73">
        <f t="shared" si="8"/>
        <v>14.428699999999999</v>
      </c>
      <c r="AW73">
        <f t="shared" si="9"/>
        <v>21.393433489999996</v>
      </c>
      <c r="AX73" s="9"/>
      <c r="AY73" s="22">
        <v>0.21728500000000001</v>
      </c>
      <c r="AZ73" s="22">
        <v>179.90799999999999</v>
      </c>
      <c r="BA73" s="22">
        <v>-1.5469399999999999E-2</v>
      </c>
      <c r="BB73" s="22">
        <v>63</v>
      </c>
      <c r="BC73" s="22">
        <v>0.216583</v>
      </c>
      <c r="BD73">
        <f t="shared" si="10"/>
        <v>15.4694</v>
      </c>
      <c r="BE73">
        <f t="shared" si="11"/>
        <v>3.3612685790000003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12.041</v>
      </c>
      <c r="I74" s="22">
        <v>-1.43555E-2</v>
      </c>
      <c r="J74" s="22">
        <v>64</v>
      </c>
      <c r="K74" s="22">
        <v>1.47675</v>
      </c>
      <c r="L74">
        <f t="shared" si="0"/>
        <v>14.355500000000001</v>
      </c>
      <c r="M74">
        <f t="shared" si="1"/>
        <v>21.212548130000002</v>
      </c>
      <c r="N74" s="9"/>
      <c r="O74" s="22">
        <v>0.22232099999999999</v>
      </c>
      <c r="P74" s="22">
        <v>44.814100000000003</v>
      </c>
      <c r="Q74" s="22">
        <v>-1.5273999999999999E-2</v>
      </c>
      <c r="R74" s="22">
        <v>64</v>
      </c>
      <c r="S74" s="22">
        <v>0.221558</v>
      </c>
      <c r="T74">
        <f t="shared" si="2"/>
        <v>15.273999999999999</v>
      </c>
      <c r="U74">
        <f t="shared" si="3"/>
        <v>3.3957309539999998</v>
      </c>
      <c r="X74" s="9"/>
      <c r="Y74" s="22">
        <v>1.47766</v>
      </c>
      <c r="Z74" s="22">
        <v>72.867099999999994</v>
      </c>
      <c r="AA74" s="22">
        <v>-1.4444E-2</v>
      </c>
      <c r="AB74" s="22">
        <v>64</v>
      </c>
      <c r="AC74" s="22">
        <v>1.47644</v>
      </c>
      <c r="AD74">
        <f t="shared" si="4"/>
        <v>14.444000000000001</v>
      </c>
      <c r="AE74">
        <f t="shared" si="5"/>
        <v>21.343321039999999</v>
      </c>
      <c r="AF74" s="9"/>
      <c r="AG74" s="22">
        <v>0.22232099999999999</v>
      </c>
      <c r="AH74" s="22">
        <v>107.58199999999999</v>
      </c>
      <c r="AI74" s="22">
        <v>-1.53381E-2</v>
      </c>
      <c r="AJ74" s="22">
        <v>64</v>
      </c>
      <c r="AK74" s="22">
        <v>0.221497</v>
      </c>
      <c r="AL74">
        <f t="shared" si="6"/>
        <v>15.338100000000001</v>
      </c>
      <c r="AM74">
        <f t="shared" si="7"/>
        <v>3.4099817301000002</v>
      </c>
      <c r="AP74" s="9"/>
      <c r="AQ74" s="22">
        <v>1.47766</v>
      </c>
      <c r="AR74" s="22">
        <v>136.06299999999999</v>
      </c>
      <c r="AS74" s="22">
        <v>-1.44409E-2</v>
      </c>
      <c r="AT74" s="22">
        <v>64</v>
      </c>
      <c r="AU74" s="22">
        <v>1.47644</v>
      </c>
      <c r="AV74">
        <f t="shared" si="8"/>
        <v>14.440899999999999</v>
      </c>
      <c r="AW74">
        <f t="shared" si="9"/>
        <v>21.338740293999997</v>
      </c>
      <c r="AX74" s="9"/>
      <c r="AY74" s="22">
        <v>0.22232099999999999</v>
      </c>
      <c r="AZ74" s="22">
        <v>179.91800000000001</v>
      </c>
      <c r="BA74" s="22">
        <v>-1.5466300000000001E-2</v>
      </c>
      <c r="BB74" s="22">
        <v>64</v>
      </c>
      <c r="BC74" s="22">
        <v>0.22158800000000001</v>
      </c>
      <c r="BD74">
        <f t="shared" si="10"/>
        <v>15.4663</v>
      </c>
      <c r="BE74">
        <f t="shared" si="11"/>
        <v>3.4384832823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12.0511</v>
      </c>
      <c r="I75" s="22">
        <v>-1.4367700000000001E-2</v>
      </c>
      <c r="J75" s="22">
        <v>65</v>
      </c>
      <c r="K75" s="22">
        <v>1.47156</v>
      </c>
      <c r="L75">
        <f t="shared" si="0"/>
        <v>14.367700000000001</v>
      </c>
      <c r="M75">
        <f t="shared" si="1"/>
        <v>21.158306051000004</v>
      </c>
      <c r="N75" s="9"/>
      <c r="O75" s="22">
        <v>0.227356</v>
      </c>
      <c r="P75" s="22">
        <v>44.824199999999998</v>
      </c>
      <c r="Q75" s="22">
        <v>-1.5267899999999999E-2</v>
      </c>
      <c r="R75" s="22">
        <v>65</v>
      </c>
      <c r="S75" s="22">
        <v>0.226685</v>
      </c>
      <c r="T75">
        <f t="shared" si="2"/>
        <v>15.267899999999999</v>
      </c>
      <c r="U75">
        <f t="shared" si="3"/>
        <v>3.4712486723999998</v>
      </c>
      <c r="X75" s="9"/>
      <c r="Y75" s="22">
        <v>1.4726300000000001</v>
      </c>
      <c r="Z75" s="22">
        <v>72.877200000000002</v>
      </c>
      <c r="AA75" s="22">
        <v>-1.4456200000000001E-2</v>
      </c>
      <c r="AB75" s="22">
        <v>65</v>
      </c>
      <c r="AC75" s="22">
        <v>1.4718599999999999</v>
      </c>
      <c r="AD75">
        <f t="shared" si="4"/>
        <v>14.456200000000001</v>
      </c>
      <c r="AE75">
        <f t="shared" si="5"/>
        <v>21.288633806000004</v>
      </c>
      <c r="AF75" s="9"/>
      <c r="AG75" s="22">
        <v>0.227356</v>
      </c>
      <c r="AH75" s="22">
        <v>107.592</v>
      </c>
      <c r="AI75" s="22">
        <v>-1.5332E-2</v>
      </c>
      <c r="AJ75" s="22">
        <v>65</v>
      </c>
      <c r="AK75" s="22">
        <v>0.22662399999999999</v>
      </c>
      <c r="AL75">
        <f t="shared" si="6"/>
        <v>15.332000000000001</v>
      </c>
      <c r="AM75">
        <f t="shared" si="7"/>
        <v>3.4858221920000001</v>
      </c>
      <c r="AP75" s="9"/>
      <c r="AQ75" s="22">
        <v>1.4726300000000001</v>
      </c>
      <c r="AR75" s="22">
        <v>136.07300000000001</v>
      </c>
      <c r="AS75" s="22">
        <v>-1.44501E-2</v>
      </c>
      <c r="AT75" s="22">
        <v>65</v>
      </c>
      <c r="AU75" s="22">
        <v>1.47156</v>
      </c>
      <c r="AV75">
        <f t="shared" si="8"/>
        <v>14.450100000000001</v>
      </c>
      <c r="AW75">
        <f t="shared" si="9"/>
        <v>21.279650763000003</v>
      </c>
      <c r="AX75" s="9"/>
      <c r="AY75" s="22">
        <v>0.227356</v>
      </c>
      <c r="AZ75" s="22">
        <v>179.928</v>
      </c>
      <c r="BA75" s="22">
        <v>-1.54602E-2</v>
      </c>
      <c r="BB75" s="22">
        <v>65</v>
      </c>
      <c r="BC75" s="22">
        <v>0.22656299999999999</v>
      </c>
      <c r="BD75">
        <f t="shared" si="10"/>
        <v>15.4602</v>
      </c>
      <c r="BE75">
        <f t="shared" si="11"/>
        <v>3.5149692312000003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12.0611</v>
      </c>
      <c r="I76" s="22">
        <v>-1.43768E-2</v>
      </c>
      <c r="J76" s="22">
        <v>66</v>
      </c>
      <c r="K76" s="22">
        <v>1.4666699999999999</v>
      </c>
      <c r="L76">
        <f t="shared" ref="L76:L139" si="12">-I76/$F$2*1000</f>
        <v>14.376800000000001</v>
      </c>
      <c r="M76">
        <f t="shared" ref="M76:M139" si="13">L76*G76</f>
        <v>21.099247912000003</v>
      </c>
      <c r="N76" s="9"/>
      <c r="O76" s="22">
        <v>0.23239099999999999</v>
      </c>
      <c r="P76" s="22">
        <v>44.834200000000003</v>
      </c>
      <c r="Q76" s="22">
        <v>-1.52649E-2</v>
      </c>
      <c r="R76" s="22">
        <v>66</v>
      </c>
      <c r="S76" s="22">
        <v>0.231628</v>
      </c>
      <c r="T76">
        <f t="shared" ref="T76:T139" si="14">-Q76/$F$2*1000</f>
        <v>15.264899999999999</v>
      </c>
      <c r="U76">
        <f t="shared" ref="U76:U139" si="15">T76*O76</f>
        <v>3.5474253758999996</v>
      </c>
      <c r="X76" s="9"/>
      <c r="Y76" s="22">
        <v>1.46759</v>
      </c>
      <c r="Z76" s="22">
        <v>72.887299999999996</v>
      </c>
      <c r="AA76" s="22">
        <v>-1.44653E-2</v>
      </c>
      <c r="AB76" s="22">
        <v>66</v>
      </c>
      <c r="AC76" s="22">
        <v>1.46637</v>
      </c>
      <c r="AD76">
        <f t="shared" ref="AD76:AD139" si="16">-AA76/$F$2*1000</f>
        <v>14.465300000000001</v>
      </c>
      <c r="AE76">
        <f t="shared" ref="AE76:AE139" si="17">AD76*Y76</f>
        <v>21.229129626999999</v>
      </c>
      <c r="AF76" s="9"/>
      <c r="AG76" s="22">
        <v>0.23239099999999999</v>
      </c>
      <c r="AH76" s="22">
        <v>107.602</v>
      </c>
      <c r="AI76" s="22">
        <v>-1.5329000000000001E-2</v>
      </c>
      <c r="AJ76" s="22">
        <v>66</v>
      </c>
      <c r="AK76" s="22">
        <v>0.23168900000000001</v>
      </c>
      <c r="AL76">
        <f t="shared" ref="AL76:AL139" si="18">-AI76/$F$2*1000</f>
        <v>15.329000000000001</v>
      </c>
      <c r="AM76">
        <f t="shared" ref="AM76:AM139" si="19">AL76*AG76</f>
        <v>3.5623216389999999</v>
      </c>
      <c r="AP76" s="9"/>
      <c r="AQ76" s="22">
        <v>1.46759</v>
      </c>
      <c r="AR76" s="22">
        <v>136.083</v>
      </c>
      <c r="AS76" s="22">
        <v>-1.44653E-2</v>
      </c>
      <c r="AT76" s="22">
        <v>66</v>
      </c>
      <c r="AU76" s="22">
        <v>1.46698</v>
      </c>
      <c r="AV76">
        <f t="shared" ref="AV76:AV139" si="20">-AS76/$F$2*1000</f>
        <v>14.465300000000001</v>
      </c>
      <c r="AW76">
        <f t="shared" ref="AW76:AW139" si="21">AV76*AQ76</f>
        <v>21.229129626999999</v>
      </c>
      <c r="AX76" s="9"/>
      <c r="AY76" s="22">
        <v>0.23239099999999999</v>
      </c>
      <c r="AZ76" s="22">
        <v>179.93799999999999</v>
      </c>
      <c r="BA76" s="22">
        <v>-1.5457200000000001E-2</v>
      </c>
      <c r="BB76" s="22">
        <v>66</v>
      </c>
      <c r="BC76" s="22">
        <v>0.23172000000000001</v>
      </c>
      <c r="BD76">
        <f t="shared" ref="BD76:BD139" si="22">-BA76/$F$2*1000</f>
        <v>15.4572</v>
      </c>
      <c r="BE76">
        <f t="shared" ref="BE76:BE139" si="23">BD76*AY76</f>
        <v>3.5921141651999999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12.071199999999999</v>
      </c>
      <c r="I77" s="22">
        <v>-1.4379899999999999E-2</v>
      </c>
      <c r="J77" s="22">
        <v>67</v>
      </c>
      <c r="K77" s="22">
        <v>1.4611799999999999</v>
      </c>
      <c r="L77">
        <f t="shared" si="12"/>
        <v>14.379899999999999</v>
      </c>
      <c r="M77">
        <f t="shared" si="13"/>
        <v>21.031322745000001</v>
      </c>
      <c r="N77" s="9"/>
      <c r="O77" s="22">
        <v>0.237427</v>
      </c>
      <c r="P77" s="22">
        <v>44.844299999999997</v>
      </c>
      <c r="Q77" s="22">
        <v>-1.52649E-2</v>
      </c>
      <c r="R77" s="22">
        <v>67</v>
      </c>
      <c r="S77" s="22">
        <v>0.23669399999999999</v>
      </c>
      <c r="T77">
        <f t="shared" si="14"/>
        <v>15.264899999999999</v>
      </c>
      <c r="U77">
        <f t="shared" si="15"/>
        <v>3.6242994122999996</v>
      </c>
      <c r="X77" s="9"/>
      <c r="Y77" s="22">
        <v>1.46255</v>
      </c>
      <c r="Z77" s="22">
        <v>72.897300000000001</v>
      </c>
      <c r="AA77" s="22">
        <v>-1.4471400000000001E-2</v>
      </c>
      <c r="AB77" s="22">
        <v>67</v>
      </c>
      <c r="AC77" s="22">
        <v>1.4617899999999999</v>
      </c>
      <c r="AD77">
        <f t="shared" si="16"/>
        <v>14.471400000000001</v>
      </c>
      <c r="AE77">
        <f t="shared" si="17"/>
        <v>21.165146070000002</v>
      </c>
      <c r="AF77" s="9"/>
      <c r="AG77" s="22">
        <v>0.237427</v>
      </c>
      <c r="AH77" s="22">
        <v>107.61199999999999</v>
      </c>
      <c r="AI77" s="22">
        <v>-1.53229E-2</v>
      </c>
      <c r="AJ77" s="22">
        <v>67</v>
      </c>
      <c r="AK77" s="22">
        <v>0.23672499999999999</v>
      </c>
      <c r="AL77">
        <f t="shared" si="18"/>
        <v>15.322900000000001</v>
      </c>
      <c r="AM77">
        <f t="shared" si="19"/>
        <v>3.6380701783</v>
      </c>
      <c r="AP77" s="9"/>
      <c r="AQ77" s="22">
        <v>1.46255</v>
      </c>
      <c r="AR77" s="22">
        <v>136.09399999999999</v>
      </c>
      <c r="AS77" s="22">
        <v>-1.4471400000000001E-2</v>
      </c>
      <c r="AT77" s="22">
        <v>67</v>
      </c>
      <c r="AU77" s="22">
        <v>1.4617899999999999</v>
      </c>
      <c r="AV77">
        <f t="shared" si="20"/>
        <v>14.471400000000001</v>
      </c>
      <c r="AW77">
        <f t="shared" si="21"/>
        <v>21.165146070000002</v>
      </c>
      <c r="AX77" s="9"/>
      <c r="AY77" s="22">
        <v>0.237427</v>
      </c>
      <c r="AZ77" s="22">
        <v>179.94800000000001</v>
      </c>
      <c r="BA77" s="22">
        <v>-1.5450999999999999E-2</v>
      </c>
      <c r="BB77" s="22">
        <v>67</v>
      </c>
      <c r="BC77" s="22">
        <v>0.23666400000000001</v>
      </c>
      <c r="BD77">
        <f t="shared" si="22"/>
        <v>15.450999999999999</v>
      </c>
      <c r="BE77">
        <f t="shared" si="23"/>
        <v>3.6684845769999996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12.081300000000001</v>
      </c>
      <c r="I78" s="22">
        <v>-1.4385999999999999E-2</v>
      </c>
      <c r="J78" s="22">
        <v>68</v>
      </c>
      <c r="K78" s="22">
        <v>1.4572099999999999</v>
      </c>
      <c r="L78">
        <f t="shared" si="12"/>
        <v>14.385999999999999</v>
      </c>
      <c r="M78">
        <f t="shared" si="13"/>
        <v>20.967882719999999</v>
      </c>
      <c r="N78" s="9"/>
      <c r="O78" s="22">
        <v>0.24246200000000001</v>
      </c>
      <c r="P78" s="22">
        <v>44.854399999999998</v>
      </c>
      <c r="Q78" s="22">
        <v>-1.5258799999999999E-2</v>
      </c>
      <c r="R78" s="22">
        <v>68</v>
      </c>
      <c r="S78" s="22">
        <v>0.24166899999999999</v>
      </c>
      <c r="T78">
        <f t="shared" si="14"/>
        <v>15.258799999999999</v>
      </c>
      <c r="U78">
        <f t="shared" si="15"/>
        <v>3.6996791656000001</v>
      </c>
      <c r="X78" s="9"/>
      <c r="Y78" s="22">
        <v>1.4575199999999999</v>
      </c>
      <c r="Z78" s="22">
        <v>72.907399999999996</v>
      </c>
      <c r="AA78" s="22">
        <v>-1.4477500000000001E-2</v>
      </c>
      <c r="AB78" s="22">
        <v>68</v>
      </c>
      <c r="AC78" s="22">
        <v>1.4569099999999999</v>
      </c>
      <c r="AD78">
        <f t="shared" si="16"/>
        <v>14.477500000000001</v>
      </c>
      <c r="AE78">
        <f t="shared" si="17"/>
        <v>21.101245800000001</v>
      </c>
      <c r="AF78" s="9"/>
      <c r="AG78" s="22">
        <v>0.24246200000000001</v>
      </c>
      <c r="AH78" s="22">
        <v>107.623</v>
      </c>
      <c r="AI78" s="22">
        <v>-1.53198E-2</v>
      </c>
      <c r="AJ78" s="22">
        <v>68</v>
      </c>
      <c r="AK78" s="22">
        <v>0.24163799999999999</v>
      </c>
      <c r="AL78">
        <f t="shared" si="18"/>
        <v>15.319799999999999</v>
      </c>
      <c r="AM78">
        <f t="shared" si="19"/>
        <v>3.7144693476000001</v>
      </c>
      <c r="AP78" s="9"/>
      <c r="AQ78" s="22">
        <v>1.4575199999999999</v>
      </c>
      <c r="AR78" s="22">
        <v>136.10400000000001</v>
      </c>
      <c r="AS78" s="22">
        <v>-1.44806E-2</v>
      </c>
      <c r="AT78" s="22">
        <v>68</v>
      </c>
      <c r="AU78" s="22">
        <v>1.4562999999999999</v>
      </c>
      <c r="AV78">
        <f t="shared" si="20"/>
        <v>14.480599999999999</v>
      </c>
      <c r="AW78">
        <f t="shared" si="21"/>
        <v>21.105764111999999</v>
      </c>
      <c r="AX78" s="9"/>
      <c r="AY78" s="22">
        <v>0.24246200000000001</v>
      </c>
      <c r="AZ78" s="22">
        <v>179.958</v>
      </c>
      <c r="BA78" s="22">
        <v>-1.5448E-2</v>
      </c>
      <c r="BB78" s="22">
        <v>68</v>
      </c>
      <c r="BC78" s="22">
        <v>0.24166899999999999</v>
      </c>
      <c r="BD78">
        <f t="shared" si="22"/>
        <v>15.448</v>
      </c>
      <c r="BE78">
        <f t="shared" si="23"/>
        <v>3.7455529760000004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12.0913</v>
      </c>
      <c r="I79" s="22">
        <v>-1.43921E-2</v>
      </c>
      <c r="J79" s="22">
        <v>69</v>
      </c>
      <c r="K79" s="22">
        <v>1.4514199999999999</v>
      </c>
      <c r="L79">
        <f t="shared" si="12"/>
        <v>14.392099999999999</v>
      </c>
      <c r="M79">
        <f t="shared" si="13"/>
        <v>20.904237408</v>
      </c>
      <c r="N79" s="9"/>
      <c r="O79" s="22">
        <v>0.247498</v>
      </c>
      <c r="P79" s="22">
        <v>44.8645</v>
      </c>
      <c r="Q79" s="22">
        <v>-1.5255700000000001E-2</v>
      </c>
      <c r="R79" s="22">
        <v>69</v>
      </c>
      <c r="S79" s="22">
        <v>0.24676500000000001</v>
      </c>
      <c r="T79">
        <f t="shared" si="14"/>
        <v>15.255700000000001</v>
      </c>
      <c r="U79">
        <f t="shared" si="15"/>
        <v>3.7757552386</v>
      </c>
      <c r="X79" s="9"/>
      <c r="Y79" s="22">
        <v>1.45248</v>
      </c>
      <c r="Z79" s="22">
        <v>72.917500000000004</v>
      </c>
      <c r="AA79" s="22">
        <v>-1.4483599999999999E-2</v>
      </c>
      <c r="AB79" s="22">
        <v>69</v>
      </c>
      <c r="AC79" s="22">
        <v>1.4508099999999999</v>
      </c>
      <c r="AD79">
        <f t="shared" si="16"/>
        <v>14.483599999999999</v>
      </c>
      <c r="AE79">
        <f t="shared" si="17"/>
        <v>21.037139327999999</v>
      </c>
      <c r="AF79" s="9"/>
      <c r="AG79" s="22">
        <v>0.247498</v>
      </c>
      <c r="AH79" s="22">
        <v>107.633</v>
      </c>
      <c r="AI79" s="22">
        <v>-1.53107E-2</v>
      </c>
      <c r="AJ79" s="22">
        <v>69</v>
      </c>
      <c r="AK79" s="22">
        <v>0.24670400000000001</v>
      </c>
      <c r="AL79">
        <f t="shared" si="18"/>
        <v>15.310700000000001</v>
      </c>
      <c r="AM79">
        <f t="shared" si="19"/>
        <v>3.7893676286</v>
      </c>
      <c r="AP79" s="9"/>
      <c r="AQ79" s="22">
        <v>1.45248</v>
      </c>
      <c r="AR79" s="22">
        <v>136.114</v>
      </c>
      <c r="AS79" s="22">
        <v>-1.44928E-2</v>
      </c>
      <c r="AT79" s="22">
        <v>69</v>
      </c>
      <c r="AU79" s="22">
        <v>1.4517199999999999</v>
      </c>
      <c r="AV79">
        <f t="shared" si="20"/>
        <v>14.492800000000001</v>
      </c>
      <c r="AW79">
        <f t="shared" si="21"/>
        <v>21.050502143999999</v>
      </c>
      <c r="AX79" s="9"/>
      <c r="AY79" s="22">
        <v>0.247498</v>
      </c>
      <c r="AZ79" s="22">
        <v>179.96799999999999</v>
      </c>
      <c r="BA79" s="22">
        <v>-1.54419E-2</v>
      </c>
      <c r="BB79" s="22">
        <v>69</v>
      </c>
      <c r="BC79" s="22">
        <v>0.24670400000000001</v>
      </c>
      <c r="BD79">
        <f t="shared" si="22"/>
        <v>15.4419</v>
      </c>
      <c r="BE79">
        <f t="shared" si="23"/>
        <v>3.8218393661999999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12.1014</v>
      </c>
      <c r="I80" s="22">
        <v>-1.43982E-2</v>
      </c>
      <c r="J80" s="22">
        <v>70</v>
      </c>
      <c r="K80" s="22">
        <v>1.4465300000000001</v>
      </c>
      <c r="L80">
        <f t="shared" si="12"/>
        <v>14.398199999999999</v>
      </c>
      <c r="M80">
        <f t="shared" si="13"/>
        <v>20.840674589999999</v>
      </c>
      <c r="N80" s="9"/>
      <c r="O80" s="22">
        <v>0.25253300000000001</v>
      </c>
      <c r="P80" s="22">
        <v>44.874499999999998</v>
      </c>
      <c r="Q80" s="22">
        <v>-1.5252699999999999E-2</v>
      </c>
      <c r="R80" s="22">
        <v>70</v>
      </c>
      <c r="S80" s="22">
        <v>0.25167800000000001</v>
      </c>
      <c r="T80">
        <f t="shared" si="14"/>
        <v>15.252699999999999</v>
      </c>
      <c r="U80">
        <f t="shared" si="15"/>
        <v>3.8518100890999998</v>
      </c>
      <c r="X80" s="9"/>
      <c r="Y80" s="22">
        <v>1.4474499999999999</v>
      </c>
      <c r="Z80" s="22">
        <v>72.927499999999995</v>
      </c>
      <c r="AA80" s="22">
        <v>-1.44867E-2</v>
      </c>
      <c r="AB80" s="22">
        <v>70</v>
      </c>
      <c r="AC80" s="22">
        <v>1.4468399999999999</v>
      </c>
      <c r="AD80">
        <f t="shared" si="16"/>
        <v>14.486700000000001</v>
      </c>
      <c r="AE80">
        <f t="shared" si="17"/>
        <v>20.968773915</v>
      </c>
      <c r="AF80" s="9"/>
      <c r="AG80" s="22">
        <v>0.25253300000000001</v>
      </c>
      <c r="AH80" s="22">
        <v>107.643</v>
      </c>
      <c r="AI80" s="22">
        <v>-1.53107E-2</v>
      </c>
      <c r="AJ80" s="22">
        <v>70</v>
      </c>
      <c r="AK80" s="22">
        <v>0.25170900000000002</v>
      </c>
      <c r="AL80">
        <f t="shared" si="18"/>
        <v>15.310700000000001</v>
      </c>
      <c r="AM80">
        <f t="shared" si="19"/>
        <v>3.8664570031000003</v>
      </c>
      <c r="AP80" s="9"/>
      <c r="AQ80" s="22">
        <v>1.4474499999999999</v>
      </c>
      <c r="AR80" s="22">
        <v>136.124</v>
      </c>
      <c r="AS80" s="22">
        <v>-1.4501999999999999E-2</v>
      </c>
      <c r="AT80" s="22">
        <v>70</v>
      </c>
      <c r="AU80" s="22">
        <v>1.4462299999999999</v>
      </c>
      <c r="AV80">
        <f t="shared" si="20"/>
        <v>14.501999999999999</v>
      </c>
      <c r="AW80">
        <f t="shared" si="21"/>
        <v>20.990919899999998</v>
      </c>
      <c r="AX80" s="9"/>
      <c r="AY80" s="22">
        <v>0.25253300000000001</v>
      </c>
      <c r="AZ80" s="22">
        <v>179.97800000000001</v>
      </c>
      <c r="BA80" s="22">
        <v>-1.54358E-2</v>
      </c>
      <c r="BB80" s="22">
        <v>70</v>
      </c>
      <c r="BC80" s="22">
        <v>0.25186199999999997</v>
      </c>
      <c r="BD80">
        <f t="shared" si="22"/>
        <v>15.4358</v>
      </c>
      <c r="BE80">
        <f t="shared" si="23"/>
        <v>3.8980488814000003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12.111499999999999</v>
      </c>
      <c r="I81" s="22">
        <v>-1.44043E-2</v>
      </c>
      <c r="J81" s="22">
        <v>71</v>
      </c>
      <c r="K81" s="22">
        <v>1.4413499999999999</v>
      </c>
      <c r="L81">
        <f t="shared" si="12"/>
        <v>14.404299999999999</v>
      </c>
      <c r="M81">
        <f t="shared" si="13"/>
        <v>20.776906362999998</v>
      </c>
      <c r="N81" s="9"/>
      <c r="O81" s="22">
        <v>0.25756800000000002</v>
      </c>
      <c r="P81" s="22">
        <v>44.884599999999999</v>
      </c>
      <c r="Q81" s="22">
        <v>-1.52496E-2</v>
      </c>
      <c r="R81" s="22">
        <v>71</v>
      </c>
      <c r="S81" s="22">
        <v>0.25665300000000002</v>
      </c>
      <c r="T81">
        <f t="shared" si="14"/>
        <v>15.249600000000001</v>
      </c>
      <c r="U81">
        <f t="shared" si="15"/>
        <v>3.9278089728000007</v>
      </c>
      <c r="X81" s="9"/>
      <c r="Y81" s="22">
        <v>1.44241</v>
      </c>
      <c r="Z81" s="22">
        <v>72.937600000000003</v>
      </c>
      <c r="AA81" s="22">
        <v>-1.44928E-2</v>
      </c>
      <c r="AB81" s="22">
        <v>71</v>
      </c>
      <c r="AC81" s="22">
        <v>1.4410400000000001</v>
      </c>
      <c r="AD81">
        <f t="shared" si="16"/>
        <v>14.492800000000001</v>
      </c>
      <c r="AE81">
        <f t="shared" si="17"/>
        <v>20.904559647999999</v>
      </c>
      <c r="AF81" s="9"/>
      <c r="AG81" s="22">
        <v>0.25756800000000002</v>
      </c>
      <c r="AH81" s="22">
        <v>107.65300000000001</v>
      </c>
      <c r="AI81" s="22">
        <v>-1.5301500000000001E-2</v>
      </c>
      <c r="AJ81" s="22">
        <v>71</v>
      </c>
      <c r="AK81" s="22">
        <v>0.25680500000000001</v>
      </c>
      <c r="AL81">
        <f t="shared" si="18"/>
        <v>15.301500000000001</v>
      </c>
      <c r="AM81">
        <f t="shared" si="19"/>
        <v>3.9411767520000005</v>
      </c>
      <c r="AP81" s="9"/>
      <c r="AQ81" s="22">
        <v>1.44241</v>
      </c>
      <c r="AR81" s="22">
        <v>136.13399999999999</v>
      </c>
      <c r="AS81" s="22">
        <v>-1.4505000000000001E-2</v>
      </c>
      <c r="AT81" s="22">
        <v>71</v>
      </c>
      <c r="AU81" s="22">
        <v>1.4413499999999999</v>
      </c>
      <c r="AV81">
        <f t="shared" si="20"/>
        <v>14.505000000000001</v>
      </c>
      <c r="AW81">
        <f t="shared" si="21"/>
        <v>20.922157049999999</v>
      </c>
      <c r="AX81" s="9"/>
      <c r="AY81" s="22">
        <v>0.25756800000000002</v>
      </c>
      <c r="AZ81" s="22">
        <v>179.988</v>
      </c>
      <c r="BA81" s="22">
        <v>-1.5432700000000001E-2</v>
      </c>
      <c r="BB81" s="22">
        <v>71</v>
      </c>
      <c r="BC81" s="22">
        <v>0.25677499999999998</v>
      </c>
      <c r="BD81">
        <f t="shared" si="22"/>
        <v>15.432700000000001</v>
      </c>
      <c r="BE81">
        <f t="shared" si="23"/>
        <v>3.9749696736000004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12.121499999999999</v>
      </c>
      <c r="I82" s="22">
        <v>-1.44104E-2</v>
      </c>
      <c r="J82" s="22">
        <v>72</v>
      </c>
      <c r="K82" s="22">
        <v>1.4364600000000001</v>
      </c>
      <c r="L82">
        <f t="shared" si="12"/>
        <v>14.410400000000001</v>
      </c>
      <c r="M82">
        <f t="shared" si="13"/>
        <v>20.713220752000002</v>
      </c>
      <c r="N82" s="9"/>
      <c r="O82" s="22">
        <v>0.262604</v>
      </c>
      <c r="P82" s="22">
        <v>44.8947</v>
      </c>
      <c r="Q82" s="22">
        <v>-1.52435E-2</v>
      </c>
      <c r="R82" s="22">
        <v>72</v>
      </c>
      <c r="S82" s="22">
        <v>0.26180999999999999</v>
      </c>
      <c r="T82">
        <f t="shared" si="14"/>
        <v>15.243500000000001</v>
      </c>
      <c r="U82">
        <f t="shared" si="15"/>
        <v>4.0030040740000006</v>
      </c>
      <c r="X82" s="9"/>
      <c r="Y82" s="22">
        <v>1.4373800000000001</v>
      </c>
      <c r="Z82" s="22">
        <v>72.947699999999998</v>
      </c>
      <c r="AA82" s="22">
        <v>-1.44989E-2</v>
      </c>
      <c r="AB82" s="22">
        <v>72</v>
      </c>
      <c r="AC82" s="22">
        <v>1.4358500000000001</v>
      </c>
      <c r="AD82">
        <f t="shared" si="16"/>
        <v>14.498900000000001</v>
      </c>
      <c r="AE82">
        <f t="shared" si="17"/>
        <v>20.840428882000001</v>
      </c>
      <c r="AF82" s="9"/>
      <c r="AG82" s="22">
        <v>0.262604</v>
      </c>
      <c r="AH82" s="22">
        <v>107.663</v>
      </c>
      <c r="AI82" s="22">
        <v>-1.5295400000000001E-2</v>
      </c>
      <c r="AJ82" s="22">
        <v>72</v>
      </c>
      <c r="AK82" s="22">
        <v>0.26187100000000002</v>
      </c>
      <c r="AL82">
        <f t="shared" si="18"/>
        <v>15.295400000000001</v>
      </c>
      <c r="AM82">
        <f t="shared" si="19"/>
        <v>4.0166332216000002</v>
      </c>
      <c r="AP82" s="9"/>
      <c r="AQ82" s="22">
        <v>1.4373800000000001</v>
      </c>
      <c r="AR82" s="22">
        <v>136.14400000000001</v>
      </c>
      <c r="AS82" s="22">
        <v>-1.4511100000000001E-2</v>
      </c>
      <c r="AT82" s="22">
        <v>72</v>
      </c>
      <c r="AU82" s="22">
        <v>1.4364600000000001</v>
      </c>
      <c r="AV82">
        <f t="shared" si="20"/>
        <v>14.511100000000001</v>
      </c>
      <c r="AW82">
        <f t="shared" si="21"/>
        <v>20.857964918000004</v>
      </c>
      <c r="AX82" s="9"/>
      <c r="AY82" s="22">
        <v>0.262604</v>
      </c>
      <c r="AZ82" s="22">
        <v>179.99799999999999</v>
      </c>
      <c r="BA82" s="22">
        <v>-1.5429699999999999E-2</v>
      </c>
      <c r="BB82" s="22">
        <v>72</v>
      </c>
      <c r="BC82" s="22">
        <v>0.26184099999999999</v>
      </c>
      <c r="BD82">
        <f t="shared" si="22"/>
        <v>15.429699999999999</v>
      </c>
      <c r="BE82">
        <f t="shared" si="23"/>
        <v>4.0519009387999994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12.131600000000001</v>
      </c>
      <c r="I83" s="22">
        <v>-1.4419599999999999E-2</v>
      </c>
      <c r="J83" s="22">
        <v>73</v>
      </c>
      <c r="K83" s="22">
        <v>1.4315800000000001</v>
      </c>
      <c r="L83">
        <f t="shared" si="12"/>
        <v>14.419599999999999</v>
      </c>
      <c r="M83">
        <f t="shared" si="13"/>
        <v>20.653769863999997</v>
      </c>
      <c r="N83" s="9"/>
      <c r="O83" s="22">
        <v>0.26763900000000002</v>
      </c>
      <c r="P83" s="22">
        <v>44.904699999999998</v>
      </c>
      <c r="Q83" s="22">
        <v>-1.5240500000000001E-2</v>
      </c>
      <c r="R83" s="22">
        <v>73</v>
      </c>
      <c r="S83" s="22">
        <v>0.266876</v>
      </c>
      <c r="T83">
        <f t="shared" si="14"/>
        <v>15.240500000000001</v>
      </c>
      <c r="U83">
        <f t="shared" si="15"/>
        <v>4.0789521795000008</v>
      </c>
      <c r="X83" s="9"/>
      <c r="Y83" s="22">
        <v>1.4323399999999999</v>
      </c>
      <c r="Z83" s="22">
        <v>72.957800000000006</v>
      </c>
      <c r="AA83" s="22">
        <v>-1.4505000000000001E-2</v>
      </c>
      <c r="AB83" s="22">
        <v>73</v>
      </c>
      <c r="AC83" s="22">
        <v>1.4315800000000001</v>
      </c>
      <c r="AD83">
        <f t="shared" si="16"/>
        <v>14.505000000000001</v>
      </c>
      <c r="AE83">
        <f t="shared" si="17"/>
        <v>20.776091700000002</v>
      </c>
      <c r="AF83" s="9"/>
      <c r="AG83" s="22">
        <v>0.26763900000000002</v>
      </c>
      <c r="AH83" s="22">
        <v>107.673</v>
      </c>
      <c r="AI83" s="22">
        <v>-1.5286299999999999E-2</v>
      </c>
      <c r="AJ83" s="22">
        <v>73</v>
      </c>
      <c r="AK83" s="22">
        <v>0.26681500000000002</v>
      </c>
      <c r="AL83">
        <f t="shared" si="18"/>
        <v>15.286299999999999</v>
      </c>
      <c r="AM83">
        <f t="shared" si="19"/>
        <v>4.0912100456999996</v>
      </c>
      <c r="AP83" s="9"/>
      <c r="AQ83" s="22">
        <v>1.4323399999999999</v>
      </c>
      <c r="AR83" s="22">
        <v>136.154</v>
      </c>
      <c r="AS83" s="22">
        <v>-1.4517199999999999E-2</v>
      </c>
      <c r="AT83" s="22">
        <v>73</v>
      </c>
      <c r="AU83" s="22">
        <v>1.43127</v>
      </c>
      <c r="AV83">
        <f t="shared" si="20"/>
        <v>14.517199999999999</v>
      </c>
      <c r="AW83">
        <f t="shared" si="21"/>
        <v>20.793566247999998</v>
      </c>
      <c r="AX83" s="9"/>
      <c r="AY83" s="22">
        <v>0.26763900000000002</v>
      </c>
      <c r="AZ83" s="22">
        <v>180.00800000000001</v>
      </c>
      <c r="BA83" s="22">
        <v>-1.54266E-2</v>
      </c>
      <c r="BB83" s="22">
        <v>73</v>
      </c>
      <c r="BC83" s="22">
        <v>0.26681500000000002</v>
      </c>
      <c r="BD83">
        <f t="shared" si="22"/>
        <v>15.426600000000001</v>
      </c>
      <c r="BE83">
        <f t="shared" si="23"/>
        <v>4.1287597974000008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12.1417</v>
      </c>
      <c r="I84" s="22">
        <v>-1.44257E-2</v>
      </c>
      <c r="J84" s="22">
        <v>74</v>
      </c>
      <c r="K84" s="22">
        <v>1.42639</v>
      </c>
      <c r="L84">
        <f t="shared" si="12"/>
        <v>14.425699999999999</v>
      </c>
      <c r="M84">
        <f t="shared" si="13"/>
        <v>20.589945867000001</v>
      </c>
      <c r="N84" s="9"/>
      <c r="O84" s="22">
        <v>0.272675</v>
      </c>
      <c r="P84" s="22">
        <v>44.9148</v>
      </c>
      <c r="Q84" s="22">
        <v>-1.52344E-2</v>
      </c>
      <c r="R84" s="22">
        <v>74</v>
      </c>
      <c r="S84" s="22">
        <v>0.27188099999999998</v>
      </c>
      <c r="T84">
        <f t="shared" si="14"/>
        <v>15.234400000000001</v>
      </c>
      <c r="U84">
        <f t="shared" si="15"/>
        <v>4.1540400200000001</v>
      </c>
      <c r="X84" s="9"/>
      <c r="Y84" s="22">
        <v>1.4273100000000001</v>
      </c>
      <c r="Z84" s="22">
        <v>72.967799999999997</v>
      </c>
      <c r="AA84" s="22">
        <v>-1.4511100000000001E-2</v>
      </c>
      <c r="AB84" s="22">
        <v>74</v>
      </c>
      <c r="AC84" s="22">
        <v>1.42639</v>
      </c>
      <c r="AD84">
        <f t="shared" si="16"/>
        <v>14.511100000000001</v>
      </c>
      <c r="AE84">
        <f t="shared" si="17"/>
        <v>20.711838141000001</v>
      </c>
      <c r="AF84" s="9"/>
      <c r="AG84" s="22">
        <v>0.272675</v>
      </c>
      <c r="AH84" s="22">
        <v>107.68300000000001</v>
      </c>
      <c r="AI84" s="22">
        <v>-1.5280200000000001E-2</v>
      </c>
      <c r="AJ84" s="22">
        <v>74</v>
      </c>
      <c r="AK84" s="22">
        <v>0.27191199999999999</v>
      </c>
      <c r="AL84">
        <f t="shared" si="18"/>
        <v>15.280200000000001</v>
      </c>
      <c r="AM84">
        <f t="shared" si="19"/>
        <v>4.1665285350000003</v>
      </c>
      <c r="AP84" s="9"/>
      <c r="AQ84" s="22">
        <v>1.4273100000000001</v>
      </c>
      <c r="AR84" s="22">
        <v>136.16399999999999</v>
      </c>
      <c r="AS84" s="22">
        <v>-1.45264E-2</v>
      </c>
      <c r="AT84" s="22">
        <v>74</v>
      </c>
      <c r="AU84" s="22">
        <v>1.4260900000000001</v>
      </c>
      <c r="AV84">
        <f t="shared" si="20"/>
        <v>14.526400000000001</v>
      </c>
      <c r="AW84">
        <f t="shared" si="21"/>
        <v>20.733675984000001</v>
      </c>
      <c r="AX84" s="9"/>
      <c r="AY84" s="22">
        <v>0.272675</v>
      </c>
      <c r="AZ84" s="22">
        <v>180.018</v>
      </c>
      <c r="BA84" s="22">
        <v>-1.5417500000000001E-2</v>
      </c>
      <c r="BB84" s="22">
        <v>74</v>
      </c>
      <c r="BC84" s="22">
        <v>0.27200299999999999</v>
      </c>
      <c r="BD84">
        <f t="shared" si="22"/>
        <v>15.4175</v>
      </c>
      <c r="BE84">
        <f t="shared" si="23"/>
        <v>4.2039668125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12.1518</v>
      </c>
      <c r="I85" s="22">
        <v>-1.4434799999999999E-2</v>
      </c>
      <c r="J85" s="22">
        <v>75</v>
      </c>
      <c r="K85" s="22">
        <v>1.4212</v>
      </c>
      <c r="L85">
        <f t="shared" si="12"/>
        <v>14.434799999999999</v>
      </c>
      <c r="M85">
        <f t="shared" si="13"/>
        <v>20.530182995999997</v>
      </c>
      <c r="N85" s="9"/>
      <c r="O85" s="22">
        <v>0.27771000000000001</v>
      </c>
      <c r="P85" s="22">
        <v>44.924900000000001</v>
      </c>
      <c r="Q85" s="22">
        <v>-1.52313E-2</v>
      </c>
      <c r="R85" s="22">
        <v>75</v>
      </c>
      <c r="S85" s="22">
        <v>0.27700799999999998</v>
      </c>
      <c r="T85">
        <f t="shared" si="14"/>
        <v>15.231299999999999</v>
      </c>
      <c r="U85">
        <f t="shared" si="15"/>
        <v>4.2298843230000003</v>
      </c>
      <c r="X85" s="9"/>
      <c r="Y85" s="22">
        <v>1.4222699999999999</v>
      </c>
      <c r="Z85" s="22">
        <v>72.977900000000005</v>
      </c>
      <c r="AA85" s="22">
        <v>-1.4517199999999999E-2</v>
      </c>
      <c r="AB85" s="22">
        <v>75</v>
      </c>
      <c r="AC85" s="22">
        <v>1.4212</v>
      </c>
      <c r="AD85">
        <f t="shared" si="16"/>
        <v>14.517199999999999</v>
      </c>
      <c r="AE85">
        <f t="shared" si="17"/>
        <v>20.647378043999996</v>
      </c>
      <c r="AF85" s="9"/>
      <c r="AG85" s="22">
        <v>0.27771000000000001</v>
      </c>
      <c r="AH85" s="22">
        <v>107.693</v>
      </c>
      <c r="AI85" s="22">
        <v>-1.52771E-2</v>
      </c>
      <c r="AJ85" s="22">
        <v>75</v>
      </c>
      <c r="AK85" s="22">
        <v>0.27700799999999998</v>
      </c>
      <c r="AL85">
        <f t="shared" si="18"/>
        <v>15.277100000000001</v>
      </c>
      <c r="AM85">
        <f t="shared" si="19"/>
        <v>4.242603441</v>
      </c>
      <c r="AP85" s="9"/>
      <c r="AQ85" s="22">
        <v>1.4222699999999999</v>
      </c>
      <c r="AR85" s="22">
        <v>136.17400000000001</v>
      </c>
      <c r="AS85" s="22">
        <v>-1.45355E-2</v>
      </c>
      <c r="AT85" s="22">
        <v>75</v>
      </c>
      <c r="AU85" s="22">
        <v>1.4209000000000001</v>
      </c>
      <c r="AV85">
        <f t="shared" si="20"/>
        <v>14.535499999999999</v>
      </c>
      <c r="AW85">
        <f t="shared" si="21"/>
        <v>20.673405584999998</v>
      </c>
      <c r="AX85" s="9"/>
      <c r="AY85" s="22">
        <v>0.27771000000000001</v>
      </c>
      <c r="AZ85" s="22">
        <v>180.02799999999999</v>
      </c>
      <c r="BA85" s="22">
        <v>-1.54114E-2</v>
      </c>
      <c r="BB85" s="22">
        <v>75</v>
      </c>
      <c r="BC85" s="22">
        <v>0.27685500000000002</v>
      </c>
      <c r="BD85">
        <f t="shared" si="22"/>
        <v>15.4114</v>
      </c>
      <c r="BE85">
        <f t="shared" si="23"/>
        <v>4.2798998940000006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12.161799999999999</v>
      </c>
      <c r="I86" s="22">
        <v>-1.4444E-2</v>
      </c>
      <c r="J86" s="22">
        <v>76</v>
      </c>
      <c r="K86" s="22">
        <v>1.41632</v>
      </c>
      <c r="L86">
        <f t="shared" si="12"/>
        <v>14.444000000000001</v>
      </c>
      <c r="M86">
        <f t="shared" si="13"/>
        <v>20.470614560000001</v>
      </c>
      <c r="N86" s="9"/>
      <c r="O86" s="22">
        <v>0.28274500000000002</v>
      </c>
      <c r="P86" s="22">
        <v>44.935000000000002</v>
      </c>
      <c r="Q86" s="22">
        <v>-1.52313E-2</v>
      </c>
      <c r="R86" s="22">
        <v>76</v>
      </c>
      <c r="S86" s="22">
        <v>0.28204299999999999</v>
      </c>
      <c r="T86">
        <f t="shared" si="14"/>
        <v>15.231299999999999</v>
      </c>
      <c r="U86">
        <f t="shared" si="15"/>
        <v>4.3065739184999998</v>
      </c>
      <c r="X86" s="9"/>
      <c r="Y86" s="22">
        <v>1.4172400000000001</v>
      </c>
      <c r="Z86" s="22">
        <v>72.988</v>
      </c>
      <c r="AA86" s="22">
        <v>-1.4523299999999999E-2</v>
      </c>
      <c r="AB86" s="22">
        <v>76</v>
      </c>
      <c r="AC86" s="22">
        <v>1.41632</v>
      </c>
      <c r="AD86">
        <f t="shared" si="16"/>
        <v>14.523299999999999</v>
      </c>
      <c r="AE86">
        <f t="shared" si="17"/>
        <v>20.583001692</v>
      </c>
      <c r="AF86" s="9"/>
      <c r="AG86" s="22">
        <v>0.28274500000000002</v>
      </c>
      <c r="AH86" s="22">
        <v>107.703</v>
      </c>
      <c r="AI86" s="22">
        <v>-1.5271E-2</v>
      </c>
      <c r="AJ86" s="22">
        <v>76</v>
      </c>
      <c r="AK86" s="22">
        <v>0.28213500000000002</v>
      </c>
      <c r="AL86">
        <f t="shared" si="18"/>
        <v>15.270999999999999</v>
      </c>
      <c r="AM86">
        <f t="shared" si="19"/>
        <v>4.3177988950000001</v>
      </c>
      <c r="AP86" s="9"/>
      <c r="AQ86" s="22">
        <v>1.4172400000000001</v>
      </c>
      <c r="AR86" s="22">
        <v>136.184</v>
      </c>
      <c r="AS86" s="22">
        <v>-1.45477E-2</v>
      </c>
      <c r="AT86" s="22">
        <v>76</v>
      </c>
      <c r="AU86" s="22">
        <v>1.4166300000000001</v>
      </c>
      <c r="AV86">
        <f t="shared" si="20"/>
        <v>14.547700000000001</v>
      </c>
      <c r="AW86">
        <f t="shared" si="21"/>
        <v>20.617582348000003</v>
      </c>
      <c r="AX86" s="9"/>
      <c r="AY86" s="22">
        <v>0.28274500000000002</v>
      </c>
      <c r="AZ86" s="22">
        <v>180.03800000000001</v>
      </c>
      <c r="BA86" s="22">
        <v>-1.54053E-2</v>
      </c>
      <c r="BB86" s="22">
        <v>76</v>
      </c>
      <c r="BC86" s="22">
        <v>0.28192099999999998</v>
      </c>
      <c r="BD86">
        <f t="shared" si="22"/>
        <v>15.4053</v>
      </c>
      <c r="BE86">
        <f t="shared" si="23"/>
        <v>4.3557715485000008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12.171900000000001</v>
      </c>
      <c r="I87" s="22">
        <v>-1.44501E-2</v>
      </c>
      <c r="J87" s="22">
        <v>77</v>
      </c>
      <c r="K87" s="22">
        <v>1.41083</v>
      </c>
      <c r="L87">
        <f t="shared" si="12"/>
        <v>14.450100000000001</v>
      </c>
      <c r="M87">
        <f t="shared" si="13"/>
        <v>20.406431219999998</v>
      </c>
      <c r="N87" s="9"/>
      <c r="O87" s="22">
        <v>0.28778100000000001</v>
      </c>
      <c r="P87" s="22">
        <v>44.945</v>
      </c>
      <c r="Q87" s="22">
        <v>-1.52222E-2</v>
      </c>
      <c r="R87" s="22">
        <v>77</v>
      </c>
      <c r="S87" s="22">
        <v>0.28698699999999999</v>
      </c>
      <c r="T87">
        <f t="shared" si="14"/>
        <v>15.222200000000001</v>
      </c>
      <c r="U87">
        <f t="shared" si="15"/>
        <v>4.3806599382</v>
      </c>
      <c r="X87" s="9"/>
      <c r="Y87" s="22">
        <v>1.4121999999999999</v>
      </c>
      <c r="Z87" s="22">
        <v>72.998000000000005</v>
      </c>
      <c r="AA87" s="22">
        <v>-1.45294E-2</v>
      </c>
      <c r="AB87" s="22">
        <v>77</v>
      </c>
      <c r="AC87" s="22">
        <v>1.41144</v>
      </c>
      <c r="AD87">
        <f t="shared" si="16"/>
        <v>14.529399999999999</v>
      </c>
      <c r="AE87">
        <f t="shared" si="17"/>
        <v>20.518418679999996</v>
      </c>
      <c r="AF87" s="9"/>
      <c r="AG87" s="22">
        <v>0.28778100000000001</v>
      </c>
      <c r="AH87" s="22">
        <v>107.71299999999999</v>
      </c>
      <c r="AI87" s="22">
        <v>-1.5267899999999999E-2</v>
      </c>
      <c r="AJ87" s="22">
        <v>77</v>
      </c>
      <c r="AK87" s="22">
        <v>0.28704800000000003</v>
      </c>
      <c r="AL87">
        <f t="shared" si="18"/>
        <v>15.267899999999999</v>
      </c>
      <c r="AM87">
        <f t="shared" si="19"/>
        <v>4.3938115298999998</v>
      </c>
      <c r="AP87" s="9"/>
      <c r="AQ87" s="22">
        <v>1.4121999999999999</v>
      </c>
      <c r="AR87" s="22">
        <v>136.19399999999999</v>
      </c>
      <c r="AS87" s="22">
        <v>-1.45538E-2</v>
      </c>
      <c r="AT87" s="22">
        <v>77</v>
      </c>
      <c r="AU87" s="22">
        <v>1.41144</v>
      </c>
      <c r="AV87">
        <f t="shared" si="20"/>
        <v>14.553800000000001</v>
      </c>
      <c r="AW87">
        <f t="shared" si="21"/>
        <v>20.552876359999999</v>
      </c>
      <c r="AX87" s="9"/>
      <c r="AY87" s="22">
        <v>0.28778100000000001</v>
      </c>
      <c r="AZ87" s="22">
        <v>180.04900000000001</v>
      </c>
      <c r="BA87" s="22">
        <v>-1.53992E-2</v>
      </c>
      <c r="BB87" s="22">
        <v>77</v>
      </c>
      <c r="BC87" s="22">
        <v>0.28689599999999998</v>
      </c>
      <c r="BD87">
        <f t="shared" si="22"/>
        <v>15.3992</v>
      </c>
      <c r="BE87">
        <f t="shared" si="23"/>
        <v>4.4315971752000003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12.182</v>
      </c>
      <c r="I88" s="22">
        <v>-1.4456200000000001E-2</v>
      </c>
      <c r="J88" s="22">
        <v>78</v>
      </c>
      <c r="K88" s="22">
        <v>1.40564</v>
      </c>
      <c r="L88">
        <f t="shared" si="12"/>
        <v>14.456200000000001</v>
      </c>
      <c r="M88">
        <f t="shared" si="13"/>
        <v>20.342330954000001</v>
      </c>
      <c r="N88" s="9"/>
      <c r="O88" s="22">
        <v>0.29281600000000002</v>
      </c>
      <c r="P88" s="22">
        <v>44.955100000000002</v>
      </c>
      <c r="Q88" s="22">
        <v>-1.5219099999999999E-2</v>
      </c>
      <c r="R88" s="22">
        <v>78</v>
      </c>
      <c r="S88" s="22">
        <v>0.29214499999999999</v>
      </c>
      <c r="T88">
        <f t="shared" si="14"/>
        <v>15.219099999999999</v>
      </c>
      <c r="U88">
        <f t="shared" si="15"/>
        <v>4.4563959856000004</v>
      </c>
      <c r="X88" s="9"/>
      <c r="Y88" s="22">
        <v>1.40717</v>
      </c>
      <c r="Z88" s="22">
        <v>73.008099999999999</v>
      </c>
      <c r="AA88" s="22">
        <v>-1.45355E-2</v>
      </c>
      <c r="AB88" s="22">
        <v>78</v>
      </c>
      <c r="AC88" s="22">
        <v>1.40594</v>
      </c>
      <c r="AD88">
        <f t="shared" si="16"/>
        <v>14.535499999999999</v>
      </c>
      <c r="AE88">
        <f t="shared" si="17"/>
        <v>20.453919535000001</v>
      </c>
      <c r="AF88" s="9"/>
      <c r="AG88" s="22">
        <v>0.29281600000000002</v>
      </c>
      <c r="AH88" s="22">
        <v>107.723</v>
      </c>
      <c r="AI88" s="22">
        <v>-1.52649E-2</v>
      </c>
      <c r="AJ88" s="22">
        <v>78</v>
      </c>
      <c r="AK88" s="22">
        <v>0.29199199999999997</v>
      </c>
      <c r="AL88">
        <f t="shared" si="18"/>
        <v>15.264899999999999</v>
      </c>
      <c r="AM88">
        <f t="shared" si="19"/>
        <v>4.4698069584000004</v>
      </c>
      <c r="AP88" s="9"/>
      <c r="AQ88" s="22">
        <v>1.40717</v>
      </c>
      <c r="AR88" s="22">
        <v>136.20400000000001</v>
      </c>
      <c r="AS88" s="22">
        <v>-1.4559900000000001E-2</v>
      </c>
      <c r="AT88" s="22">
        <v>78</v>
      </c>
      <c r="AU88" s="22">
        <v>1.40594</v>
      </c>
      <c r="AV88">
        <f t="shared" si="20"/>
        <v>14.559900000000001</v>
      </c>
      <c r="AW88">
        <f t="shared" si="21"/>
        <v>20.488254483000002</v>
      </c>
      <c r="AX88" s="9"/>
      <c r="AY88" s="22">
        <v>0.29281600000000002</v>
      </c>
      <c r="AZ88" s="22">
        <v>180.059</v>
      </c>
      <c r="BA88" s="22">
        <v>-1.53992E-2</v>
      </c>
      <c r="BB88" s="22">
        <v>78</v>
      </c>
      <c r="BC88" s="22">
        <v>0.29208400000000001</v>
      </c>
      <c r="BD88">
        <f t="shared" si="22"/>
        <v>15.3992</v>
      </c>
      <c r="BE88">
        <f t="shared" si="23"/>
        <v>4.5091321472000008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12.192</v>
      </c>
      <c r="I89" s="22">
        <v>-1.44592E-2</v>
      </c>
      <c r="J89" s="22">
        <v>79</v>
      </c>
      <c r="K89" s="22">
        <v>1.40076</v>
      </c>
      <c r="L89">
        <f t="shared" si="12"/>
        <v>14.459200000000001</v>
      </c>
      <c r="M89">
        <f t="shared" si="13"/>
        <v>20.273678096000001</v>
      </c>
      <c r="N89" s="9"/>
      <c r="O89" s="22">
        <v>0.29785200000000001</v>
      </c>
      <c r="P89" s="22">
        <v>44.965200000000003</v>
      </c>
      <c r="Q89" s="22">
        <v>-1.52161E-2</v>
      </c>
      <c r="R89" s="22">
        <v>79</v>
      </c>
      <c r="S89" s="22">
        <v>0.29696699999999998</v>
      </c>
      <c r="T89">
        <f t="shared" si="14"/>
        <v>15.216099999999999</v>
      </c>
      <c r="U89">
        <f t="shared" si="15"/>
        <v>4.5321458172</v>
      </c>
      <c r="X89" s="9"/>
      <c r="Y89" s="22">
        <v>1.4021300000000001</v>
      </c>
      <c r="Z89" s="22">
        <v>73.018199999999993</v>
      </c>
      <c r="AA89" s="22">
        <v>-1.4544700000000001E-2</v>
      </c>
      <c r="AB89" s="22">
        <v>79</v>
      </c>
      <c r="AC89" s="22">
        <v>1.40137</v>
      </c>
      <c r="AD89">
        <f t="shared" si="16"/>
        <v>14.544700000000001</v>
      </c>
      <c r="AE89">
        <f t="shared" si="17"/>
        <v>20.393560211000004</v>
      </c>
      <c r="AF89" s="9"/>
      <c r="AG89" s="22">
        <v>0.29785200000000001</v>
      </c>
      <c r="AH89" s="22">
        <v>107.733</v>
      </c>
      <c r="AI89" s="22">
        <v>-1.5261800000000001E-2</v>
      </c>
      <c r="AJ89" s="22">
        <v>79</v>
      </c>
      <c r="AK89" s="22">
        <v>0.29715000000000003</v>
      </c>
      <c r="AL89">
        <f t="shared" si="18"/>
        <v>15.261800000000001</v>
      </c>
      <c r="AM89">
        <f t="shared" si="19"/>
        <v>4.5457576535999999</v>
      </c>
      <c r="AP89" s="9"/>
      <c r="AQ89" s="22">
        <v>1.4021300000000001</v>
      </c>
      <c r="AR89" s="22">
        <v>136.214</v>
      </c>
      <c r="AS89" s="22">
        <v>-1.4566000000000001E-2</v>
      </c>
      <c r="AT89" s="22">
        <v>79</v>
      </c>
      <c r="AU89" s="22">
        <v>1.40106</v>
      </c>
      <c r="AV89">
        <f t="shared" si="20"/>
        <v>14.566000000000001</v>
      </c>
      <c r="AW89">
        <f t="shared" si="21"/>
        <v>20.423425580000004</v>
      </c>
      <c r="AX89" s="9"/>
      <c r="AY89" s="22">
        <v>0.29785200000000001</v>
      </c>
      <c r="AZ89" s="22">
        <v>180.06899999999999</v>
      </c>
      <c r="BA89" s="22">
        <v>-1.53931E-2</v>
      </c>
      <c r="BB89" s="22">
        <v>79</v>
      </c>
      <c r="BC89" s="22">
        <v>0.29702800000000001</v>
      </c>
      <c r="BD89">
        <f t="shared" si="22"/>
        <v>15.3931</v>
      </c>
      <c r="BE89">
        <f t="shared" si="23"/>
        <v>4.5848656212000005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12.2021</v>
      </c>
      <c r="I90" s="22">
        <v>-1.4462300000000001E-2</v>
      </c>
      <c r="J90" s="22">
        <v>80</v>
      </c>
      <c r="K90" s="22">
        <v>1.3964799999999999</v>
      </c>
      <c r="L90">
        <f t="shared" si="12"/>
        <v>14.462300000000001</v>
      </c>
      <c r="M90">
        <f t="shared" si="13"/>
        <v>20.205134706999999</v>
      </c>
      <c r="N90" s="9"/>
      <c r="O90" s="22">
        <v>0.30288700000000002</v>
      </c>
      <c r="P90" s="22">
        <v>44.975200000000001</v>
      </c>
      <c r="Q90" s="22">
        <v>-1.52161E-2</v>
      </c>
      <c r="R90" s="22">
        <v>80</v>
      </c>
      <c r="S90" s="22">
        <v>0.302124</v>
      </c>
      <c r="T90">
        <f t="shared" si="14"/>
        <v>15.216099999999999</v>
      </c>
      <c r="U90">
        <f t="shared" si="15"/>
        <v>4.6087588806999999</v>
      </c>
      <c r="X90" s="9"/>
      <c r="Y90" s="22">
        <v>1.3970899999999999</v>
      </c>
      <c r="Z90" s="22">
        <v>73.028300000000002</v>
      </c>
      <c r="AA90" s="22">
        <v>-1.45477E-2</v>
      </c>
      <c r="AB90" s="22">
        <v>80</v>
      </c>
      <c r="AC90" s="22">
        <v>1.39618</v>
      </c>
      <c r="AD90">
        <f t="shared" si="16"/>
        <v>14.547700000000001</v>
      </c>
      <c r="AE90">
        <f t="shared" si="17"/>
        <v>20.324446193</v>
      </c>
      <c r="AF90" s="9"/>
      <c r="AG90" s="22">
        <v>0.30288700000000002</v>
      </c>
      <c r="AH90" s="22">
        <v>107.74299999999999</v>
      </c>
      <c r="AI90" s="22">
        <v>-1.5255700000000001E-2</v>
      </c>
      <c r="AJ90" s="22">
        <v>80</v>
      </c>
      <c r="AK90" s="22">
        <v>0.30209399999999997</v>
      </c>
      <c r="AL90">
        <f t="shared" si="18"/>
        <v>15.255700000000001</v>
      </c>
      <c r="AM90">
        <f t="shared" si="19"/>
        <v>4.6207532059000007</v>
      </c>
      <c r="AP90" s="9"/>
      <c r="AQ90" s="22">
        <v>1.3970899999999999</v>
      </c>
      <c r="AR90" s="22">
        <v>136.22399999999999</v>
      </c>
      <c r="AS90" s="22">
        <v>-1.4572099999999999E-2</v>
      </c>
      <c r="AT90" s="22">
        <v>80</v>
      </c>
      <c r="AU90" s="22">
        <v>1.3958699999999999</v>
      </c>
      <c r="AV90">
        <f t="shared" si="20"/>
        <v>14.572099999999999</v>
      </c>
      <c r="AW90">
        <f t="shared" si="21"/>
        <v>20.358535188999998</v>
      </c>
      <c r="AX90" s="9"/>
      <c r="AY90" s="22">
        <v>0.30288700000000002</v>
      </c>
      <c r="AZ90" s="22">
        <v>180.07900000000001</v>
      </c>
      <c r="BA90" s="22">
        <v>-1.5389999999999999E-2</v>
      </c>
      <c r="BB90" s="22">
        <v>80</v>
      </c>
      <c r="BC90" s="22">
        <v>0.30215500000000001</v>
      </c>
      <c r="BD90">
        <f t="shared" si="22"/>
        <v>15.389999999999999</v>
      </c>
      <c r="BE90">
        <f t="shared" si="23"/>
        <v>4.6614309299999999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12.212199999999999</v>
      </c>
      <c r="I91" s="22">
        <v>-1.44653E-2</v>
      </c>
      <c r="J91" s="22">
        <v>81</v>
      </c>
      <c r="K91" s="22">
        <v>1.39069</v>
      </c>
      <c r="L91">
        <f t="shared" si="12"/>
        <v>14.465300000000001</v>
      </c>
      <c r="M91">
        <f t="shared" si="13"/>
        <v>20.136565518000001</v>
      </c>
      <c r="N91" s="9"/>
      <c r="O91" s="22">
        <v>0.30792199999999997</v>
      </c>
      <c r="P91" s="22">
        <v>44.985300000000002</v>
      </c>
      <c r="Q91" s="22">
        <v>-1.521E-2</v>
      </c>
      <c r="R91" s="22">
        <v>81</v>
      </c>
      <c r="S91" s="22">
        <v>0.30712899999999999</v>
      </c>
      <c r="T91">
        <f t="shared" si="14"/>
        <v>15.209999999999999</v>
      </c>
      <c r="U91">
        <f t="shared" si="15"/>
        <v>4.6834936199999992</v>
      </c>
      <c r="X91" s="9"/>
      <c r="Y91" s="22">
        <v>1.3920600000000001</v>
      </c>
      <c r="Z91" s="22">
        <v>73.038300000000007</v>
      </c>
      <c r="AA91" s="22">
        <v>-1.45538E-2</v>
      </c>
      <c r="AB91" s="22">
        <v>81</v>
      </c>
      <c r="AC91" s="22">
        <v>1.3913</v>
      </c>
      <c r="AD91">
        <f t="shared" si="16"/>
        <v>14.553800000000001</v>
      </c>
      <c r="AE91">
        <f t="shared" si="17"/>
        <v>20.259762828000003</v>
      </c>
      <c r="AF91" s="9"/>
      <c r="AG91" s="22">
        <v>0.30792199999999997</v>
      </c>
      <c r="AH91" s="22">
        <v>107.753</v>
      </c>
      <c r="AI91" s="22">
        <v>-1.5252699999999999E-2</v>
      </c>
      <c r="AJ91" s="22">
        <v>81</v>
      </c>
      <c r="AK91" s="22">
        <v>0.30709799999999998</v>
      </c>
      <c r="AL91">
        <f t="shared" si="18"/>
        <v>15.252699999999999</v>
      </c>
      <c r="AM91">
        <f t="shared" si="19"/>
        <v>4.6966418893999995</v>
      </c>
      <c r="AP91" s="9"/>
      <c r="AQ91" s="22">
        <v>1.3920600000000001</v>
      </c>
      <c r="AR91" s="22">
        <v>136.23500000000001</v>
      </c>
      <c r="AS91" s="22">
        <v>-1.4578199999999999E-2</v>
      </c>
      <c r="AT91" s="22">
        <v>81</v>
      </c>
      <c r="AU91" s="22">
        <v>1.3913</v>
      </c>
      <c r="AV91">
        <f t="shared" si="20"/>
        <v>14.578199999999999</v>
      </c>
      <c r="AW91">
        <f t="shared" si="21"/>
        <v>20.293729092</v>
      </c>
      <c r="AX91" s="9"/>
      <c r="AY91" s="22">
        <v>0.30792199999999997</v>
      </c>
      <c r="AZ91" s="22">
        <v>180.089</v>
      </c>
      <c r="BA91" s="22">
        <v>-1.5383900000000001E-2</v>
      </c>
      <c r="BB91" s="22">
        <v>81</v>
      </c>
      <c r="BC91" s="22">
        <v>0.30712899999999999</v>
      </c>
      <c r="BD91">
        <f t="shared" si="22"/>
        <v>15.383900000000001</v>
      </c>
      <c r="BE91">
        <f t="shared" si="23"/>
        <v>4.7370412557999995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12.222300000000001</v>
      </c>
      <c r="I92" s="22">
        <v>-1.4468399999999999E-2</v>
      </c>
      <c r="J92" s="22">
        <v>82</v>
      </c>
      <c r="K92" s="22">
        <v>1.3855</v>
      </c>
      <c r="L92">
        <f t="shared" si="12"/>
        <v>14.468399999999999</v>
      </c>
      <c r="M92">
        <f t="shared" si="13"/>
        <v>20.067960167999999</v>
      </c>
      <c r="N92" s="9"/>
      <c r="O92" s="22">
        <v>0.31295800000000001</v>
      </c>
      <c r="P92" s="22">
        <v>44.995399999999997</v>
      </c>
      <c r="Q92" s="22">
        <v>-1.52008E-2</v>
      </c>
      <c r="R92" s="22">
        <v>82</v>
      </c>
      <c r="S92" s="22">
        <v>0.312195</v>
      </c>
      <c r="T92">
        <f t="shared" si="14"/>
        <v>15.200800000000001</v>
      </c>
      <c r="U92">
        <f t="shared" si="15"/>
        <v>4.7572119664000008</v>
      </c>
      <c r="X92" s="9"/>
      <c r="Y92" s="22">
        <v>1.3870199999999999</v>
      </c>
      <c r="Z92" s="22">
        <v>73.048400000000001</v>
      </c>
      <c r="AA92" s="22">
        <v>-1.4556899999999999E-2</v>
      </c>
      <c r="AB92" s="22">
        <v>82</v>
      </c>
      <c r="AC92" s="22">
        <v>1.3864099999999999</v>
      </c>
      <c r="AD92">
        <f t="shared" si="16"/>
        <v>14.556899999999999</v>
      </c>
      <c r="AE92">
        <f t="shared" si="17"/>
        <v>20.190711437999997</v>
      </c>
      <c r="AF92" s="9"/>
      <c r="AG92" s="22">
        <v>0.31295800000000001</v>
      </c>
      <c r="AH92" s="22">
        <v>107.764</v>
      </c>
      <c r="AI92" s="22">
        <v>-1.52496E-2</v>
      </c>
      <c r="AJ92" s="22">
        <v>82</v>
      </c>
      <c r="AK92" s="22">
        <v>0.31204199999999999</v>
      </c>
      <c r="AL92">
        <f t="shared" si="18"/>
        <v>15.249600000000001</v>
      </c>
      <c r="AM92">
        <f t="shared" si="19"/>
        <v>4.7724843168000008</v>
      </c>
      <c r="AP92" s="9"/>
      <c r="AQ92" s="22">
        <v>1.3870199999999999</v>
      </c>
      <c r="AR92" s="22">
        <v>136.245</v>
      </c>
      <c r="AS92" s="22">
        <v>-1.4578199999999999E-2</v>
      </c>
      <c r="AT92" s="22">
        <v>82</v>
      </c>
      <c r="AU92" s="22">
        <v>1.38672</v>
      </c>
      <c r="AV92">
        <f t="shared" si="20"/>
        <v>14.578199999999999</v>
      </c>
      <c r="AW92">
        <f t="shared" si="21"/>
        <v>20.220254963999999</v>
      </c>
      <c r="AX92" s="9"/>
      <c r="AY92" s="22">
        <v>0.31295800000000001</v>
      </c>
      <c r="AZ92" s="22">
        <v>180.09899999999999</v>
      </c>
      <c r="BA92" s="22">
        <v>-1.5380899999999999E-2</v>
      </c>
      <c r="BB92" s="22">
        <v>82</v>
      </c>
      <c r="BC92" s="22">
        <v>0.31207299999999999</v>
      </c>
      <c r="BD92">
        <f t="shared" si="22"/>
        <v>15.380899999999999</v>
      </c>
      <c r="BE92">
        <f t="shared" si="23"/>
        <v>4.8135757021999996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12.2323</v>
      </c>
      <c r="I93" s="22">
        <v>-1.44745E-2</v>
      </c>
      <c r="J93" s="22">
        <v>83</v>
      </c>
      <c r="K93" s="22">
        <v>1.38123</v>
      </c>
      <c r="L93">
        <f t="shared" si="12"/>
        <v>14.474499999999999</v>
      </c>
      <c r="M93">
        <f t="shared" si="13"/>
        <v>20.003614254999999</v>
      </c>
      <c r="N93" s="9"/>
      <c r="O93" s="22">
        <v>0.31799300000000003</v>
      </c>
      <c r="P93" s="22">
        <v>45.005400000000002</v>
      </c>
      <c r="Q93" s="22">
        <v>-1.5197799999999999E-2</v>
      </c>
      <c r="R93" s="22">
        <v>83</v>
      </c>
      <c r="S93" s="22">
        <v>0.317139</v>
      </c>
      <c r="T93">
        <f t="shared" si="14"/>
        <v>15.197799999999999</v>
      </c>
      <c r="U93">
        <f t="shared" si="15"/>
        <v>4.8327940154000002</v>
      </c>
      <c r="X93" s="9"/>
      <c r="Y93" s="22">
        <v>1.3819900000000001</v>
      </c>
      <c r="Z93" s="22">
        <v>73.058499999999995</v>
      </c>
      <c r="AA93" s="22">
        <v>-1.4559900000000001E-2</v>
      </c>
      <c r="AB93" s="22">
        <v>83</v>
      </c>
      <c r="AC93" s="22">
        <v>1.3809199999999999</v>
      </c>
      <c r="AD93">
        <f t="shared" si="16"/>
        <v>14.559900000000001</v>
      </c>
      <c r="AE93">
        <f t="shared" si="17"/>
        <v>20.121636201000001</v>
      </c>
      <c r="AF93" s="9"/>
      <c r="AG93" s="22">
        <v>0.31799300000000003</v>
      </c>
      <c r="AH93" s="22">
        <v>107.774</v>
      </c>
      <c r="AI93" s="22">
        <v>-1.5246600000000001E-2</v>
      </c>
      <c r="AJ93" s="22">
        <v>83</v>
      </c>
      <c r="AK93" s="22">
        <v>0.31716899999999998</v>
      </c>
      <c r="AL93">
        <f t="shared" si="18"/>
        <v>15.246600000000001</v>
      </c>
      <c r="AM93">
        <f t="shared" si="19"/>
        <v>4.8483120738000007</v>
      </c>
      <c r="AP93" s="9"/>
      <c r="AQ93" s="22">
        <v>1.3819900000000001</v>
      </c>
      <c r="AR93" s="22">
        <v>136.255</v>
      </c>
      <c r="AS93" s="22">
        <v>-1.45813E-2</v>
      </c>
      <c r="AT93" s="22">
        <v>83</v>
      </c>
      <c r="AU93" s="22">
        <v>1.38062</v>
      </c>
      <c r="AV93">
        <f t="shared" si="20"/>
        <v>14.581300000000001</v>
      </c>
      <c r="AW93">
        <f t="shared" si="21"/>
        <v>20.151210787</v>
      </c>
      <c r="AX93" s="9"/>
      <c r="AY93" s="22">
        <v>0.31799300000000003</v>
      </c>
      <c r="AZ93" s="22">
        <v>180.10900000000001</v>
      </c>
      <c r="BA93" s="22">
        <v>-1.5380899999999999E-2</v>
      </c>
      <c r="BB93" s="22">
        <v>83</v>
      </c>
      <c r="BC93" s="22">
        <v>0.31716899999999998</v>
      </c>
      <c r="BD93">
        <f t="shared" si="22"/>
        <v>15.380899999999999</v>
      </c>
      <c r="BE93">
        <f t="shared" si="23"/>
        <v>4.8910185336999996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12.2424</v>
      </c>
      <c r="I94" s="22">
        <v>-1.44806E-2</v>
      </c>
      <c r="J94" s="22">
        <v>84</v>
      </c>
      <c r="K94" s="22">
        <v>1.3763399999999999</v>
      </c>
      <c r="L94">
        <f t="shared" si="12"/>
        <v>14.480599999999999</v>
      </c>
      <c r="M94">
        <f t="shared" si="13"/>
        <v>19.939062169999996</v>
      </c>
      <c r="N94" s="9"/>
      <c r="O94" s="22">
        <v>0.32302900000000001</v>
      </c>
      <c r="P94" s="22">
        <v>45.015500000000003</v>
      </c>
      <c r="Q94" s="22">
        <v>-1.5191700000000001E-2</v>
      </c>
      <c r="R94" s="22">
        <v>84</v>
      </c>
      <c r="S94" s="22">
        <v>0.32223499999999999</v>
      </c>
      <c r="T94">
        <f t="shared" si="14"/>
        <v>15.191700000000001</v>
      </c>
      <c r="U94">
        <f t="shared" si="15"/>
        <v>4.9073596593000008</v>
      </c>
      <c r="X94" s="9"/>
      <c r="Y94" s="22">
        <v>1.3769499999999999</v>
      </c>
      <c r="Z94" s="22">
        <v>73.0685</v>
      </c>
      <c r="AA94" s="22">
        <v>-1.4566000000000001E-2</v>
      </c>
      <c r="AB94" s="22">
        <v>84</v>
      </c>
      <c r="AC94" s="22">
        <v>1.3760399999999999</v>
      </c>
      <c r="AD94">
        <f t="shared" si="16"/>
        <v>14.566000000000001</v>
      </c>
      <c r="AE94">
        <f t="shared" si="17"/>
        <v>20.056653699999998</v>
      </c>
      <c r="AF94" s="9"/>
      <c r="AG94" s="22">
        <v>0.32302900000000001</v>
      </c>
      <c r="AH94" s="22">
        <v>107.78400000000001</v>
      </c>
      <c r="AI94" s="22">
        <v>-1.52435E-2</v>
      </c>
      <c r="AJ94" s="22">
        <v>84</v>
      </c>
      <c r="AK94" s="22">
        <v>0.32220500000000002</v>
      </c>
      <c r="AL94">
        <f t="shared" si="18"/>
        <v>15.243500000000001</v>
      </c>
      <c r="AM94">
        <f t="shared" si="19"/>
        <v>4.9240925615000002</v>
      </c>
      <c r="AP94" s="9"/>
      <c r="AQ94" s="22">
        <v>1.3769499999999999</v>
      </c>
      <c r="AR94" s="22">
        <v>136.26499999999999</v>
      </c>
      <c r="AS94" s="22">
        <v>-1.4590499999999999E-2</v>
      </c>
      <c r="AT94" s="22">
        <v>84</v>
      </c>
      <c r="AU94" s="22">
        <v>1.3763399999999999</v>
      </c>
      <c r="AV94">
        <f t="shared" si="20"/>
        <v>14.590499999999999</v>
      </c>
      <c r="AW94">
        <f t="shared" si="21"/>
        <v>20.090388974999996</v>
      </c>
      <c r="AX94" s="9"/>
      <c r="AY94" s="22">
        <v>0.32302900000000001</v>
      </c>
      <c r="AZ94" s="22">
        <v>180.119</v>
      </c>
      <c r="BA94" s="22">
        <v>-1.53778E-2</v>
      </c>
      <c r="BB94" s="22">
        <v>84</v>
      </c>
      <c r="BC94" s="22">
        <v>0.32223499999999999</v>
      </c>
      <c r="BD94">
        <f t="shared" si="22"/>
        <v>15.377800000000001</v>
      </c>
      <c r="BE94">
        <f t="shared" si="23"/>
        <v>4.9674753562000005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12.2525</v>
      </c>
      <c r="I95" s="22">
        <v>-1.44806E-2</v>
      </c>
      <c r="J95" s="22">
        <v>85</v>
      </c>
      <c r="K95" s="22">
        <v>1.3708499999999999</v>
      </c>
      <c r="L95">
        <f t="shared" si="12"/>
        <v>14.480599999999999</v>
      </c>
      <c r="M95">
        <f t="shared" si="13"/>
        <v>19.866224752000001</v>
      </c>
      <c r="N95" s="9"/>
      <c r="O95" s="22">
        <v>0.32806400000000002</v>
      </c>
      <c r="P95" s="22">
        <v>45.025599999999997</v>
      </c>
      <c r="Q95" s="22">
        <v>-1.51886E-2</v>
      </c>
      <c r="R95" s="22">
        <v>85</v>
      </c>
      <c r="S95" s="22">
        <v>0.32720900000000003</v>
      </c>
      <c r="T95">
        <f t="shared" si="14"/>
        <v>15.188599999999999</v>
      </c>
      <c r="U95">
        <f t="shared" si="15"/>
        <v>4.9828328704000002</v>
      </c>
      <c r="X95" s="9"/>
      <c r="Y95" s="22">
        <v>1.37192</v>
      </c>
      <c r="Z95" s="22">
        <v>73.078599999999994</v>
      </c>
      <c r="AA95" s="22">
        <v>-1.4572099999999999E-2</v>
      </c>
      <c r="AB95" s="22">
        <v>85</v>
      </c>
      <c r="AC95" s="22">
        <v>1.3705400000000001</v>
      </c>
      <c r="AD95">
        <f t="shared" si="16"/>
        <v>14.572099999999999</v>
      </c>
      <c r="AE95">
        <f t="shared" si="17"/>
        <v>19.991755431999998</v>
      </c>
      <c r="AF95" s="9"/>
      <c r="AG95" s="22">
        <v>0.32806400000000002</v>
      </c>
      <c r="AH95" s="22">
        <v>107.794</v>
      </c>
      <c r="AI95" s="22">
        <v>-1.5240500000000001E-2</v>
      </c>
      <c r="AJ95" s="22">
        <v>85</v>
      </c>
      <c r="AK95" s="22">
        <v>0.32736199999999999</v>
      </c>
      <c r="AL95">
        <f t="shared" si="18"/>
        <v>15.240500000000001</v>
      </c>
      <c r="AM95">
        <f t="shared" si="19"/>
        <v>4.9998593920000003</v>
      </c>
      <c r="AP95" s="9"/>
      <c r="AQ95" s="22">
        <v>1.37192</v>
      </c>
      <c r="AR95" s="22">
        <v>136.27500000000001</v>
      </c>
      <c r="AS95" s="22">
        <v>-1.4599600000000001E-2</v>
      </c>
      <c r="AT95" s="22">
        <v>85</v>
      </c>
      <c r="AU95" s="22">
        <v>1.3708499999999999</v>
      </c>
      <c r="AV95">
        <f t="shared" si="20"/>
        <v>14.599600000000001</v>
      </c>
      <c r="AW95">
        <f t="shared" si="21"/>
        <v>20.029483232</v>
      </c>
      <c r="AX95" s="9"/>
      <c r="AY95" s="22">
        <v>0.32806400000000002</v>
      </c>
      <c r="AZ95" s="22">
        <v>180.12899999999999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12.262499999999999</v>
      </c>
      <c r="I96" s="22">
        <v>-1.4483599999999999E-2</v>
      </c>
      <c r="J96" s="22">
        <v>86</v>
      </c>
      <c r="K96" s="22">
        <v>1.3659699999999999</v>
      </c>
      <c r="L96">
        <f t="shared" si="12"/>
        <v>14.483599999999999</v>
      </c>
      <c r="M96">
        <f t="shared" si="13"/>
        <v>19.797343168000001</v>
      </c>
      <c r="N96" s="9"/>
      <c r="O96" s="22">
        <v>0.33309899999999998</v>
      </c>
      <c r="P96" s="22">
        <v>45.035699999999999</v>
      </c>
      <c r="Q96" s="22">
        <v>-1.5185499999999999E-2</v>
      </c>
      <c r="R96" s="22">
        <v>86</v>
      </c>
      <c r="S96" s="22">
        <v>0.33233600000000002</v>
      </c>
      <c r="T96">
        <f t="shared" si="14"/>
        <v>15.185499999999999</v>
      </c>
      <c r="U96">
        <f t="shared" si="15"/>
        <v>5.0582748644999995</v>
      </c>
      <c r="X96" s="9"/>
      <c r="Y96" s="22">
        <v>1.3668800000000001</v>
      </c>
      <c r="Z96" s="22">
        <v>73.088700000000003</v>
      </c>
      <c r="AA96" s="22">
        <v>-1.45752E-2</v>
      </c>
      <c r="AB96" s="22">
        <v>86</v>
      </c>
      <c r="AC96" s="22">
        <v>1.3656600000000001</v>
      </c>
      <c r="AD96">
        <f t="shared" si="16"/>
        <v>14.575200000000001</v>
      </c>
      <c r="AE96">
        <f t="shared" si="17"/>
        <v>19.922549376000003</v>
      </c>
      <c r="AF96" s="9"/>
      <c r="AG96" s="22">
        <v>0.33309899999999998</v>
      </c>
      <c r="AH96" s="22">
        <v>107.804</v>
      </c>
      <c r="AI96" s="22">
        <v>-1.52344E-2</v>
      </c>
      <c r="AJ96" s="22">
        <v>86</v>
      </c>
      <c r="AK96" s="22">
        <v>0.33227499999999999</v>
      </c>
      <c r="AL96">
        <f t="shared" si="18"/>
        <v>15.234400000000001</v>
      </c>
      <c r="AM96">
        <f t="shared" si="19"/>
        <v>5.0745634056000002</v>
      </c>
      <c r="AP96" s="9"/>
      <c r="AQ96" s="22">
        <v>1.3668800000000001</v>
      </c>
      <c r="AR96" s="22">
        <v>136.285</v>
      </c>
      <c r="AS96" s="22">
        <v>-1.46027E-2</v>
      </c>
      <c r="AT96" s="22">
        <v>86</v>
      </c>
      <c r="AU96" s="22">
        <v>1.3662700000000001</v>
      </c>
      <c r="AV96">
        <f t="shared" si="20"/>
        <v>14.6027</v>
      </c>
      <c r="AW96">
        <f t="shared" si="21"/>
        <v>19.960138576000002</v>
      </c>
      <c r="AX96" s="9"/>
      <c r="AY96" s="22">
        <v>0.33309899999999998</v>
      </c>
      <c r="AZ96" s="22">
        <v>180.13900000000001</v>
      </c>
      <c r="BA96" s="22">
        <v>-1.5368700000000001E-2</v>
      </c>
      <c r="BB96" s="22">
        <v>86</v>
      </c>
      <c r="BC96" s="22">
        <v>0.33227499999999999</v>
      </c>
      <c r="BD96">
        <f t="shared" si="22"/>
        <v>15.3687</v>
      </c>
      <c r="BE96">
        <f t="shared" si="23"/>
        <v>5.1192986012999997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12.272600000000001</v>
      </c>
      <c r="I97" s="22">
        <v>-1.44867E-2</v>
      </c>
      <c r="J97" s="22">
        <v>87</v>
      </c>
      <c r="K97" s="22">
        <v>1.3610800000000001</v>
      </c>
      <c r="L97">
        <f t="shared" si="12"/>
        <v>14.486700000000001</v>
      </c>
      <c r="M97">
        <f t="shared" si="13"/>
        <v>19.728712395000002</v>
      </c>
      <c r="N97" s="9"/>
      <c r="O97" s="22">
        <v>0.33813500000000002</v>
      </c>
      <c r="P97" s="22">
        <v>45.045699999999997</v>
      </c>
      <c r="Q97" s="22">
        <v>-1.51825E-2</v>
      </c>
      <c r="R97" s="22">
        <v>87</v>
      </c>
      <c r="S97" s="22">
        <v>0.337341</v>
      </c>
      <c r="T97">
        <f t="shared" si="14"/>
        <v>15.182499999999999</v>
      </c>
      <c r="U97">
        <f t="shared" si="15"/>
        <v>5.1337346374999999</v>
      </c>
      <c r="X97" s="9"/>
      <c r="Y97" s="22">
        <v>1.36185</v>
      </c>
      <c r="Z97" s="22">
        <v>73.098699999999994</v>
      </c>
      <c r="AA97" s="22">
        <v>-1.45813E-2</v>
      </c>
      <c r="AB97" s="22">
        <v>87</v>
      </c>
      <c r="AC97" s="22">
        <v>1.3607800000000001</v>
      </c>
      <c r="AD97">
        <f t="shared" si="16"/>
        <v>14.581300000000001</v>
      </c>
      <c r="AE97">
        <f t="shared" si="17"/>
        <v>19.857543405000001</v>
      </c>
      <c r="AF97" s="9"/>
      <c r="AG97" s="22">
        <v>0.33813500000000002</v>
      </c>
      <c r="AH97" s="22">
        <v>107.81399999999999</v>
      </c>
      <c r="AI97" s="22">
        <v>-1.52344E-2</v>
      </c>
      <c r="AJ97" s="22">
        <v>87</v>
      </c>
      <c r="AK97" s="22">
        <v>0.337341</v>
      </c>
      <c r="AL97">
        <f t="shared" si="18"/>
        <v>15.234400000000001</v>
      </c>
      <c r="AM97">
        <f t="shared" si="19"/>
        <v>5.1512838440000008</v>
      </c>
      <c r="AP97" s="9"/>
      <c r="AQ97" s="22">
        <v>1.36185</v>
      </c>
      <c r="AR97" s="22">
        <v>136.29499999999999</v>
      </c>
      <c r="AS97" s="22">
        <v>-1.46027E-2</v>
      </c>
      <c r="AT97" s="22">
        <v>87</v>
      </c>
      <c r="AU97" s="22">
        <v>1.3607800000000001</v>
      </c>
      <c r="AV97">
        <f t="shared" si="20"/>
        <v>14.6027</v>
      </c>
      <c r="AW97">
        <f t="shared" si="21"/>
        <v>19.886686995000002</v>
      </c>
      <c r="AX97" s="9"/>
      <c r="AY97" s="22">
        <v>0.33813500000000002</v>
      </c>
      <c r="AZ97" s="22">
        <v>180.149</v>
      </c>
      <c r="BA97" s="22">
        <v>-1.53656E-2</v>
      </c>
      <c r="BB97" s="22">
        <v>87</v>
      </c>
      <c r="BC97" s="22">
        <v>0.33728000000000002</v>
      </c>
      <c r="BD97">
        <f t="shared" si="22"/>
        <v>15.365600000000001</v>
      </c>
      <c r="BE97">
        <f t="shared" si="23"/>
        <v>5.1956471560000006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12.2827</v>
      </c>
      <c r="I98" s="22">
        <v>-1.44928E-2</v>
      </c>
      <c r="J98" s="22">
        <v>88</v>
      </c>
      <c r="K98" s="22">
        <v>1.3559000000000001</v>
      </c>
      <c r="L98">
        <f t="shared" si="12"/>
        <v>14.492800000000001</v>
      </c>
      <c r="M98">
        <f t="shared" si="13"/>
        <v>19.663975968000003</v>
      </c>
      <c r="N98" s="9"/>
      <c r="O98" s="22">
        <v>0.34316999999999998</v>
      </c>
      <c r="P98" s="22">
        <v>45.055799999999998</v>
      </c>
      <c r="Q98" s="22">
        <v>-1.51764E-2</v>
      </c>
      <c r="R98" s="22">
        <v>88</v>
      </c>
      <c r="S98" s="22">
        <v>0.34225499999999998</v>
      </c>
      <c r="T98">
        <f t="shared" si="14"/>
        <v>15.176399999999999</v>
      </c>
      <c r="U98">
        <f t="shared" si="15"/>
        <v>5.2080851879999992</v>
      </c>
      <c r="X98" s="9"/>
      <c r="Y98" s="22">
        <v>1.3568100000000001</v>
      </c>
      <c r="Z98" s="22">
        <v>73.108800000000002</v>
      </c>
      <c r="AA98" s="22">
        <v>-1.4584400000000001E-2</v>
      </c>
      <c r="AB98" s="22">
        <v>88</v>
      </c>
      <c r="AC98" s="22">
        <v>1.3562000000000001</v>
      </c>
      <c r="AD98">
        <f t="shared" si="16"/>
        <v>14.5844</v>
      </c>
      <c r="AE98">
        <f t="shared" si="17"/>
        <v>19.788259764000003</v>
      </c>
      <c r="AF98" s="9"/>
      <c r="AG98" s="22">
        <v>0.34316999999999998</v>
      </c>
      <c r="AH98" s="22">
        <v>107.824</v>
      </c>
      <c r="AI98" s="22">
        <v>-1.52283E-2</v>
      </c>
      <c r="AJ98" s="22">
        <v>88</v>
      </c>
      <c r="AK98" s="22">
        <v>0.34231600000000001</v>
      </c>
      <c r="AL98">
        <f t="shared" si="18"/>
        <v>15.228300000000001</v>
      </c>
      <c r="AM98">
        <f t="shared" si="19"/>
        <v>5.2258957109999997</v>
      </c>
      <c r="AP98" s="9"/>
      <c r="AQ98" s="22">
        <v>1.3568100000000001</v>
      </c>
      <c r="AR98" s="22">
        <v>136.30500000000001</v>
      </c>
      <c r="AS98" s="22">
        <v>-1.46088E-2</v>
      </c>
      <c r="AT98" s="22">
        <v>88</v>
      </c>
      <c r="AU98" s="22">
        <v>1.3555900000000001</v>
      </c>
      <c r="AV98">
        <f t="shared" si="20"/>
        <v>14.6088</v>
      </c>
      <c r="AW98">
        <f t="shared" si="21"/>
        <v>19.821365928000002</v>
      </c>
      <c r="AX98" s="9"/>
      <c r="AY98" s="22">
        <v>0.34316999999999998</v>
      </c>
      <c r="AZ98" s="22">
        <v>180.15899999999999</v>
      </c>
      <c r="BA98" s="22">
        <v>-1.53595E-2</v>
      </c>
      <c r="BB98" s="22">
        <v>88</v>
      </c>
      <c r="BC98" s="22">
        <v>0.34243800000000002</v>
      </c>
      <c r="BD98">
        <f t="shared" si="22"/>
        <v>15.359500000000001</v>
      </c>
      <c r="BE98">
        <f t="shared" si="23"/>
        <v>5.2709196149999995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12.2928</v>
      </c>
      <c r="I99" s="22">
        <v>-1.44958E-2</v>
      </c>
      <c r="J99" s="22">
        <v>89</v>
      </c>
      <c r="K99" s="22">
        <v>1.3504</v>
      </c>
      <c r="L99">
        <f t="shared" si="12"/>
        <v>14.495799999999999</v>
      </c>
      <c r="M99">
        <f t="shared" si="13"/>
        <v>19.595132524</v>
      </c>
      <c r="N99" s="9"/>
      <c r="O99" s="22">
        <v>0.34820600000000002</v>
      </c>
      <c r="P99" s="22">
        <v>45.065899999999999</v>
      </c>
      <c r="Q99" s="22">
        <v>-1.5173300000000001E-2</v>
      </c>
      <c r="R99" s="22">
        <v>89</v>
      </c>
      <c r="S99" s="22">
        <v>0.34735100000000002</v>
      </c>
      <c r="T99">
        <f t="shared" si="14"/>
        <v>15.173300000000001</v>
      </c>
      <c r="U99">
        <f t="shared" si="15"/>
        <v>5.2834340998000009</v>
      </c>
      <c r="X99" s="9"/>
      <c r="Y99" s="22">
        <v>1.35178</v>
      </c>
      <c r="Z99" s="22">
        <v>73.118899999999996</v>
      </c>
      <c r="AA99" s="22">
        <v>-1.4593500000000001E-2</v>
      </c>
      <c r="AB99" s="22">
        <v>89</v>
      </c>
      <c r="AC99" s="22">
        <v>1.35101</v>
      </c>
      <c r="AD99">
        <f t="shared" si="16"/>
        <v>14.593500000000001</v>
      </c>
      <c r="AE99">
        <f t="shared" si="17"/>
        <v>19.727201430000001</v>
      </c>
      <c r="AF99" s="9"/>
      <c r="AG99" s="22">
        <v>0.34820600000000002</v>
      </c>
      <c r="AH99" s="22">
        <v>107.834</v>
      </c>
      <c r="AI99" s="22">
        <v>-1.52313E-2</v>
      </c>
      <c r="AJ99" s="22">
        <v>89</v>
      </c>
      <c r="AK99" s="22">
        <v>0.34747299999999998</v>
      </c>
      <c r="AL99">
        <f t="shared" si="18"/>
        <v>15.231299999999999</v>
      </c>
      <c r="AM99">
        <f t="shared" si="19"/>
        <v>5.3036300477999996</v>
      </c>
      <c r="AP99" s="9"/>
      <c r="AQ99" s="22">
        <v>1.35178</v>
      </c>
      <c r="AR99" s="22">
        <v>136.315</v>
      </c>
      <c r="AS99" s="22">
        <v>-1.46149E-2</v>
      </c>
      <c r="AT99" s="22">
        <v>89</v>
      </c>
      <c r="AU99" s="22">
        <v>1.3507100000000001</v>
      </c>
      <c r="AV99">
        <f t="shared" si="20"/>
        <v>14.6149</v>
      </c>
      <c r="AW99">
        <f t="shared" si="21"/>
        <v>19.756129522000002</v>
      </c>
      <c r="AX99" s="9"/>
      <c r="AY99" s="22">
        <v>0.34820600000000002</v>
      </c>
      <c r="AZ99" s="22">
        <v>180.16900000000001</v>
      </c>
      <c r="BA99" s="22">
        <v>-1.53534E-2</v>
      </c>
      <c r="BB99" s="22">
        <v>89</v>
      </c>
      <c r="BC99" s="22">
        <v>0.347412</v>
      </c>
      <c r="BD99">
        <f t="shared" si="22"/>
        <v>15.353399999999999</v>
      </c>
      <c r="BE99">
        <f t="shared" si="23"/>
        <v>5.3461460004000001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12.3028</v>
      </c>
      <c r="I100" s="22">
        <v>-1.4505000000000001E-2</v>
      </c>
      <c r="J100" s="22">
        <v>90</v>
      </c>
      <c r="K100" s="22">
        <v>1.34552</v>
      </c>
      <c r="L100">
        <f t="shared" si="12"/>
        <v>14.505000000000001</v>
      </c>
      <c r="M100">
        <f t="shared" si="13"/>
        <v>19.534463700000003</v>
      </c>
      <c r="N100" s="9"/>
      <c r="O100" s="22">
        <v>0.35324100000000003</v>
      </c>
      <c r="P100" s="22">
        <v>45.075899999999997</v>
      </c>
      <c r="Q100" s="22">
        <v>-1.51672E-2</v>
      </c>
      <c r="R100" s="22">
        <v>90</v>
      </c>
      <c r="S100" s="22">
        <v>0.35256999999999999</v>
      </c>
      <c r="T100">
        <f t="shared" si="14"/>
        <v>15.167200000000001</v>
      </c>
      <c r="U100">
        <f t="shared" si="15"/>
        <v>5.3576768952000009</v>
      </c>
      <c r="X100" s="9"/>
      <c r="Y100" s="22">
        <v>1.34674</v>
      </c>
      <c r="Z100" s="22">
        <v>73.129000000000005</v>
      </c>
      <c r="AA100" s="22">
        <v>-1.46027E-2</v>
      </c>
      <c r="AB100" s="22">
        <v>90</v>
      </c>
      <c r="AC100" s="22">
        <v>1.3458300000000001</v>
      </c>
      <c r="AD100">
        <f t="shared" si="16"/>
        <v>14.6027</v>
      </c>
      <c r="AE100">
        <f t="shared" si="17"/>
        <v>19.666040198000001</v>
      </c>
      <c r="AF100" s="9"/>
      <c r="AG100" s="22">
        <v>0.35324100000000003</v>
      </c>
      <c r="AH100" s="22">
        <v>107.84399999999999</v>
      </c>
      <c r="AI100" s="22">
        <v>-1.52283E-2</v>
      </c>
      <c r="AJ100" s="22">
        <v>90</v>
      </c>
      <c r="AK100" s="22">
        <v>0.35247800000000001</v>
      </c>
      <c r="AL100">
        <f t="shared" si="18"/>
        <v>15.228300000000001</v>
      </c>
      <c r="AM100">
        <f t="shared" si="19"/>
        <v>5.3792599203000009</v>
      </c>
      <c r="AP100" s="9"/>
      <c r="AQ100" s="22">
        <v>1.34674</v>
      </c>
      <c r="AR100" s="22">
        <v>136.32499999999999</v>
      </c>
      <c r="AS100" s="22">
        <v>-1.4621E-2</v>
      </c>
      <c r="AT100" s="22">
        <v>90</v>
      </c>
      <c r="AU100" s="22">
        <v>1.34552</v>
      </c>
      <c r="AV100">
        <f t="shared" si="20"/>
        <v>14.621</v>
      </c>
      <c r="AW100">
        <f t="shared" si="21"/>
        <v>19.69068554</v>
      </c>
      <c r="AX100" s="9"/>
      <c r="AY100" s="22">
        <v>0.35324100000000003</v>
      </c>
      <c r="AZ100" s="22">
        <v>180.179</v>
      </c>
      <c r="BA100" s="22">
        <v>-1.5350300000000001E-2</v>
      </c>
      <c r="BB100" s="22">
        <v>90</v>
      </c>
      <c r="BC100" s="22">
        <v>0.35250900000000002</v>
      </c>
      <c r="BD100">
        <f t="shared" si="22"/>
        <v>15.350300000000001</v>
      </c>
      <c r="BE100">
        <f t="shared" si="23"/>
        <v>5.4223553223000005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12.312900000000001</v>
      </c>
      <c r="I101" s="22">
        <v>-1.4511100000000001E-2</v>
      </c>
      <c r="J101" s="22">
        <v>91</v>
      </c>
      <c r="K101" s="22">
        <v>1.3412500000000001</v>
      </c>
      <c r="L101">
        <f t="shared" si="12"/>
        <v>14.511100000000001</v>
      </c>
      <c r="M101">
        <f t="shared" si="13"/>
        <v>19.469687981</v>
      </c>
      <c r="N101" s="9"/>
      <c r="O101" s="22">
        <v>0.35827599999999998</v>
      </c>
      <c r="P101" s="22">
        <v>45.085999999999999</v>
      </c>
      <c r="Q101" s="22">
        <v>-1.5164199999999999E-2</v>
      </c>
      <c r="R101" s="22">
        <v>91</v>
      </c>
      <c r="S101" s="22">
        <v>0.357483</v>
      </c>
      <c r="T101">
        <f t="shared" si="14"/>
        <v>15.164199999999999</v>
      </c>
      <c r="U101">
        <f t="shared" si="15"/>
        <v>5.4329689191999995</v>
      </c>
      <c r="X101" s="9"/>
      <c r="Y101" s="22">
        <v>1.34171</v>
      </c>
      <c r="Z101" s="22">
        <v>73.138999999999996</v>
      </c>
      <c r="AA101" s="22">
        <v>-1.4605699999999999E-2</v>
      </c>
      <c r="AB101" s="22">
        <v>91</v>
      </c>
      <c r="AC101" s="22">
        <v>1.3400300000000001</v>
      </c>
      <c r="AD101">
        <f t="shared" si="16"/>
        <v>14.605699999999999</v>
      </c>
      <c r="AE101">
        <f t="shared" si="17"/>
        <v>19.596613746999999</v>
      </c>
      <c r="AF101" s="9"/>
      <c r="AG101" s="22">
        <v>0.35827599999999998</v>
      </c>
      <c r="AH101" s="22">
        <v>107.854</v>
      </c>
      <c r="AI101" s="22">
        <v>-1.52222E-2</v>
      </c>
      <c r="AJ101" s="22">
        <v>91</v>
      </c>
      <c r="AK101" s="22">
        <v>0.35754399999999997</v>
      </c>
      <c r="AL101">
        <f t="shared" si="18"/>
        <v>15.222200000000001</v>
      </c>
      <c r="AM101">
        <f t="shared" si="19"/>
        <v>5.4537489272000004</v>
      </c>
      <c r="AP101" s="9"/>
      <c r="AQ101" s="22">
        <v>1.34171</v>
      </c>
      <c r="AR101" s="22">
        <v>136.33500000000001</v>
      </c>
      <c r="AS101" s="22">
        <v>-1.46301E-2</v>
      </c>
      <c r="AT101" s="22">
        <v>91</v>
      </c>
      <c r="AU101" s="22">
        <v>1.34094</v>
      </c>
      <c r="AV101">
        <f t="shared" si="20"/>
        <v>14.630100000000001</v>
      </c>
      <c r="AW101">
        <f t="shared" si="21"/>
        <v>19.629351471</v>
      </c>
      <c r="AX101" s="9"/>
      <c r="AY101" s="22">
        <v>0.35827599999999998</v>
      </c>
      <c r="AZ101" s="22">
        <v>180.19</v>
      </c>
      <c r="BA101" s="22">
        <v>-1.5347299999999999E-2</v>
      </c>
      <c r="BB101" s="22">
        <v>91</v>
      </c>
      <c r="BC101" s="22">
        <v>0.357483</v>
      </c>
      <c r="BD101">
        <f t="shared" si="22"/>
        <v>15.347299999999999</v>
      </c>
      <c r="BE101">
        <f t="shared" si="23"/>
        <v>5.4985692547999996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12.323</v>
      </c>
      <c r="I102" s="22">
        <v>-1.4517199999999999E-2</v>
      </c>
      <c r="J102" s="22">
        <v>92</v>
      </c>
      <c r="K102" s="22">
        <v>1.33575</v>
      </c>
      <c r="L102">
        <f t="shared" si="12"/>
        <v>14.517199999999999</v>
      </c>
      <c r="M102">
        <f t="shared" si="13"/>
        <v>19.404705723999999</v>
      </c>
      <c r="N102" s="9"/>
      <c r="O102" s="22">
        <v>0.36331200000000002</v>
      </c>
      <c r="P102" s="22">
        <v>45.0961</v>
      </c>
      <c r="Q102" s="22">
        <v>-1.51672E-2</v>
      </c>
      <c r="R102" s="22">
        <v>92</v>
      </c>
      <c r="S102" s="22">
        <v>0.36245699999999997</v>
      </c>
      <c r="T102">
        <f t="shared" si="14"/>
        <v>15.167200000000001</v>
      </c>
      <c r="U102">
        <f t="shared" si="15"/>
        <v>5.5104257664000009</v>
      </c>
      <c r="X102" s="9"/>
      <c r="Y102" s="22">
        <v>1.33667</v>
      </c>
      <c r="Z102" s="22">
        <v>73.149100000000004</v>
      </c>
      <c r="AA102" s="22">
        <v>-1.46149E-2</v>
      </c>
      <c r="AB102" s="22">
        <v>92</v>
      </c>
      <c r="AC102" s="22">
        <v>1.33575</v>
      </c>
      <c r="AD102">
        <f t="shared" si="16"/>
        <v>14.6149</v>
      </c>
      <c r="AE102">
        <f t="shared" si="17"/>
        <v>19.535298383000001</v>
      </c>
      <c r="AF102" s="9"/>
      <c r="AG102" s="22">
        <v>0.36331200000000002</v>
      </c>
      <c r="AH102" s="22">
        <v>107.864</v>
      </c>
      <c r="AI102" s="22">
        <v>-1.52161E-2</v>
      </c>
      <c r="AJ102" s="22">
        <v>92</v>
      </c>
      <c r="AK102" s="22">
        <v>0.36248799999999998</v>
      </c>
      <c r="AL102">
        <f t="shared" si="18"/>
        <v>15.216099999999999</v>
      </c>
      <c r="AM102">
        <f t="shared" si="19"/>
        <v>5.5281917232</v>
      </c>
      <c r="AP102" s="9"/>
      <c r="AQ102" s="22">
        <v>1.33667</v>
      </c>
      <c r="AR102" s="22">
        <v>136.345</v>
      </c>
      <c r="AS102" s="22">
        <v>-1.46362E-2</v>
      </c>
      <c r="AT102" s="22">
        <v>92</v>
      </c>
      <c r="AU102" s="22">
        <v>1.33575</v>
      </c>
      <c r="AV102">
        <f t="shared" si="20"/>
        <v>14.636200000000001</v>
      </c>
      <c r="AW102">
        <f t="shared" si="21"/>
        <v>19.563769454000003</v>
      </c>
      <c r="AX102" s="9"/>
      <c r="AY102" s="22">
        <v>0.36331200000000002</v>
      </c>
      <c r="AZ102" s="22">
        <v>180.2</v>
      </c>
      <c r="BA102" s="22">
        <v>-1.5341199999999999E-2</v>
      </c>
      <c r="BB102" s="22">
        <v>92</v>
      </c>
      <c r="BC102" s="22">
        <v>0.36260999999999999</v>
      </c>
      <c r="BD102">
        <f t="shared" si="22"/>
        <v>15.341199999999999</v>
      </c>
      <c r="BE102">
        <f t="shared" si="23"/>
        <v>5.5736420543999996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12.333</v>
      </c>
      <c r="I103" s="22">
        <v>-1.45264E-2</v>
      </c>
      <c r="J103" s="22">
        <v>93</v>
      </c>
      <c r="K103" s="22">
        <v>1.33087</v>
      </c>
      <c r="L103">
        <f t="shared" si="12"/>
        <v>14.526400000000001</v>
      </c>
      <c r="M103">
        <f t="shared" si="13"/>
        <v>19.343790032000001</v>
      </c>
      <c r="N103" s="9"/>
      <c r="O103" s="22">
        <v>0.36834699999999998</v>
      </c>
      <c r="P103" s="22">
        <v>45.106200000000001</v>
      </c>
      <c r="Q103" s="22">
        <v>-1.5164199999999999E-2</v>
      </c>
      <c r="R103" s="22">
        <v>93</v>
      </c>
      <c r="S103" s="22">
        <v>0.367676</v>
      </c>
      <c r="T103">
        <f t="shared" si="14"/>
        <v>15.164199999999999</v>
      </c>
      <c r="U103">
        <f t="shared" si="15"/>
        <v>5.585687577399999</v>
      </c>
      <c r="X103" s="9"/>
      <c r="Y103" s="22">
        <v>1.3316300000000001</v>
      </c>
      <c r="Z103" s="22">
        <v>73.159199999999998</v>
      </c>
      <c r="AA103" s="22">
        <v>-1.4621E-2</v>
      </c>
      <c r="AB103" s="22">
        <v>93</v>
      </c>
      <c r="AC103" s="22">
        <v>1.33026</v>
      </c>
      <c r="AD103">
        <f t="shared" si="16"/>
        <v>14.621</v>
      </c>
      <c r="AE103">
        <f t="shared" si="17"/>
        <v>19.469762230000001</v>
      </c>
      <c r="AF103" s="9"/>
      <c r="AG103" s="22">
        <v>0.36834699999999998</v>
      </c>
      <c r="AH103" s="22">
        <v>107.874</v>
      </c>
      <c r="AI103" s="22">
        <v>-1.521E-2</v>
      </c>
      <c r="AJ103" s="22">
        <v>93</v>
      </c>
      <c r="AK103" s="22">
        <v>0.36749300000000001</v>
      </c>
      <c r="AL103">
        <f t="shared" si="18"/>
        <v>15.209999999999999</v>
      </c>
      <c r="AM103">
        <f t="shared" si="19"/>
        <v>5.6025578699999992</v>
      </c>
      <c r="AP103" s="9"/>
      <c r="AQ103" s="22">
        <v>1.3316300000000001</v>
      </c>
      <c r="AR103" s="22">
        <v>136.35499999999999</v>
      </c>
      <c r="AS103" s="22">
        <v>-1.46423E-2</v>
      </c>
      <c r="AT103" s="22">
        <v>93</v>
      </c>
      <c r="AU103" s="22">
        <v>1.33057</v>
      </c>
      <c r="AV103">
        <f t="shared" si="20"/>
        <v>14.642300000000001</v>
      </c>
      <c r="AW103">
        <f t="shared" si="21"/>
        <v>19.498125949000002</v>
      </c>
      <c r="AX103" s="9"/>
      <c r="AY103" s="22">
        <v>0.36834699999999998</v>
      </c>
      <c r="AZ103" s="22">
        <v>180.21</v>
      </c>
      <c r="BA103" s="22">
        <v>-1.53381E-2</v>
      </c>
      <c r="BB103" s="22">
        <v>93</v>
      </c>
      <c r="BC103" s="22">
        <v>0.36740099999999998</v>
      </c>
      <c r="BD103">
        <f t="shared" si="22"/>
        <v>15.338100000000001</v>
      </c>
      <c r="BE103">
        <f t="shared" si="23"/>
        <v>5.6497431207000002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12.3431</v>
      </c>
      <c r="I104" s="22">
        <v>-1.45294E-2</v>
      </c>
      <c r="J104" s="22">
        <v>94</v>
      </c>
      <c r="K104" s="22">
        <v>1.32568</v>
      </c>
      <c r="L104">
        <f t="shared" si="12"/>
        <v>14.529399999999999</v>
      </c>
      <c r="M104">
        <f t="shared" si="13"/>
        <v>19.274702039999998</v>
      </c>
      <c r="N104" s="9"/>
      <c r="O104" s="22">
        <v>0.37338300000000002</v>
      </c>
      <c r="P104" s="22">
        <v>45.116199999999999</v>
      </c>
      <c r="Q104" s="22">
        <v>-1.5158100000000001E-2</v>
      </c>
      <c r="R104" s="22">
        <v>94</v>
      </c>
      <c r="S104" s="22">
        <v>0.37252800000000003</v>
      </c>
      <c r="T104">
        <f t="shared" si="14"/>
        <v>15.158100000000001</v>
      </c>
      <c r="U104">
        <f t="shared" si="15"/>
        <v>5.6597768523000003</v>
      </c>
      <c r="X104" s="9"/>
      <c r="Y104" s="22">
        <v>1.3266</v>
      </c>
      <c r="Z104" s="22">
        <v>73.169200000000004</v>
      </c>
      <c r="AA104" s="22">
        <v>-1.4624E-2</v>
      </c>
      <c r="AB104" s="22">
        <v>94</v>
      </c>
      <c r="AC104" s="22">
        <v>1.32538</v>
      </c>
      <c r="AD104">
        <f t="shared" si="16"/>
        <v>14.624000000000001</v>
      </c>
      <c r="AE104">
        <f t="shared" si="17"/>
        <v>19.400198400000001</v>
      </c>
      <c r="AF104" s="9"/>
      <c r="AG104" s="22">
        <v>0.37338300000000002</v>
      </c>
      <c r="AH104" s="22">
        <v>107.884</v>
      </c>
      <c r="AI104" s="22">
        <v>-1.521E-2</v>
      </c>
      <c r="AJ104" s="22">
        <v>94</v>
      </c>
      <c r="AK104" s="22">
        <v>0.372589</v>
      </c>
      <c r="AL104">
        <f t="shared" si="18"/>
        <v>15.209999999999999</v>
      </c>
      <c r="AM104">
        <f t="shared" si="19"/>
        <v>5.6791554299999998</v>
      </c>
      <c r="AP104" s="9"/>
      <c r="AQ104" s="22">
        <v>1.3266</v>
      </c>
      <c r="AR104" s="22">
        <v>136.36500000000001</v>
      </c>
      <c r="AS104" s="22">
        <v>-1.4648400000000001E-2</v>
      </c>
      <c r="AT104" s="22">
        <v>94</v>
      </c>
      <c r="AU104" s="22">
        <v>1.32599</v>
      </c>
      <c r="AV104">
        <f t="shared" si="20"/>
        <v>14.648400000000001</v>
      </c>
      <c r="AW104">
        <f t="shared" si="21"/>
        <v>19.43256744</v>
      </c>
      <c r="AX104" s="9"/>
      <c r="AY104" s="22">
        <v>0.37338300000000002</v>
      </c>
      <c r="AZ104" s="22">
        <v>180.22</v>
      </c>
      <c r="BA104" s="22">
        <v>-1.5335100000000001E-2</v>
      </c>
      <c r="BB104" s="22">
        <v>94</v>
      </c>
      <c r="BC104" s="22">
        <v>0.37262000000000001</v>
      </c>
      <c r="BD104">
        <f t="shared" si="22"/>
        <v>15.335100000000001</v>
      </c>
      <c r="BE104">
        <f t="shared" si="23"/>
        <v>5.7258656433000006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12.353199999999999</v>
      </c>
      <c r="I105" s="22">
        <v>-1.45294E-2</v>
      </c>
      <c r="J105" s="22">
        <v>95</v>
      </c>
      <c r="K105" s="22">
        <v>1.3208</v>
      </c>
      <c r="L105">
        <f t="shared" si="12"/>
        <v>14.529399999999999</v>
      </c>
      <c r="M105">
        <f t="shared" si="13"/>
        <v>19.201473864</v>
      </c>
      <c r="N105" s="9"/>
      <c r="O105" s="22">
        <v>0.37841799999999998</v>
      </c>
      <c r="P105" s="22">
        <v>45.126300000000001</v>
      </c>
      <c r="Q105" s="22">
        <v>-1.5155E-2</v>
      </c>
      <c r="R105" s="22">
        <v>95</v>
      </c>
      <c r="S105" s="22">
        <v>0.377502</v>
      </c>
      <c r="T105">
        <f t="shared" si="14"/>
        <v>15.154999999999999</v>
      </c>
      <c r="U105">
        <f t="shared" si="15"/>
        <v>5.7349247899999991</v>
      </c>
      <c r="X105" s="9"/>
      <c r="Y105" s="22">
        <v>1.3215600000000001</v>
      </c>
      <c r="Z105" s="22">
        <v>73.179299999999998</v>
      </c>
      <c r="AA105" s="22">
        <v>-1.46301E-2</v>
      </c>
      <c r="AB105" s="22">
        <v>95</v>
      </c>
      <c r="AC105" s="22">
        <v>1.3205</v>
      </c>
      <c r="AD105">
        <f t="shared" si="16"/>
        <v>14.630100000000001</v>
      </c>
      <c r="AE105">
        <f t="shared" si="17"/>
        <v>19.334554956000002</v>
      </c>
      <c r="AF105" s="9"/>
      <c r="AG105" s="22">
        <v>0.37841799999999998</v>
      </c>
      <c r="AH105" s="22">
        <v>107.89400000000001</v>
      </c>
      <c r="AI105" s="22">
        <v>-1.5203899999999999E-2</v>
      </c>
      <c r="AJ105" s="22">
        <v>95</v>
      </c>
      <c r="AK105" s="22">
        <v>0.37765500000000002</v>
      </c>
      <c r="AL105">
        <f t="shared" si="18"/>
        <v>15.203899999999999</v>
      </c>
      <c r="AM105">
        <f t="shared" si="19"/>
        <v>5.7534294301999989</v>
      </c>
      <c r="AP105" s="9"/>
      <c r="AQ105" s="22">
        <v>1.3215600000000001</v>
      </c>
      <c r="AR105" s="22">
        <v>136.376</v>
      </c>
      <c r="AS105" s="22">
        <v>-1.46576E-2</v>
      </c>
      <c r="AT105" s="22">
        <v>95</v>
      </c>
      <c r="AU105" s="22">
        <v>1.3205</v>
      </c>
      <c r="AV105">
        <f t="shared" si="20"/>
        <v>14.6576</v>
      </c>
      <c r="AW105">
        <f t="shared" si="21"/>
        <v>19.370897856000003</v>
      </c>
      <c r="AX105" s="9"/>
      <c r="AY105" s="22">
        <v>0.37841799999999998</v>
      </c>
      <c r="AZ105" s="22">
        <v>180.23</v>
      </c>
      <c r="BA105" s="22">
        <v>-1.5332E-2</v>
      </c>
      <c r="BB105" s="22">
        <v>95</v>
      </c>
      <c r="BC105" s="22">
        <v>0.37768600000000002</v>
      </c>
      <c r="BD105">
        <f t="shared" si="22"/>
        <v>15.332000000000001</v>
      </c>
      <c r="BE105">
        <f t="shared" si="23"/>
        <v>5.8019047759999998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12.363300000000001</v>
      </c>
      <c r="I106" s="22">
        <v>-1.45294E-2</v>
      </c>
      <c r="J106" s="22">
        <v>96</v>
      </c>
      <c r="K106" s="22">
        <v>1.31592</v>
      </c>
      <c r="L106">
        <f t="shared" si="12"/>
        <v>14.529399999999999</v>
      </c>
      <c r="M106">
        <f t="shared" si="13"/>
        <v>19.128390981999999</v>
      </c>
      <c r="N106" s="9"/>
      <c r="O106" s="22">
        <v>0.38345299999999999</v>
      </c>
      <c r="P106" s="22">
        <v>45.136400000000002</v>
      </c>
      <c r="Q106" s="22">
        <v>-1.51489E-2</v>
      </c>
      <c r="R106" s="22">
        <v>96</v>
      </c>
      <c r="S106" s="22">
        <v>0.38275100000000001</v>
      </c>
      <c r="T106">
        <f t="shared" si="14"/>
        <v>15.148899999999999</v>
      </c>
      <c r="U106">
        <f t="shared" si="15"/>
        <v>5.8088911516999993</v>
      </c>
      <c r="X106" s="9"/>
      <c r="Y106" s="22">
        <v>1.31653</v>
      </c>
      <c r="Z106" s="22">
        <v>73.189400000000006</v>
      </c>
      <c r="AA106" s="22">
        <v>-1.4633200000000001E-2</v>
      </c>
      <c r="AB106" s="22">
        <v>96</v>
      </c>
      <c r="AC106" s="22">
        <v>1.3156099999999999</v>
      </c>
      <c r="AD106">
        <f t="shared" si="16"/>
        <v>14.6332</v>
      </c>
      <c r="AE106">
        <f t="shared" si="17"/>
        <v>19.265046796</v>
      </c>
      <c r="AF106" s="9"/>
      <c r="AG106" s="22">
        <v>0.38345299999999999</v>
      </c>
      <c r="AH106" s="22">
        <v>107.905</v>
      </c>
      <c r="AI106" s="22">
        <v>-1.52008E-2</v>
      </c>
      <c r="AJ106" s="22">
        <v>96</v>
      </c>
      <c r="AK106" s="22">
        <v>0.38272099999999998</v>
      </c>
      <c r="AL106">
        <f t="shared" si="18"/>
        <v>15.200800000000001</v>
      </c>
      <c r="AM106">
        <f t="shared" si="19"/>
        <v>5.8287923623999998</v>
      </c>
      <c r="AP106" s="9"/>
      <c r="AQ106" s="22">
        <v>1.31653</v>
      </c>
      <c r="AR106" s="22">
        <v>136.386</v>
      </c>
      <c r="AS106" s="22">
        <v>-1.46637E-2</v>
      </c>
      <c r="AT106" s="22">
        <v>96</v>
      </c>
      <c r="AU106" s="22">
        <v>1.31592</v>
      </c>
      <c r="AV106">
        <f t="shared" si="20"/>
        <v>14.6637</v>
      </c>
      <c r="AW106">
        <f t="shared" si="21"/>
        <v>19.305200961000001</v>
      </c>
      <c r="AX106" s="9"/>
      <c r="AY106" s="22">
        <v>0.38345299999999999</v>
      </c>
      <c r="AZ106" s="22">
        <v>180.24</v>
      </c>
      <c r="BA106" s="22">
        <v>-1.5329000000000001E-2</v>
      </c>
      <c r="BB106" s="22">
        <v>96</v>
      </c>
      <c r="BC106" s="22">
        <v>0.38275100000000001</v>
      </c>
      <c r="BD106">
        <f t="shared" si="22"/>
        <v>15.329000000000001</v>
      </c>
      <c r="BE106">
        <f t="shared" si="23"/>
        <v>5.8779510369999999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12.3733</v>
      </c>
      <c r="I107" s="22">
        <v>-1.45325E-2</v>
      </c>
      <c r="J107" s="22">
        <v>97</v>
      </c>
      <c r="K107" s="22">
        <v>1.31073</v>
      </c>
      <c r="L107">
        <f t="shared" si="12"/>
        <v>14.532500000000001</v>
      </c>
      <c r="M107">
        <f t="shared" si="13"/>
        <v>19.059228425000001</v>
      </c>
      <c r="N107" s="9"/>
      <c r="O107" s="22">
        <v>0.38848899999999997</v>
      </c>
      <c r="P107" s="22">
        <v>45.1464</v>
      </c>
      <c r="Q107" s="22">
        <v>-1.51459E-2</v>
      </c>
      <c r="R107" s="22">
        <v>97</v>
      </c>
      <c r="S107" s="22">
        <v>0.38754300000000003</v>
      </c>
      <c r="T107">
        <f t="shared" si="14"/>
        <v>15.145900000000001</v>
      </c>
      <c r="U107">
        <f t="shared" si="15"/>
        <v>5.8840155450999996</v>
      </c>
      <c r="X107" s="9"/>
      <c r="Y107" s="22">
        <v>1.31149</v>
      </c>
      <c r="Z107" s="22">
        <v>73.1995</v>
      </c>
      <c r="AA107" s="22">
        <v>-1.46362E-2</v>
      </c>
      <c r="AB107" s="22">
        <v>97</v>
      </c>
      <c r="AC107" s="22">
        <v>1.31073</v>
      </c>
      <c r="AD107">
        <f t="shared" si="16"/>
        <v>14.636200000000001</v>
      </c>
      <c r="AE107">
        <f t="shared" si="17"/>
        <v>19.195229938000001</v>
      </c>
      <c r="AF107" s="9"/>
      <c r="AG107" s="22">
        <v>0.38848899999999997</v>
      </c>
      <c r="AH107" s="22">
        <v>107.91500000000001</v>
      </c>
      <c r="AI107" s="22">
        <v>-1.5197799999999999E-2</v>
      </c>
      <c r="AJ107" s="22">
        <v>97</v>
      </c>
      <c r="AK107" s="22">
        <v>0.387573</v>
      </c>
      <c r="AL107">
        <f t="shared" si="18"/>
        <v>15.197799999999999</v>
      </c>
      <c r="AM107">
        <f t="shared" si="19"/>
        <v>5.9041781241999995</v>
      </c>
      <c r="AP107" s="9"/>
      <c r="AQ107" s="22">
        <v>1.31149</v>
      </c>
      <c r="AR107" s="22">
        <v>136.39599999999999</v>
      </c>
      <c r="AS107" s="22">
        <v>-1.46637E-2</v>
      </c>
      <c r="AT107" s="22">
        <v>97</v>
      </c>
      <c r="AU107" s="22">
        <v>1.3104199999999999</v>
      </c>
      <c r="AV107">
        <f t="shared" si="20"/>
        <v>14.6637</v>
      </c>
      <c r="AW107">
        <f t="shared" si="21"/>
        <v>19.231295913</v>
      </c>
      <c r="AX107" s="9"/>
      <c r="AY107" s="22">
        <v>0.38848899999999997</v>
      </c>
      <c r="AZ107" s="22">
        <v>180.25</v>
      </c>
      <c r="BA107" s="22">
        <v>-1.5329000000000001E-2</v>
      </c>
      <c r="BB107" s="22">
        <v>97</v>
      </c>
      <c r="BC107" s="22">
        <v>0.38769500000000001</v>
      </c>
      <c r="BD107">
        <f t="shared" si="22"/>
        <v>15.329000000000001</v>
      </c>
      <c r="BE107">
        <f t="shared" si="23"/>
        <v>5.9551478810000003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12.3834</v>
      </c>
      <c r="I108" s="22">
        <v>-1.45386E-2</v>
      </c>
      <c r="J108" s="22">
        <v>98</v>
      </c>
      <c r="K108" s="22">
        <v>1.30524</v>
      </c>
      <c r="L108">
        <f t="shared" si="12"/>
        <v>14.538600000000001</v>
      </c>
      <c r="M108">
        <f t="shared" si="13"/>
        <v>18.994099356</v>
      </c>
      <c r="N108" s="9"/>
      <c r="O108" s="22">
        <v>0.39352399999999998</v>
      </c>
      <c r="P108" s="22">
        <v>45.156500000000001</v>
      </c>
      <c r="Q108" s="22">
        <v>-1.51459E-2</v>
      </c>
      <c r="R108" s="22">
        <v>98</v>
      </c>
      <c r="S108" s="22">
        <v>0.39279199999999997</v>
      </c>
      <c r="T108">
        <f t="shared" si="14"/>
        <v>15.145900000000001</v>
      </c>
      <c r="U108">
        <f t="shared" si="15"/>
        <v>5.9602751516000003</v>
      </c>
      <c r="X108" s="9"/>
      <c r="Y108" s="22">
        <v>1.30646</v>
      </c>
      <c r="Z108" s="22">
        <v>73.209500000000006</v>
      </c>
      <c r="AA108" s="22">
        <v>-1.46362E-2</v>
      </c>
      <c r="AB108" s="22">
        <v>98</v>
      </c>
      <c r="AC108" s="22">
        <v>1.30524</v>
      </c>
      <c r="AD108">
        <f t="shared" si="16"/>
        <v>14.636200000000001</v>
      </c>
      <c r="AE108">
        <f t="shared" si="17"/>
        <v>19.121609851999999</v>
      </c>
      <c r="AF108" s="9"/>
      <c r="AG108" s="22">
        <v>0.39352399999999998</v>
      </c>
      <c r="AH108" s="22">
        <v>107.925</v>
      </c>
      <c r="AI108" s="22">
        <v>-1.5191700000000001E-2</v>
      </c>
      <c r="AJ108" s="22">
        <v>98</v>
      </c>
      <c r="AK108" s="22">
        <v>0.39276100000000003</v>
      </c>
      <c r="AL108">
        <f t="shared" si="18"/>
        <v>15.191700000000001</v>
      </c>
      <c r="AM108">
        <f t="shared" si="19"/>
        <v>5.9782985507999999</v>
      </c>
      <c r="AP108" s="9"/>
      <c r="AQ108" s="22">
        <v>1.30646</v>
      </c>
      <c r="AR108" s="22">
        <v>136.40600000000001</v>
      </c>
      <c r="AS108" s="22">
        <v>-1.46667E-2</v>
      </c>
      <c r="AT108" s="22">
        <v>98</v>
      </c>
      <c r="AU108" s="22">
        <v>1.30585</v>
      </c>
      <c r="AV108">
        <f t="shared" si="20"/>
        <v>14.666699999999999</v>
      </c>
      <c r="AW108">
        <f t="shared" si="21"/>
        <v>19.161456881999996</v>
      </c>
      <c r="AX108" s="9"/>
      <c r="AY108" s="22">
        <v>0.39352399999999998</v>
      </c>
      <c r="AZ108" s="22">
        <v>180.26</v>
      </c>
      <c r="BA108" s="22">
        <v>-1.53229E-2</v>
      </c>
      <c r="BB108" s="22">
        <v>98</v>
      </c>
      <c r="BC108" s="22">
        <v>0.39254800000000001</v>
      </c>
      <c r="BD108">
        <f t="shared" si="22"/>
        <v>15.322900000000001</v>
      </c>
      <c r="BE108">
        <f t="shared" si="23"/>
        <v>6.0299288995999998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12.3935</v>
      </c>
      <c r="I109" s="22">
        <v>-1.4544700000000001E-2</v>
      </c>
      <c r="J109" s="22">
        <v>99</v>
      </c>
      <c r="K109" s="22">
        <v>1.3006599999999999</v>
      </c>
      <c r="L109">
        <f t="shared" si="12"/>
        <v>14.544700000000001</v>
      </c>
      <c r="M109">
        <f t="shared" si="13"/>
        <v>18.928763474</v>
      </c>
      <c r="N109" s="9"/>
      <c r="O109" s="22">
        <v>0.39856000000000003</v>
      </c>
      <c r="P109" s="22">
        <v>45.166600000000003</v>
      </c>
      <c r="Q109" s="22">
        <v>-1.51398E-2</v>
      </c>
      <c r="R109" s="22">
        <v>99</v>
      </c>
      <c r="S109" s="22">
        <v>0.39776600000000001</v>
      </c>
      <c r="T109">
        <f t="shared" si="14"/>
        <v>15.139799999999999</v>
      </c>
      <c r="U109">
        <f t="shared" si="15"/>
        <v>6.0341186880000004</v>
      </c>
      <c r="X109" s="9"/>
      <c r="Y109" s="22">
        <v>1.30142</v>
      </c>
      <c r="Z109" s="22">
        <v>73.2196</v>
      </c>
      <c r="AA109" s="22">
        <v>-1.4639299999999999E-2</v>
      </c>
      <c r="AB109" s="22">
        <v>99</v>
      </c>
      <c r="AC109" s="22">
        <v>1.3003499999999999</v>
      </c>
      <c r="AD109">
        <f t="shared" si="16"/>
        <v>14.639299999999999</v>
      </c>
      <c r="AE109">
        <f t="shared" si="17"/>
        <v>19.051877806</v>
      </c>
      <c r="AF109" s="9"/>
      <c r="AG109" s="22">
        <v>0.39856000000000003</v>
      </c>
      <c r="AH109" s="22">
        <v>107.935</v>
      </c>
      <c r="AI109" s="22">
        <v>-1.51825E-2</v>
      </c>
      <c r="AJ109" s="22">
        <v>99</v>
      </c>
      <c r="AK109" s="22">
        <v>0.39776600000000001</v>
      </c>
      <c r="AL109">
        <f t="shared" si="18"/>
        <v>15.182499999999999</v>
      </c>
      <c r="AM109">
        <f t="shared" si="19"/>
        <v>6.0511372000000003</v>
      </c>
      <c r="AP109" s="9"/>
      <c r="AQ109" s="22">
        <v>1.30142</v>
      </c>
      <c r="AR109" s="22">
        <v>136.416</v>
      </c>
      <c r="AS109" s="22">
        <v>-1.46667E-2</v>
      </c>
      <c r="AT109" s="22">
        <v>99</v>
      </c>
      <c r="AU109" s="22">
        <v>1.3006599999999999</v>
      </c>
      <c r="AV109">
        <f t="shared" si="20"/>
        <v>14.666699999999999</v>
      </c>
      <c r="AW109">
        <f t="shared" si="21"/>
        <v>19.087536713999999</v>
      </c>
      <c r="AX109" s="9"/>
      <c r="AY109" s="22">
        <v>0.39856000000000003</v>
      </c>
      <c r="AZ109" s="22">
        <v>180.27</v>
      </c>
      <c r="BA109" s="22">
        <v>-1.53198E-2</v>
      </c>
      <c r="BB109" s="22">
        <v>99</v>
      </c>
      <c r="BC109" s="22">
        <v>0.39773599999999998</v>
      </c>
      <c r="BD109">
        <f t="shared" si="22"/>
        <v>15.319799999999999</v>
      </c>
      <c r="BE109">
        <f t="shared" si="23"/>
        <v>6.1058594880000001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12.403499999999999</v>
      </c>
      <c r="I110" s="22">
        <v>-1.4550799999999999E-2</v>
      </c>
      <c r="J110" s="22">
        <v>100</v>
      </c>
      <c r="K110" s="22">
        <v>1.2951699999999999</v>
      </c>
      <c r="L110">
        <f t="shared" si="12"/>
        <v>14.550799999999999</v>
      </c>
      <c r="M110">
        <f t="shared" si="13"/>
        <v>18.863511611999996</v>
      </c>
      <c r="N110" s="9"/>
      <c r="O110" s="22">
        <v>0.40359499999999998</v>
      </c>
      <c r="P110" s="22">
        <v>45.176699999999997</v>
      </c>
      <c r="Q110" s="22">
        <v>-1.51398E-2</v>
      </c>
      <c r="R110" s="22">
        <v>100</v>
      </c>
      <c r="S110" s="22">
        <v>0.40283200000000002</v>
      </c>
      <c r="T110">
        <f t="shared" si="14"/>
        <v>15.139799999999999</v>
      </c>
      <c r="U110">
        <f t="shared" si="15"/>
        <v>6.1103475809999992</v>
      </c>
      <c r="X110" s="9"/>
      <c r="Y110" s="22">
        <v>1.2963899999999999</v>
      </c>
      <c r="Z110" s="22">
        <v>73.229699999999994</v>
      </c>
      <c r="AA110" s="22">
        <v>-1.4645399999999999E-2</v>
      </c>
      <c r="AB110" s="22">
        <v>100</v>
      </c>
      <c r="AC110" s="22">
        <v>1.2957799999999999</v>
      </c>
      <c r="AD110">
        <f t="shared" si="16"/>
        <v>14.645399999999999</v>
      </c>
      <c r="AE110">
        <f t="shared" si="17"/>
        <v>18.986150105999997</v>
      </c>
      <c r="AF110" s="9"/>
      <c r="AG110" s="22">
        <v>0.40359499999999998</v>
      </c>
      <c r="AH110" s="22">
        <v>107.94499999999999</v>
      </c>
      <c r="AI110" s="22">
        <v>-1.5179399999999999E-2</v>
      </c>
      <c r="AJ110" s="22">
        <v>100</v>
      </c>
      <c r="AK110" s="22">
        <v>0.402893</v>
      </c>
      <c r="AL110">
        <f t="shared" si="18"/>
        <v>15.179399999999999</v>
      </c>
      <c r="AM110">
        <f t="shared" si="19"/>
        <v>6.1263299429999991</v>
      </c>
      <c r="AP110" s="9"/>
      <c r="AQ110" s="22">
        <v>1.2963899999999999</v>
      </c>
      <c r="AR110" s="22">
        <v>136.42599999999999</v>
      </c>
      <c r="AS110" s="22">
        <v>-1.4672899999999999E-2</v>
      </c>
      <c r="AT110" s="22">
        <v>100</v>
      </c>
      <c r="AU110" s="22">
        <v>1.2957799999999999</v>
      </c>
      <c r="AV110">
        <f t="shared" si="20"/>
        <v>14.672899999999998</v>
      </c>
      <c r="AW110">
        <f t="shared" si="21"/>
        <v>19.021800830999997</v>
      </c>
      <c r="AX110" s="9"/>
      <c r="AY110" s="22">
        <v>0.40359499999999998</v>
      </c>
      <c r="AZ110" s="22">
        <v>180.28</v>
      </c>
      <c r="BA110" s="22">
        <v>-1.53168E-2</v>
      </c>
      <c r="BB110" s="22">
        <v>100</v>
      </c>
      <c r="BC110" s="22">
        <v>0.40271000000000001</v>
      </c>
      <c r="BD110">
        <f t="shared" si="22"/>
        <v>15.316800000000001</v>
      </c>
      <c r="BE110">
        <f t="shared" si="23"/>
        <v>6.1817838959999998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12.413600000000001</v>
      </c>
      <c r="I111" s="22">
        <v>-1.4556899999999999E-2</v>
      </c>
      <c r="J111" s="22">
        <v>101</v>
      </c>
      <c r="K111" s="22">
        <v>1.2911999999999999</v>
      </c>
      <c r="L111">
        <f t="shared" si="12"/>
        <v>14.556899999999999</v>
      </c>
      <c r="M111">
        <f t="shared" si="13"/>
        <v>18.798052814999998</v>
      </c>
      <c r="N111" s="9"/>
      <c r="O111" s="22">
        <v>0.40862999999999999</v>
      </c>
      <c r="P111" s="22">
        <v>45.186700000000002</v>
      </c>
      <c r="Q111" s="22">
        <v>-1.5136699999999999E-2</v>
      </c>
      <c r="R111" s="22">
        <v>101</v>
      </c>
      <c r="S111" s="22">
        <v>0.407806</v>
      </c>
      <c r="T111">
        <f t="shared" si="14"/>
        <v>15.136699999999999</v>
      </c>
      <c r="U111">
        <f t="shared" si="15"/>
        <v>6.1853097209999994</v>
      </c>
      <c r="X111" s="9"/>
      <c r="Y111" s="22">
        <v>1.29135</v>
      </c>
      <c r="Z111" s="22">
        <v>73.239699999999999</v>
      </c>
      <c r="AA111" s="22">
        <v>-1.4645399999999999E-2</v>
      </c>
      <c r="AB111" s="22">
        <v>101</v>
      </c>
      <c r="AC111" s="22">
        <v>1.2905899999999999</v>
      </c>
      <c r="AD111">
        <f t="shared" si="16"/>
        <v>14.645399999999999</v>
      </c>
      <c r="AE111">
        <f t="shared" si="17"/>
        <v>18.91233729</v>
      </c>
      <c r="AF111" s="9"/>
      <c r="AG111" s="22">
        <v>0.40862999999999999</v>
      </c>
      <c r="AH111" s="22">
        <v>107.955</v>
      </c>
      <c r="AI111" s="22">
        <v>-1.5173300000000001E-2</v>
      </c>
      <c r="AJ111" s="22">
        <v>101</v>
      </c>
      <c r="AK111" s="22">
        <v>0.40783700000000001</v>
      </c>
      <c r="AL111">
        <f t="shared" si="18"/>
        <v>15.173300000000001</v>
      </c>
      <c r="AM111">
        <f t="shared" si="19"/>
        <v>6.2002655790000007</v>
      </c>
      <c r="AP111" s="9"/>
      <c r="AQ111" s="22">
        <v>1.29135</v>
      </c>
      <c r="AR111" s="22">
        <v>136.43600000000001</v>
      </c>
      <c r="AS111" s="22">
        <v>-1.4672899999999999E-2</v>
      </c>
      <c r="AT111" s="22">
        <v>101</v>
      </c>
      <c r="AU111" s="22">
        <v>1.2905899999999999</v>
      </c>
      <c r="AV111">
        <f t="shared" si="20"/>
        <v>14.672899999999998</v>
      </c>
      <c r="AW111">
        <f t="shared" si="21"/>
        <v>18.947849414999997</v>
      </c>
      <c r="AX111" s="9"/>
      <c r="AY111" s="22">
        <v>0.40862999999999999</v>
      </c>
      <c r="AZ111" s="22">
        <v>180.29</v>
      </c>
      <c r="BA111" s="22">
        <v>-1.53107E-2</v>
      </c>
      <c r="BB111" s="22">
        <v>101</v>
      </c>
      <c r="BC111" s="22">
        <v>0.40795900000000002</v>
      </c>
      <c r="BD111">
        <f t="shared" si="22"/>
        <v>15.310700000000001</v>
      </c>
      <c r="BE111">
        <f t="shared" si="23"/>
        <v>6.2564113409999997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12.4237</v>
      </c>
      <c r="I112" s="22">
        <v>-1.4559900000000001E-2</v>
      </c>
      <c r="J112" s="22">
        <v>102</v>
      </c>
      <c r="K112" s="22">
        <v>1.2857099999999999</v>
      </c>
      <c r="L112">
        <f t="shared" si="12"/>
        <v>14.559900000000001</v>
      </c>
      <c r="M112">
        <f t="shared" si="13"/>
        <v>18.728690568000001</v>
      </c>
      <c r="N112" s="9"/>
      <c r="O112" s="22">
        <v>0.41366599999999998</v>
      </c>
      <c r="P112" s="22">
        <v>45.196800000000003</v>
      </c>
      <c r="Q112" s="22">
        <v>-1.5136699999999999E-2</v>
      </c>
      <c r="R112" s="22">
        <v>102</v>
      </c>
      <c r="S112" s="22">
        <v>0.41293299999999999</v>
      </c>
      <c r="T112">
        <f t="shared" si="14"/>
        <v>15.136699999999999</v>
      </c>
      <c r="U112">
        <f t="shared" si="15"/>
        <v>6.2615381421999992</v>
      </c>
      <c r="X112" s="9"/>
      <c r="Y112" s="22">
        <v>1.2863199999999999</v>
      </c>
      <c r="Z112" s="22">
        <v>73.249799999999993</v>
      </c>
      <c r="AA112" s="22">
        <v>-1.4645399999999999E-2</v>
      </c>
      <c r="AB112" s="22">
        <v>102</v>
      </c>
      <c r="AC112" s="22">
        <v>1.2857099999999999</v>
      </c>
      <c r="AD112">
        <f t="shared" si="16"/>
        <v>14.645399999999999</v>
      </c>
      <c r="AE112">
        <f t="shared" si="17"/>
        <v>18.838670927999996</v>
      </c>
      <c r="AF112" s="9"/>
      <c r="AG112" s="22">
        <v>0.41366599999999998</v>
      </c>
      <c r="AH112" s="22">
        <v>107.965</v>
      </c>
      <c r="AI112" s="22">
        <v>-1.5170299999999999E-2</v>
      </c>
      <c r="AJ112" s="22">
        <v>102</v>
      </c>
      <c r="AK112" s="22">
        <v>0.41287200000000002</v>
      </c>
      <c r="AL112">
        <f t="shared" si="18"/>
        <v>15.170299999999999</v>
      </c>
      <c r="AM112">
        <f t="shared" si="19"/>
        <v>6.2754373197999991</v>
      </c>
      <c r="AP112" s="9"/>
      <c r="AQ112" s="22">
        <v>1.2863199999999999</v>
      </c>
      <c r="AR112" s="22">
        <v>136.446</v>
      </c>
      <c r="AS112" s="22">
        <v>-1.4678999999999999E-2</v>
      </c>
      <c r="AT112" s="22">
        <v>102</v>
      </c>
      <c r="AU112" s="22">
        <v>1.2854000000000001</v>
      </c>
      <c r="AV112">
        <f t="shared" si="20"/>
        <v>14.678999999999998</v>
      </c>
      <c r="AW112">
        <f t="shared" si="21"/>
        <v>18.881891279999998</v>
      </c>
      <c r="AX112" s="9"/>
      <c r="AY112" s="22">
        <v>0.41366599999999998</v>
      </c>
      <c r="AZ112" s="22">
        <v>180.3</v>
      </c>
      <c r="BA112" s="22">
        <v>-1.53046E-2</v>
      </c>
      <c r="BB112" s="22">
        <v>102</v>
      </c>
      <c r="BC112" s="22">
        <v>0.41271999999999998</v>
      </c>
      <c r="BD112">
        <f t="shared" si="22"/>
        <v>15.304600000000001</v>
      </c>
      <c r="BE112">
        <f t="shared" si="23"/>
        <v>6.3309926636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12.4337</v>
      </c>
      <c r="I113" s="22">
        <v>-1.4559900000000001E-2</v>
      </c>
      <c r="J113" s="22">
        <v>103</v>
      </c>
      <c r="K113" s="22">
        <v>1.2802100000000001</v>
      </c>
      <c r="L113">
        <f t="shared" si="12"/>
        <v>14.559900000000001</v>
      </c>
      <c r="M113">
        <f t="shared" si="13"/>
        <v>18.655308672</v>
      </c>
      <c r="N113" s="9"/>
      <c r="O113" s="22">
        <v>0.41870099999999999</v>
      </c>
      <c r="P113" s="22">
        <v>45.206899999999997</v>
      </c>
      <c r="Q113" s="22">
        <v>-1.5130599999999999E-2</v>
      </c>
      <c r="R113" s="22">
        <v>103</v>
      </c>
      <c r="S113" s="22">
        <v>0.417908</v>
      </c>
      <c r="T113">
        <f t="shared" si="14"/>
        <v>15.130599999999999</v>
      </c>
      <c r="U113">
        <f t="shared" si="15"/>
        <v>6.3351973505999997</v>
      </c>
      <c r="X113" s="9"/>
      <c r="Y113" s="22">
        <v>1.28128</v>
      </c>
      <c r="Z113" s="22">
        <v>73.259900000000002</v>
      </c>
      <c r="AA113" s="22">
        <v>-1.4648400000000001E-2</v>
      </c>
      <c r="AB113" s="22">
        <v>103</v>
      </c>
      <c r="AC113" s="22">
        <v>1.2805200000000001</v>
      </c>
      <c r="AD113">
        <f t="shared" si="16"/>
        <v>14.648400000000001</v>
      </c>
      <c r="AE113">
        <f t="shared" si="17"/>
        <v>18.768701952000001</v>
      </c>
      <c r="AF113" s="9"/>
      <c r="AG113" s="22">
        <v>0.41870099999999999</v>
      </c>
      <c r="AH113" s="22">
        <v>107.97499999999999</v>
      </c>
      <c r="AI113" s="22">
        <v>-1.5164199999999999E-2</v>
      </c>
      <c r="AJ113" s="22">
        <v>103</v>
      </c>
      <c r="AK113" s="22">
        <v>0.41793799999999998</v>
      </c>
      <c r="AL113">
        <f t="shared" si="18"/>
        <v>15.164199999999999</v>
      </c>
      <c r="AM113">
        <f t="shared" si="19"/>
        <v>6.3492657041999996</v>
      </c>
      <c r="AP113" s="9"/>
      <c r="AQ113" s="22">
        <v>1.28128</v>
      </c>
      <c r="AR113" s="22">
        <v>136.45599999999999</v>
      </c>
      <c r="AS113" s="22">
        <v>-1.4682000000000001E-2</v>
      </c>
      <c r="AT113" s="22">
        <v>103</v>
      </c>
      <c r="AU113" s="22">
        <v>1.2796000000000001</v>
      </c>
      <c r="AV113">
        <f t="shared" si="20"/>
        <v>14.682</v>
      </c>
      <c r="AW113">
        <f t="shared" si="21"/>
        <v>18.81175296</v>
      </c>
      <c r="AX113" s="9"/>
      <c r="AY113" s="22">
        <v>0.41870099999999999</v>
      </c>
      <c r="AZ113" s="22">
        <v>180.31</v>
      </c>
      <c r="BA113" s="22">
        <v>-1.5292399999999999E-2</v>
      </c>
      <c r="BB113" s="22">
        <v>103</v>
      </c>
      <c r="BC113" s="22">
        <v>0.41793799999999998</v>
      </c>
      <c r="BD113">
        <f t="shared" si="22"/>
        <v>15.292399999999999</v>
      </c>
      <c r="BE113">
        <f t="shared" si="23"/>
        <v>6.4029431723999997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12.4438</v>
      </c>
      <c r="I114" s="22">
        <v>-1.4566000000000001E-2</v>
      </c>
      <c r="J114" s="22">
        <v>104</v>
      </c>
      <c r="K114" s="22">
        <v>1.2753300000000001</v>
      </c>
      <c r="L114">
        <f t="shared" si="12"/>
        <v>14.566000000000001</v>
      </c>
      <c r="M114">
        <f t="shared" si="13"/>
        <v>18.589857500000001</v>
      </c>
      <c r="N114" s="9"/>
      <c r="O114" s="22">
        <v>0.42373699999999997</v>
      </c>
      <c r="P114" s="22">
        <v>45.216900000000003</v>
      </c>
      <c r="Q114" s="22">
        <v>-1.5124500000000001E-2</v>
      </c>
      <c r="R114" s="22">
        <v>104</v>
      </c>
      <c r="S114" s="22">
        <v>0.42288199999999998</v>
      </c>
      <c r="T114">
        <f t="shared" si="14"/>
        <v>15.124500000000001</v>
      </c>
      <c r="U114">
        <f t="shared" si="15"/>
        <v>6.4088102564999998</v>
      </c>
      <c r="X114" s="9"/>
      <c r="Y114" s="22">
        <v>1.2762500000000001</v>
      </c>
      <c r="Z114" s="22">
        <v>73.27</v>
      </c>
      <c r="AA114" s="22">
        <v>-1.4654500000000001E-2</v>
      </c>
      <c r="AB114" s="22">
        <v>104</v>
      </c>
      <c r="AC114" s="22">
        <v>1.2753300000000001</v>
      </c>
      <c r="AD114">
        <f t="shared" si="16"/>
        <v>14.654500000000001</v>
      </c>
      <c r="AE114">
        <f t="shared" si="17"/>
        <v>18.702805625000003</v>
      </c>
      <c r="AF114" s="9"/>
      <c r="AG114" s="22">
        <v>0.42373699999999997</v>
      </c>
      <c r="AH114" s="22">
        <v>107.985</v>
      </c>
      <c r="AI114" s="22">
        <v>-1.5164199999999999E-2</v>
      </c>
      <c r="AJ114" s="22">
        <v>104</v>
      </c>
      <c r="AK114" s="22">
        <v>0.42291299999999998</v>
      </c>
      <c r="AL114">
        <f t="shared" si="18"/>
        <v>15.164199999999999</v>
      </c>
      <c r="AM114">
        <f t="shared" si="19"/>
        <v>6.4256326153999996</v>
      </c>
      <c r="AP114" s="9"/>
      <c r="AQ114" s="22">
        <v>1.2762500000000001</v>
      </c>
      <c r="AR114" s="22">
        <v>136.46600000000001</v>
      </c>
      <c r="AS114" s="22">
        <v>-1.4682000000000001E-2</v>
      </c>
      <c r="AT114" s="22">
        <v>104</v>
      </c>
      <c r="AU114" s="22">
        <v>1.2753300000000001</v>
      </c>
      <c r="AV114">
        <f t="shared" si="20"/>
        <v>14.682</v>
      </c>
      <c r="AW114">
        <f t="shared" si="21"/>
        <v>18.737902500000001</v>
      </c>
      <c r="AX114" s="9"/>
      <c r="AY114" s="22">
        <v>0.42373699999999997</v>
      </c>
      <c r="AZ114" s="22">
        <v>180.32</v>
      </c>
      <c r="BA114" s="22">
        <v>-1.5286299999999999E-2</v>
      </c>
      <c r="BB114" s="22">
        <v>104</v>
      </c>
      <c r="BC114" s="22">
        <v>0.42297400000000002</v>
      </c>
      <c r="BD114">
        <f t="shared" si="22"/>
        <v>15.286299999999999</v>
      </c>
      <c r="BE114">
        <f t="shared" si="23"/>
        <v>6.4773709030999989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12.453900000000001</v>
      </c>
      <c r="I115" s="22">
        <v>-1.4572099999999999E-2</v>
      </c>
      <c r="J115" s="22">
        <v>105</v>
      </c>
      <c r="K115" s="22">
        <v>1.27014</v>
      </c>
      <c r="L115">
        <f t="shared" si="12"/>
        <v>14.572099999999999</v>
      </c>
      <c r="M115">
        <f t="shared" si="13"/>
        <v>18.524199240999998</v>
      </c>
      <c r="N115" s="9"/>
      <c r="O115" s="22">
        <v>0.42877199999999999</v>
      </c>
      <c r="P115" s="22">
        <v>45.226999999999997</v>
      </c>
      <c r="Q115" s="22">
        <v>-1.51215E-2</v>
      </c>
      <c r="R115" s="22">
        <v>105</v>
      </c>
      <c r="S115" s="22">
        <v>0.427948</v>
      </c>
      <c r="T115">
        <f t="shared" si="14"/>
        <v>15.121499999999999</v>
      </c>
      <c r="U115">
        <f t="shared" si="15"/>
        <v>6.4836757979999993</v>
      </c>
      <c r="X115" s="9"/>
      <c r="Y115" s="22">
        <v>1.27121</v>
      </c>
      <c r="Z115" s="22">
        <v>73.28</v>
      </c>
      <c r="AA115" s="22">
        <v>-1.4660599999999999E-2</v>
      </c>
      <c r="AB115" s="22">
        <v>105</v>
      </c>
      <c r="AC115" s="22">
        <v>1.27014</v>
      </c>
      <c r="AD115">
        <f t="shared" si="16"/>
        <v>14.660599999999999</v>
      </c>
      <c r="AE115">
        <f t="shared" si="17"/>
        <v>18.636701325999997</v>
      </c>
      <c r="AF115" s="9"/>
      <c r="AG115" s="22">
        <v>0.42877199999999999</v>
      </c>
      <c r="AH115" s="22">
        <v>107.995</v>
      </c>
      <c r="AI115" s="22">
        <v>-1.51611E-2</v>
      </c>
      <c r="AJ115" s="22">
        <v>105</v>
      </c>
      <c r="AK115" s="22">
        <v>0.42800899999999997</v>
      </c>
      <c r="AL115">
        <f t="shared" si="18"/>
        <v>15.161100000000001</v>
      </c>
      <c r="AM115">
        <f t="shared" si="19"/>
        <v>6.5006551691999999</v>
      </c>
      <c r="AP115" s="9"/>
      <c r="AQ115" s="22">
        <v>1.27121</v>
      </c>
      <c r="AR115" s="22">
        <v>136.476</v>
      </c>
      <c r="AS115" s="22">
        <v>-1.46851E-2</v>
      </c>
      <c r="AT115" s="22">
        <v>105</v>
      </c>
      <c r="AU115" s="22">
        <v>1.26953</v>
      </c>
      <c r="AV115">
        <f t="shared" si="20"/>
        <v>14.6851</v>
      </c>
      <c r="AW115">
        <f t="shared" si="21"/>
        <v>18.667845970999998</v>
      </c>
      <c r="AX115" s="9"/>
      <c r="AY115" s="22">
        <v>0.42877199999999999</v>
      </c>
      <c r="AZ115" s="22">
        <v>180.33099999999999</v>
      </c>
      <c r="BA115" s="22">
        <v>-1.52832E-2</v>
      </c>
      <c r="BB115" s="22">
        <v>105</v>
      </c>
      <c r="BC115" s="22">
        <v>0.42807000000000001</v>
      </c>
      <c r="BD115">
        <f t="shared" si="22"/>
        <v>15.283200000000001</v>
      </c>
      <c r="BE115">
        <f t="shared" si="23"/>
        <v>6.5530082303999997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12.464</v>
      </c>
      <c r="I116" s="22">
        <v>-1.45752E-2</v>
      </c>
      <c r="J116" s="22">
        <v>106</v>
      </c>
      <c r="K116" s="22">
        <v>1.26495</v>
      </c>
      <c r="L116">
        <f t="shared" si="12"/>
        <v>14.575200000000001</v>
      </c>
      <c r="M116">
        <f t="shared" si="13"/>
        <v>18.454680983999999</v>
      </c>
      <c r="N116" s="9"/>
      <c r="O116" s="22">
        <v>0.433807</v>
      </c>
      <c r="P116" s="22">
        <v>45.237099999999998</v>
      </c>
      <c r="Q116" s="22">
        <v>-1.51123E-2</v>
      </c>
      <c r="R116" s="22">
        <v>106</v>
      </c>
      <c r="S116" s="22">
        <v>0.43310500000000002</v>
      </c>
      <c r="T116">
        <f t="shared" si="14"/>
        <v>15.112300000000001</v>
      </c>
      <c r="U116">
        <f t="shared" si="15"/>
        <v>6.5558215261000008</v>
      </c>
      <c r="X116" s="9"/>
      <c r="Y116" s="22">
        <v>1.26617</v>
      </c>
      <c r="Z116" s="22">
        <v>73.290099999999995</v>
      </c>
      <c r="AA116" s="22">
        <v>-1.46637E-2</v>
      </c>
      <c r="AB116" s="22">
        <v>106</v>
      </c>
      <c r="AC116" s="22">
        <v>1.2646500000000001</v>
      </c>
      <c r="AD116">
        <f t="shared" si="16"/>
        <v>14.6637</v>
      </c>
      <c r="AE116">
        <f t="shared" si="17"/>
        <v>18.566737029000002</v>
      </c>
      <c r="AF116" s="9"/>
      <c r="AG116" s="22">
        <v>0.433807</v>
      </c>
      <c r="AH116" s="22">
        <v>108.005</v>
      </c>
      <c r="AI116" s="22">
        <v>-1.5158100000000001E-2</v>
      </c>
      <c r="AJ116" s="22">
        <v>106</v>
      </c>
      <c r="AK116" s="22">
        <v>0.43313600000000002</v>
      </c>
      <c r="AL116">
        <f t="shared" si="18"/>
        <v>15.158100000000001</v>
      </c>
      <c r="AM116">
        <f t="shared" si="19"/>
        <v>6.5756898867000002</v>
      </c>
      <c r="AP116" s="9"/>
      <c r="AQ116" s="22">
        <v>1.26617</v>
      </c>
      <c r="AR116" s="22">
        <v>136.48599999999999</v>
      </c>
      <c r="AS116" s="22">
        <v>-1.4688100000000001E-2</v>
      </c>
      <c r="AT116" s="22">
        <v>106</v>
      </c>
      <c r="AU116" s="22">
        <v>1.26556</v>
      </c>
      <c r="AV116">
        <f t="shared" si="20"/>
        <v>14.6881</v>
      </c>
      <c r="AW116">
        <f t="shared" si="21"/>
        <v>18.597631577000001</v>
      </c>
      <c r="AX116" s="9"/>
      <c r="AY116" s="22">
        <v>0.433807</v>
      </c>
      <c r="AZ116" s="22">
        <v>180.34100000000001</v>
      </c>
      <c r="BA116" s="22">
        <v>-1.52771E-2</v>
      </c>
      <c r="BB116" s="22">
        <v>106</v>
      </c>
      <c r="BC116" s="22">
        <v>0.43304399999999998</v>
      </c>
      <c r="BD116">
        <f t="shared" si="22"/>
        <v>15.277100000000001</v>
      </c>
      <c r="BE116">
        <f t="shared" si="23"/>
        <v>6.6273129197000005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12.474</v>
      </c>
      <c r="I117" s="22">
        <v>-1.45813E-2</v>
      </c>
      <c r="J117" s="22">
        <v>107</v>
      </c>
      <c r="K117" s="22">
        <v>1.26007</v>
      </c>
      <c r="L117">
        <f t="shared" si="12"/>
        <v>14.581300000000001</v>
      </c>
      <c r="M117">
        <f t="shared" si="13"/>
        <v>18.389060682</v>
      </c>
      <c r="N117" s="9"/>
      <c r="O117" s="22">
        <v>0.43884299999999998</v>
      </c>
      <c r="P117" s="22">
        <v>45.247199999999999</v>
      </c>
      <c r="Q117" s="22">
        <v>-1.51062E-2</v>
      </c>
      <c r="R117" s="22">
        <v>107</v>
      </c>
      <c r="S117" s="22">
        <v>0.43795800000000001</v>
      </c>
      <c r="T117">
        <f t="shared" si="14"/>
        <v>15.106199999999999</v>
      </c>
      <c r="U117">
        <f t="shared" si="15"/>
        <v>6.6292501265999997</v>
      </c>
      <c r="X117" s="9"/>
      <c r="Y117" s="22">
        <v>1.2611399999999999</v>
      </c>
      <c r="Z117" s="22">
        <v>73.300200000000004</v>
      </c>
      <c r="AA117" s="22">
        <v>-1.46667E-2</v>
      </c>
      <c r="AB117" s="22">
        <v>107</v>
      </c>
      <c r="AC117" s="22">
        <v>1.26068</v>
      </c>
      <c r="AD117">
        <f t="shared" si="16"/>
        <v>14.666699999999999</v>
      </c>
      <c r="AE117">
        <f t="shared" si="17"/>
        <v>18.496762037999996</v>
      </c>
      <c r="AF117" s="9"/>
      <c r="AG117" s="22">
        <v>0.43884299999999998</v>
      </c>
      <c r="AH117" s="22">
        <v>108.015</v>
      </c>
      <c r="AI117" s="22">
        <v>-1.5155E-2</v>
      </c>
      <c r="AJ117" s="22">
        <v>107</v>
      </c>
      <c r="AK117" s="22">
        <v>0.43798799999999999</v>
      </c>
      <c r="AL117">
        <f t="shared" si="18"/>
        <v>15.154999999999999</v>
      </c>
      <c r="AM117">
        <f t="shared" si="19"/>
        <v>6.6506656649999991</v>
      </c>
      <c r="AP117" s="9"/>
      <c r="AQ117" s="22">
        <v>1.2611399999999999</v>
      </c>
      <c r="AR117" s="22">
        <v>136.49600000000001</v>
      </c>
      <c r="AS117" s="22">
        <v>-1.4694199999999999E-2</v>
      </c>
      <c r="AT117" s="22">
        <v>107</v>
      </c>
      <c r="AU117" s="22">
        <v>1.2603800000000001</v>
      </c>
      <c r="AV117">
        <f t="shared" si="20"/>
        <v>14.694199999999999</v>
      </c>
      <c r="AW117">
        <f t="shared" si="21"/>
        <v>18.531443387999996</v>
      </c>
      <c r="AX117" s="9"/>
      <c r="AY117" s="22">
        <v>0.43884299999999998</v>
      </c>
      <c r="AZ117" s="22">
        <v>180.351</v>
      </c>
      <c r="BA117" s="22">
        <v>-1.5271E-2</v>
      </c>
      <c r="BB117" s="22">
        <v>107</v>
      </c>
      <c r="BC117" s="22">
        <v>0.43792700000000001</v>
      </c>
      <c r="BD117">
        <f t="shared" si="22"/>
        <v>15.270999999999999</v>
      </c>
      <c r="BE117">
        <f t="shared" si="23"/>
        <v>6.7015714529999997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12.4841</v>
      </c>
      <c r="I118" s="22">
        <v>-1.45813E-2</v>
      </c>
      <c r="J118" s="22">
        <v>108</v>
      </c>
      <c r="K118" s="22">
        <v>1.25488</v>
      </c>
      <c r="L118">
        <f t="shared" si="12"/>
        <v>14.581300000000001</v>
      </c>
      <c r="M118">
        <f t="shared" si="13"/>
        <v>18.31557093</v>
      </c>
      <c r="N118" s="9"/>
      <c r="O118" s="22">
        <v>0.44387799999999999</v>
      </c>
      <c r="P118" s="22">
        <v>45.257199999999997</v>
      </c>
      <c r="Q118" s="22">
        <v>-1.51001E-2</v>
      </c>
      <c r="R118" s="22">
        <v>108</v>
      </c>
      <c r="S118" s="22">
        <v>0.44311499999999998</v>
      </c>
      <c r="T118">
        <f t="shared" si="14"/>
        <v>15.100099999999999</v>
      </c>
      <c r="U118">
        <f t="shared" si="15"/>
        <v>6.7026021877999993</v>
      </c>
      <c r="X118" s="9"/>
      <c r="Y118" s="22">
        <v>1.2561</v>
      </c>
      <c r="Z118" s="22">
        <v>73.310199999999995</v>
      </c>
      <c r="AA118" s="22">
        <v>-1.46698E-2</v>
      </c>
      <c r="AB118" s="22">
        <v>108</v>
      </c>
      <c r="AC118" s="22">
        <v>1.25458</v>
      </c>
      <c r="AD118">
        <f t="shared" si="16"/>
        <v>14.6698</v>
      </c>
      <c r="AE118">
        <f t="shared" si="17"/>
        <v>18.426735780000001</v>
      </c>
      <c r="AF118" s="9"/>
      <c r="AG118" s="22">
        <v>0.44387799999999999</v>
      </c>
      <c r="AH118" s="22">
        <v>108.02500000000001</v>
      </c>
      <c r="AI118" s="22">
        <v>-1.51489E-2</v>
      </c>
      <c r="AJ118" s="22">
        <v>108</v>
      </c>
      <c r="AK118" s="22">
        <v>0.44314599999999998</v>
      </c>
      <c r="AL118">
        <f t="shared" si="18"/>
        <v>15.148899999999999</v>
      </c>
      <c r="AM118">
        <f t="shared" si="19"/>
        <v>6.7242634342000001</v>
      </c>
      <c r="AP118" s="9"/>
      <c r="AQ118" s="22">
        <v>1.2561</v>
      </c>
      <c r="AR118" s="22">
        <v>136.506</v>
      </c>
      <c r="AS118" s="22">
        <v>-1.4700299999999999E-2</v>
      </c>
      <c r="AT118" s="22">
        <v>108</v>
      </c>
      <c r="AU118" s="22">
        <v>1.25549</v>
      </c>
      <c r="AV118">
        <f t="shared" si="20"/>
        <v>14.700299999999999</v>
      </c>
      <c r="AW118">
        <f t="shared" si="21"/>
        <v>18.465046829999999</v>
      </c>
      <c r="AX118" s="9"/>
      <c r="AY118" s="22">
        <v>0.44387799999999999</v>
      </c>
      <c r="AZ118" s="22">
        <v>180.36099999999999</v>
      </c>
      <c r="BA118" s="22">
        <v>-1.52649E-2</v>
      </c>
      <c r="BB118" s="22">
        <v>108</v>
      </c>
      <c r="BC118" s="22">
        <v>0.44314599999999998</v>
      </c>
      <c r="BD118">
        <f t="shared" si="22"/>
        <v>15.264899999999999</v>
      </c>
      <c r="BE118">
        <f t="shared" si="23"/>
        <v>6.7757532821999993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12.494199999999999</v>
      </c>
      <c r="I119" s="22">
        <v>-1.4584400000000001E-2</v>
      </c>
      <c r="J119" s="22">
        <v>109</v>
      </c>
      <c r="K119" s="22">
        <v>1.25</v>
      </c>
      <c r="L119">
        <f t="shared" si="12"/>
        <v>14.5844</v>
      </c>
      <c r="M119">
        <f t="shared" si="13"/>
        <v>18.246105308000001</v>
      </c>
      <c r="N119" s="9"/>
      <c r="O119" s="22">
        <v>0.44891399999999998</v>
      </c>
      <c r="P119" s="22">
        <v>45.267299999999999</v>
      </c>
      <c r="Q119" s="22">
        <v>-1.5096999999999999E-2</v>
      </c>
      <c r="R119" s="22">
        <v>109</v>
      </c>
      <c r="S119" s="22">
        <v>0.44812000000000002</v>
      </c>
      <c r="T119">
        <f t="shared" si="14"/>
        <v>15.097</v>
      </c>
      <c r="U119">
        <f t="shared" si="15"/>
        <v>6.7772546579999995</v>
      </c>
      <c r="X119" s="9"/>
      <c r="Y119" s="22">
        <v>1.2510699999999999</v>
      </c>
      <c r="Z119" s="22">
        <v>73.320300000000003</v>
      </c>
      <c r="AA119" s="22">
        <v>-1.46698E-2</v>
      </c>
      <c r="AB119" s="22">
        <v>109</v>
      </c>
      <c r="AC119" s="22">
        <v>1.25031</v>
      </c>
      <c r="AD119">
        <f t="shared" si="16"/>
        <v>14.6698</v>
      </c>
      <c r="AE119">
        <f t="shared" si="17"/>
        <v>18.352946685999999</v>
      </c>
      <c r="AF119" s="9"/>
      <c r="AG119" s="22">
        <v>0.44891399999999998</v>
      </c>
      <c r="AH119" s="22">
        <v>108.035</v>
      </c>
      <c r="AI119" s="22">
        <v>-1.51459E-2</v>
      </c>
      <c r="AJ119" s="22">
        <v>109</v>
      </c>
      <c r="AK119" s="22">
        <v>0.44799800000000001</v>
      </c>
      <c r="AL119">
        <f t="shared" si="18"/>
        <v>15.145900000000001</v>
      </c>
      <c r="AM119">
        <f t="shared" si="19"/>
        <v>6.7992065526000003</v>
      </c>
      <c r="AP119" s="9"/>
      <c r="AQ119" s="22">
        <v>1.2510699999999999</v>
      </c>
      <c r="AR119" s="22">
        <v>136.517</v>
      </c>
      <c r="AS119" s="22">
        <v>-1.47034E-2</v>
      </c>
      <c r="AT119" s="22">
        <v>109</v>
      </c>
      <c r="AU119" s="22">
        <v>1.25031</v>
      </c>
      <c r="AV119">
        <f t="shared" si="20"/>
        <v>14.7034</v>
      </c>
      <c r="AW119">
        <f t="shared" si="21"/>
        <v>18.394982637999998</v>
      </c>
      <c r="AX119" s="9"/>
      <c r="AY119" s="22">
        <v>0.44891399999999998</v>
      </c>
      <c r="AZ119" s="22">
        <v>180.37100000000001</v>
      </c>
      <c r="BA119" s="22">
        <v>-1.5261800000000001E-2</v>
      </c>
      <c r="BB119" s="22">
        <v>109</v>
      </c>
      <c r="BC119" s="22">
        <v>0.44815100000000002</v>
      </c>
      <c r="BD119">
        <f t="shared" si="22"/>
        <v>15.261800000000001</v>
      </c>
      <c r="BE119">
        <f t="shared" si="23"/>
        <v>6.8512356851999998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12.504200000000001</v>
      </c>
      <c r="I120" s="22">
        <v>-1.45874E-2</v>
      </c>
      <c r="J120" s="22">
        <v>110</v>
      </c>
      <c r="K120" s="22">
        <v>1.24542</v>
      </c>
      <c r="L120">
        <f t="shared" si="12"/>
        <v>14.587400000000001</v>
      </c>
      <c r="M120">
        <f t="shared" si="13"/>
        <v>18.176338021999999</v>
      </c>
      <c r="N120" s="9"/>
      <c r="O120" s="22">
        <v>0.45394899999999999</v>
      </c>
      <c r="P120" s="22">
        <v>45.2774</v>
      </c>
      <c r="Q120" s="22">
        <v>-1.5094E-2</v>
      </c>
      <c r="R120" s="22">
        <v>110</v>
      </c>
      <c r="S120" s="22">
        <v>0.453094</v>
      </c>
      <c r="T120">
        <f t="shared" si="14"/>
        <v>15.093999999999999</v>
      </c>
      <c r="U120">
        <f t="shared" si="15"/>
        <v>6.8519062059999998</v>
      </c>
      <c r="X120" s="9"/>
      <c r="Y120" s="22">
        <v>1.24603</v>
      </c>
      <c r="Z120" s="22">
        <v>73.330399999999997</v>
      </c>
      <c r="AA120" s="22">
        <v>-1.46759E-2</v>
      </c>
      <c r="AB120" s="22">
        <v>110</v>
      </c>
      <c r="AC120" s="22">
        <v>1.24481</v>
      </c>
      <c r="AD120">
        <f t="shared" si="16"/>
        <v>14.6759</v>
      </c>
      <c r="AE120">
        <f t="shared" si="17"/>
        <v>18.286611677</v>
      </c>
      <c r="AF120" s="9"/>
      <c r="AG120" s="22">
        <v>0.45394899999999999</v>
      </c>
      <c r="AH120" s="22">
        <v>108.04600000000001</v>
      </c>
      <c r="AI120" s="22">
        <v>-1.51428E-2</v>
      </c>
      <c r="AJ120" s="22">
        <v>110</v>
      </c>
      <c r="AK120" s="22">
        <v>0.45318599999999998</v>
      </c>
      <c r="AL120">
        <f t="shared" si="18"/>
        <v>15.142799999999999</v>
      </c>
      <c r="AM120">
        <f t="shared" si="19"/>
        <v>6.8740589171999993</v>
      </c>
      <c r="AP120" s="9"/>
      <c r="AQ120" s="22">
        <v>1.24603</v>
      </c>
      <c r="AR120" s="22">
        <v>136.52699999999999</v>
      </c>
      <c r="AS120" s="22">
        <v>-1.47064E-2</v>
      </c>
      <c r="AT120" s="22">
        <v>110</v>
      </c>
      <c r="AU120" s="22">
        <v>1.24481</v>
      </c>
      <c r="AV120">
        <f t="shared" si="20"/>
        <v>14.7064</v>
      </c>
      <c r="AW120">
        <f t="shared" si="21"/>
        <v>18.324615592000001</v>
      </c>
      <c r="AX120" s="9"/>
      <c r="AY120" s="22">
        <v>0.45394899999999999</v>
      </c>
      <c r="AZ120" s="22">
        <v>180.381</v>
      </c>
      <c r="BA120" s="22">
        <v>-1.5255700000000001E-2</v>
      </c>
      <c r="BB120" s="22">
        <v>110</v>
      </c>
      <c r="BC120" s="22">
        <v>0.453094</v>
      </c>
      <c r="BD120">
        <f t="shared" si="22"/>
        <v>15.255700000000001</v>
      </c>
      <c r="BE120">
        <f t="shared" si="23"/>
        <v>6.9253097593000001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12.5143</v>
      </c>
      <c r="I121" s="22">
        <v>-1.4593500000000001E-2</v>
      </c>
      <c r="J121" s="22">
        <v>111</v>
      </c>
      <c r="K121" s="22">
        <v>1.2396199999999999</v>
      </c>
      <c r="L121">
        <f t="shared" si="12"/>
        <v>14.593500000000001</v>
      </c>
      <c r="M121">
        <f t="shared" si="13"/>
        <v>18.110533500000003</v>
      </c>
      <c r="N121" s="9"/>
      <c r="O121" s="22">
        <v>0.458984</v>
      </c>
      <c r="P121" s="22">
        <v>45.287399999999998</v>
      </c>
      <c r="Q121" s="22">
        <v>-1.5090900000000001E-2</v>
      </c>
      <c r="R121" s="22">
        <v>111</v>
      </c>
      <c r="S121" s="22">
        <v>0.45819100000000001</v>
      </c>
      <c r="T121">
        <f t="shared" si="14"/>
        <v>15.090900000000001</v>
      </c>
      <c r="U121">
        <f t="shared" si="15"/>
        <v>6.9264816456000009</v>
      </c>
      <c r="X121" s="9"/>
      <c r="Y121" s="22">
        <v>1.2410000000000001</v>
      </c>
      <c r="Z121" s="22">
        <v>73.340500000000006</v>
      </c>
      <c r="AA121" s="22">
        <v>-1.4678999999999999E-2</v>
      </c>
      <c r="AB121" s="22">
        <v>111</v>
      </c>
      <c r="AC121" s="22">
        <v>1.23993</v>
      </c>
      <c r="AD121">
        <f t="shared" si="16"/>
        <v>14.678999999999998</v>
      </c>
      <c r="AE121">
        <f t="shared" si="17"/>
        <v>18.216639000000001</v>
      </c>
      <c r="AF121" s="9"/>
      <c r="AG121" s="22">
        <v>0.458984</v>
      </c>
      <c r="AH121" s="22">
        <v>108.056</v>
      </c>
      <c r="AI121" s="22">
        <v>-1.5136699999999999E-2</v>
      </c>
      <c r="AJ121" s="22">
        <v>111</v>
      </c>
      <c r="AK121" s="22">
        <v>0.45828200000000002</v>
      </c>
      <c r="AL121">
        <f t="shared" si="18"/>
        <v>15.136699999999999</v>
      </c>
      <c r="AM121">
        <f t="shared" si="19"/>
        <v>6.9475031127999998</v>
      </c>
      <c r="AP121" s="9"/>
      <c r="AQ121" s="22">
        <v>1.2410000000000001</v>
      </c>
      <c r="AR121" s="22">
        <v>136.53700000000001</v>
      </c>
      <c r="AS121" s="22">
        <v>-1.47064E-2</v>
      </c>
      <c r="AT121" s="22">
        <v>111</v>
      </c>
      <c r="AU121" s="22">
        <v>1.2396199999999999</v>
      </c>
      <c r="AV121">
        <f t="shared" si="20"/>
        <v>14.7064</v>
      </c>
      <c r="AW121">
        <f t="shared" si="21"/>
        <v>18.2506424</v>
      </c>
      <c r="AX121" s="9"/>
      <c r="AY121" s="22">
        <v>0.458984</v>
      </c>
      <c r="AZ121" s="22">
        <v>180.39099999999999</v>
      </c>
      <c r="BA121" s="22">
        <v>-1.5255700000000001E-2</v>
      </c>
      <c r="BB121" s="22">
        <v>111</v>
      </c>
      <c r="BC121" s="22">
        <v>0.45816000000000001</v>
      </c>
      <c r="BD121">
        <f t="shared" si="22"/>
        <v>15.255700000000001</v>
      </c>
      <c r="BE121">
        <f t="shared" si="23"/>
        <v>7.0021222088000004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12.5244</v>
      </c>
      <c r="I122" s="22">
        <v>-1.4599600000000001E-2</v>
      </c>
      <c r="J122" s="22">
        <v>112</v>
      </c>
      <c r="K122" s="22">
        <v>1.2347399999999999</v>
      </c>
      <c r="L122">
        <f t="shared" si="12"/>
        <v>14.599600000000001</v>
      </c>
      <c r="M122">
        <f t="shared" si="13"/>
        <v>18.044521616000001</v>
      </c>
      <c r="N122" s="9"/>
      <c r="O122" s="22">
        <v>0.46401999999999999</v>
      </c>
      <c r="P122" s="22">
        <v>45.297499999999999</v>
      </c>
      <c r="Q122" s="22">
        <v>-1.50879E-2</v>
      </c>
      <c r="R122" s="22">
        <v>112</v>
      </c>
      <c r="S122" s="22">
        <v>0.46325699999999997</v>
      </c>
      <c r="T122">
        <f t="shared" si="14"/>
        <v>15.087899999999999</v>
      </c>
      <c r="U122">
        <f t="shared" si="15"/>
        <v>7.0010873579999995</v>
      </c>
      <c r="X122" s="9"/>
      <c r="Y122" s="22">
        <v>1.2359599999999999</v>
      </c>
      <c r="Z122" s="22">
        <v>73.350499999999997</v>
      </c>
      <c r="AA122" s="22">
        <v>-1.4682000000000001E-2</v>
      </c>
      <c r="AB122" s="22">
        <v>112</v>
      </c>
      <c r="AC122" s="22">
        <v>1.23444</v>
      </c>
      <c r="AD122">
        <f t="shared" si="16"/>
        <v>14.682</v>
      </c>
      <c r="AE122">
        <f t="shared" si="17"/>
        <v>18.146364720000001</v>
      </c>
      <c r="AF122" s="9"/>
      <c r="AG122" s="22">
        <v>0.46401999999999999</v>
      </c>
      <c r="AH122" s="22">
        <v>108.066</v>
      </c>
      <c r="AI122" s="22">
        <v>-1.51337E-2</v>
      </c>
      <c r="AJ122" s="22">
        <v>112</v>
      </c>
      <c r="AK122" s="22">
        <v>0.46322600000000003</v>
      </c>
      <c r="AL122">
        <f t="shared" si="18"/>
        <v>15.133699999999999</v>
      </c>
      <c r="AM122">
        <f t="shared" si="19"/>
        <v>7.0223394739999998</v>
      </c>
      <c r="AP122" s="9"/>
      <c r="AQ122" s="22">
        <v>1.2359599999999999</v>
      </c>
      <c r="AR122" s="22">
        <v>136.547</v>
      </c>
      <c r="AS122" s="22">
        <v>-1.47095E-2</v>
      </c>
      <c r="AT122" s="22">
        <v>112</v>
      </c>
      <c r="AU122" s="22">
        <v>1.23505</v>
      </c>
      <c r="AV122">
        <f t="shared" si="20"/>
        <v>14.7095</v>
      </c>
      <c r="AW122">
        <f t="shared" si="21"/>
        <v>18.180353619999998</v>
      </c>
      <c r="AX122" s="9"/>
      <c r="AY122" s="22">
        <v>0.46401999999999999</v>
      </c>
      <c r="AZ122" s="22">
        <v>180.40100000000001</v>
      </c>
      <c r="BA122" s="22">
        <v>-1.5252699999999999E-2</v>
      </c>
      <c r="BB122" s="22">
        <v>112</v>
      </c>
      <c r="BC122" s="22">
        <v>0.463287</v>
      </c>
      <c r="BD122">
        <f t="shared" si="22"/>
        <v>15.252699999999999</v>
      </c>
      <c r="BE122">
        <f t="shared" si="23"/>
        <v>7.0775578539999993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12.5345</v>
      </c>
      <c r="I123" s="22">
        <v>-1.46027E-2</v>
      </c>
      <c r="J123" s="22">
        <v>113</v>
      </c>
      <c r="K123" s="22">
        <v>1.22986</v>
      </c>
      <c r="L123">
        <f t="shared" si="12"/>
        <v>14.6027</v>
      </c>
      <c r="M123">
        <f t="shared" si="13"/>
        <v>17.974901511000002</v>
      </c>
      <c r="N123" s="9"/>
      <c r="O123" s="22">
        <v>0.469055</v>
      </c>
      <c r="P123" s="22">
        <v>45.307600000000001</v>
      </c>
      <c r="Q123" s="22">
        <v>-1.5084800000000001E-2</v>
      </c>
      <c r="R123" s="22">
        <v>113</v>
      </c>
      <c r="S123" s="22">
        <v>0.46829199999999999</v>
      </c>
      <c r="T123">
        <f t="shared" si="14"/>
        <v>15.084800000000001</v>
      </c>
      <c r="U123">
        <f t="shared" si="15"/>
        <v>7.075600864000001</v>
      </c>
      <c r="X123" s="9"/>
      <c r="Y123" s="22">
        <v>1.2309300000000001</v>
      </c>
      <c r="Z123" s="22">
        <v>73.360600000000005</v>
      </c>
      <c r="AA123" s="22">
        <v>-1.4682000000000001E-2</v>
      </c>
      <c r="AB123" s="22">
        <v>113</v>
      </c>
      <c r="AC123" s="22">
        <v>1.22986</v>
      </c>
      <c r="AD123">
        <f t="shared" si="16"/>
        <v>14.682</v>
      </c>
      <c r="AE123">
        <f t="shared" si="17"/>
        <v>18.072514260000002</v>
      </c>
      <c r="AF123" s="9"/>
      <c r="AG123" s="22">
        <v>0.469055</v>
      </c>
      <c r="AH123" s="22">
        <v>108.07599999999999</v>
      </c>
      <c r="AI123" s="22">
        <v>-1.5130599999999999E-2</v>
      </c>
      <c r="AJ123" s="22">
        <v>113</v>
      </c>
      <c r="AK123" s="22">
        <v>0.46820099999999998</v>
      </c>
      <c r="AL123">
        <f t="shared" si="18"/>
        <v>15.130599999999999</v>
      </c>
      <c r="AM123">
        <f t="shared" si="19"/>
        <v>7.0970835829999999</v>
      </c>
      <c r="AP123" s="9"/>
      <c r="AQ123" s="22">
        <v>1.2309300000000001</v>
      </c>
      <c r="AR123" s="22">
        <v>136.55699999999999</v>
      </c>
      <c r="AS123" s="22">
        <v>-1.4715600000000001E-2</v>
      </c>
      <c r="AT123" s="22">
        <v>113</v>
      </c>
      <c r="AU123" s="22">
        <v>1.2295499999999999</v>
      </c>
      <c r="AV123">
        <f t="shared" si="20"/>
        <v>14.7156</v>
      </c>
      <c r="AW123">
        <f t="shared" si="21"/>
        <v>18.113873508000001</v>
      </c>
      <c r="AX123" s="9"/>
      <c r="AY123" s="22">
        <v>0.469055</v>
      </c>
      <c r="AZ123" s="22">
        <v>180.411</v>
      </c>
      <c r="BA123" s="22">
        <v>-1.5252699999999999E-2</v>
      </c>
      <c r="BB123" s="22">
        <v>113</v>
      </c>
      <c r="BC123" s="22">
        <v>0.46829199999999999</v>
      </c>
      <c r="BD123">
        <f t="shared" si="22"/>
        <v>15.252699999999999</v>
      </c>
      <c r="BE123">
        <f t="shared" si="23"/>
        <v>7.1543551984999993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12.544499999999999</v>
      </c>
      <c r="I124" s="22">
        <v>-1.4611799999999999E-2</v>
      </c>
      <c r="J124" s="22">
        <v>114</v>
      </c>
      <c r="K124" s="22">
        <v>1.22498</v>
      </c>
      <c r="L124">
        <f t="shared" si="12"/>
        <v>14.611799999999999</v>
      </c>
      <c r="M124">
        <f t="shared" si="13"/>
        <v>17.912459501999997</v>
      </c>
      <c r="N124" s="9"/>
      <c r="O124" s="22">
        <v>0.47409099999999998</v>
      </c>
      <c r="P124" s="22">
        <v>45.317599999999999</v>
      </c>
      <c r="Q124" s="22">
        <v>-1.50787E-2</v>
      </c>
      <c r="R124" s="22">
        <v>114</v>
      </c>
      <c r="S124" s="22">
        <v>0.47332800000000003</v>
      </c>
      <c r="T124">
        <f t="shared" si="14"/>
        <v>15.078700000000001</v>
      </c>
      <c r="U124">
        <f t="shared" si="15"/>
        <v>7.1486759617000004</v>
      </c>
      <c r="X124" s="9"/>
      <c r="Y124" s="22">
        <v>1.2258899999999999</v>
      </c>
      <c r="Z124" s="22">
        <v>73.370699999999999</v>
      </c>
      <c r="AA124" s="22">
        <v>-1.46851E-2</v>
      </c>
      <c r="AB124" s="22">
        <v>114</v>
      </c>
      <c r="AC124" s="22">
        <v>1.22498</v>
      </c>
      <c r="AD124">
        <f t="shared" si="16"/>
        <v>14.6851</v>
      </c>
      <c r="AE124">
        <f t="shared" si="17"/>
        <v>18.002317239</v>
      </c>
      <c r="AF124" s="9"/>
      <c r="AG124" s="22">
        <v>0.47409099999999998</v>
      </c>
      <c r="AH124" s="22">
        <v>108.086</v>
      </c>
      <c r="AI124" s="22">
        <v>-1.5124500000000001E-2</v>
      </c>
      <c r="AJ124" s="22">
        <v>114</v>
      </c>
      <c r="AK124" s="22">
        <v>0.47323599999999999</v>
      </c>
      <c r="AL124">
        <f t="shared" si="18"/>
        <v>15.124500000000001</v>
      </c>
      <c r="AM124">
        <f t="shared" si="19"/>
        <v>7.1703893295000007</v>
      </c>
      <c r="AP124" s="9"/>
      <c r="AQ124" s="22">
        <v>1.2258899999999999</v>
      </c>
      <c r="AR124" s="22">
        <v>136.56700000000001</v>
      </c>
      <c r="AS124" s="22">
        <v>-1.4721700000000001E-2</v>
      </c>
      <c r="AT124" s="22">
        <v>114</v>
      </c>
      <c r="AU124" s="22">
        <v>1.22498</v>
      </c>
      <c r="AV124">
        <f t="shared" si="20"/>
        <v>14.7217</v>
      </c>
      <c r="AW124">
        <f t="shared" si="21"/>
        <v>18.047184812999998</v>
      </c>
      <c r="AX124" s="9"/>
      <c r="AY124" s="22">
        <v>0.47409099999999998</v>
      </c>
      <c r="AZ124" s="22">
        <v>180.42099999999999</v>
      </c>
      <c r="BA124" s="22">
        <v>-1.52496E-2</v>
      </c>
      <c r="BB124" s="22">
        <v>114</v>
      </c>
      <c r="BC124" s="22">
        <v>0.47329700000000002</v>
      </c>
      <c r="BD124">
        <f t="shared" si="22"/>
        <v>15.249600000000001</v>
      </c>
      <c r="BE124">
        <f t="shared" si="23"/>
        <v>7.2296981136000005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12.554600000000001</v>
      </c>
      <c r="I125" s="22">
        <v>-1.46149E-2</v>
      </c>
      <c r="J125" s="22">
        <v>115</v>
      </c>
      <c r="K125" s="22">
        <v>1.2200899999999999</v>
      </c>
      <c r="L125">
        <f t="shared" si="12"/>
        <v>14.6149</v>
      </c>
      <c r="M125">
        <f t="shared" si="13"/>
        <v>17.842746814000002</v>
      </c>
      <c r="N125" s="9"/>
      <c r="O125" s="22">
        <v>0.479126</v>
      </c>
      <c r="P125" s="22">
        <v>45.3277</v>
      </c>
      <c r="Q125" s="22">
        <v>-1.50726E-2</v>
      </c>
      <c r="R125" s="22">
        <v>115</v>
      </c>
      <c r="S125" s="22">
        <v>0.47821000000000002</v>
      </c>
      <c r="T125">
        <f t="shared" si="14"/>
        <v>15.0726</v>
      </c>
      <c r="U125">
        <f t="shared" si="15"/>
        <v>7.2216745476000002</v>
      </c>
      <c r="X125" s="9"/>
      <c r="Y125" s="22">
        <v>1.2208600000000001</v>
      </c>
      <c r="Z125" s="22">
        <v>73.380700000000004</v>
      </c>
      <c r="AA125" s="22">
        <v>-1.4688100000000001E-2</v>
      </c>
      <c r="AB125" s="22">
        <v>115</v>
      </c>
      <c r="AC125" s="22">
        <v>1.2194799999999999</v>
      </c>
      <c r="AD125">
        <f t="shared" si="16"/>
        <v>14.6881</v>
      </c>
      <c r="AE125">
        <f t="shared" si="17"/>
        <v>17.932113766000001</v>
      </c>
      <c r="AF125" s="9"/>
      <c r="AG125" s="22">
        <v>0.479126</v>
      </c>
      <c r="AH125" s="22">
        <v>108.096</v>
      </c>
      <c r="AI125" s="22">
        <v>-1.51215E-2</v>
      </c>
      <c r="AJ125" s="22">
        <v>115</v>
      </c>
      <c r="AK125" s="22">
        <v>0.47824100000000003</v>
      </c>
      <c r="AL125">
        <f t="shared" si="18"/>
        <v>15.121499999999999</v>
      </c>
      <c r="AM125">
        <f t="shared" si="19"/>
        <v>7.2451038089999997</v>
      </c>
      <c r="AP125" s="9"/>
      <c r="AQ125" s="22">
        <v>1.2208600000000001</v>
      </c>
      <c r="AR125" s="22">
        <v>136.577</v>
      </c>
      <c r="AS125" s="22">
        <v>-1.4727799999999999E-2</v>
      </c>
      <c r="AT125" s="22">
        <v>115</v>
      </c>
      <c r="AU125" s="22">
        <v>1.2191799999999999</v>
      </c>
      <c r="AV125">
        <f t="shared" si="20"/>
        <v>14.727799999999998</v>
      </c>
      <c r="AW125">
        <f t="shared" si="21"/>
        <v>17.980581907999998</v>
      </c>
      <c r="AX125" s="9"/>
      <c r="AY125" s="22">
        <v>0.479126</v>
      </c>
      <c r="AZ125" s="22">
        <v>180.43100000000001</v>
      </c>
      <c r="BA125" s="22">
        <v>-1.5246600000000001E-2</v>
      </c>
      <c r="BB125" s="22">
        <v>115</v>
      </c>
      <c r="BC125" s="22">
        <v>0.47836299999999998</v>
      </c>
      <c r="BD125">
        <f t="shared" si="22"/>
        <v>15.246600000000001</v>
      </c>
      <c r="BE125">
        <f t="shared" si="23"/>
        <v>7.3050424716000002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12.5647</v>
      </c>
      <c r="I126" s="22">
        <v>-1.46179E-2</v>
      </c>
      <c r="J126" s="22">
        <v>116</v>
      </c>
      <c r="K126" s="22">
        <v>1.2145999999999999</v>
      </c>
      <c r="L126">
        <f t="shared" si="12"/>
        <v>14.617899999999999</v>
      </c>
      <c r="M126">
        <f t="shared" si="13"/>
        <v>17.772735177999998</v>
      </c>
      <c r="N126" s="9"/>
      <c r="O126" s="22">
        <v>0.48416100000000001</v>
      </c>
      <c r="P126" s="22">
        <v>45.337800000000001</v>
      </c>
      <c r="Q126" s="22">
        <v>-1.5069600000000001E-2</v>
      </c>
      <c r="R126" s="22">
        <v>116</v>
      </c>
      <c r="S126" s="22">
        <v>0.48330699999999999</v>
      </c>
      <c r="T126">
        <f t="shared" si="14"/>
        <v>15.069600000000001</v>
      </c>
      <c r="U126">
        <f t="shared" si="15"/>
        <v>7.2961126056000003</v>
      </c>
      <c r="X126" s="9"/>
      <c r="Y126" s="22">
        <v>1.2158199999999999</v>
      </c>
      <c r="Z126" s="22">
        <v>73.390799999999999</v>
      </c>
      <c r="AA126" s="22">
        <v>-1.4694199999999999E-2</v>
      </c>
      <c r="AB126" s="22">
        <v>116</v>
      </c>
      <c r="AC126" s="22">
        <v>1.2152099999999999</v>
      </c>
      <c r="AD126">
        <f t="shared" si="16"/>
        <v>14.694199999999999</v>
      </c>
      <c r="AE126">
        <f t="shared" si="17"/>
        <v>17.865502243999998</v>
      </c>
      <c r="AF126" s="9"/>
      <c r="AG126" s="22">
        <v>0.48416100000000001</v>
      </c>
      <c r="AH126" s="22">
        <v>108.10599999999999</v>
      </c>
      <c r="AI126" s="22">
        <v>-1.51215E-2</v>
      </c>
      <c r="AJ126" s="22">
        <v>116</v>
      </c>
      <c r="AK126" s="22">
        <v>0.48336800000000002</v>
      </c>
      <c r="AL126">
        <f t="shared" si="18"/>
        <v>15.121499999999999</v>
      </c>
      <c r="AM126">
        <f t="shared" si="19"/>
        <v>7.3212405614999998</v>
      </c>
      <c r="AP126" s="9"/>
      <c r="AQ126" s="22">
        <v>1.2158199999999999</v>
      </c>
      <c r="AR126" s="22">
        <v>136.58699999999999</v>
      </c>
      <c r="AS126" s="22">
        <v>-1.4727799999999999E-2</v>
      </c>
      <c r="AT126" s="22">
        <v>116</v>
      </c>
      <c r="AU126" s="22">
        <v>1.2145999999999999</v>
      </c>
      <c r="AV126">
        <f t="shared" si="20"/>
        <v>14.727799999999998</v>
      </c>
      <c r="AW126">
        <f t="shared" si="21"/>
        <v>17.906353795999998</v>
      </c>
      <c r="AX126" s="9"/>
      <c r="AY126" s="22">
        <v>0.48416100000000001</v>
      </c>
      <c r="AZ126" s="22">
        <v>180.441</v>
      </c>
      <c r="BA126" s="22">
        <v>-1.52435E-2</v>
      </c>
      <c r="BB126" s="22">
        <v>116</v>
      </c>
      <c r="BC126" s="22">
        <v>0.48327599999999998</v>
      </c>
      <c r="BD126">
        <f t="shared" si="22"/>
        <v>15.243500000000001</v>
      </c>
      <c r="BE126">
        <f t="shared" si="23"/>
        <v>7.3803082035000003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12.5747</v>
      </c>
      <c r="I127" s="22">
        <v>-1.46179E-2</v>
      </c>
      <c r="J127" s="22">
        <v>117</v>
      </c>
      <c r="K127" s="22">
        <v>1.2097199999999999</v>
      </c>
      <c r="L127">
        <f t="shared" si="12"/>
        <v>14.617899999999999</v>
      </c>
      <c r="M127">
        <f t="shared" si="13"/>
        <v>17.699060961999997</v>
      </c>
      <c r="N127" s="9"/>
      <c r="O127" s="22">
        <v>0.48919699999999999</v>
      </c>
      <c r="P127" s="22">
        <v>45.347900000000003</v>
      </c>
      <c r="Q127" s="22">
        <v>-1.5063500000000001E-2</v>
      </c>
      <c r="R127" s="22">
        <v>117</v>
      </c>
      <c r="S127" s="22">
        <v>0.48831200000000002</v>
      </c>
      <c r="T127">
        <f t="shared" si="14"/>
        <v>15.063500000000001</v>
      </c>
      <c r="U127">
        <f t="shared" si="15"/>
        <v>7.3690190095000005</v>
      </c>
      <c r="X127" s="9"/>
      <c r="Y127" s="22">
        <v>1.21078</v>
      </c>
      <c r="Z127" s="22">
        <v>73.400899999999993</v>
      </c>
      <c r="AA127" s="22">
        <v>-1.46973E-2</v>
      </c>
      <c r="AB127" s="22">
        <v>117</v>
      </c>
      <c r="AC127" s="22">
        <v>1.2097199999999999</v>
      </c>
      <c r="AD127">
        <f t="shared" si="16"/>
        <v>14.6973</v>
      </c>
      <c r="AE127">
        <f t="shared" si="17"/>
        <v>17.795196894</v>
      </c>
      <c r="AF127" s="9"/>
      <c r="AG127" s="22">
        <v>0.48919699999999999</v>
      </c>
      <c r="AH127" s="22">
        <v>108.116</v>
      </c>
      <c r="AI127" s="22">
        <v>-1.5118400000000001E-2</v>
      </c>
      <c r="AJ127" s="22">
        <v>117</v>
      </c>
      <c r="AK127" s="22">
        <v>0.48849500000000001</v>
      </c>
      <c r="AL127">
        <f t="shared" si="18"/>
        <v>15.118400000000001</v>
      </c>
      <c r="AM127">
        <f t="shared" si="19"/>
        <v>7.3958759248000003</v>
      </c>
      <c r="AP127" s="9"/>
      <c r="AQ127" s="22">
        <v>1.21078</v>
      </c>
      <c r="AR127" s="22">
        <v>136.59700000000001</v>
      </c>
      <c r="AS127" s="22">
        <v>-1.47308E-2</v>
      </c>
      <c r="AT127" s="22">
        <v>117</v>
      </c>
      <c r="AU127" s="22">
        <v>1.2097199999999999</v>
      </c>
      <c r="AV127">
        <f t="shared" si="20"/>
        <v>14.7308</v>
      </c>
      <c r="AW127">
        <f t="shared" si="21"/>
        <v>17.835758024</v>
      </c>
      <c r="AX127" s="9"/>
      <c r="AY127" s="22">
        <v>0.48919699999999999</v>
      </c>
      <c r="AZ127" s="22">
        <v>180.45099999999999</v>
      </c>
      <c r="BA127" s="22">
        <v>-1.52374E-2</v>
      </c>
      <c r="BB127" s="22">
        <v>117</v>
      </c>
      <c r="BC127" s="22">
        <v>0.48843399999999998</v>
      </c>
      <c r="BD127">
        <f t="shared" si="22"/>
        <v>15.237399999999999</v>
      </c>
      <c r="BE127">
        <f t="shared" si="23"/>
        <v>7.4540903677999992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12.5848</v>
      </c>
      <c r="I128" s="22">
        <v>-1.4621E-2</v>
      </c>
      <c r="J128" s="22">
        <v>118</v>
      </c>
      <c r="K128" s="22">
        <v>1.2048300000000001</v>
      </c>
      <c r="L128">
        <f t="shared" si="12"/>
        <v>14.621</v>
      </c>
      <c r="M128">
        <f t="shared" si="13"/>
        <v>17.629270750000003</v>
      </c>
      <c r="N128" s="9"/>
      <c r="O128" s="22">
        <v>0.494232</v>
      </c>
      <c r="P128" s="22">
        <v>45.357900000000001</v>
      </c>
      <c r="Q128" s="22">
        <v>-1.50604E-2</v>
      </c>
      <c r="R128" s="22">
        <v>118</v>
      </c>
      <c r="S128" s="22">
        <v>0.49337799999999998</v>
      </c>
      <c r="T128">
        <f t="shared" si="14"/>
        <v>15.0604</v>
      </c>
      <c r="U128">
        <f t="shared" si="15"/>
        <v>7.4433316127999998</v>
      </c>
      <c r="X128" s="9"/>
      <c r="Y128" s="22">
        <v>1.2057500000000001</v>
      </c>
      <c r="Z128" s="22">
        <v>73.411000000000001</v>
      </c>
      <c r="AA128" s="22">
        <v>-1.47034E-2</v>
      </c>
      <c r="AB128" s="22">
        <v>118</v>
      </c>
      <c r="AC128" s="22">
        <v>1.2045300000000001</v>
      </c>
      <c r="AD128">
        <f t="shared" si="16"/>
        <v>14.7034</v>
      </c>
      <c r="AE128">
        <f t="shared" si="17"/>
        <v>17.728624550000003</v>
      </c>
      <c r="AF128" s="9"/>
      <c r="AG128" s="22">
        <v>0.494232</v>
      </c>
      <c r="AH128" s="22">
        <v>108.126</v>
      </c>
      <c r="AI128" s="22">
        <v>-1.5115399999999999E-2</v>
      </c>
      <c r="AJ128" s="22">
        <v>118</v>
      </c>
      <c r="AK128" s="22">
        <v>0.49343900000000002</v>
      </c>
      <c r="AL128">
        <f t="shared" si="18"/>
        <v>15.115399999999999</v>
      </c>
      <c r="AM128">
        <f t="shared" si="19"/>
        <v>7.4705143727999994</v>
      </c>
      <c r="AP128" s="9"/>
      <c r="AQ128" s="22">
        <v>1.2057500000000001</v>
      </c>
      <c r="AR128" s="22">
        <v>136.607</v>
      </c>
      <c r="AS128" s="22">
        <v>-1.4733899999999999E-2</v>
      </c>
      <c r="AT128" s="22">
        <v>118</v>
      </c>
      <c r="AU128" s="22">
        <v>1.2045300000000001</v>
      </c>
      <c r="AV128">
        <f t="shared" si="20"/>
        <v>14.7339</v>
      </c>
      <c r="AW128">
        <f t="shared" si="21"/>
        <v>17.765399925000001</v>
      </c>
      <c r="AX128" s="9"/>
      <c r="AY128" s="22">
        <v>0.494232</v>
      </c>
      <c r="AZ128" s="22">
        <v>180.46100000000001</v>
      </c>
      <c r="BA128" s="22">
        <v>-1.52344E-2</v>
      </c>
      <c r="BB128" s="22">
        <v>118</v>
      </c>
      <c r="BC128" s="22">
        <v>0.49334699999999998</v>
      </c>
      <c r="BD128">
        <f t="shared" si="22"/>
        <v>15.234400000000001</v>
      </c>
      <c r="BE128">
        <f t="shared" si="23"/>
        <v>7.5293279808000007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12.594900000000001</v>
      </c>
      <c r="I129" s="22">
        <v>-1.4627100000000001E-2</v>
      </c>
      <c r="J129" s="22">
        <v>119</v>
      </c>
      <c r="K129" s="22">
        <v>1.1996500000000001</v>
      </c>
      <c r="L129">
        <f t="shared" si="12"/>
        <v>14.6271</v>
      </c>
      <c r="M129">
        <f t="shared" si="13"/>
        <v>17.562905240999999</v>
      </c>
      <c r="N129" s="9"/>
      <c r="O129" s="22">
        <v>0.49926799999999999</v>
      </c>
      <c r="P129" s="22">
        <v>45.368000000000002</v>
      </c>
      <c r="Q129" s="22">
        <v>-1.5063500000000001E-2</v>
      </c>
      <c r="R129" s="22">
        <v>119</v>
      </c>
      <c r="S129" s="22">
        <v>0.498444</v>
      </c>
      <c r="T129">
        <f t="shared" si="14"/>
        <v>15.063500000000001</v>
      </c>
      <c r="U129">
        <f t="shared" si="15"/>
        <v>7.5207235180000005</v>
      </c>
      <c r="X129" s="9"/>
      <c r="Y129" s="22">
        <v>1.2007099999999999</v>
      </c>
      <c r="Z129" s="22">
        <v>73.421000000000006</v>
      </c>
      <c r="AA129" s="22">
        <v>-1.47064E-2</v>
      </c>
      <c r="AB129" s="22">
        <v>119</v>
      </c>
      <c r="AC129" s="22">
        <v>1.1987300000000001</v>
      </c>
      <c r="AD129">
        <f t="shared" si="16"/>
        <v>14.7064</v>
      </c>
      <c r="AE129">
        <f t="shared" si="17"/>
        <v>17.658121544</v>
      </c>
      <c r="AF129" s="9"/>
      <c r="AG129" s="22">
        <v>0.49926799999999999</v>
      </c>
      <c r="AH129" s="22">
        <v>108.136</v>
      </c>
      <c r="AI129" s="22">
        <v>-1.5109300000000001E-2</v>
      </c>
      <c r="AJ129" s="22">
        <v>119</v>
      </c>
      <c r="AK129" s="22">
        <v>0.49841299999999999</v>
      </c>
      <c r="AL129">
        <f t="shared" si="18"/>
        <v>15.109300000000001</v>
      </c>
      <c r="AM129">
        <f t="shared" si="19"/>
        <v>7.5435899924000003</v>
      </c>
      <c r="AP129" s="9"/>
      <c r="AQ129" s="22">
        <v>1.2007099999999999</v>
      </c>
      <c r="AR129" s="22">
        <v>136.61699999999999</v>
      </c>
      <c r="AS129" s="22">
        <v>-1.4736900000000001E-2</v>
      </c>
      <c r="AT129" s="22">
        <v>119</v>
      </c>
      <c r="AU129" s="22">
        <v>1.1999500000000001</v>
      </c>
      <c r="AV129">
        <f t="shared" si="20"/>
        <v>14.7369</v>
      </c>
      <c r="AW129">
        <f t="shared" si="21"/>
        <v>17.694743199000001</v>
      </c>
      <c r="AX129" s="9"/>
      <c r="AY129" s="22">
        <v>0.49926799999999999</v>
      </c>
      <c r="AZ129" s="22">
        <v>180.47200000000001</v>
      </c>
      <c r="BA129" s="22">
        <v>-1.52313E-2</v>
      </c>
      <c r="BB129" s="22">
        <v>119</v>
      </c>
      <c r="BC129" s="22">
        <v>0.49841299999999999</v>
      </c>
      <c r="BD129">
        <f t="shared" si="22"/>
        <v>15.231299999999999</v>
      </c>
      <c r="BE129">
        <f t="shared" si="23"/>
        <v>7.604500688399999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12.605</v>
      </c>
      <c r="I130" s="22">
        <v>-1.46301E-2</v>
      </c>
      <c r="J130" s="22">
        <v>120</v>
      </c>
      <c r="K130" s="22">
        <v>1.19476</v>
      </c>
      <c r="L130">
        <f t="shared" si="12"/>
        <v>14.630100000000001</v>
      </c>
      <c r="M130">
        <f t="shared" si="13"/>
        <v>17.492917968</v>
      </c>
      <c r="N130" s="9"/>
      <c r="O130" s="22">
        <v>0.50430299999999995</v>
      </c>
      <c r="P130" s="22">
        <v>45.378100000000003</v>
      </c>
      <c r="Q130" s="22">
        <v>-1.50574E-2</v>
      </c>
      <c r="R130" s="22">
        <v>120</v>
      </c>
      <c r="S130" s="22">
        <v>0.50347900000000001</v>
      </c>
      <c r="T130">
        <f t="shared" si="14"/>
        <v>15.057399999999999</v>
      </c>
      <c r="U130">
        <f t="shared" si="15"/>
        <v>7.5934919921999988</v>
      </c>
      <c r="X130" s="9"/>
      <c r="Y130" s="22">
        <v>1.1956800000000001</v>
      </c>
      <c r="Z130" s="22">
        <v>73.431100000000001</v>
      </c>
      <c r="AA130" s="22">
        <v>-1.47095E-2</v>
      </c>
      <c r="AB130" s="22">
        <v>120</v>
      </c>
      <c r="AC130" s="22">
        <v>1.19476</v>
      </c>
      <c r="AD130">
        <f t="shared" si="16"/>
        <v>14.7095</v>
      </c>
      <c r="AE130">
        <f t="shared" si="17"/>
        <v>17.587854960000001</v>
      </c>
      <c r="AF130" s="9"/>
      <c r="AG130" s="22">
        <v>0.50430299999999995</v>
      </c>
      <c r="AH130" s="22">
        <v>108.146</v>
      </c>
      <c r="AI130" s="22">
        <v>-1.51031E-2</v>
      </c>
      <c r="AJ130" s="22">
        <v>120</v>
      </c>
      <c r="AK130" s="22">
        <v>0.50344800000000001</v>
      </c>
      <c r="AL130">
        <f t="shared" si="18"/>
        <v>15.1031</v>
      </c>
      <c r="AM130">
        <f t="shared" si="19"/>
        <v>7.616538639299999</v>
      </c>
      <c r="AP130" s="9"/>
      <c r="AQ130" s="22">
        <v>1.1956800000000001</v>
      </c>
      <c r="AR130" s="22">
        <v>136.62700000000001</v>
      </c>
      <c r="AS130" s="22">
        <v>-1.4736900000000001E-2</v>
      </c>
      <c r="AT130" s="22">
        <v>120</v>
      </c>
      <c r="AU130" s="22">
        <v>1.1944600000000001</v>
      </c>
      <c r="AV130">
        <f t="shared" si="20"/>
        <v>14.7369</v>
      </c>
      <c r="AW130">
        <f t="shared" si="21"/>
        <v>17.620616592000001</v>
      </c>
      <c r="AX130" s="9"/>
      <c r="AY130" s="22">
        <v>0.50430299999999995</v>
      </c>
      <c r="AZ130" s="22">
        <v>180.482</v>
      </c>
      <c r="BA130" s="22">
        <v>-1.52283E-2</v>
      </c>
      <c r="BB130" s="22">
        <v>120</v>
      </c>
      <c r="BC130" s="22">
        <v>0.50335700000000005</v>
      </c>
      <c r="BD130">
        <f t="shared" si="22"/>
        <v>15.228300000000001</v>
      </c>
      <c r="BE130">
        <f t="shared" si="23"/>
        <v>7.6796773748999998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12.615</v>
      </c>
      <c r="I131" s="22">
        <v>-1.4633200000000001E-2</v>
      </c>
      <c r="J131" s="22">
        <v>121</v>
      </c>
      <c r="K131" s="22">
        <v>1.18896</v>
      </c>
      <c r="L131">
        <f t="shared" si="12"/>
        <v>14.6332</v>
      </c>
      <c r="M131">
        <f t="shared" si="13"/>
        <v>17.422873247999998</v>
      </c>
      <c r="N131" s="9"/>
      <c r="O131" s="22">
        <v>0.50933799999999996</v>
      </c>
      <c r="P131" s="22">
        <v>45.388100000000001</v>
      </c>
      <c r="Q131" s="22">
        <v>-1.50543E-2</v>
      </c>
      <c r="R131" s="22">
        <v>121</v>
      </c>
      <c r="S131" s="22">
        <v>0.508606</v>
      </c>
      <c r="T131">
        <f t="shared" si="14"/>
        <v>15.0543</v>
      </c>
      <c r="U131">
        <f t="shared" si="15"/>
        <v>7.6677270533999993</v>
      </c>
      <c r="X131" s="9"/>
      <c r="Y131" s="22">
        <v>1.1906399999999999</v>
      </c>
      <c r="Z131" s="22">
        <v>73.441199999999995</v>
      </c>
      <c r="AA131" s="22">
        <v>-1.47125E-2</v>
      </c>
      <c r="AB131" s="22">
        <v>121</v>
      </c>
      <c r="AC131" s="22">
        <v>1.18927</v>
      </c>
      <c r="AD131">
        <f t="shared" si="16"/>
        <v>14.7125</v>
      </c>
      <c r="AE131">
        <f t="shared" si="17"/>
        <v>17.517291</v>
      </c>
      <c r="AF131" s="9"/>
      <c r="AG131" s="22">
        <v>0.50933799999999996</v>
      </c>
      <c r="AH131" s="22">
        <v>108.15600000000001</v>
      </c>
      <c r="AI131" s="22">
        <v>-1.51031E-2</v>
      </c>
      <c r="AJ131" s="22">
        <v>121</v>
      </c>
      <c r="AK131" s="22">
        <v>0.50842299999999996</v>
      </c>
      <c r="AL131">
        <f t="shared" si="18"/>
        <v>15.1031</v>
      </c>
      <c r="AM131">
        <f t="shared" si="19"/>
        <v>7.6925827477999995</v>
      </c>
      <c r="AP131" s="9"/>
      <c r="AQ131" s="22">
        <v>1.1906399999999999</v>
      </c>
      <c r="AR131" s="22">
        <v>136.637</v>
      </c>
      <c r="AS131" s="22">
        <v>-1.4736900000000001E-2</v>
      </c>
      <c r="AT131" s="22">
        <v>121</v>
      </c>
      <c r="AU131" s="22">
        <v>1.18927</v>
      </c>
      <c r="AV131">
        <f t="shared" si="20"/>
        <v>14.7369</v>
      </c>
      <c r="AW131">
        <f t="shared" si="21"/>
        <v>17.546342616</v>
      </c>
      <c r="AX131" s="9"/>
      <c r="AY131" s="22">
        <v>0.50933799999999996</v>
      </c>
      <c r="AZ131" s="22">
        <v>180.49199999999999</v>
      </c>
      <c r="BA131" s="22">
        <v>-1.5225199999999999E-2</v>
      </c>
      <c r="BB131" s="22">
        <v>121</v>
      </c>
      <c r="BC131" s="22">
        <v>0.50845300000000004</v>
      </c>
      <c r="BD131">
        <f t="shared" si="22"/>
        <v>15.225199999999999</v>
      </c>
      <c r="BE131">
        <f t="shared" si="23"/>
        <v>7.7547729175999986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12.6251</v>
      </c>
      <c r="I132" s="22">
        <v>-1.4633200000000001E-2</v>
      </c>
      <c r="J132" s="22">
        <v>122</v>
      </c>
      <c r="K132" s="22">
        <v>1.1843900000000001</v>
      </c>
      <c r="L132">
        <f t="shared" si="12"/>
        <v>14.6332</v>
      </c>
      <c r="M132">
        <f t="shared" si="13"/>
        <v>17.349268252000002</v>
      </c>
      <c r="N132" s="9"/>
      <c r="O132" s="22">
        <v>0.514374</v>
      </c>
      <c r="P132" s="22">
        <v>45.398200000000003</v>
      </c>
      <c r="Q132" s="22">
        <v>-1.5048199999999999E-2</v>
      </c>
      <c r="R132" s="22">
        <v>122</v>
      </c>
      <c r="S132" s="22">
        <v>0.51348899999999997</v>
      </c>
      <c r="T132">
        <f t="shared" si="14"/>
        <v>15.0482</v>
      </c>
      <c r="U132">
        <f t="shared" si="15"/>
        <v>7.7404028267999996</v>
      </c>
      <c r="X132" s="9"/>
      <c r="Y132" s="22">
        <v>1.1856100000000001</v>
      </c>
      <c r="Z132" s="22">
        <v>73.4512</v>
      </c>
      <c r="AA132" s="22">
        <v>-1.47186E-2</v>
      </c>
      <c r="AB132" s="22">
        <v>122</v>
      </c>
      <c r="AC132" s="22">
        <v>1.18408</v>
      </c>
      <c r="AD132">
        <f t="shared" si="16"/>
        <v>14.7186</v>
      </c>
      <c r="AE132">
        <f t="shared" si="17"/>
        <v>17.450519346</v>
      </c>
      <c r="AF132" s="9"/>
      <c r="AG132" s="22">
        <v>0.514374</v>
      </c>
      <c r="AH132" s="22">
        <v>108.166</v>
      </c>
      <c r="AI132" s="22">
        <v>-1.5096999999999999E-2</v>
      </c>
      <c r="AJ132" s="22">
        <v>122</v>
      </c>
      <c r="AK132" s="22">
        <v>0.51351899999999995</v>
      </c>
      <c r="AL132">
        <f t="shared" si="18"/>
        <v>15.097</v>
      </c>
      <c r="AM132">
        <f t="shared" si="19"/>
        <v>7.7655042779999999</v>
      </c>
      <c r="AP132" s="9"/>
      <c r="AQ132" s="22">
        <v>1.1856100000000001</v>
      </c>
      <c r="AR132" s="22">
        <v>136.64699999999999</v>
      </c>
      <c r="AS132" s="22">
        <v>-1.474E-2</v>
      </c>
      <c r="AT132" s="22">
        <v>122</v>
      </c>
      <c r="AU132" s="22">
        <v>1.18408</v>
      </c>
      <c r="AV132">
        <f t="shared" si="20"/>
        <v>14.74</v>
      </c>
      <c r="AW132">
        <f t="shared" si="21"/>
        <v>17.475891400000002</v>
      </c>
      <c r="AX132" s="9"/>
      <c r="AY132" s="22">
        <v>0.514374</v>
      </c>
      <c r="AZ132" s="22">
        <v>180.50200000000001</v>
      </c>
      <c r="BA132" s="22">
        <v>-1.52222E-2</v>
      </c>
      <c r="BB132" s="22">
        <v>122</v>
      </c>
      <c r="BC132" s="22">
        <v>0.51348899999999997</v>
      </c>
      <c r="BD132">
        <f t="shared" si="22"/>
        <v>15.222200000000001</v>
      </c>
      <c r="BE132">
        <f t="shared" si="23"/>
        <v>7.8299039028000008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12.635199999999999</v>
      </c>
      <c r="I133" s="22">
        <v>-1.46362E-2</v>
      </c>
      <c r="J133" s="22">
        <v>123</v>
      </c>
      <c r="K133" s="22">
        <v>1.1795</v>
      </c>
      <c r="L133">
        <f t="shared" si="12"/>
        <v>14.636200000000001</v>
      </c>
      <c r="M133">
        <f t="shared" si="13"/>
        <v>17.279058633999998</v>
      </c>
      <c r="N133" s="9"/>
      <c r="O133" s="22">
        <v>0.51940900000000001</v>
      </c>
      <c r="P133" s="22">
        <v>45.408299999999997</v>
      </c>
      <c r="Q133" s="22">
        <v>-1.5048199999999999E-2</v>
      </c>
      <c r="R133" s="22">
        <v>123</v>
      </c>
      <c r="S133" s="22">
        <v>0.51852399999999998</v>
      </c>
      <c r="T133">
        <f t="shared" si="14"/>
        <v>15.0482</v>
      </c>
      <c r="U133">
        <f t="shared" si="15"/>
        <v>7.8161705137999995</v>
      </c>
      <c r="X133" s="9"/>
      <c r="Y133" s="22">
        <v>1.1805699999999999</v>
      </c>
      <c r="Z133" s="22">
        <v>73.461299999999994</v>
      </c>
      <c r="AA133" s="22">
        <v>-1.4721700000000001E-2</v>
      </c>
      <c r="AB133" s="22">
        <v>123</v>
      </c>
      <c r="AC133" s="22">
        <v>1.17981</v>
      </c>
      <c r="AD133">
        <f t="shared" si="16"/>
        <v>14.7217</v>
      </c>
      <c r="AE133">
        <f t="shared" si="17"/>
        <v>17.379997368999998</v>
      </c>
      <c r="AF133" s="9"/>
      <c r="AG133" s="22">
        <v>0.51940900000000001</v>
      </c>
      <c r="AH133" s="22">
        <v>108.176</v>
      </c>
      <c r="AI133" s="22">
        <v>-1.5096999999999999E-2</v>
      </c>
      <c r="AJ133" s="22">
        <v>123</v>
      </c>
      <c r="AK133" s="22">
        <v>0.51855499999999999</v>
      </c>
      <c r="AL133">
        <f t="shared" si="18"/>
        <v>15.097</v>
      </c>
      <c r="AM133">
        <f t="shared" si="19"/>
        <v>7.8415176730000002</v>
      </c>
      <c r="AP133" s="9"/>
      <c r="AQ133" s="22">
        <v>1.1805699999999999</v>
      </c>
      <c r="AR133" s="22">
        <v>136.65700000000001</v>
      </c>
      <c r="AS133" s="22">
        <v>-1.47461E-2</v>
      </c>
      <c r="AT133" s="22">
        <v>123</v>
      </c>
      <c r="AU133" s="22">
        <v>1.1795</v>
      </c>
      <c r="AV133">
        <f t="shared" si="20"/>
        <v>14.7461</v>
      </c>
      <c r="AW133">
        <f t="shared" si="21"/>
        <v>17.408803276999997</v>
      </c>
      <c r="AX133" s="9"/>
      <c r="AY133" s="22">
        <v>0.51940900000000001</v>
      </c>
      <c r="AZ133" s="22">
        <v>180.512</v>
      </c>
      <c r="BA133" s="22">
        <v>-1.5219099999999999E-2</v>
      </c>
      <c r="BB133" s="22">
        <v>123</v>
      </c>
      <c r="BC133" s="22">
        <v>0.51852399999999998</v>
      </c>
      <c r="BD133">
        <f t="shared" si="22"/>
        <v>15.219099999999999</v>
      </c>
      <c r="BE133">
        <f t="shared" si="23"/>
        <v>7.9049375119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12.645200000000001</v>
      </c>
      <c r="I134" s="22">
        <v>-1.4639299999999999E-2</v>
      </c>
      <c r="J134" s="22">
        <v>124</v>
      </c>
      <c r="K134" s="22">
        <v>1.17462</v>
      </c>
      <c r="L134">
        <f t="shared" si="12"/>
        <v>14.639299999999999</v>
      </c>
      <c r="M134">
        <f t="shared" si="13"/>
        <v>17.209082721999998</v>
      </c>
      <c r="N134" s="9"/>
      <c r="O134" s="22">
        <v>0.52444500000000005</v>
      </c>
      <c r="P134" s="22">
        <v>45.418399999999998</v>
      </c>
      <c r="Q134" s="22">
        <v>-1.50452E-2</v>
      </c>
      <c r="R134" s="22">
        <v>124</v>
      </c>
      <c r="S134" s="22">
        <v>0.52359</v>
      </c>
      <c r="T134">
        <f t="shared" si="14"/>
        <v>15.045199999999999</v>
      </c>
      <c r="U134">
        <f t="shared" si="15"/>
        <v>7.8903799140000004</v>
      </c>
      <c r="X134" s="9"/>
      <c r="Y134" s="22">
        <v>1.17554</v>
      </c>
      <c r="Z134" s="22">
        <v>73.471400000000003</v>
      </c>
      <c r="AA134" s="22">
        <v>-1.4727799999999999E-2</v>
      </c>
      <c r="AB134" s="22">
        <v>124</v>
      </c>
      <c r="AC134" s="22">
        <v>1.17432</v>
      </c>
      <c r="AD134">
        <f t="shared" si="16"/>
        <v>14.727799999999998</v>
      </c>
      <c r="AE134">
        <f t="shared" si="17"/>
        <v>17.313118012</v>
      </c>
      <c r="AF134" s="9"/>
      <c r="AG134" s="22">
        <v>0.52444500000000005</v>
      </c>
      <c r="AH134" s="22">
        <v>108.187</v>
      </c>
      <c r="AI134" s="22">
        <v>-1.5094E-2</v>
      </c>
      <c r="AJ134" s="22">
        <v>124</v>
      </c>
      <c r="AK134" s="22">
        <v>0.52352900000000002</v>
      </c>
      <c r="AL134">
        <f t="shared" si="18"/>
        <v>15.093999999999999</v>
      </c>
      <c r="AM134">
        <f t="shared" si="19"/>
        <v>7.9159728300000003</v>
      </c>
      <c r="AP134" s="9"/>
      <c r="AQ134" s="22">
        <v>1.17554</v>
      </c>
      <c r="AR134" s="22">
        <v>136.66800000000001</v>
      </c>
      <c r="AS134" s="22">
        <v>-1.47522E-2</v>
      </c>
      <c r="AT134" s="22">
        <v>124</v>
      </c>
      <c r="AU134" s="22">
        <v>1.17401</v>
      </c>
      <c r="AV134">
        <f t="shared" si="20"/>
        <v>14.7522</v>
      </c>
      <c r="AW134">
        <f t="shared" si="21"/>
        <v>17.341801188000002</v>
      </c>
      <c r="AX134" s="9"/>
      <c r="AY134" s="22">
        <v>0.52444500000000005</v>
      </c>
      <c r="AZ134" s="22">
        <v>180.52199999999999</v>
      </c>
      <c r="BA134" s="22">
        <v>-1.52161E-2</v>
      </c>
      <c r="BB134" s="22">
        <v>124</v>
      </c>
      <c r="BC134" s="22">
        <v>0.52356000000000003</v>
      </c>
      <c r="BD134">
        <f t="shared" si="22"/>
        <v>15.216099999999999</v>
      </c>
      <c r="BE134">
        <f t="shared" si="23"/>
        <v>7.9800075645000002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12.6553</v>
      </c>
      <c r="I135" s="22">
        <v>-1.46423E-2</v>
      </c>
      <c r="J135" s="22">
        <v>125</v>
      </c>
      <c r="K135" s="22">
        <v>1.16943</v>
      </c>
      <c r="L135">
        <f t="shared" si="12"/>
        <v>14.642300000000001</v>
      </c>
      <c r="M135">
        <f t="shared" si="13"/>
        <v>17.138812150000003</v>
      </c>
      <c r="N135" s="9"/>
      <c r="O135" s="22">
        <v>0.52947999999999995</v>
      </c>
      <c r="P135" s="22">
        <v>45.428400000000003</v>
      </c>
      <c r="Q135" s="22">
        <v>-1.50452E-2</v>
      </c>
      <c r="R135" s="22">
        <v>125</v>
      </c>
      <c r="S135" s="22">
        <v>0.52865600000000001</v>
      </c>
      <c r="T135">
        <f t="shared" si="14"/>
        <v>15.045199999999999</v>
      </c>
      <c r="U135">
        <f t="shared" si="15"/>
        <v>7.9661324959999993</v>
      </c>
      <c r="X135" s="9"/>
      <c r="Y135" s="22">
        <v>1.1705000000000001</v>
      </c>
      <c r="Z135" s="22">
        <v>73.481399999999994</v>
      </c>
      <c r="AA135" s="22">
        <v>-1.47308E-2</v>
      </c>
      <c r="AB135" s="22">
        <v>125</v>
      </c>
      <c r="AC135" s="22">
        <v>1.16913</v>
      </c>
      <c r="AD135">
        <f t="shared" si="16"/>
        <v>14.7308</v>
      </c>
      <c r="AE135">
        <f t="shared" si="17"/>
        <v>17.242401400000002</v>
      </c>
      <c r="AF135" s="9"/>
      <c r="AG135" s="22">
        <v>0.52947999999999995</v>
      </c>
      <c r="AH135" s="22">
        <v>108.197</v>
      </c>
      <c r="AI135" s="22">
        <v>-1.5090900000000001E-2</v>
      </c>
      <c r="AJ135" s="22">
        <v>125</v>
      </c>
      <c r="AK135" s="22">
        <v>0.52862500000000001</v>
      </c>
      <c r="AL135">
        <f t="shared" si="18"/>
        <v>15.090900000000001</v>
      </c>
      <c r="AM135">
        <f t="shared" si="19"/>
        <v>7.9903297320000002</v>
      </c>
      <c r="AP135" s="9"/>
      <c r="AQ135" s="22">
        <v>1.1705000000000001</v>
      </c>
      <c r="AR135" s="22">
        <v>136.678</v>
      </c>
      <c r="AS135" s="22">
        <v>-1.47552E-2</v>
      </c>
      <c r="AT135" s="22">
        <v>125</v>
      </c>
      <c r="AU135" s="22">
        <v>1.16943</v>
      </c>
      <c r="AV135">
        <f t="shared" si="20"/>
        <v>14.7552</v>
      </c>
      <c r="AW135">
        <f t="shared" si="21"/>
        <v>17.270961600000003</v>
      </c>
      <c r="AX135" s="9"/>
      <c r="AY135" s="22">
        <v>0.52947999999999995</v>
      </c>
      <c r="AZ135" s="22">
        <v>180.53200000000001</v>
      </c>
      <c r="BA135" s="22">
        <v>-1.5213000000000001E-2</v>
      </c>
      <c r="BB135" s="22">
        <v>125</v>
      </c>
      <c r="BC135" s="22">
        <v>0.52862500000000001</v>
      </c>
      <c r="BD135">
        <f t="shared" si="22"/>
        <v>15.213000000000001</v>
      </c>
      <c r="BE135">
        <f t="shared" si="23"/>
        <v>8.0549792399999998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12.6654</v>
      </c>
      <c r="I136" s="22">
        <v>-1.4648400000000001E-2</v>
      </c>
      <c r="J136" s="22">
        <v>126</v>
      </c>
      <c r="K136" s="22">
        <v>1.16394</v>
      </c>
      <c r="L136">
        <f t="shared" si="12"/>
        <v>14.648400000000001</v>
      </c>
      <c r="M136">
        <f t="shared" si="13"/>
        <v>17.072270748000001</v>
      </c>
      <c r="N136" s="9"/>
      <c r="O136" s="22">
        <v>0.53451499999999996</v>
      </c>
      <c r="P136" s="22">
        <v>45.438499999999998</v>
      </c>
      <c r="Q136" s="22">
        <v>-1.50452E-2</v>
      </c>
      <c r="R136" s="22">
        <v>126</v>
      </c>
      <c r="S136" s="22">
        <v>0.53359999999999996</v>
      </c>
      <c r="T136">
        <f t="shared" si="14"/>
        <v>15.045199999999999</v>
      </c>
      <c r="U136">
        <f t="shared" si="15"/>
        <v>8.041885078</v>
      </c>
      <c r="X136" s="9"/>
      <c r="Y136" s="22">
        <v>1.16547</v>
      </c>
      <c r="Z136" s="22">
        <v>73.491500000000002</v>
      </c>
      <c r="AA136" s="22">
        <v>-1.4736900000000001E-2</v>
      </c>
      <c r="AB136" s="22">
        <v>126</v>
      </c>
      <c r="AC136" s="22">
        <v>1.16394</v>
      </c>
      <c r="AD136">
        <f t="shared" si="16"/>
        <v>14.7369</v>
      </c>
      <c r="AE136">
        <f t="shared" si="17"/>
        <v>17.175414843000002</v>
      </c>
      <c r="AF136" s="9"/>
      <c r="AG136" s="22">
        <v>0.53451499999999996</v>
      </c>
      <c r="AH136" s="22">
        <v>108.20699999999999</v>
      </c>
      <c r="AI136" s="22">
        <v>-1.50879E-2</v>
      </c>
      <c r="AJ136" s="22">
        <v>126</v>
      </c>
      <c r="AK136" s="22">
        <v>0.53369100000000003</v>
      </c>
      <c r="AL136">
        <f t="shared" si="18"/>
        <v>15.087899999999999</v>
      </c>
      <c r="AM136">
        <f t="shared" si="19"/>
        <v>8.0647088684999986</v>
      </c>
      <c r="AP136" s="9"/>
      <c r="AQ136" s="22">
        <v>1.16547</v>
      </c>
      <c r="AR136" s="22">
        <v>136.68799999999999</v>
      </c>
      <c r="AS136" s="22">
        <v>-1.4761399999999999E-2</v>
      </c>
      <c r="AT136" s="22">
        <v>126</v>
      </c>
      <c r="AU136" s="22">
        <v>1.16394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180.542</v>
      </c>
      <c r="BA136" s="22">
        <v>-1.5213000000000001E-2</v>
      </c>
      <c r="BB136" s="22">
        <v>126</v>
      </c>
      <c r="BC136" s="22">
        <v>0.53356899999999996</v>
      </c>
      <c r="BD136">
        <f t="shared" si="22"/>
        <v>15.213000000000001</v>
      </c>
      <c r="BE136">
        <f t="shared" si="23"/>
        <v>8.1315766949999997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12.6755</v>
      </c>
      <c r="I137" s="22">
        <v>-1.4654500000000001E-2</v>
      </c>
      <c r="J137" s="22">
        <v>127</v>
      </c>
      <c r="K137" s="22">
        <v>1.1593599999999999</v>
      </c>
      <c r="L137">
        <f t="shared" si="12"/>
        <v>14.654500000000001</v>
      </c>
      <c r="M137">
        <f t="shared" si="13"/>
        <v>17.005521435000002</v>
      </c>
      <c r="N137" s="9"/>
      <c r="O137" s="22">
        <v>0.539551</v>
      </c>
      <c r="P137" s="22">
        <v>45.448599999999999</v>
      </c>
      <c r="Q137" s="22">
        <v>-1.50452E-2</v>
      </c>
      <c r="R137" s="22">
        <v>127</v>
      </c>
      <c r="S137" s="22">
        <v>0.53875700000000004</v>
      </c>
      <c r="T137">
        <f t="shared" si="14"/>
        <v>15.045199999999999</v>
      </c>
      <c r="U137">
        <f t="shared" si="15"/>
        <v>8.1176527051999994</v>
      </c>
      <c r="X137" s="9"/>
      <c r="Y137" s="22">
        <v>1.1604300000000001</v>
      </c>
      <c r="Z137" s="22">
        <v>73.501599999999996</v>
      </c>
      <c r="AA137" s="22">
        <v>-1.474E-2</v>
      </c>
      <c r="AB137" s="22">
        <v>127</v>
      </c>
      <c r="AC137" s="22">
        <v>1.1593599999999999</v>
      </c>
      <c r="AD137">
        <f t="shared" si="16"/>
        <v>14.74</v>
      </c>
      <c r="AE137">
        <f t="shared" si="17"/>
        <v>17.1047382</v>
      </c>
      <c r="AF137" s="9"/>
      <c r="AG137" s="22">
        <v>0.539551</v>
      </c>
      <c r="AH137" s="22">
        <v>108.217</v>
      </c>
      <c r="AI137" s="22">
        <v>-1.5081799999999999E-2</v>
      </c>
      <c r="AJ137" s="22">
        <v>127</v>
      </c>
      <c r="AK137" s="22">
        <v>0.53866599999999998</v>
      </c>
      <c r="AL137">
        <f t="shared" si="18"/>
        <v>15.081799999999999</v>
      </c>
      <c r="AM137">
        <f t="shared" si="19"/>
        <v>8.1374002717999989</v>
      </c>
      <c r="AP137" s="9"/>
      <c r="AQ137" s="22">
        <v>1.1604300000000001</v>
      </c>
      <c r="AR137" s="22">
        <v>136.69800000000001</v>
      </c>
      <c r="AS137" s="22">
        <v>-1.47644E-2</v>
      </c>
      <c r="AT137" s="22">
        <v>127</v>
      </c>
      <c r="AU137" s="22">
        <v>1.15906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180.55199999999999</v>
      </c>
      <c r="BA137" s="22">
        <v>-1.5203899999999999E-2</v>
      </c>
      <c r="BB137" s="22">
        <v>127</v>
      </c>
      <c r="BC137" s="22">
        <v>0.53863499999999997</v>
      </c>
      <c r="BD137">
        <f t="shared" si="22"/>
        <v>15.203899999999999</v>
      </c>
      <c r="BE137">
        <f t="shared" si="23"/>
        <v>8.2032794489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12.685499999999999</v>
      </c>
      <c r="I138" s="22">
        <v>-1.4660599999999999E-2</v>
      </c>
      <c r="J138" s="22">
        <v>128</v>
      </c>
      <c r="K138" s="22">
        <v>1.1541699999999999</v>
      </c>
      <c r="L138">
        <f t="shared" si="12"/>
        <v>14.660599999999999</v>
      </c>
      <c r="M138">
        <f t="shared" si="13"/>
        <v>16.938857239999997</v>
      </c>
      <c r="N138" s="9"/>
      <c r="O138" s="22">
        <v>0.54458600000000001</v>
      </c>
      <c r="P138" s="22">
        <v>45.458599999999997</v>
      </c>
      <c r="Q138" s="22">
        <v>-1.5042099999999999E-2</v>
      </c>
      <c r="R138" s="22">
        <v>128</v>
      </c>
      <c r="S138" s="22">
        <v>0.54367100000000002</v>
      </c>
      <c r="T138">
        <f t="shared" si="14"/>
        <v>15.0421</v>
      </c>
      <c r="U138">
        <f t="shared" si="15"/>
        <v>8.1917170705999993</v>
      </c>
      <c r="X138" s="9"/>
      <c r="Y138" s="22">
        <v>1.1554</v>
      </c>
      <c r="Z138" s="22">
        <v>73.511700000000005</v>
      </c>
      <c r="AA138" s="22">
        <v>-1.47461E-2</v>
      </c>
      <c r="AB138" s="22">
        <v>128</v>
      </c>
      <c r="AC138" s="22">
        <v>1.15448</v>
      </c>
      <c r="AD138">
        <f t="shared" si="16"/>
        <v>14.7461</v>
      </c>
      <c r="AE138">
        <f t="shared" si="17"/>
        <v>17.037643939999999</v>
      </c>
      <c r="AF138" s="9"/>
      <c r="AG138" s="22">
        <v>0.54458600000000001</v>
      </c>
      <c r="AH138" s="22">
        <v>108.227</v>
      </c>
      <c r="AI138" s="22">
        <v>-1.50787E-2</v>
      </c>
      <c r="AJ138" s="22">
        <v>128</v>
      </c>
      <c r="AK138" s="22">
        <v>0.54376199999999997</v>
      </c>
      <c r="AL138">
        <f t="shared" si="18"/>
        <v>15.078700000000001</v>
      </c>
      <c r="AM138">
        <f t="shared" si="19"/>
        <v>8.2116489182000016</v>
      </c>
      <c r="AP138" s="9"/>
      <c r="AQ138" s="22">
        <v>1.1554</v>
      </c>
      <c r="AR138" s="22">
        <v>136.708</v>
      </c>
      <c r="AS138" s="22">
        <v>-1.47736E-2</v>
      </c>
      <c r="AT138" s="22">
        <v>128</v>
      </c>
      <c r="AU138" s="22">
        <v>1.15387</v>
      </c>
      <c r="AV138">
        <f t="shared" si="20"/>
        <v>14.7736</v>
      </c>
      <c r="AW138">
        <f t="shared" si="21"/>
        <v>17.069417439999999</v>
      </c>
      <c r="AX138" s="9"/>
      <c r="AY138" s="22">
        <v>0.54458600000000001</v>
      </c>
      <c r="AZ138" s="22">
        <v>180.56200000000001</v>
      </c>
      <c r="BA138" s="22">
        <v>-1.5197799999999999E-2</v>
      </c>
      <c r="BB138" s="22">
        <v>128</v>
      </c>
      <c r="BC138" s="22">
        <v>0.54364000000000001</v>
      </c>
      <c r="BD138">
        <f t="shared" si="22"/>
        <v>15.197799999999999</v>
      </c>
      <c r="BE138">
        <f t="shared" si="23"/>
        <v>8.2765091107999993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12.695600000000001</v>
      </c>
      <c r="I139" s="22">
        <v>-1.46667E-2</v>
      </c>
      <c r="J139" s="22">
        <v>129</v>
      </c>
      <c r="K139" s="22">
        <v>1.1492899999999999</v>
      </c>
      <c r="L139">
        <f t="shared" si="12"/>
        <v>14.666699999999999</v>
      </c>
      <c r="M139">
        <f t="shared" si="13"/>
        <v>16.871985012</v>
      </c>
      <c r="N139" s="9"/>
      <c r="O139" s="22">
        <v>0.54962200000000005</v>
      </c>
      <c r="P139" s="22">
        <v>45.468699999999998</v>
      </c>
      <c r="Q139" s="22">
        <v>-1.50391E-2</v>
      </c>
      <c r="R139" s="22">
        <v>129</v>
      </c>
      <c r="S139" s="22">
        <v>0.54885899999999999</v>
      </c>
      <c r="T139">
        <f t="shared" si="14"/>
        <v>15.039099999999999</v>
      </c>
      <c r="U139">
        <f t="shared" si="15"/>
        <v>8.2658202202000002</v>
      </c>
      <c r="X139" s="9"/>
      <c r="Y139" s="22">
        <v>1.15036</v>
      </c>
      <c r="Z139" s="22">
        <v>73.521699999999996</v>
      </c>
      <c r="AA139" s="22">
        <v>-1.4749099999999999E-2</v>
      </c>
      <c r="AB139" s="22">
        <v>129</v>
      </c>
      <c r="AC139" s="22">
        <v>1.1496</v>
      </c>
      <c r="AD139">
        <f t="shared" si="16"/>
        <v>14.749099999999999</v>
      </c>
      <c r="AE139">
        <f t="shared" si="17"/>
        <v>16.966774676</v>
      </c>
      <c r="AF139" s="9"/>
      <c r="AG139" s="22">
        <v>0.54962200000000005</v>
      </c>
      <c r="AH139" s="22">
        <v>108.23699999999999</v>
      </c>
      <c r="AI139" s="22">
        <v>-1.5075699999999999E-2</v>
      </c>
      <c r="AJ139" s="22">
        <v>129</v>
      </c>
      <c r="AK139" s="22">
        <v>0.548767</v>
      </c>
      <c r="AL139">
        <f t="shared" si="18"/>
        <v>15.075699999999999</v>
      </c>
      <c r="AM139">
        <f t="shared" si="19"/>
        <v>8.2859363854000012</v>
      </c>
      <c r="AP139" s="9"/>
      <c r="AQ139" s="22">
        <v>1.15036</v>
      </c>
      <c r="AR139" s="22">
        <v>136.71799999999999</v>
      </c>
      <c r="AS139" s="22">
        <v>-1.4782699999999999E-2</v>
      </c>
      <c r="AT139" s="22">
        <v>129</v>
      </c>
      <c r="AU139" s="22">
        <v>1.1496</v>
      </c>
      <c r="AV139">
        <f t="shared" si="20"/>
        <v>14.7827</v>
      </c>
      <c r="AW139">
        <f t="shared" si="21"/>
        <v>17.005426772</v>
      </c>
      <c r="AX139" s="9"/>
      <c r="AY139" s="22">
        <v>0.54962200000000005</v>
      </c>
      <c r="AZ139" s="22">
        <v>180.572</v>
      </c>
      <c r="BA139" s="22">
        <v>-1.5191700000000001E-2</v>
      </c>
      <c r="BB139" s="22">
        <v>129</v>
      </c>
      <c r="BC139" s="22">
        <v>0.54873700000000003</v>
      </c>
      <c r="BD139">
        <f t="shared" si="22"/>
        <v>15.191700000000001</v>
      </c>
      <c r="BE139">
        <f t="shared" si="23"/>
        <v>8.3496925374000011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12.7057</v>
      </c>
      <c r="I140" s="22">
        <v>-1.46698E-2</v>
      </c>
      <c r="J140" s="22">
        <v>130</v>
      </c>
      <c r="K140" s="22">
        <v>1.1440999999999999</v>
      </c>
      <c r="L140">
        <f t="shared" ref="L140:L203" si="24">-I140/$F$2*1000</f>
        <v>14.6698</v>
      </c>
      <c r="M140">
        <f t="shared" ref="M140:M203" si="25">L140*G140</f>
        <v>16.801615335999998</v>
      </c>
      <c r="N140" s="9"/>
      <c r="O140" s="22">
        <v>0.55465699999999996</v>
      </c>
      <c r="P140" s="22">
        <v>45.4788</v>
      </c>
      <c r="Q140" s="22">
        <v>-1.5036000000000001E-2</v>
      </c>
      <c r="R140" s="22">
        <v>130</v>
      </c>
      <c r="S140" s="22">
        <v>0.55374100000000004</v>
      </c>
      <c r="T140">
        <f t="shared" ref="T140:T203" si="26">-Q140/$F$2*1000</f>
        <v>15.036000000000001</v>
      </c>
      <c r="U140">
        <f t="shared" ref="U140:U203" si="27">T140*O140</f>
        <v>8.3398226520000005</v>
      </c>
      <c r="X140" s="9"/>
      <c r="Y140" s="22">
        <v>1.1453199999999999</v>
      </c>
      <c r="Z140" s="22">
        <v>73.531800000000004</v>
      </c>
      <c r="AA140" s="22">
        <v>-1.4749099999999999E-2</v>
      </c>
      <c r="AB140" s="22">
        <v>130</v>
      </c>
      <c r="AC140" s="22">
        <v>1.1437999999999999</v>
      </c>
      <c r="AD140">
        <f t="shared" ref="AD140:AD203" si="28">-AA140/$F$2*1000</f>
        <v>14.749099999999999</v>
      </c>
      <c r="AE140">
        <f t="shared" ref="AE140:AE203" si="29">AD140*Y140</f>
        <v>16.892439211999996</v>
      </c>
      <c r="AF140" s="9"/>
      <c r="AG140" s="22">
        <v>0.55465699999999996</v>
      </c>
      <c r="AH140" s="22">
        <v>108.247</v>
      </c>
      <c r="AI140" s="22">
        <v>-1.5075699999999999E-2</v>
      </c>
      <c r="AJ140" s="22">
        <v>130</v>
      </c>
      <c r="AK140" s="22">
        <v>0.55380200000000002</v>
      </c>
      <c r="AL140">
        <f t="shared" ref="AL140:AL203" si="30">-AI140/$F$2*1000</f>
        <v>15.075699999999999</v>
      </c>
      <c r="AM140">
        <f t="shared" ref="AM140:AM203" si="31">AL140*AG140</f>
        <v>8.3618425348999992</v>
      </c>
      <c r="AP140" s="9"/>
      <c r="AQ140" s="22">
        <v>1.1453199999999999</v>
      </c>
      <c r="AR140" s="22">
        <v>136.72800000000001</v>
      </c>
      <c r="AS140" s="22">
        <v>-1.47858E-2</v>
      </c>
      <c r="AT140" s="22">
        <v>130</v>
      </c>
      <c r="AU140" s="22">
        <v>1.1444099999999999</v>
      </c>
      <c r="AV140">
        <f t="shared" ref="AV140:AV203" si="32">-AS140/$F$2*1000</f>
        <v>14.7858</v>
      </c>
      <c r="AW140">
        <f t="shared" ref="AW140:AW203" si="33">AV140*AQ140</f>
        <v>16.934472455999998</v>
      </c>
      <c r="AX140" s="9"/>
      <c r="AY140" s="22">
        <v>0.55465699999999996</v>
      </c>
      <c r="AZ140" s="22">
        <v>180.58199999999999</v>
      </c>
      <c r="BA140" s="22">
        <v>-1.51886E-2</v>
      </c>
      <c r="BB140" s="22">
        <v>130</v>
      </c>
      <c r="BC140" s="22">
        <v>0.55371099999999995</v>
      </c>
      <c r="BD140">
        <f t="shared" ref="BD140:BD203" si="34">-BA140/$F$2*1000</f>
        <v>15.188599999999999</v>
      </c>
      <c r="BE140">
        <f t="shared" ref="BE140:BE203" si="35">BD140*AY140</f>
        <v>8.4244633101999984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12.7157</v>
      </c>
      <c r="I141" s="22">
        <v>-1.46759E-2</v>
      </c>
      <c r="J141" s="22">
        <v>131</v>
      </c>
      <c r="K141" s="22">
        <v>1.1395299999999999</v>
      </c>
      <c r="L141">
        <f t="shared" si="24"/>
        <v>14.6759</v>
      </c>
      <c r="M141">
        <f t="shared" si="25"/>
        <v>16.734782011</v>
      </c>
      <c r="N141" s="9"/>
      <c r="O141" s="22">
        <v>0.55969199999999997</v>
      </c>
      <c r="P141" s="22">
        <v>45.488900000000001</v>
      </c>
      <c r="Q141" s="22">
        <v>-1.5032999999999999E-2</v>
      </c>
      <c r="R141" s="22">
        <v>131</v>
      </c>
      <c r="S141" s="22">
        <v>0.55880700000000005</v>
      </c>
      <c r="T141">
        <f t="shared" si="26"/>
        <v>15.032999999999999</v>
      </c>
      <c r="U141">
        <f t="shared" si="27"/>
        <v>8.4138498359999989</v>
      </c>
      <c r="X141" s="9"/>
      <c r="Y141" s="22">
        <v>1.14029</v>
      </c>
      <c r="Z141" s="22">
        <v>73.541899999999998</v>
      </c>
      <c r="AA141" s="22">
        <v>-1.47583E-2</v>
      </c>
      <c r="AB141" s="22">
        <v>131</v>
      </c>
      <c r="AC141" s="22">
        <v>1.1395299999999999</v>
      </c>
      <c r="AD141">
        <f t="shared" si="28"/>
        <v>14.7583</v>
      </c>
      <c r="AE141">
        <f t="shared" si="29"/>
        <v>16.828741907000001</v>
      </c>
      <c r="AF141" s="9"/>
      <c r="AG141" s="22">
        <v>0.55969199999999997</v>
      </c>
      <c r="AH141" s="22">
        <v>108.25700000000001</v>
      </c>
      <c r="AI141" s="22">
        <v>-1.50726E-2</v>
      </c>
      <c r="AJ141" s="22">
        <v>131</v>
      </c>
      <c r="AK141" s="22">
        <v>0.55886800000000003</v>
      </c>
      <c r="AL141">
        <f t="shared" si="30"/>
        <v>15.0726</v>
      </c>
      <c r="AM141">
        <f t="shared" si="31"/>
        <v>8.4360136391999987</v>
      </c>
      <c r="AP141" s="9"/>
      <c r="AQ141" s="22">
        <v>1.14029</v>
      </c>
      <c r="AR141" s="22">
        <v>136.738</v>
      </c>
      <c r="AS141" s="22">
        <v>-1.47888E-2</v>
      </c>
      <c r="AT141" s="22">
        <v>131</v>
      </c>
      <c r="AU141" s="22">
        <v>1.1383099999999999</v>
      </c>
      <c r="AV141">
        <f t="shared" si="32"/>
        <v>14.7888</v>
      </c>
      <c r="AW141">
        <f t="shared" si="33"/>
        <v>16.863520751999999</v>
      </c>
      <c r="AX141" s="9"/>
      <c r="AY141" s="22">
        <v>0.55969199999999997</v>
      </c>
      <c r="AZ141" s="22">
        <v>180.59200000000001</v>
      </c>
      <c r="BA141" s="22">
        <v>-1.5185499999999999E-2</v>
      </c>
      <c r="BB141" s="22">
        <v>131</v>
      </c>
      <c r="BC141" s="22">
        <v>0.55883799999999995</v>
      </c>
      <c r="BD141">
        <f t="shared" si="34"/>
        <v>15.185499999999999</v>
      </c>
      <c r="BE141">
        <f t="shared" si="35"/>
        <v>8.4992028659999992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12.7258</v>
      </c>
      <c r="I142" s="22">
        <v>-1.4672899999999999E-2</v>
      </c>
      <c r="J142" s="22">
        <v>132</v>
      </c>
      <c r="K142" s="22">
        <v>1.1343399999999999</v>
      </c>
      <c r="L142">
        <f t="shared" si="24"/>
        <v>14.672899999999998</v>
      </c>
      <c r="M142">
        <f t="shared" si="25"/>
        <v>16.657409725000001</v>
      </c>
      <c r="N142" s="9"/>
      <c r="O142" s="22">
        <v>0.56472800000000001</v>
      </c>
      <c r="P142" s="22">
        <v>45.498899999999999</v>
      </c>
      <c r="Q142" s="22">
        <v>-1.5029900000000001E-2</v>
      </c>
      <c r="R142" s="22">
        <v>132</v>
      </c>
      <c r="S142" s="22">
        <v>0.56393400000000005</v>
      </c>
      <c r="T142">
        <f t="shared" si="26"/>
        <v>15.029900000000001</v>
      </c>
      <c r="U142">
        <f t="shared" si="27"/>
        <v>8.4878053672</v>
      </c>
      <c r="X142" s="9"/>
      <c r="Y142" s="22">
        <v>1.1352500000000001</v>
      </c>
      <c r="Z142" s="22">
        <v>73.551900000000003</v>
      </c>
      <c r="AA142" s="22">
        <v>-1.4761399999999999E-2</v>
      </c>
      <c r="AB142" s="22">
        <v>132</v>
      </c>
      <c r="AC142" s="22">
        <v>1.1346400000000001</v>
      </c>
      <c r="AD142">
        <f t="shared" si="28"/>
        <v>14.761399999999998</v>
      </c>
      <c r="AE142">
        <f t="shared" si="29"/>
        <v>16.75787935</v>
      </c>
      <c r="AF142" s="9"/>
      <c r="AG142" s="22">
        <v>0.56472800000000001</v>
      </c>
      <c r="AH142" s="22">
        <v>108.267</v>
      </c>
      <c r="AI142" s="22">
        <v>-1.5069600000000001E-2</v>
      </c>
      <c r="AJ142" s="22">
        <v>132</v>
      </c>
      <c r="AK142" s="22">
        <v>0.56384299999999998</v>
      </c>
      <c r="AL142">
        <f t="shared" si="30"/>
        <v>15.069600000000001</v>
      </c>
      <c r="AM142">
        <f t="shared" si="31"/>
        <v>8.5102250688000005</v>
      </c>
      <c r="AP142" s="9"/>
      <c r="AQ142" s="22">
        <v>1.1352500000000001</v>
      </c>
      <c r="AR142" s="22">
        <v>136.74799999999999</v>
      </c>
      <c r="AS142" s="22">
        <v>-1.47888E-2</v>
      </c>
      <c r="AT142" s="22">
        <v>132</v>
      </c>
      <c r="AU142" s="22">
        <v>1.1340300000000001</v>
      </c>
      <c r="AV142">
        <f t="shared" si="32"/>
        <v>14.7888</v>
      </c>
      <c r="AW142">
        <f t="shared" si="33"/>
        <v>16.788985200000003</v>
      </c>
      <c r="AX142" s="9"/>
      <c r="AY142" s="22">
        <v>0.56472800000000001</v>
      </c>
      <c r="AZ142" s="22">
        <v>180.602</v>
      </c>
      <c r="BA142" s="22">
        <v>-1.51825E-2</v>
      </c>
      <c r="BB142" s="22">
        <v>132</v>
      </c>
      <c r="BC142" s="22">
        <v>0.56384299999999998</v>
      </c>
      <c r="BD142">
        <f t="shared" si="34"/>
        <v>15.182499999999999</v>
      </c>
      <c r="BE142">
        <f t="shared" si="35"/>
        <v>8.5739828599999992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12.735900000000001</v>
      </c>
      <c r="I143" s="22">
        <v>-1.46759E-2</v>
      </c>
      <c r="J143" s="22">
        <v>133</v>
      </c>
      <c r="K143" s="22">
        <v>1.1291500000000001</v>
      </c>
      <c r="L143">
        <f t="shared" si="24"/>
        <v>14.6759</v>
      </c>
      <c r="M143">
        <f t="shared" si="25"/>
        <v>16.586995697999999</v>
      </c>
      <c r="N143" s="9"/>
      <c r="O143" s="22">
        <v>0.56976300000000002</v>
      </c>
      <c r="P143" s="22">
        <v>45.509</v>
      </c>
      <c r="Q143" s="22">
        <v>-1.5029900000000001E-2</v>
      </c>
      <c r="R143" s="22">
        <v>133</v>
      </c>
      <c r="S143" s="22">
        <v>0.56884800000000002</v>
      </c>
      <c r="T143">
        <f t="shared" si="26"/>
        <v>15.029900000000001</v>
      </c>
      <c r="U143">
        <f t="shared" si="27"/>
        <v>8.5634809137000012</v>
      </c>
      <c r="X143" s="9"/>
      <c r="Y143" s="22">
        <v>1.13022</v>
      </c>
      <c r="Z143" s="22">
        <v>73.561999999999998</v>
      </c>
      <c r="AA143" s="22">
        <v>-1.4761399999999999E-2</v>
      </c>
      <c r="AB143" s="22">
        <v>133</v>
      </c>
      <c r="AC143" s="22">
        <v>1.1288499999999999</v>
      </c>
      <c r="AD143">
        <f t="shared" si="28"/>
        <v>14.761399999999998</v>
      </c>
      <c r="AE143">
        <f t="shared" si="29"/>
        <v>16.683629507999999</v>
      </c>
      <c r="AF143" s="9"/>
      <c r="AG143" s="22">
        <v>0.56976300000000002</v>
      </c>
      <c r="AH143" s="22">
        <v>108.277</v>
      </c>
      <c r="AI143" s="22">
        <v>-1.5069600000000001E-2</v>
      </c>
      <c r="AJ143" s="22">
        <v>133</v>
      </c>
      <c r="AK143" s="22">
        <v>0.56881700000000002</v>
      </c>
      <c r="AL143">
        <f t="shared" si="30"/>
        <v>15.069600000000001</v>
      </c>
      <c r="AM143">
        <f t="shared" si="31"/>
        <v>8.586100504800001</v>
      </c>
      <c r="AP143" s="9"/>
      <c r="AQ143" s="22">
        <v>1.13022</v>
      </c>
      <c r="AR143" s="22">
        <v>136.75800000000001</v>
      </c>
      <c r="AS143" s="22">
        <v>-1.47919E-2</v>
      </c>
      <c r="AT143" s="22">
        <v>133</v>
      </c>
      <c r="AU143" s="22">
        <v>1.1291500000000001</v>
      </c>
      <c r="AV143">
        <f t="shared" si="32"/>
        <v>14.7919</v>
      </c>
      <c r="AW143">
        <f t="shared" si="33"/>
        <v>16.718101218000001</v>
      </c>
      <c r="AX143" s="9"/>
      <c r="AY143" s="22">
        <v>0.56976300000000002</v>
      </c>
      <c r="AZ143" s="22">
        <v>180.613</v>
      </c>
      <c r="BA143" s="22">
        <v>-1.5179399999999999E-2</v>
      </c>
      <c r="BB143" s="22">
        <v>133</v>
      </c>
      <c r="BC143" s="22">
        <v>0.568909</v>
      </c>
      <c r="BD143">
        <f t="shared" si="34"/>
        <v>15.179399999999999</v>
      </c>
      <c r="BE143">
        <f t="shared" si="35"/>
        <v>8.6486604822000004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12.746</v>
      </c>
      <c r="I144" s="22">
        <v>-1.4682000000000001E-2</v>
      </c>
      <c r="J144" s="22">
        <v>134</v>
      </c>
      <c r="K144" s="22">
        <v>1.1239600000000001</v>
      </c>
      <c r="L144">
        <f t="shared" si="24"/>
        <v>14.682</v>
      </c>
      <c r="M144">
        <f t="shared" si="25"/>
        <v>16.519892760000001</v>
      </c>
      <c r="N144" s="9"/>
      <c r="O144" s="22">
        <v>0.57479899999999995</v>
      </c>
      <c r="P144" s="22">
        <v>45.519100000000002</v>
      </c>
      <c r="Q144" s="22">
        <v>-1.50238E-2</v>
      </c>
      <c r="R144" s="22">
        <v>134</v>
      </c>
      <c r="S144" s="22">
        <v>0.57391400000000004</v>
      </c>
      <c r="T144">
        <f t="shared" si="26"/>
        <v>15.0238</v>
      </c>
      <c r="U144">
        <f t="shared" si="27"/>
        <v>8.6356652161999996</v>
      </c>
      <c r="X144" s="9"/>
      <c r="Y144" s="22">
        <v>1.1251800000000001</v>
      </c>
      <c r="Z144" s="22">
        <v>73.572100000000006</v>
      </c>
      <c r="AA144" s="22">
        <v>-1.4761399999999999E-2</v>
      </c>
      <c r="AB144" s="22">
        <v>134</v>
      </c>
      <c r="AC144" s="22">
        <v>1.1239600000000001</v>
      </c>
      <c r="AD144">
        <f t="shared" si="28"/>
        <v>14.761399999999998</v>
      </c>
      <c r="AE144">
        <f t="shared" si="29"/>
        <v>16.609232051999999</v>
      </c>
      <c r="AF144" s="9"/>
      <c r="AG144" s="22">
        <v>0.57479899999999995</v>
      </c>
      <c r="AH144" s="22">
        <v>108.28700000000001</v>
      </c>
      <c r="AI144" s="22">
        <v>-1.5063500000000001E-2</v>
      </c>
      <c r="AJ144" s="22">
        <v>134</v>
      </c>
      <c r="AK144" s="22">
        <v>0.57385299999999995</v>
      </c>
      <c r="AL144">
        <f t="shared" si="30"/>
        <v>15.063500000000001</v>
      </c>
      <c r="AM144">
        <f t="shared" si="31"/>
        <v>8.6584847365000002</v>
      </c>
      <c r="AP144" s="9"/>
      <c r="AQ144" s="22">
        <v>1.1251800000000001</v>
      </c>
      <c r="AR144" s="22">
        <v>136.768</v>
      </c>
      <c r="AS144" s="22">
        <v>-1.4798E-2</v>
      </c>
      <c r="AT144" s="22">
        <v>134</v>
      </c>
      <c r="AU144" s="22">
        <v>1.1245700000000001</v>
      </c>
      <c r="AV144">
        <f t="shared" si="32"/>
        <v>14.798</v>
      </c>
      <c r="AW144">
        <f t="shared" si="33"/>
        <v>16.65041364</v>
      </c>
      <c r="AX144" s="9"/>
      <c r="AY144" s="22">
        <v>0.57479899999999995</v>
      </c>
      <c r="AZ144" s="22">
        <v>180.62299999999999</v>
      </c>
      <c r="BA144" s="22">
        <v>-1.51764E-2</v>
      </c>
      <c r="BB144" s="22">
        <v>134</v>
      </c>
      <c r="BC144" s="22">
        <v>0.57388300000000003</v>
      </c>
      <c r="BD144">
        <f t="shared" si="34"/>
        <v>15.176399999999999</v>
      </c>
      <c r="BE144">
        <f t="shared" si="35"/>
        <v>8.7233795435999983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12.756</v>
      </c>
      <c r="I145" s="22">
        <v>-1.4682000000000001E-2</v>
      </c>
      <c r="J145" s="22">
        <v>135</v>
      </c>
      <c r="K145" s="22">
        <v>1.1190800000000001</v>
      </c>
      <c r="L145">
        <f t="shared" si="24"/>
        <v>14.682</v>
      </c>
      <c r="M145">
        <f t="shared" si="25"/>
        <v>16.446042299999998</v>
      </c>
      <c r="N145" s="9"/>
      <c r="O145" s="22">
        <v>0.57983399999999996</v>
      </c>
      <c r="P145" s="22">
        <v>45.5291</v>
      </c>
      <c r="Q145" s="22">
        <v>-1.5020800000000001E-2</v>
      </c>
      <c r="R145" s="22">
        <v>135</v>
      </c>
      <c r="S145" s="22">
        <v>0.57897900000000002</v>
      </c>
      <c r="T145">
        <f t="shared" si="26"/>
        <v>15.020800000000001</v>
      </c>
      <c r="U145">
        <f t="shared" si="27"/>
        <v>8.7095705472000002</v>
      </c>
      <c r="X145" s="9"/>
      <c r="Y145" s="22">
        <v>1.12015</v>
      </c>
      <c r="Z145" s="22">
        <v>73.5822</v>
      </c>
      <c r="AA145" s="22">
        <v>-1.4761399999999999E-2</v>
      </c>
      <c r="AB145" s="22">
        <v>135</v>
      </c>
      <c r="AC145" s="22">
        <v>1.11877</v>
      </c>
      <c r="AD145">
        <f t="shared" si="28"/>
        <v>14.761399999999998</v>
      </c>
      <c r="AE145">
        <f t="shared" si="29"/>
        <v>16.534982209999999</v>
      </c>
      <c r="AF145" s="9"/>
      <c r="AG145" s="22">
        <v>0.57983399999999996</v>
      </c>
      <c r="AH145" s="22">
        <v>108.297</v>
      </c>
      <c r="AI145" s="22">
        <v>-1.5063500000000001E-2</v>
      </c>
      <c r="AJ145" s="22">
        <v>135</v>
      </c>
      <c r="AK145" s="22">
        <v>0.57888799999999996</v>
      </c>
      <c r="AL145">
        <f t="shared" si="30"/>
        <v>15.063500000000001</v>
      </c>
      <c r="AM145">
        <f t="shared" si="31"/>
        <v>8.7343294589999996</v>
      </c>
      <c r="AP145" s="9"/>
      <c r="AQ145" s="22">
        <v>1.12015</v>
      </c>
      <c r="AR145" s="22">
        <v>136.77799999999999</v>
      </c>
      <c r="AS145" s="22">
        <v>-1.4798E-2</v>
      </c>
      <c r="AT145" s="22">
        <v>135</v>
      </c>
      <c r="AU145" s="22">
        <v>1.11877</v>
      </c>
      <c r="AV145">
        <f t="shared" si="32"/>
        <v>14.798</v>
      </c>
      <c r="AW145">
        <f t="shared" si="33"/>
        <v>16.575979700000001</v>
      </c>
      <c r="AX145" s="9"/>
      <c r="AY145" s="22">
        <v>0.57983399999999996</v>
      </c>
      <c r="AZ145" s="22">
        <v>180.63300000000001</v>
      </c>
      <c r="BA145" s="22">
        <v>-1.5170299999999999E-2</v>
      </c>
      <c r="BB145" s="22">
        <v>135</v>
      </c>
      <c r="BC145" s="22">
        <v>0.57897900000000002</v>
      </c>
      <c r="BD145">
        <f t="shared" si="34"/>
        <v>15.170299999999999</v>
      </c>
      <c r="BE145">
        <f t="shared" si="35"/>
        <v>8.7962557301999986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12.7661</v>
      </c>
      <c r="I146" s="22">
        <v>-1.4688100000000001E-2</v>
      </c>
      <c r="J146" s="22">
        <v>136</v>
      </c>
      <c r="K146" s="22">
        <v>1.1135900000000001</v>
      </c>
      <c r="L146">
        <f t="shared" si="24"/>
        <v>14.6881</v>
      </c>
      <c r="M146">
        <f t="shared" si="25"/>
        <v>16.378847191000002</v>
      </c>
      <c r="N146" s="9"/>
      <c r="O146" s="22">
        <v>0.58486899999999997</v>
      </c>
      <c r="P146" s="22">
        <v>45.539200000000001</v>
      </c>
      <c r="Q146" s="22">
        <v>-1.50177E-2</v>
      </c>
      <c r="R146" s="22">
        <v>136</v>
      </c>
      <c r="S146" s="22">
        <v>0.58401499999999995</v>
      </c>
      <c r="T146">
        <f t="shared" si="26"/>
        <v>15.0177</v>
      </c>
      <c r="U146">
        <f t="shared" si="27"/>
        <v>8.7833871813000002</v>
      </c>
      <c r="X146" s="9"/>
      <c r="Y146" s="22">
        <v>1.11511</v>
      </c>
      <c r="Z146" s="22">
        <v>73.592200000000005</v>
      </c>
      <c r="AA146" s="22">
        <v>-1.4767499999999999E-2</v>
      </c>
      <c r="AB146" s="22">
        <v>136</v>
      </c>
      <c r="AC146" s="22">
        <v>1.11328</v>
      </c>
      <c r="AD146">
        <f t="shared" si="28"/>
        <v>14.7675</v>
      </c>
      <c r="AE146">
        <f t="shared" si="29"/>
        <v>16.467386925</v>
      </c>
      <c r="AF146" s="9"/>
      <c r="AG146" s="22">
        <v>0.58486899999999997</v>
      </c>
      <c r="AH146" s="22">
        <v>108.307</v>
      </c>
      <c r="AI146" s="22">
        <v>-1.50604E-2</v>
      </c>
      <c r="AJ146" s="22">
        <v>136</v>
      </c>
      <c r="AK146" s="22">
        <v>0.58404500000000004</v>
      </c>
      <c r="AL146">
        <f t="shared" si="30"/>
        <v>15.0604</v>
      </c>
      <c r="AM146">
        <f t="shared" si="31"/>
        <v>8.8083610875999998</v>
      </c>
      <c r="AP146" s="9"/>
      <c r="AQ146" s="22">
        <v>1.11511</v>
      </c>
      <c r="AR146" s="22">
        <v>136.78800000000001</v>
      </c>
      <c r="AS146" s="22">
        <v>-1.4801E-2</v>
      </c>
      <c r="AT146" s="22">
        <v>136</v>
      </c>
      <c r="AU146" s="22">
        <v>1.1142000000000001</v>
      </c>
      <c r="AV146">
        <f t="shared" si="32"/>
        <v>14.801</v>
      </c>
      <c r="AW146">
        <f t="shared" si="33"/>
        <v>16.50474311</v>
      </c>
      <c r="AX146" s="9"/>
      <c r="AY146" s="22">
        <v>0.58486899999999997</v>
      </c>
      <c r="AZ146" s="22">
        <v>180.643</v>
      </c>
      <c r="BA146" s="22">
        <v>-1.5170299999999999E-2</v>
      </c>
      <c r="BB146" s="22">
        <v>136</v>
      </c>
      <c r="BC146" s="22">
        <v>0.58404500000000004</v>
      </c>
      <c r="BD146">
        <f t="shared" si="34"/>
        <v>15.170299999999999</v>
      </c>
      <c r="BE146">
        <f t="shared" si="35"/>
        <v>8.8726381906999983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12.776199999999999</v>
      </c>
      <c r="I147" s="22">
        <v>-1.46912E-2</v>
      </c>
      <c r="J147" s="22">
        <v>137</v>
      </c>
      <c r="K147" s="22">
        <v>1.1084000000000001</v>
      </c>
      <c r="L147">
        <f t="shared" si="24"/>
        <v>14.6912</v>
      </c>
      <c r="M147">
        <f t="shared" si="25"/>
        <v>16.308407295999999</v>
      </c>
      <c r="N147" s="9"/>
      <c r="O147" s="22">
        <v>0.58990500000000001</v>
      </c>
      <c r="P147" s="22">
        <v>45.549300000000002</v>
      </c>
      <c r="Q147" s="22">
        <v>-1.5014599999999999E-2</v>
      </c>
      <c r="R147" s="22">
        <v>137</v>
      </c>
      <c r="S147" s="22">
        <v>0.58914200000000005</v>
      </c>
      <c r="T147">
        <f t="shared" si="26"/>
        <v>15.0146</v>
      </c>
      <c r="U147">
        <f t="shared" si="27"/>
        <v>8.8571876130000007</v>
      </c>
      <c r="X147" s="9"/>
      <c r="Y147" s="22">
        <v>1.11008</v>
      </c>
      <c r="Z147" s="22">
        <v>73.6023</v>
      </c>
      <c r="AA147" s="22">
        <v>-1.4767499999999999E-2</v>
      </c>
      <c r="AB147" s="22">
        <v>137</v>
      </c>
      <c r="AC147" s="22">
        <v>1.1087</v>
      </c>
      <c r="AD147">
        <f t="shared" si="28"/>
        <v>14.7675</v>
      </c>
      <c r="AE147">
        <f t="shared" si="29"/>
        <v>16.393106400000001</v>
      </c>
      <c r="AF147" s="9"/>
      <c r="AG147" s="22">
        <v>0.58990500000000001</v>
      </c>
      <c r="AH147" s="22">
        <v>108.31699999999999</v>
      </c>
      <c r="AI147" s="22">
        <v>-1.50574E-2</v>
      </c>
      <c r="AJ147" s="22">
        <v>137</v>
      </c>
      <c r="AK147" s="22">
        <v>0.58901999999999999</v>
      </c>
      <c r="AL147">
        <f t="shared" si="30"/>
        <v>15.057399999999999</v>
      </c>
      <c r="AM147">
        <f t="shared" si="31"/>
        <v>8.882435547</v>
      </c>
      <c r="AP147" s="9"/>
      <c r="AQ147" s="22">
        <v>1.11008</v>
      </c>
      <c r="AR147" s="22">
        <v>136.798</v>
      </c>
      <c r="AS147" s="22">
        <v>-1.48071E-2</v>
      </c>
      <c r="AT147" s="22">
        <v>137</v>
      </c>
      <c r="AU147" s="22">
        <v>1.1087</v>
      </c>
      <c r="AV147">
        <f t="shared" si="32"/>
        <v>14.8071</v>
      </c>
      <c r="AW147">
        <f t="shared" si="33"/>
        <v>16.437065567999998</v>
      </c>
      <c r="AX147" s="9"/>
      <c r="AY147" s="22">
        <v>0.58990500000000001</v>
      </c>
      <c r="AZ147" s="22">
        <v>180.65299999999999</v>
      </c>
      <c r="BA147" s="22">
        <v>-1.5164199999999999E-2</v>
      </c>
      <c r="BB147" s="22">
        <v>137</v>
      </c>
      <c r="BC147" s="22">
        <v>0.58911100000000005</v>
      </c>
      <c r="BD147">
        <f t="shared" si="34"/>
        <v>15.164199999999999</v>
      </c>
      <c r="BE147">
        <f t="shared" si="35"/>
        <v>8.9454374009999995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12.786199999999999</v>
      </c>
      <c r="I148" s="22">
        <v>-1.4694199999999999E-2</v>
      </c>
      <c r="J148" s="22">
        <v>138</v>
      </c>
      <c r="K148" s="22">
        <v>1.10382</v>
      </c>
      <c r="L148">
        <f t="shared" si="24"/>
        <v>14.694199999999999</v>
      </c>
      <c r="M148">
        <f t="shared" si="25"/>
        <v>16.237678767999999</v>
      </c>
      <c r="N148" s="9"/>
      <c r="O148" s="22">
        <v>0.59494000000000002</v>
      </c>
      <c r="P148" s="22">
        <v>45.559399999999997</v>
      </c>
      <c r="Q148" s="22">
        <v>-1.5014599999999999E-2</v>
      </c>
      <c r="R148" s="22">
        <v>138</v>
      </c>
      <c r="S148" s="22">
        <v>0.59411599999999998</v>
      </c>
      <c r="T148">
        <f t="shared" si="26"/>
        <v>15.0146</v>
      </c>
      <c r="U148">
        <f t="shared" si="27"/>
        <v>8.9327861239999997</v>
      </c>
      <c r="X148" s="9"/>
      <c r="Y148" s="22">
        <v>1.10504</v>
      </c>
      <c r="Z148" s="22">
        <v>73.612399999999994</v>
      </c>
      <c r="AA148" s="22">
        <v>-1.4770500000000001E-2</v>
      </c>
      <c r="AB148" s="22">
        <v>138</v>
      </c>
      <c r="AC148" s="22">
        <v>1.10382</v>
      </c>
      <c r="AD148">
        <f t="shared" si="28"/>
        <v>14.7705</v>
      </c>
      <c r="AE148">
        <f t="shared" si="29"/>
        <v>16.321993320000001</v>
      </c>
      <c r="AF148" s="9"/>
      <c r="AG148" s="22">
        <v>0.59494000000000002</v>
      </c>
      <c r="AH148" s="22">
        <v>108.328</v>
      </c>
      <c r="AI148" s="22">
        <v>-1.50543E-2</v>
      </c>
      <c r="AJ148" s="22">
        <v>138</v>
      </c>
      <c r="AK148" s="22">
        <v>0.59393300000000004</v>
      </c>
      <c r="AL148">
        <f t="shared" si="30"/>
        <v>15.0543</v>
      </c>
      <c r="AM148">
        <f t="shared" si="31"/>
        <v>8.9564052420000007</v>
      </c>
      <c r="AP148" s="9"/>
      <c r="AQ148" s="22">
        <v>1.10504</v>
      </c>
      <c r="AR148" s="22">
        <v>136.809</v>
      </c>
      <c r="AS148" s="22">
        <v>-1.4810200000000001E-2</v>
      </c>
      <c r="AT148" s="22">
        <v>138</v>
      </c>
      <c r="AU148" s="22">
        <v>1.1041300000000001</v>
      </c>
      <c r="AV148">
        <f t="shared" si="32"/>
        <v>14.8102</v>
      </c>
      <c r="AW148">
        <f t="shared" si="33"/>
        <v>16.365863407999999</v>
      </c>
      <c r="AX148" s="9"/>
      <c r="AY148" s="22">
        <v>0.59494000000000002</v>
      </c>
      <c r="AZ148" s="22">
        <v>180.66300000000001</v>
      </c>
      <c r="BA148" s="22">
        <v>-1.5164199999999999E-2</v>
      </c>
      <c r="BB148" s="22">
        <v>138</v>
      </c>
      <c r="BC148" s="22">
        <v>0.59411599999999998</v>
      </c>
      <c r="BD148">
        <f t="shared" si="34"/>
        <v>15.164199999999999</v>
      </c>
      <c r="BE148">
        <f t="shared" si="35"/>
        <v>9.0217891479999999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12.7963</v>
      </c>
      <c r="I149" s="22">
        <v>-1.46973E-2</v>
      </c>
      <c r="J149" s="22">
        <v>139</v>
      </c>
      <c r="K149" s="22">
        <v>1.09833</v>
      </c>
      <c r="L149">
        <f t="shared" si="24"/>
        <v>14.6973</v>
      </c>
      <c r="M149">
        <f t="shared" si="25"/>
        <v>16.167176973</v>
      </c>
      <c r="N149" s="9"/>
      <c r="O149" s="22">
        <v>0.59997599999999995</v>
      </c>
      <c r="P149" s="22">
        <v>45.569400000000002</v>
      </c>
      <c r="Q149" s="22">
        <v>-1.50116E-2</v>
      </c>
      <c r="R149" s="22">
        <v>139</v>
      </c>
      <c r="S149" s="22">
        <v>0.59906000000000004</v>
      </c>
      <c r="T149">
        <f t="shared" si="26"/>
        <v>15.0116</v>
      </c>
      <c r="U149">
        <f t="shared" si="27"/>
        <v>9.0065997215999989</v>
      </c>
      <c r="X149" s="9"/>
      <c r="Y149" s="22">
        <v>1.1000099999999999</v>
      </c>
      <c r="Z149" s="22">
        <v>73.622399999999999</v>
      </c>
      <c r="AA149" s="22">
        <v>-1.4770500000000001E-2</v>
      </c>
      <c r="AB149" s="22">
        <v>139</v>
      </c>
      <c r="AC149" s="22">
        <v>1.09863</v>
      </c>
      <c r="AD149">
        <f t="shared" si="28"/>
        <v>14.7705</v>
      </c>
      <c r="AE149">
        <f t="shared" si="29"/>
        <v>16.247697705</v>
      </c>
      <c r="AF149" s="9"/>
      <c r="AG149" s="22">
        <v>0.59997599999999995</v>
      </c>
      <c r="AH149" s="22">
        <v>108.33799999999999</v>
      </c>
      <c r="AI149" s="22">
        <v>-1.50513E-2</v>
      </c>
      <c r="AJ149" s="22">
        <v>139</v>
      </c>
      <c r="AK149" s="22">
        <v>0.59915200000000002</v>
      </c>
      <c r="AL149">
        <f t="shared" si="30"/>
        <v>15.051299999999999</v>
      </c>
      <c r="AM149">
        <f t="shared" si="31"/>
        <v>9.0304187687999988</v>
      </c>
      <c r="AP149" s="9"/>
      <c r="AQ149" s="22">
        <v>1.1000099999999999</v>
      </c>
      <c r="AR149" s="22">
        <v>136.81899999999999</v>
      </c>
      <c r="AS149" s="22">
        <v>-1.4816299999999999E-2</v>
      </c>
      <c r="AT149" s="22">
        <v>139</v>
      </c>
      <c r="AU149" s="22">
        <v>1.09894</v>
      </c>
      <c r="AV149">
        <f t="shared" si="32"/>
        <v>14.8163</v>
      </c>
      <c r="AW149">
        <f t="shared" si="33"/>
        <v>16.298078163</v>
      </c>
      <c r="AX149" s="9"/>
      <c r="AY149" s="22">
        <v>0.59997599999999995</v>
      </c>
      <c r="AZ149" s="22">
        <v>180.673</v>
      </c>
      <c r="BA149" s="22">
        <v>-1.5158100000000001E-2</v>
      </c>
      <c r="BB149" s="22">
        <v>139</v>
      </c>
      <c r="BC149" s="22">
        <v>0.59909100000000004</v>
      </c>
      <c r="BD149">
        <f t="shared" si="34"/>
        <v>15.158100000000001</v>
      </c>
      <c r="BE149">
        <f t="shared" si="35"/>
        <v>9.0944962056000005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12.8064</v>
      </c>
      <c r="I150" s="22">
        <v>-1.47034E-2</v>
      </c>
      <c r="J150" s="22">
        <v>140</v>
      </c>
      <c r="K150" s="22">
        <v>1.09344</v>
      </c>
      <c r="L150">
        <f t="shared" si="24"/>
        <v>14.7034</v>
      </c>
      <c r="M150">
        <f t="shared" si="25"/>
        <v>16.099781898</v>
      </c>
      <c r="N150" s="9"/>
      <c r="O150" s="22">
        <v>0.60501099999999997</v>
      </c>
      <c r="P150" s="22">
        <v>45.579500000000003</v>
      </c>
      <c r="Q150" s="22">
        <v>-1.50055E-2</v>
      </c>
      <c r="R150" s="22">
        <v>140</v>
      </c>
      <c r="S150" s="22">
        <v>0.60403399999999996</v>
      </c>
      <c r="T150">
        <f t="shared" si="26"/>
        <v>15.0055</v>
      </c>
      <c r="U150">
        <f t="shared" si="27"/>
        <v>9.0784925604999991</v>
      </c>
      <c r="X150" s="9"/>
      <c r="Y150" s="22">
        <v>1.09497</v>
      </c>
      <c r="Z150" s="22">
        <v>73.632499999999993</v>
      </c>
      <c r="AA150" s="22">
        <v>-1.47736E-2</v>
      </c>
      <c r="AB150" s="22">
        <v>140</v>
      </c>
      <c r="AC150" s="22">
        <v>1.09375</v>
      </c>
      <c r="AD150">
        <f t="shared" si="28"/>
        <v>14.7736</v>
      </c>
      <c r="AE150">
        <f t="shared" si="29"/>
        <v>16.176648792000002</v>
      </c>
      <c r="AF150" s="9"/>
      <c r="AG150" s="22">
        <v>0.60501099999999997</v>
      </c>
      <c r="AH150" s="22">
        <v>108.348</v>
      </c>
      <c r="AI150" s="22">
        <v>-1.50513E-2</v>
      </c>
      <c r="AJ150" s="22">
        <v>140</v>
      </c>
      <c r="AK150" s="22">
        <v>0.60412600000000005</v>
      </c>
      <c r="AL150">
        <f t="shared" si="30"/>
        <v>15.051299999999999</v>
      </c>
      <c r="AM150">
        <f t="shared" si="31"/>
        <v>9.1062020642999997</v>
      </c>
      <c r="AP150" s="9"/>
      <c r="AQ150" s="22">
        <v>1.09497</v>
      </c>
      <c r="AR150" s="22">
        <v>136.82900000000001</v>
      </c>
      <c r="AS150" s="22">
        <v>-1.4816299999999999E-2</v>
      </c>
      <c r="AT150" s="22">
        <v>140</v>
      </c>
      <c r="AU150" s="22">
        <v>1.09375</v>
      </c>
      <c r="AV150">
        <f t="shared" si="32"/>
        <v>14.8163</v>
      </c>
      <c r="AW150">
        <f t="shared" si="33"/>
        <v>16.223404011</v>
      </c>
      <c r="AX150" s="9"/>
      <c r="AY150" s="22">
        <v>0.60501099999999997</v>
      </c>
      <c r="AZ150" s="22">
        <v>180.68299999999999</v>
      </c>
      <c r="BA150" s="22">
        <v>-1.5155E-2</v>
      </c>
      <c r="BB150" s="22">
        <v>140</v>
      </c>
      <c r="BC150" s="22">
        <v>0.60409500000000005</v>
      </c>
      <c r="BD150">
        <f t="shared" si="34"/>
        <v>15.154999999999999</v>
      </c>
      <c r="BE150">
        <f t="shared" si="35"/>
        <v>9.1689417049999999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12.8164</v>
      </c>
      <c r="I151" s="22">
        <v>-1.47095E-2</v>
      </c>
      <c r="J151" s="22">
        <v>141</v>
      </c>
      <c r="K151" s="22">
        <v>1.08887</v>
      </c>
      <c r="L151">
        <f t="shared" si="24"/>
        <v>14.7095</v>
      </c>
      <c r="M151">
        <f t="shared" si="25"/>
        <v>16.032472429999999</v>
      </c>
      <c r="N151" s="9"/>
      <c r="O151" s="22">
        <v>0.61004599999999998</v>
      </c>
      <c r="P151" s="22">
        <v>45.589599999999997</v>
      </c>
      <c r="Q151" s="22">
        <v>-1.5002400000000001E-2</v>
      </c>
      <c r="R151" s="22">
        <v>141</v>
      </c>
      <c r="S151" s="22">
        <v>0.60909999999999997</v>
      </c>
      <c r="T151">
        <f t="shared" si="26"/>
        <v>15.002400000000002</v>
      </c>
      <c r="U151">
        <f t="shared" si="27"/>
        <v>9.1521541103999997</v>
      </c>
      <c r="X151" s="9"/>
      <c r="Y151" s="22">
        <v>1.0899399999999999</v>
      </c>
      <c r="Z151" s="22">
        <v>73.642600000000002</v>
      </c>
      <c r="AA151" s="22">
        <v>-1.47736E-2</v>
      </c>
      <c r="AB151" s="22">
        <v>141</v>
      </c>
      <c r="AC151" s="22">
        <v>1.08887</v>
      </c>
      <c r="AD151">
        <f t="shared" si="28"/>
        <v>14.7736</v>
      </c>
      <c r="AE151">
        <f t="shared" si="29"/>
        <v>16.102337583999997</v>
      </c>
      <c r="AF151" s="9"/>
      <c r="AG151" s="22">
        <v>0.61004599999999998</v>
      </c>
      <c r="AH151" s="22">
        <v>108.358</v>
      </c>
      <c r="AI151" s="22">
        <v>-1.5048199999999999E-2</v>
      </c>
      <c r="AJ151" s="22">
        <v>141</v>
      </c>
      <c r="AK151" s="22">
        <v>0.60919199999999996</v>
      </c>
      <c r="AL151">
        <f t="shared" si="30"/>
        <v>15.0482</v>
      </c>
      <c r="AM151">
        <f t="shared" si="31"/>
        <v>9.1800942171999989</v>
      </c>
      <c r="AP151" s="9"/>
      <c r="AQ151" s="22">
        <v>1.0899399999999999</v>
      </c>
      <c r="AR151" s="22">
        <v>136.839</v>
      </c>
      <c r="AS151" s="22">
        <v>-1.4819300000000001E-2</v>
      </c>
      <c r="AT151" s="22">
        <v>141</v>
      </c>
      <c r="AU151" s="22">
        <v>1.08887</v>
      </c>
      <c r="AV151">
        <f t="shared" si="32"/>
        <v>14.8193</v>
      </c>
      <c r="AW151">
        <f t="shared" si="33"/>
        <v>16.152147841999998</v>
      </c>
      <c r="AX151" s="9"/>
      <c r="AY151" s="22">
        <v>0.61004599999999998</v>
      </c>
      <c r="AZ151" s="22">
        <v>180.69300000000001</v>
      </c>
      <c r="BA151" s="22">
        <v>-1.51489E-2</v>
      </c>
      <c r="BB151" s="22">
        <v>141</v>
      </c>
      <c r="BC151" s="22">
        <v>0.60922200000000004</v>
      </c>
      <c r="BD151">
        <f t="shared" si="34"/>
        <v>15.148899999999999</v>
      </c>
      <c r="BE151">
        <f t="shared" si="35"/>
        <v>9.2415258493999985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12.826499999999999</v>
      </c>
      <c r="I152" s="22">
        <v>-1.47095E-2</v>
      </c>
      <c r="J152" s="22">
        <v>142</v>
      </c>
      <c r="K152" s="22">
        <v>1.0833699999999999</v>
      </c>
      <c r="L152">
        <f t="shared" si="24"/>
        <v>14.7095</v>
      </c>
      <c r="M152">
        <f t="shared" si="25"/>
        <v>15.95833655</v>
      </c>
      <c r="N152" s="9"/>
      <c r="O152" s="22">
        <v>0.61508200000000002</v>
      </c>
      <c r="P152" s="22">
        <v>45.599600000000002</v>
      </c>
      <c r="Q152" s="22">
        <v>-1.4996300000000001E-2</v>
      </c>
      <c r="R152" s="22">
        <v>142</v>
      </c>
      <c r="S152" s="22">
        <v>0.61422699999999997</v>
      </c>
      <c r="T152">
        <f t="shared" si="26"/>
        <v>14.9963</v>
      </c>
      <c r="U152">
        <f t="shared" si="27"/>
        <v>9.2239541965999994</v>
      </c>
      <c r="X152" s="9"/>
      <c r="Y152" s="22">
        <v>1.0849</v>
      </c>
      <c r="Z152" s="22">
        <v>73.652699999999996</v>
      </c>
      <c r="AA152" s="22">
        <v>-1.4776600000000001E-2</v>
      </c>
      <c r="AB152" s="22">
        <v>142</v>
      </c>
      <c r="AC152" s="22">
        <v>1.08368</v>
      </c>
      <c r="AD152">
        <f t="shared" si="28"/>
        <v>14.7766</v>
      </c>
      <c r="AE152">
        <f t="shared" si="29"/>
        <v>16.03113334</v>
      </c>
      <c r="AF152" s="9"/>
      <c r="AG152" s="22">
        <v>0.61508200000000002</v>
      </c>
      <c r="AH152" s="22">
        <v>108.36799999999999</v>
      </c>
      <c r="AI152" s="22">
        <v>-1.5048199999999999E-2</v>
      </c>
      <c r="AJ152" s="22">
        <v>142</v>
      </c>
      <c r="AK152" s="22">
        <v>0.61428799999999995</v>
      </c>
      <c r="AL152">
        <f t="shared" si="30"/>
        <v>15.0482</v>
      </c>
      <c r="AM152">
        <f t="shared" si="31"/>
        <v>9.2558769523999995</v>
      </c>
      <c r="AP152" s="9"/>
      <c r="AQ152" s="22">
        <v>1.0849</v>
      </c>
      <c r="AR152" s="22">
        <v>136.84899999999999</v>
      </c>
      <c r="AS152" s="22">
        <v>-1.4825400000000001E-2</v>
      </c>
      <c r="AT152" s="22">
        <v>142</v>
      </c>
      <c r="AU152" s="22">
        <v>1.0839799999999999</v>
      </c>
      <c r="AV152">
        <f t="shared" si="32"/>
        <v>14.8254</v>
      </c>
      <c r="AW152">
        <f t="shared" si="33"/>
        <v>16.084076459999999</v>
      </c>
      <c r="AX152" s="9"/>
      <c r="AY152" s="22">
        <v>0.61508200000000002</v>
      </c>
      <c r="AZ152" s="22">
        <v>180.703</v>
      </c>
      <c r="BA152" s="22">
        <v>-1.51459E-2</v>
      </c>
      <c r="BB152" s="22">
        <v>142</v>
      </c>
      <c r="BC152" s="22">
        <v>0.61419699999999999</v>
      </c>
      <c r="BD152">
        <f t="shared" si="34"/>
        <v>15.145900000000001</v>
      </c>
      <c r="BE152">
        <f t="shared" si="35"/>
        <v>9.3159704638000012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12.836600000000001</v>
      </c>
      <c r="I153" s="22">
        <v>-1.47125E-2</v>
      </c>
      <c r="J153" s="22">
        <v>143</v>
      </c>
      <c r="K153" s="22">
        <v>1.0784899999999999</v>
      </c>
      <c r="L153">
        <f t="shared" si="24"/>
        <v>14.7125</v>
      </c>
      <c r="M153">
        <f t="shared" si="25"/>
        <v>15.887440250000001</v>
      </c>
      <c r="N153" s="9"/>
      <c r="O153" s="22">
        <v>0.62011700000000003</v>
      </c>
      <c r="P153" s="22">
        <v>45.609699999999997</v>
      </c>
      <c r="Q153" s="22">
        <v>-1.4993299999999999E-2</v>
      </c>
      <c r="R153" s="22">
        <v>143</v>
      </c>
      <c r="S153" s="22">
        <v>0.619232</v>
      </c>
      <c r="T153">
        <f t="shared" si="26"/>
        <v>14.9933</v>
      </c>
      <c r="U153">
        <f t="shared" si="27"/>
        <v>9.2976002161000011</v>
      </c>
      <c r="X153" s="9"/>
      <c r="Y153" s="22">
        <v>1.07986</v>
      </c>
      <c r="Z153" s="22">
        <v>73.662700000000001</v>
      </c>
      <c r="AA153" s="22">
        <v>-1.47858E-2</v>
      </c>
      <c r="AB153" s="22">
        <v>143</v>
      </c>
      <c r="AC153" s="22">
        <v>1.0788</v>
      </c>
      <c r="AD153">
        <f t="shared" si="28"/>
        <v>14.7858</v>
      </c>
      <c r="AE153">
        <f t="shared" si="29"/>
        <v>15.966593988000001</v>
      </c>
      <c r="AF153" s="9"/>
      <c r="AG153" s="22">
        <v>0.62011700000000003</v>
      </c>
      <c r="AH153" s="22">
        <v>108.378</v>
      </c>
      <c r="AI153" s="22">
        <v>-1.5042099999999999E-2</v>
      </c>
      <c r="AJ153" s="22">
        <v>143</v>
      </c>
      <c r="AK153" s="22">
        <v>0.61929299999999998</v>
      </c>
      <c r="AL153">
        <f t="shared" si="30"/>
        <v>15.0421</v>
      </c>
      <c r="AM153">
        <f t="shared" si="31"/>
        <v>9.3278619257000006</v>
      </c>
      <c r="AP153" s="9"/>
      <c r="AQ153" s="22">
        <v>1.07986</v>
      </c>
      <c r="AR153" s="22">
        <v>136.85900000000001</v>
      </c>
      <c r="AS153" s="22">
        <v>-1.4831499999999999E-2</v>
      </c>
      <c r="AT153" s="22">
        <v>143</v>
      </c>
      <c r="AU153" s="22">
        <v>1.0784899999999999</v>
      </c>
      <c r="AV153">
        <f t="shared" si="32"/>
        <v>14.831499999999998</v>
      </c>
      <c r="AW153">
        <f t="shared" si="33"/>
        <v>16.015943589999999</v>
      </c>
      <c r="AX153" s="9"/>
      <c r="AY153" s="22">
        <v>0.62011700000000003</v>
      </c>
      <c r="AZ153" s="22">
        <v>180.71299999999999</v>
      </c>
      <c r="BA153" s="22">
        <v>-1.51428E-2</v>
      </c>
      <c r="BB153" s="22">
        <v>143</v>
      </c>
      <c r="BC153" s="22">
        <v>0.61920200000000003</v>
      </c>
      <c r="BD153">
        <f t="shared" si="34"/>
        <v>15.142799999999999</v>
      </c>
      <c r="BE153">
        <f t="shared" si="35"/>
        <v>9.3903077075999999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12.8467</v>
      </c>
      <c r="I154" s="22">
        <v>-1.47186E-2</v>
      </c>
      <c r="J154" s="22">
        <v>144</v>
      </c>
      <c r="K154" s="22">
        <v>1.07361</v>
      </c>
      <c r="L154">
        <f t="shared" si="24"/>
        <v>14.7186</v>
      </c>
      <c r="M154">
        <f t="shared" si="25"/>
        <v>15.819992837999999</v>
      </c>
      <c r="N154" s="9"/>
      <c r="O154" s="22">
        <v>0.62515299999999996</v>
      </c>
      <c r="P154" s="22">
        <v>45.619799999999998</v>
      </c>
      <c r="Q154" s="22">
        <v>-1.4993299999999999E-2</v>
      </c>
      <c r="R154" s="22">
        <v>144</v>
      </c>
      <c r="S154" s="22">
        <v>0.62426800000000005</v>
      </c>
      <c r="T154">
        <f t="shared" si="26"/>
        <v>14.9933</v>
      </c>
      <c r="U154">
        <f t="shared" si="27"/>
        <v>9.3731064748999984</v>
      </c>
      <c r="X154" s="9"/>
      <c r="Y154" s="22">
        <v>1.07483</v>
      </c>
      <c r="Z154" s="22">
        <v>73.672799999999995</v>
      </c>
      <c r="AA154" s="22">
        <v>-1.47919E-2</v>
      </c>
      <c r="AB154" s="22">
        <v>144</v>
      </c>
      <c r="AC154" s="22">
        <v>1.07361</v>
      </c>
      <c r="AD154">
        <f t="shared" si="28"/>
        <v>14.7919</v>
      </c>
      <c r="AE154">
        <f t="shared" si="29"/>
        <v>15.898777876999999</v>
      </c>
      <c r="AF154" s="9"/>
      <c r="AG154" s="22">
        <v>0.62515299999999996</v>
      </c>
      <c r="AH154" s="22">
        <v>108.38800000000001</v>
      </c>
      <c r="AI154" s="22">
        <v>-1.50391E-2</v>
      </c>
      <c r="AJ154" s="22">
        <v>144</v>
      </c>
      <c r="AK154" s="22">
        <v>0.62426800000000005</v>
      </c>
      <c r="AL154">
        <f t="shared" si="30"/>
        <v>15.039099999999999</v>
      </c>
      <c r="AM154">
        <f t="shared" si="31"/>
        <v>9.401738482299999</v>
      </c>
      <c r="AP154" s="9"/>
      <c r="AQ154" s="22">
        <v>1.07483</v>
      </c>
      <c r="AR154" s="22">
        <v>136.869</v>
      </c>
      <c r="AS154" s="22">
        <v>-1.48346E-2</v>
      </c>
      <c r="AT154" s="22">
        <v>144</v>
      </c>
      <c r="AU154" s="22">
        <v>1.07361</v>
      </c>
      <c r="AV154">
        <f t="shared" si="32"/>
        <v>14.8346</v>
      </c>
      <c r="AW154">
        <f t="shared" si="33"/>
        <v>15.944673117999999</v>
      </c>
      <c r="AX154" s="9"/>
      <c r="AY154" s="22">
        <v>0.62515299999999996</v>
      </c>
      <c r="AZ154" s="22">
        <v>180.72300000000001</v>
      </c>
      <c r="BA154" s="22">
        <v>-1.5136699999999999E-2</v>
      </c>
      <c r="BB154" s="22">
        <v>144</v>
      </c>
      <c r="BC154" s="22">
        <v>0.62423700000000004</v>
      </c>
      <c r="BD154">
        <f t="shared" si="34"/>
        <v>15.136699999999999</v>
      </c>
      <c r="BE154">
        <f t="shared" si="35"/>
        <v>9.4627534150999981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12.8567</v>
      </c>
      <c r="I155" s="22">
        <v>-1.47247E-2</v>
      </c>
      <c r="J155" s="22">
        <v>145</v>
      </c>
      <c r="K155" s="22">
        <v>1.0678099999999999</v>
      </c>
      <c r="L155">
        <f t="shared" si="24"/>
        <v>14.7247</v>
      </c>
      <c r="M155">
        <f t="shared" si="25"/>
        <v>15.752336813000001</v>
      </c>
      <c r="N155" s="9"/>
      <c r="O155" s="22">
        <v>0.63018799999999997</v>
      </c>
      <c r="P155" s="22">
        <v>45.629800000000003</v>
      </c>
      <c r="Q155" s="22">
        <v>-1.4993299999999999E-2</v>
      </c>
      <c r="R155" s="22">
        <v>145</v>
      </c>
      <c r="S155" s="22">
        <v>0.62933300000000003</v>
      </c>
      <c r="T155">
        <f t="shared" si="26"/>
        <v>14.9933</v>
      </c>
      <c r="U155">
        <f t="shared" si="27"/>
        <v>9.4485977403999986</v>
      </c>
      <c r="X155" s="9"/>
      <c r="Y155" s="22">
        <v>1.06979</v>
      </c>
      <c r="Z155" s="22">
        <v>73.682900000000004</v>
      </c>
      <c r="AA155" s="22">
        <v>-1.47949E-2</v>
      </c>
      <c r="AB155" s="22">
        <v>145</v>
      </c>
      <c r="AC155" s="22">
        <v>1.06873</v>
      </c>
      <c r="AD155">
        <f t="shared" si="28"/>
        <v>14.7949</v>
      </c>
      <c r="AE155">
        <f t="shared" si="29"/>
        <v>15.827436071000001</v>
      </c>
      <c r="AF155" s="9"/>
      <c r="AG155" s="22">
        <v>0.63018799999999997</v>
      </c>
      <c r="AH155" s="22">
        <v>108.398</v>
      </c>
      <c r="AI155" s="22">
        <v>-1.5036000000000001E-2</v>
      </c>
      <c r="AJ155" s="22">
        <v>145</v>
      </c>
      <c r="AK155" s="22">
        <v>0.62933300000000003</v>
      </c>
      <c r="AL155">
        <f t="shared" si="30"/>
        <v>15.036000000000001</v>
      </c>
      <c r="AM155">
        <f t="shared" si="31"/>
        <v>9.4755067680000007</v>
      </c>
      <c r="AP155" s="9"/>
      <c r="AQ155" s="22">
        <v>1.06979</v>
      </c>
      <c r="AR155" s="22">
        <v>136.87899999999999</v>
      </c>
      <c r="AS155" s="22">
        <v>-1.48346E-2</v>
      </c>
      <c r="AT155" s="22">
        <v>145</v>
      </c>
      <c r="AU155" s="22">
        <v>1.06873</v>
      </c>
      <c r="AV155">
        <f t="shared" si="32"/>
        <v>14.8346</v>
      </c>
      <c r="AW155">
        <f t="shared" si="33"/>
        <v>15.869906734000001</v>
      </c>
      <c r="AX155" s="9"/>
      <c r="AY155" s="22">
        <v>0.63018799999999997</v>
      </c>
      <c r="AZ155" s="22">
        <v>180.733</v>
      </c>
      <c r="BA155" s="22">
        <v>-1.51337E-2</v>
      </c>
      <c r="BB155" s="22">
        <v>145</v>
      </c>
      <c r="BC155" s="22">
        <v>0.62921099999999996</v>
      </c>
      <c r="BD155">
        <f t="shared" si="34"/>
        <v>15.133699999999999</v>
      </c>
      <c r="BE155">
        <f t="shared" si="35"/>
        <v>9.5370761355999996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12.8668</v>
      </c>
      <c r="I156" s="22">
        <v>-1.4727799999999999E-2</v>
      </c>
      <c r="J156" s="22">
        <v>146</v>
      </c>
      <c r="K156" s="22">
        <v>1.0632299999999999</v>
      </c>
      <c r="L156">
        <f t="shared" si="24"/>
        <v>14.727799999999998</v>
      </c>
      <c r="M156">
        <f t="shared" si="25"/>
        <v>15.681572327999998</v>
      </c>
      <c r="N156" s="9"/>
      <c r="O156" s="22">
        <v>0.63522299999999998</v>
      </c>
      <c r="P156" s="22">
        <v>45.639899999999997</v>
      </c>
      <c r="Q156" s="22">
        <v>-1.4993299999999999E-2</v>
      </c>
      <c r="R156" s="22">
        <v>146</v>
      </c>
      <c r="S156" s="22">
        <v>0.63439900000000005</v>
      </c>
      <c r="T156">
        <f t="shared" si="26"/>
        <v>14.9933</v>
      </c>
      <c r="U156">
        <f t="shared" si="27"/>
        <v>9.5240890058999987</v>
      </c>
      <c r="X156" s="9"/>
      <c r="Y156" s="22">
        <v>1.0647599999999999</v>
      </c>
      <c r="Z156" s="22">
        <v>73.692899999999995</v>
      </c>
      <c r="AA156" s="22">
        <v>-1.4798E-2</v>
      </c>
      <c r="AB156" s="22">
        <v>146</v>
      </c>
      <c r="AC156" s="22">
        <v>1.0635399999999999</v>
      </c>
      <c r="AD156">
        <f t="shared" si="28"/>
        <v>14.798</v>
      </c>
      <c r="AE156">
        <f t="shared" si="29"/>
        <v>15.756318479999999</v>
      </c>
      <c r="AF156" s="9"/>
      <c r="AG156" s="22">
        <v>0.63522299999999998</v>
      </c>
      <c r="AH156" s="22">
        <v>108.408</v>
      </c>
      <c r="AI156" s="22">
        <v>-1.5036000000000001E-2</v>
      </c>
      <c r="AJ156" s="22">
        <v>146</v>
      </c>
      <c r="AK156" s="22">
        <v>0.63433799999999996</v>
      </c>
      <c r="AL156">
        <f t="shared" si="30"/>
        <v>15.036000000000001</v>
      </c>
      <c r="AM156">
        <f t="shared" si="31"/>
        <v>9.5512130280000012</v>
      </c>
      <c r="AP156" s="9"/>
      <c r="AQ156" s="22">
        <v>1.0647599999999999</v>
      </c>
      <c r="AR156" s="22">
        <v>136.88900000000001</v>
      </c>
      <c r="AS156" s="22">
        <v>-1.48407E-2</v>
      </c>
      <c r="AT156" s="22">
        <v>146</v>
      </c>
      <c r="AU156" s="22">
        <v>1.0632299999999999</v>
      </c>
      <c r="AV156">
        <f t="shared" si="32"/>
        <v>14.8407</v>
      </c>
      <c r="AW156">
        <f t="shared" si="33"/>
        <v>15.801783731999999</v>
      </c>
      <c r="AX156" s="9"/>
      <c r="AY156" s="22">
        <v>0.63522299999999998</v>
      </c>
      <c r="AZ156" s="22">
        <v>180.74299999999999</v>
      </c>
      <c r="BA156" s="22">
        <v>-1.51337E-2</v>
      </c>
      <c r="BB156" s="22">
        <v>146</v>
      </c>
      <c r="BC156" s="22">
        <v>0.63430799999999998</v>
      </c>
      <c r="BD156">
        <f t="shared" si="34"/>
        <v>15.133699999999999</v>
      </c>
      <c r="BE156">
        <f t="shared" si="35"/>
        <v>9.6132743151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12.876899999999999</v>
      </c>
      <c r="I157" s="22">
        <v>-1.47308E-2</v>
      </c>
      <c r="J157" s="22">
        <v>147</v>
      </c>
      <c r="K157" s="22">
        <v>1.0586500000000001</v>
      </c>
      <c r="L157">
        <f t="shared" si="24"/>
        <v>14.7308</v>
      </c>
      <c r="M157">
        <f t="shared" si="25"/>
        <v>15.610523376</v>
      </c>
      <c r="N157" s="9"/>
      <c r="O157" s="22">
        <v>0.64025900000000002</v>
      </c>
      <c r="P157" s="22">
        <v>45.65</v>
      </c>
      <c r="Q157" s="22">
        <v>-1.4987199999999999E-2</v>
      </c>
      <c r="R157" s="22">
        <v>147</v>
      </c>
      <c r="S157" s="22">
        <v>0.63931300000000002</v>
      </c>
      <c r="T157">
        <f t="shared" si="26"/>
        <v>14.9872</v>
      </c>
      <c r="U157">
        <f t="shared" si="27"/>
        <v>9.5956896848</v>
      </c>
      <c r="X157" s="9"/>
      <c r="Y157" s="22">
        <v>1.05972</v>
      </c>
      <c r="Z157" s="22">
        <v>73.703000000000003</v>
      </c>
      <c r="AA157" s="22">
        <v>-1.4804100000000001E-2</v>
      </c>
      <c r="AB157" s="22">
        <v>147</v>
      </c>
      <c r="AC157" s="22">
        <v>1.0589599999999999</v>
      </c>
      <c r="AD157">
        <f t="shared" si="28"/>
        <v>14.8041</v>
      </c>
      <c r="AE157">
        <f t="shared" si="29"/>
        <v>15.688200852</v>
      </c>
      <c r="AF157" s="9"/>
      <c r="AG157" s="22">
        <v>0.64025900000000002</v>
      </c>
      <c r="AH157" s="22">
        <v>108.41800000000001</v>
      </c>
      <c r="AI157" s="22">
        <v>-1.5032999999999999E-2</v>
      </c>
      <c r="AJ157" s="22">
        <v>147</v>
      </c>
      <c r="AK157" s="22">
        <v>0.63946499999999995</v>
      </c>
      <c r="AL157">
        <f t="shared" si="30"/>
        <v>15.032999999999999</v>
      </c>
      <c r="AM157">
        <f t="shared" si="31"/>
        <v>9.625013547</v>
      </c>
      <c r="AP157" s="9"/>
      <c r="AQ157" s="22">
        <v>1.05972</v>
      </c>
      <c r="AR157" s="22">
        <v>136.899</v>
      </c>
      <c r="AS157" s="22">
        <v>-1.48407E-2</v>
      </c>
      <c r="AT157" s="22">
        <v>147</v>
      </c>
      <c r="AU157" s="22">
        <v>1.0589599999999999</v>
      </c>
      <c r="AV157">
        <f t="shared" si="32"/>
        <v>14.8407</v>
      </c>
      <c r="AW157">
        <f t="shared" si="33"/>
        <v>15.726986604</v>
      </c>
      <c r="AX157" s="9"/>
      <c r="AY157" s="22">
        <v>0.64025900000000002</v>
      </c>
      <c r="AZ157" s="22">
        <v>180.75399999999999</v>
      </c>
      <c r="BA157" s="22">
        <v>-1.51276E-2</v>
      </c>
      <c r="BB157" s="22">
        <v>147</v>
      </c>
      <c r="BC157" s="22">
        <v>0.63931300000000002</v>
      </c>
      <c r="BD157">
        <f t="shared" si="34"/>
        <v>15.127599999999999</v>
      </c>
      <c r="BE157">
        <f t="shared" si="35"/>
        <v>9.6855820484000006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12.886900000000001</v>
      </c>
      <c r="I158" s="22">
        <v>-1.47308E-2</v>
      </c>
      <c r="J158" s="22">
        <v>148</v>
      </c>
      <c r="K158" s="22">
        <v>1.0540799999999999</v>
      </c>
      <c r="L158">
        <f t="shared" si="24"/>
        <v>14.7308</v>
      </c>
      <c r="M158">
        <f t="shared" si="25"/>
        <v>15.536427451999998</v>
      </c>
      <c r="N158" s="9"/>
      <c r="O158" s="22">
        <v>0.64529400000000003</v>
      </c>
      <c r="P158" s="22">
        <v>45.6601</v>
      </c>
      <c r="Q158" s="22">
        <v>-1.4987199999999999E-2</v>
      </c>
      <c r="R158" s="22">
        <v>148</v>
      </c>
      <c r="S158" s="22">
        <v>0.64446999999999999</v>
      </c>
      <c r="T158">
        <f t="shared" si="26"/>
        <v>14.9872</v>
      </c>
      <c r="U158">
        <f t="shared" si="27"/>
        <v>9.6711502368000009</v>
      </c>
      <c r="X158" s="9"/>
      <c r="Y158" s="22">
        <v>1.0546899999999999</v>
      </c>
      <c r="Z158" s="22">
        <v>73.713099999999997</v>
      </c>
      <c r="AA158" s="22">
        <v>-1.48071E-2</v>
      </c>
      <c r="AB158" s="22">
        <v>148</v>
      </c>
      <c r="AC158" s="22">
        <v>1.0534699999999999</v>
      </c>
      <c r="AD158">
        <f t="shared" si="28"/>
        <v>14.8071</v>
      </c>
      <c r="AE158">
        <f t="shared" si="29"/>
        <v>15.616900298999999</v>
      </c>
      <c r="AF158" s="9"/>
      <c r="AG158" s="22">
        <v>0.64529400000000003</v>
      </c>
      <c r="AH158" s="22">
        <v>108.428</v>
      </c>
      <c r="AI158" s="22">
        <v>-1.5029900000000001E-2</v>
      </c>
      <c r="AJ158" s="22">
        <v>148</v>
      </c>
      <c r="AK158" s="22">
        <v>0.64440900000000001</v>
      </c>
      <c r="AL158">
        <f t="shared" si="30"/>
        <v>15.029900000000001</v>
      </c>
      <c r="AM158">
        <f t="shared" si="31"/>
        <v>9.6987042906000021</v>
      </c>
      <c r="AP158" s="9"/>
      <c r="AQ158" s="22">
        <v>1.0546899999999999</v>
      </c>
      <c r="AR158" s="22">
        <v>136.90899999999999</v>
      </c>
      <c r="AS158" s="22">
        <v>-1.4843800000000001E-2</v>
      </c>
      <c r="AT158" s="22">
        <v>148</v>
      </c>
      <c r="AU158" s="22">
        <v>1.0534699999999999</v>
      </c>
      <c r="AV158">
        <f t="shared" si="32"/>
        <v>14.8438</v>
      </c>
      <c r="AW158">
        <f t="shared" si="33"/>
        <v>15.655607421999999</v>
      </c>
      <c r="AX158" s="9"/>
      <c r="AY158" s="22">
        <v>0.64529400000000003</v>
      </c>
      <c r="AZ158" s="22">
        <v>180.76400000000001</v>
      </c>
      <c r="BA158" s="22">
        <v>-1.51276E-2</v>
      </c>
      <c r="BB158" s="22">
        <v>148</v>
      </c>
      <c r="BC158" s="22">
        <v>0.64440900000000001</v>
      </c>
      <c r="BD158">
        <f t="shared" si="34"/>
        <v>15.127599999999999</v>
      </c>
      <c r="BE158">
        <f t="shared" si="35"/>
        <v>9.7617495143999999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12.897</v>
      </c>
      <c r="I159" s="22">
        <v>-1.4733899999999999E-2</v>
      </c>
      <c r="J159" s="22">
        <v>149</v>
      </c>
      <c r="K159" s="22">
        <v>1.0482800000000001</v>
      </c>
      <c r="L159">
        <f t="shared" si="24"/>
        <v>14.7339</v>
      </c>
      <c r="M159">
        <f t="shared" si="25"/>
        <v>15.465438134999999</v>
      </c>
      <c r="N159" s="9"/>
      <c r="O159" s="22">
        <v>0.65032999999999996</v>
      </c>
      <c r="P159" s="22">
        <v>45.670099999999998</v>
      </c>
      <c r="Q159" s="22">
        <v>-1.49841E-2</v>
      </c>
      <c r="R159" s="22">
        <v>149</v>
      </c>
      <c r="S159" s="22">
        <v>0.64938399999999996</v>
      </c>
      <c r="T159">
        <f t="shared" si="26"/>
        <v>14.9841</v>
      </c>
      <c r="U159">
        <f t="shared" si="27"/>
        <v>9.7446097529999989</v>
      </c>
      <c r="X159" s="9"/>
      <c r="Y159" s="22">
        <v>1.04965</v>
      </c>
      <c r="Z159" s="22">
        <v>73.723200000000006</v>
      </c>
      <c r="AA159" s="22">
        <v>-1.4810200000000001E-2</v>
      </c>
      <c r="AB159" s="22">
        <v>149</v>
      </c>
      <c r="AC159" s="22">
        <v>1.0479700000000001</v>
      </c>
      <c r="AD159">
        <f t="shared" si="28"/>
        <v>14.8102</v>
      </c>
      <c r="AE159">
        <f t="shared" si="29"/>
        <v>15.545526429999999</v>
      </c>
      <c r="AF159" s="9"/>
      <c r="AG159" s="22">
        <v>0.65032999999999996</v>
      </c>
      <c r="AH159" s="22">
        <v>108.438</v>
      </c>
      <c r="AI159" s="22">
        <v>-1.5026899999999999E-2</v>
      </c>
      <c r="AJ159" s="22">
        <v>149</v>
      </c>
      <c r="AK159" s="22">
        <v>0.64947500000000002</v>
      </c>
      <c r="AL159">
        <f t="shared" si="30"/>
        <v>15.026899999999999</v>
      </c>
      <c r="AM159">
        <f t="shared" si="31"/>
        <v>9.7724438769999988</v>
      </c>
      <c r="AP159" s="9"/>
      <c r="AQ159" s="22">
        <v>1.04965</v>
      </c>
      <c r="AR159" s="22">
        <v>136.91900000000001</v>
      </c>
      <c r="AS159" s="22">
        <v>-1.4849899999999999E-2</v>
      </c>
      <c r="AT159" s="22">
        <v>149</v>
      </c>
      <c r="AU159" s="22">
        <v>1.0479700000000001</v>
      </c>
      <c r="AV159">
        <f t="shared" si="32"/>
        <v>14.8499</v>
      </c>
      <c r="AW159">
        <f t="shared" si="33"/>
        <v>15.587197535</v>
      </c>
      <c r="AX159" s="9"/>
      <c r="AY159" s="22">
        <v>0.65032999999999996</v>
      </c>
      <c r="AZ159" s="22">
        <v>180.774</v>
      </c>
      <c r="BA159" s="22">
        <v>-1.51215E-2</v>
      </c>
      <c r="BB159" s="22">
        <v>149</v>
      </c>
      <c r="BC159" s="22">
        <v>0.64947500000000002</v>
      </c>
      <c r="BD159">
        <f t="shared" si="34"/>
        <v>15.121499999999999</v>
      </c>
      <c r="BE159">
        <f t="shared" si="35"/>
        <v>9.8339650949999982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12.9071</v>
      </c>
      <c r="I160" s="22">
        <v>-1.4736900000000001E-2</v>
      </c>
      <c r="J160" s="22">
        <v>150</v>
      </c>
      <c r="K160" s="22">
        <v>1.0437000000000001</v>
      </c>
      <c r="L160">
        <f t="shared" si="24"/>
        <v>14.7369</v>
      </c>
      <c r="M160">
        <f t="shared" si="25"/>
        <v>15.394460478000003</v>
      </c>
      <c r="N160" s="9"/>
      <c r="O160" s="22">
        <v>0.65536499999999998</v>
      </c>
      <c r="P160" s="22">
        <v>45.680199999999999</v>
      </c>
      <c r="Q160" s="22">
        <v>-1.4981100000000001E-2</v>
      </c>
      <c r="R160" s="22">
        <v>150</v>
      </c>
      <c r="S160" s="22">
        <v>0.65451000000000004</v>
      </c>
      <c r="T160">
        <f t="shared" si="26"/>
        <v>14.981100000000001</v>
      </c>
      <c r="U160">
        <f t="shared" si="27"/>
        <v>9.8180886015000013</v>
      </c>
      <c r="X160" s="9"/>
      <c r="Y160" s="22">
        <v>1.0446200000000001</v>
      </c>
      <c r="Z160" s="22">
        <v>73.733199999999997</v>
      </c>
      <c r="AA160" s="22">
        <v>-1.48132E-2</v>
      </c>
      <c r="AB160" s="22">
        <v>150</v>
      </c>
      <c r="AC160" s="22">
        <v>1.0430900000000001</v>
      </c>
      <c r="AD160">
        <f t="shared" si="28"/>
        <v>14.8132</v>
      </c>
      <c r="AE160">
        <f t="shared" si="29"/>
        <v>15.474164984000002</v>
      </c>
      <c r="AF160" s="9"/>
      <c r="AG160" s="22">
        <v>0.65536499999999998</v>
      </c>
      <c r="AH160" s="22">
        <v>108.44799999999999</v>
      </c>
      <c r="AI160" s="22">
        <v>-1.5020800000000001E-2</v>
      </c>
      <c r="AJ160" s="22">
        <v>150</v>
      </c>
      <c r="AK160" s="22">
        <v>0.65451000000000004</v>
      </c>
      <c r="AL160">
        <f t="shared" si="30"/>
        <v>15.020800000000001</v>
      </c>
      <c r="AM160">
        <f t="shared" si="31"/>
        <v>9.844106592000001</v>
      </c>
      <c r="AP160" s="9"/>
      <c r="AQ160" s="22">
        <v>1.0446200000000001</v>
      </c>
      <c r="AR160" s="22">
        <v>136.929</v>
      </c>
      <c r="AS160" s="22">
        <v>-1.48529E-2</v>
      </c>
      <c r="AT160" s="22">
        <v>150</v>
      </c>
      <c r="AU160" s="22">
        <v>1.0434000000000001</v>
      </c>
      <c r="AV160">
        <f t="shared" si="32"/>
        <v>14.8529</v>
      </c>
      <c r="AW160">
        <f t="shared" si="33"/>
        <v>15.515636398000002</v>
      </c>
      <c r="AX160" s="9"/>
      <c r="AY160" s="22">
        <v>0.65536499999999998</v>
      </c>
      <c r="AZ160" s="22">
        <v>180.78399999999999</v>
      </c>
      <c r="BA160" s="22">
        <v>-1.5118400000000001E-2</v>
      </c>
      <c r="BB160" s="22">
        <v>150</v>
      </c>
      <c r="BC160" s="22">
        <v>0.65466299999999999</v>
      </c>
      <c r="BD160">
        <f t="shared" si="34"/>
        <v>15.118400000000001</v>
      </c>
      <c r="BE160">
        <f t="shared" si="35"/>
        <v>9.9080702160000005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12.917199999999999</v>
      </c>
      <c r="I161" s="22">
        <v>-1.4736900000000001E-2</v>
      </c>
      <c r="J161" s="22">
        <v>151</v>
      </c>
      <c r="K161" s="22">
        <v>1.0379</v>
      </c>
      <c r="L161">
        <f t="shared" si="24"/>
        <v>14.7369</v>
      </c>
      <c r="M161">
        <f t="shared" si="25"/>
        <v>15.320186502</v>
      </c>
      <c r="N161" s="9"/>
      <c r="O161" s="22">
        <v>0.66039999999999999</v>
      </c>
      <c r="P161" s="22">
        <v>45.690300000000001</v>
      </c>
      <c r="Q161" s="22">
        <v>-1.4978E-2</v>
      </c>
      <c r="R161" s="22">
        <v>151</v>
      </c>
      <c r="S161" s="22">
        <v>0.65948499999999999</v>
      </c>
      <c r="T161">
        <f t="shared" si="26"/>
        <v>14.978</v>
      </c>
      <c r="U161">
        <f t="shared" si="27"/>
        <v>9.8914711999999998</v>
      </c>
      <c r="X161" s="9"/>
      <c r="Y161" s="22">
        <v>1.0395799999999999</v>
      </c>
      <c r="Z161" s="22">
        <v>73.743300000000005</v>
      </c>
      <c r="AA161" s="22">
        <v>-1.4816299999999999E-2</v>
      </c>
      <c r="AB161" s="22">
        <v>151</v>
      </c>
      <c r="AC161" s="22">
        <v>1.0382100000000001</v>
      </c>
      <c r="AD161">
        <f t="shared" si="28"/>
        <v>14.8163</v>
      </c>
      <c r="AE161">
        <f t="shared" si="29"/>
        <v>15.402729153999999</v>
      </c>
      <c r="AF161" s="9"/>
      <c r="AG161" s="22">
        <v>0.66039999999999999</v>
      </c>
      <c r="AH161" s="22">
        <v>108.458</v>
      </c>
      <c r="AI161" s="22">
        <v>-1.5020800000000001E-2</v>
      </c>
      <c r="AJ161" s="22">
        <v>151</v>
      </c>
      <c r="AK161" s="22">
        <v>0.65960700000000005</v>
      </c>
      <c r="AL161">
        <f t="shared" si="30"/>
        <v>15.020800000000001</v>
      </c>
      <c r="AM161">
        <f t="shared" si="31"/>
        <v>9.9197363200000002</v>
      </c>
      <c r="AP161" s="9"/>
      <c r="AQ161" s="22">
        <v>1.0395799999999999</v>
      </c>
      <c r="AR161" s="22">
        <v>136.93899999999999</v>
      </c>
      <c r="AS161" s="22">
        <v>-1.4855999999999999E-2</v>
      </c>
      <c r="AT161" s="22">
        <v>151</v>
      </c>
      <c r="AU161" s="22">
        <v>1.0379</v>
      </c>
      <c r="AV161">
        <f t="shared" si="32"/>
        <v>14.856</v>
      </c>
      <c r="AW161">
        <f t="shared" si="33"/>
        <v>15.44400048</v>
      </c>
      <c r="AX161" s="9"/>
      <c r="AY161" s="22">
        <v>0.66039999999999999</v>
      </c>
      <c r="AZ161" s="22">
        <v>180.79400000000001</v>
      </c>
      <c r="BA161" s="22">
        <v>-1.51123E-2</v>
      </c>
      <c r="BB161" s="22">
        <v>151</v>
      </c>
      <c r="BC161" s="22">
        <v>0.65948499999999999</v>
      </c>
      <c r="BD161">
        <f t="shared" si="34"/>
        <v>15.112300000000001</v>
      </c>
      <c r="BE161">
        <f t="shared" si="35"/>
        <v>9.9801629199999997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12.927199999999999</v>
      </c>
      <c r="I162" s="22">
        <v>-1.474E-2</v>
      </c>
      <c r="J162" s="22">
        <v>152</v>
      </c>
      <c r="K162" s="22">
        <v>1.03271</v>
      </c>
      <c r="L162">
        <f t="shared" si="24"/>
        <v>14.74</v>
      </c>
      <c r="M162">
        <f t="shared" si="25"/>
        <v>15.249267000000001</v>
      </c>
      <c r="N162" s="9"/>
      <c r="O162" s="22">
        <v>0.66543600000000003</v>
      </c>
      <c r="P162" s="22">
        <v>45.700299999999999</v>
      </c>
      <c r="Q162" s="22">
        <v>-1.4975E-2</v>
      </c>
      <c r="R162" s="22">
        <v>152</v>
      </c>
      <c r="S162" s="22">
        <v>0.66461199999999998</v>
      </c>
      <c r="T162">
        <f t="shared" si="26"/>
        <v>14.975</v>
      </c>
      <c r="U162">
        <f t="shared" si="27"/>
        <v>9.9649041</v>
      </c>
      <c r="X162" s="9"/>
      <c r="Y162" s="22">
        <v>1.0345500000000001</v>
      </c>
      <c r="Z162" s="22">
        <v>73.753399999999999</v>
      </c>
      <c r="AA162" s="22">
        <v>-1.4819300000000001E-2</v>
      </c>
      <c r="AB162" s="22">
        <v>152</v>
      </c>
      <c r="AC162" s="22">
        <v>1.03363</v>
      </c>
      <c r="AD162">
        <f t="shared" si="28"/>
        <v>14.8193</v>
      </c>
      <c r="AE162">
        <f t="shared" si="29"/>
        <v>15.331306815000001</v>
      </c>
      <c r="AF162" s="9"/>
      <c r="AG162" s="22">
        <v>0.66543600000000003</v>
      </c>
      <c r="AH162" s="22">
        <v>108.46899999999999</v>
      </c>
      <c r="AI162" s="22">
        <v>-1.50177E-2</v>
      </c>
      <c r="AJ162" s="22">
        <v>152</v>
      </c>
      <c r="AK162" s="22">
        <v>0.66464199999999996</v>
      </c>
      <c r="AL162">
        <f t="shared" si="30"/>
        <v>15.0177</v>
      </c>
      <c r="AM162">
        <f t="shared" si="31"/>
        <v>9.9933182172000006</v>
      </c>
      <c r="AP162" s="9"/>
      <c r="AQ162" s="22">
        <v>1.0345500000000001</v>
      </c>
      <c r="AR162" s="22">
        <v>136.94999999999999</v>
      </c>
      <c r="AS162" s="22">
        <v>-1.4855999999999999E-2</v>
      </c>
      <c r="AT162" s="22">
        <v>152</v>
      </c>
      <c r="AU162" s="22">
        <v>1.03302</v>
      </c>
      <c r="AV162">
        <f t="shared" si="32"/>
        <v>14.856</v>
      </c>
      <c r="AW162">
        <f t="shared" si="33"/>
        <v>15.369274800000001</v>
      </c>
      <c r="AX162" s="9"/>
      <c r="AY162" s="22">
        <v>0.66543600000000003</v>
      </c>
      <c r="AZ162" s="22">
        <v>180.804</v>
      </c>
      <c r="BA162" s="22">
        <v>-1.51062E-2</v>
      </c>
      <c r="BB162" s="22">
        <v>152</v>
      </c>
      <c r="BC162" s="22">
        <v>0.66449000000000003</v>
      </c>
      <c r="BD162">
        <f t="shared" si="34"/>
        <v>15.106199999999999</v>
      </c>
      <c r="BE162">
        <f t="shared" si="35"/>
        <v>10.0522093032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12.9373</v>
      </c>
      <c r="I163" s="22">
        <v>-1.47461E-2</v>
      </c>
      <c r="J163" s="22">
        <v>153</v>
      </c>
      <c r="K163" s="22">
        <v>1.0293600000000001</v>
      </c>
      <c r="L163">
        <f t="shared" si="24"/>
        <v>14.7461</v>
      </c>
      <c r="M163">
        <f t="shared" si="25"/>
        <v>15.181257410999999</v>
      </c>
      <c r="N163" s="9"/>
      <c r="O163" s="22">
        <v>0.67047100000000004</v>
      </c>
      <c r="P163" s="22">
        <v>45.7104</v>
      </c>
      <c r="Q163" s="22">
        <v>-1.49719E-2</v>
      </c>
      <c r="R163" s="22">
        <v>153</v>
      </c>
      <c r="S163" s="22">
        <v>0.669678</v>
      </c>
      <c r="T163">
        <f t="shared" si="26"/>
        <v>14.9719</v>
      </c>
      <c r="U163">
        <f t="shared" si="27"/>
        <v>10.038224764900001</v>
      </c>
      <c r="X163" s="9"/>
      <c r="Y163" s="22">
        <v>1.0295099999999999</v>
      </c>
      <c r="Z163" s="22">
        <v>73.763400000000004</v>
      </c>
      <c r="AA163" s="22">
        <v>-1.4822399999999999E-2</v>
      </c>
      <c r="AB163" s="22">
        <v>153</v>
      </c>
      <c r="AC163" s="22">
        <v>1.0281400000000001</v>
      </c>
      <c r="AD163">
        <f t="shared" si="28"/>
        <v>14.8224</v>
      </c>
      <c r="AE163">
        <f t="shared" si="29"/>
        <v>15.259809023999999</v>
      </c>
      <c r="AF163" s="9"/>
      <c r="AG163" s="22">
        <v>0.67047100000000004</v>
      </c>
      <c r="AH163" s="22">
        <v>108.479</v>
      </c>
      <c r="AI163" s="22">
        <v>-1.5014599999999999E-2</v>
      </c>
      <c r="AJ163" s="22">
        <v>153</v>
      </c>
      <c r="AK163" s="22">
        <v>0.66958600000000001</v>
      </c>
      <c r="AL163">
        <f t="shared" si="30"/>
        <v>15.0146</v>
      </c>
      <c r="AM163">
        <f t="shared" si="31"/>
        <v>10.0668538766</v>
      </c>
      <c r="AP163" s="9"/>
      <c r="AQ163" s="22">
        <v>1.0295099999999999</v>
      </c>
      <c r="AR163" s="22">
        <v>136.96</v>
      </c>
      <c r="AS163" s="22">
        <v>-1.48621E-2</v>
      </c>
      <c r="AT163" s="22">
        <v>153</v>
      </c>
      <c r="AU163" s="22">
        <v>1.0281400000000001</v>
      </c>
      <c r="AV163">
        <f t="shared" si="32"/>
        <v>14.8621</v>
      </c>
      <c r="AW163">
        <f t="shared" si="33"/>
        <v>15.300680570999999</v>
      </c>
      <c r="AX163" s="9"/>
      <c r="AY163" s="22">
        <v>0.67047100000000004</v>
      </c>
      <c r="AZ163" s="22">
        <v>180.81399999999999</v>
      </c>
      <c r="BA163" s="22">
        <v>-1.51031E-2</v>
      </c>
      <c r="BB163" s="22">
        <v>153</v>
      </c>
      <c r="BC163" s="22">
        <v>0.66970799999999997</v>
      </c>
      <c r="BD163">
        <f t="shared" si="34"/>
        <v>15.1031</v>
      </c>
      <c r="BE163">
        <f t="shared" si="35"/>
        <v>10.1261905601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12.9474</v>
      </c>
      <c r="I164" s="22">
        <v>-1.47461E-2</v>
      </c>
      <c r="J164" s="22">
        <v>154</v>
      </c>
      <c r="K164" s="22">
        <v>1.02325</v>
      </c>
      <c r="L164">
        <f t="shared" si="24"/>
        <v>14.7461</v>
      </c>
      <c r="M164">
        <f t="shared" si="25"/>
        <v>15.107084528000001</v>
      </c>
      <c r="N164" s="9"/>
      <c r="O164" s="22">
        <v>0.67550699999999997</v>
      </c>
      <c r="P164" s="22">
        <v>45.720500000000001</v>
      </c>
      <c r="Q164" s="22">
        <v>-1.49658E-2</v>
      </c>
      <c r="R164" s="22">
        <v>154</v>
      </c>
      <c r="S164" s="22">
        <v>0.67465200000000003</v>
      </c>
      <c r="T164">
        <f t="shared" si="26"/>
        <v>14.9658</v>
      </c>
      <c r="U164">
        <f t="shared" si="27"/>
        <v>10.109502660599999</v>
      </c>
      <c r="X164" s="9"/>
      <c r="Y164" s="22">
        <v>1.0244800000000001</v>
      </c>
      <c r="Z164" s="22">
        <v>73.773499999999999</v>
      </c>
      <c r="AA164" s="22">
        <v>-1.4825400000000001E-2</v>
      </c>
      <c r="AB164" s="22">
        <v>154</v>
      </c>
      <c r="AC164" s="22">
        <v>1.02264</v>
      </c>
      <c r="AD164">
        <f t="shared" si="28"/>
        <v>14.8254</v>
      </c>
      <c r="AE164">
        <f t="shared" si="29"/>
        <v>15.188325792000001</v>
      </c>
      <c r="AF164" s="9"/>
      <c r="AG164" s="22">
        <v>0.67550699999999997</v>
      </c>
      <c r="AH164" s="22">
        <v>108.489</v>
      </c>
      <c r="AI164" s="22">
        <v>-1.50116E-2</v>
      </c>
      <c r="AJ164" s="22">
        <v>154</v>
      </c>
      <c r="AK164" s="22">
        <v>0.67471300000000001</v>
      </c>
      <c r="AL164">
        <f t="shared" si="30"/>
        <v>15.0116</v>
      </c>
      <c r="AM164">
        <f t="shared" si="31"/>
        <v>10.1404408812</v>
      </c>
      <c r="AP164" s="9"/>
      <c r="AQ164" s="22">
        <v>1.0244800000000001</v>
      </c>
      <c r="AR164" s="22">
        <v>136.97</v>
      </c>
      <c r="AS164" s="22">
        <v>-1.4865099999999999E-2</v>
      </c>
      <c r="AT164" s="22">
        <v>154</v>
      </c>
      <c r="AU164" s="22">
        <v>1.02325</v>
      </c>
      <c r="AV164">
        <f t="shared" si="32"/>
        <v>14.8651</v>
      </c>
      <c r="AW164">
        <f t="shared" si="33"/>
        <v>15.228997648</v>
      </c>
      <c r="AX164" s="9"/>
      <c r="AY164" s="22">
        <v>0.67550699999999997</v>
      </c>
      <c r="AZ164" s="22">
        <v>180.82400000000001</v>
      </c>
      <c r="BA164" s="22">
        <v>-1.5096999999999999E-2</v>
      </c>
      <c r="BB164" s="22">
        <v>154</v>
      </c>
      <c r="BC164" s="22">
        <v>0.67465200000000003</v>
      </c>
      <c r="BD164">
        <f t="shared" si="34"/>
        <v>15.097</v>
      </c>
      <c r="BE164">
        <f t="shared" si="35"/>
        <v>10.198129178999999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12.9574</v>
      </c>
      <c r="I165" s="22">
        <v>-1.47522E-2</v>
      </c>
      <c r="J165" s="22">
        <v>155</v>
      </c>
      <c r="K165" s="22">
        <v>1.01807</v>
      </c>
      <c r="L165">
        <f t="shared" si="24"/>
        <v>14.7522</v>
      </c>
      <c r="M165">
        <f t="shared" si="25"/>
        <v>15.038982767999999</v>
      </c>
      <c r="N165" s="9"/>
      <c r="O165" s="22">
        <v>0.68054199999999998</v>
      </c>
      <c r="P165" s="22">
        <v>45.730600000000003</v>
      </c>
      <c r="Q165" s="22">
        <v>-1.4959699999999999E-2</v>
      </c>
      <c r="R165" s="22">
        <v>155</v>
      </c>
      <c r="S165" s="22">
        <v>0.67971800000000004</v>
      </c>
      <c r="T165">
        <f t="shared" si="26"/>
        <v>14.9597</v>
      </c>
      <c r="U165">
        <f t="shared" si="27"/>
        <v>10.180704157399999</v>
      </c>
      <c r="X165" s="9"/>
      <c r="Y165" s="22">
        <v>1.0194399999999999</v>
      </c>
      <c r="Z165" s="22">
        <v>73.783600000000007</v>
      </c>
      <c r="AA165" s="22">
        <v>-1.48285E-2</v>
      </c>
      <c r="AB165" s="22">
        <v>155</v>
      </c>
      <c r="AC165" s="22">
        <v>1.01807</v>
      </c>
      <c r="AD165">
        <f t="shared" si="28"/>
        <v>14.8285</v>
      </c>
      <c r="AE165">
        <f t="shared" si="29"/>
        <v>15.116766039999998</v>
      </c>
      <c r="AF165" s="9"/>
      <c r="AG165" s="22">
        <v>0.68054199999999998</v>
      </c>
      <c r="AH165" s="22">
        <v>108.499</v>
      </c>
      <c r="AI165" s="22">
        <v>-1.50055E-2</v>
      </c>
      <c r="AJ165" s="22">
        <v>155</v>
      </c>
      <c r="AK165" s="22">
        <v>0.67971800000000004</v>
      </c>
      <c r="AL165">
        <f t="shared" si="30"/>
        <v>15.0055</v>
      </c>
      <c r="AM165">
        <f t="shared" si="31"/>
        <v>10.211872980999999</v>
      </c>
      <c r="AP165" s="9"/>
      <c r="AQ165" s="22">
        <v>1.0194399999999999</v>
      </c>
      <c r="AR165" s="22">
        <v>136.97999999999999</v>
      </c>
      <c r="AS165" s="22">
        <v>-1.48682E-2</v>
      </c>
      <c r="AT165" s="22">
        <v>155</v>
      </c>
      <c r="AU165" s="22">
        <v>1.01807</v>
      </c>
      <c r="AV165">
        <f t="shared" si="32"/>
        <v>14.8682</v>
      </c>
      <c r="AW165">
        <f t="shared" si="33"/>
        <v>15.157237807999998</v>
      </c>
      <c r="AX165" s="9"/>
      <c r="AY165" s="22">
        <v>0.68054199999999998</v>
      </c>
      <c r="AZ165" s="22">
        <v>180.834</v>
      </c>
      <c r="BA165" s="22">
        <v>-1.5094E-2</v>
      </c>
      <c r="BB165" s="22">
        <v>155</v>
      </c>
      <c r="BC165" s="22">
        <v>0.67968799999999996</v>
      </c>
      <c r="BD165">
        <f t="shared" si="34"/>
        <v>15.093999999999999</v>
      </c>
      <c r="BE165">
        <f t="shared" si="35"/>
        <v>10.272100947999999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12.967499999999999</v>
      </c>
      <c r="I166" s="22">
        <v>-1.4749099999999999E-2</v>
      </c>
      <c r="J166" s="22">
        <v>156</v>
      </c>
      <c r="K166" s="22">
        <v>1.01349</v>
      </c>
      <c r="L166">
        <f t="shared" si="24"/>
        <v>14.749099999999999</v>
      </c>
      <c r="M166">
        <f t="shared" si="25"/>
        <v>14.961487039999998</v>
      </c>
      <c r="N166" s="9"/>
      <c r="O166" s="22">
        <v>0.68557699999999999</v>
      </c>
      <c r="P166" s="22">
        <v>45.740600000000001</v>
      </c>
      <c r="Q166" s="22">
        <v>-1.4953599999999999E-2</v>
      </c>
      <c r="R166" s="22">
        <v>156</v>
      </c>
      <c r="S166" s="22">
        <v>0.68469199999999997</v>
      </c>
      <c r="T166">
        <f t="shared" si="26"/>
        <v>14.9536</v>
      </c>
      <c r="U166">
        <f t="shared" si="27"/>
        <v>10.251844227199999</v>
      </c>
      <c r="X166" s="9"/>
      <c r="Y166" s="22">
        <v>1.0144</v>
      </c>
      <c r="Z166" s="22">
        <v>73.793599999999998</v>
      </c>
      <c r="AA166" s="22">
        <v>-1.48346E-2</v>
      </c>
      <c r="AB166" s="22">
        <v>156</v>
      </c>
      <c r="AC166" s="22">
        <v>1.01318</v>
      </c>
      <c r="AD166">
        <f t="shared" si="28"/>
        <v>14.8346</v>
      </c>
      <c r="AE166">
        <f t="shared" si="29"/>
        <v>15.048218239999999</v>
      </c>
      <c r="AF166" s="9"/>
      <c r="AG166" s="22">
        <v>0.68557699999999999</v>
      </c>
      <c r="AH166" s="22">
        <v>108.509</v>
      </c>
      <c r="AI166" s="22">
        <v>-1.50055E-2</v>
      </c>
      <c r="AJ166" s="22">
        <v>156</v>
      </c>
      <c r="AK166" s="22">
        <v>0.68469199999999997</v>
      </c>
      <c r="AL166">
        <f t="shared" si="30"/>
        <v>15.0055</v>
      </c>
      <c r="AM166">
        <f t="shared" si="31"/>
        <v>10.2874256735</v>
      </c>
      <c r="AP166" s="9"/>
      <c r="AQ166" s="22">
        <v>1.0144</v>
      </c>
      <c r="AR166" s="22">
        <v>136.99</v>
      </c>
      <c r="AS166" s="22">
        <v>-1.48743E-2</v>
      </c>
      <c r="AT166" s="22">
        <v>156</v>
      </c>
      <c r="AU166" s="22">
        <v>1.01318</v>
      </c>
      <c r="AV166">
        <f t="shared" si="32"/>
        <v>14.8743</v>
      </c>
      <c r="AW166">
        <f t="shared" si="33"/>
        <v>15.088489919999999</v>
      </c>
      <c r="AX166" s="9"/>
      <c r="AY166" s="22">
        <v>0.68557699999999999</v>
      </c>
      <c r="AZ166" s="22">
        <v>180.84399999999999</v>
      </c>
      <c r="BA166" s="22">
        <v>-1.5094E-2</v>
      </c>
      <c r="BB166" s="22">
        <v>156</v>
      </c>
      <c r="BC166" s="22">
        <v>0.68463099999999999</v>
      </c>
      <c r="BD166">
        <f t="shared" si="34"/>
        <v>15.093999999999999</v>
      </c>
      <c r="BE166">
        <f t="shared" si="35"/>
        <v>10.348099238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12.977600000000001</v>
      </c>
      <c r="I167" s="22">
        <v>-1.47522E-2</v>
      </c>
      <c r="J167" s="22">
        <v>157</v>
      </c>
      <c r="K167" s="22">
        <v>1.008</v>
      </c>
      <c r="L167">
        <f t="shared" si="24"/>
        <v>14.7522</v>
      </c>
      <c r="M167">
        <f t="shared" si="25"/>
        <v>14.890428114000002</v>
      </c>
      <c r="N167" s="9"/>
      <c r="O167" s="22">
        <v>0.69061300000000003</v>
      </c>
      <c r="P167" s="22">
        <v>45.750700000000002</v>
      </c>
      <c r="Q167" s="22">
        <v>-1.4947500000000001E-2</v>
      </c>
      <c r="R167" s="22">
        <v>157</v>
      </c>
      <c r="S167" s="22">
        <v>0.68975799999999998</v>
      </c>
      <c r="T167">
        <f t="shared" si="26"/>
        <v>14.947500000000002</v>
      </c>
      <c r="U167">
        <f t="shared" si="27"/>
        <v>10.322937817500002</v>
      </c>
      <c r="X167" s="9"/>
      <c r="Y167" s="22">
        <v>1.0093700000000001</v>
      </c>
      <c r="Z167" s="22">
        <v>73.803700000000006</v>
      </c>
      <c r="AA167" s="22">
        <v>-1.48407E-2</v>
      </c>
      <c r="AB167" s="22">
        <v>157</v>
      </c>
      <c r="AC167" s="22">
        <v>1.00708</v>
      </c>
      <c r="AD167">
        <f t="shared" si="28"/>
        <v>14.8407</v>
      </c>
      <c r="AE167">
        <f t="shared" si="29"/>
        <v>14.979757359000002</v>
      </c>
      <c r="AF167" s="9"/>
      <c r="AG167" s="22">
        <v>0.69061300000000003</v>
      </c>
      <c r="AH167" s="22">
        <v>108.51900000000001</v>
      </c>
      <c r="AI167" s="22">
        <v>-1.5002400000000001E-2</v>
      </c>
      <c r="AJ167" s="22">
        <v>157</v>
      </c>
      <c r="AK167" s="22">
        <v>0.68975799999999998</v>
      </c>
      <c r="AL167">
        <f t="shared" si="30"/>
        <v>15.002400000000002</v>
      </c>
      <c r="AM167">
        <f t="shared" si="31"/>
        <v>10.360852471200001</v>
      </c>
      <c r="AP167" s="9"/>
      <c r="AQ167" s="22">
        <v>1.0093700000000001</v>
      </c>
      <c r="AR167" s="22">
        <v>137</v>
      </c>
      <c r="AS167" s="22">
        <v>-1.48773E-2</v>
      </c>
      <c r="AT167" s="22">
        <v>157</v>
      </c>
      <c r="AU167" s="22">
        <v>1.00769</v>
      </c>
      <c r="AV167">
        <f t="shared" si="32"/>
        <v>14.8773</v>
      </c>
      <c r="AW167">
        <f t="shared" si="33"/>
        <v>15.016700301000002</v>
      </c>
      <c r="AX167" s="9"/>
      <c r="AY167" s="22">
        <v>0.69061300000000003</v>
      </c>
      <c r="AZ167" s="22">
        <v>180.85400000000001</v>
      </c>
      <c r="BA167" s="22">
        <v>-1.5094E-2</v>
      </c>
      <c r="BB167" s="22">
        <v>157</v>
      </c>
      <c r="BC167" s="22">
        <v>0.68988000000000005</v>
      </c>
      <c r="BD167">
        <f t="shared" si="34"/>
        <v>15.093999999999999</v>
      </c>
      <c r="BE167">
        <f t="shared" si="35"/>
        <v>10.424112622000001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12.9877</v>
      </c>
      <c r="I168" s="22">
        <v>-1.47552E-2</v>
      </c>
      <c r="J168" s="22">
        <v>158</v>
      </c>
      <c r="K168" s="22">
        <v>1.0031099999999999</v>
      </c>
      <c r="L168">
        <f t="shared" si="24"/>
        <v>14.7552</v>
      </c>
      <c r="M168">
        <f t="shared" si="25"/>
        <v>14.819090015999999</v>
      </c>
      <c r="N168" s="9"/>
      <c r="O168" s="22">
        <v>0.69564800000000004</v>
      </c>
      <c r="P168" s="22">
        <v>45.760800000000003</v>
      </c>
      <c r="Q168" s="22">
        <v>-1.4941400000000001E-2</v>
      </c>
      <c r="R168" s="22">
        <v>158</v>
      </c>
      <c r="S168" s="22">
        <v>0.69479400000000002</v>
      </c>
      <c r="T168">
        <f t="shared" si="26"/>
        <v>14.9414</v>
      </c>
      <c r="U168">
        <f t="shared" si="27"/>
        <v>10.393955027200001</v>
      </c>
      <c r="X168" s="9"/>
      <c r="Y168" s="22">
        <v>1.0043299999999999</v>
      </c>
      <c r="Z168" s="22">
        <v>73.813800000000001</v>
      </c>
      <c r="AA168" s="22">
        <v>-1.4843800000000001E-2</v>
      </c>
      <c r="AB168" s="22">
        <v>158</v>
      </c>
      <c r="AC168" s="22">
        <v>1.00342</v>
      </c>
      <c r="AD168">
        <f t="shared" si="28"/>
        <v>14.8438</v>
      </c>
      <c r="AE168">
        <f t="shared" si="29"/>
        <v>14.908073653999999</v>
      </c>
      <c r="AF168" s="9"/>
      <c r="AG168" s="22">
        <v>0.69564800000000004</v>
      </c>
      <c r="AH168" s="22">
        <v>108.529</v>
      </c>
      <c r="AI168" s="22">
        <v>-1.49994E-2</v>
      </c>
      <c r="AJ168" s="22">
        <v>158</v>
      </c>
      <c r="AK168" s="22">
        <v>0.694824</v>
      </c>
      <c r="AL168">
        <f t="shared" si="30"/>
        <v>14.9994</v>
      </c>
      <c r="AM168">
        <f t="shared" si="31"/>
        <v>10.4343026112</v>
      </c>
      <c r="AP168" s="9"/>
      <c r="AQ168" s="22">
        <v>1.0043299999999999</v>
      </c>
      <c r="AR168" s="22">
        <v>137.01</v>
      </c>
      <c r="AS168" s="22">
        <v>-1.48834E-2</v>
      </c>
      <c r="AT168" s="22">
        <v>158</v>
      </c>
      <c r="AU168" s="22">
        <v>1.0037199999999999</v>
      </c>
      <c r="AV168">
        <f t="shared" si="32"/>
        <v>14.8834</v>
      </c>
      <c r="AW168">
        <f t="shared" si="33"/>
        <v>14.947845121999999</v>
      </c>
      <c r="AX168" s="9"/>
      <c r="AY168" s="22">
        <v>0.69564800000000004</v>
      </c>
      <c r="AZ168" s="22">
        <v>180.864</v>
      </c>
      <c r="BA168" s="22">
        <v>-1.5094E-2</v>
      </c>
      <c r="BB168" s="22">
        <v>158</v>
      </c>
      <c r="BC168" s="22">
        <v>0.69476300000000002</v>
      </c>
      <c r="BD168">
        <f t="shared" si="34"/>
        <v>15.093999999999999</v>
      </c>
      <c r="BE168">
        <f t="shared" si="35"/>
        <v>10.500110912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12.9977</v>
      </c>
      <c r="I169" s="22">
        <v>-1.47583E-2</v>
      </c>
      <c r="J169" s="22">
        <v>159</v>
      </c>
      <c r="K169" s="22">
        <v>0.99822999999999995</v>
      </c>
      <c r="L169">
        <f t="shared" si="24"/>
        <v>14.7583</v>
      </c>
      <c r="M169">
        <f t="shared" si="25"/>
        <v>14.747939673400001</v>
      </c>
      <c r="N169" s="9"/>
      <c r="O169" s="22">
        <v>0.70068399999999997</v>
      </c>
      <c r="P169" s="22">
        <v>45.770800000000001</v>
      </c>
      <c r="Q169" s="22">
        <v>-1.4941400000000001E-2</v>
      </c>
      <c r="R169" s="22">
        <v>159</v>
      </c>
      <c r="S169" s="22">
        <v>0.69976799999999995</v>
      </c>
      <c r="T169">
        <f t="shared" si="26"/>
        <v>14.9414</v>
      </c>
      <c r="U169">
        <f t="shared" si="27"/>
        <v>10.469199917599999</v>
      </c>
      <c r="X169" s="9"/>
      <c r="Y169" s="22">
        <v>0.99929800000000002</v>
      </c>
      <c r="Z169" s="22">
        <v>73.823899999999995</v>
      </c>
      <c r="AA169" s="22">
        <v>-1.4843800000000001E-2</v>
      </c>
      <c r="AB169" s="22">
        <v>159</v>
      </c>
      <c r="AC169" s="22">
        <v>0.99761999999999995</v>
      </c>
      <c r="AD169">
        <f t="shared" si="28"/>
        <v>14.8438</v>
      </c>
      <c r="AE169">
        <f t="shared" si="29"/>
        <v>14.8333796524</v>
      </c>
      <c r="AF169" s="9"/>
      <c r="AG169" s="22">
        <v>0.70068399999999997</v>
      </c>
      <c r="AH169" s="22">
        <v>108.539</v>
      </c>
      <c r="AI169" s="22">
        <v>-1.49994E-2</v>
      </c>
      <c r="AJ169" s="22">
        <v>159</v>
      </c>
      <c r="AK169" s="22">
        <v>0.69973799999999997</v>
      </c>
      <c r="AL169">
        <f t="shared" si="30"/>
        <v>14.9994</v>
      </c>
      <c r="AM169">
        <f t="shared" si="31"/>
        <v>10.509839589599999</v>
      </c>
      <c r="AP169" s="9"/>
      <c r="AQ169" s="22">
        <v>0.99929800000000002</v>
      </c>
      <c r="AR169" s="22">
        <v>137.02000000000001</v>
      </c>
      <c r="AS169" s="22">
        <v>-1.48895E-2</v>
      </c>
      <c r="AT169" s="22">
        <v>159</v>
      </c>
      <c r="AU169" s="22">
        <v>0.99792499999999995</v>
      </c>
      <c r="AV169">
        <f t="shared" si="32"/>
        <v>14.8895</v>
      </c>
      <c r="AW169">
        <f t="shared" si="33"/>
        <v>14.879047571000001</v>
      </c>
      <c r="AX169" s="9"/>
      <c r="AY169" s="22">
        <v>0.70068399999999997</v>
      </c>
      <c r="AZ169" s="22">
        <v>180.874</v>
      </c>
      <c r="BA169" s="22">
        <v>-1.5094E-2</v>
      </c>
      <c r="BB169" s="22">
        <v>159</v>
      </c>
      <c r="BC169" s="22">
        <v>0.69986000000000004</v>
      </c>
      <c r="BD169">
        <f t="shared" si="34"/>
        <v>15.093999999999999</v>
      </c>
      <c r="BE169">
        <f t="shared" si="35"/>
        <v>10.576124296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13.0078</v>
      </c>
      <c r="I170" s="22">
        <v>-1.47644E-2</v>
      </c>
      <c r="J170" s="22">
        <v>160</v>
      </c>
      <c r="K170" s="22">
        <v>0.99365199999999998</v>
      </c>
      <c r="L170">
        <f t="shared" si="24"/>
        <v>14.7644</v>
      </c>
      <c r="M170">
        <f t="shared" si="25"/>
        <v>14.679696637200001</v>
      </c>
      <c r="N170" s="9"/>
      <c r="O170" s="22">
        <v>0.70571899999999999</v>
      </c>
      <c r="P170" s="22">
        <v>45.780900000000003</v>
      </c>
      <c r="Q170" s="22">
        <v>-1.4938399999999999E-2</v>
      </c>
      <c r="R170" s="22">
        <v>160</v>
      </c>
      <c r="S170" s="22">
        <v>0.70480299999999996</v>
      </c>
      <c r="T170">
        <f t="shared" si="26"/>
        <v>14.9384</v>
      </c>
      <c r="U170">
        <f t="shared" si="27"/>
        <v>10.542312709599999</v>
      </c>
      <c r="X170" s="9"/>
      <c r="Y170" s="22">
        <v>0.99426300000000001</v>
      </c>
      <c r="Z170" s="22">
        <v>73.8339</v>
      </c>
      <c r="AA170" s="22">
        <v>-1.4849899999999999E-2</v>
      </c>
      <c r="AB170" s="22">
        <v>160</v>
      </c>
      <c r="AC170" s="22">
        <v>0.99334699999999998</v>
      </c>
      <c r="AD170">
        <f t="shared" si="28"/>
        <v>14.8499</v>
      </c>
      <c r="AE170">
        <f t="shared" si="29"/>
        <v>14.7647061237</v>
      </c>
      <c r="AF170" s="9"/>
      <c r="AG170" s="22">
        <v>0.70571899999999999</v>
      </c>
      <c r="AH170" s="22">
        <v>108.54900000000001</v>
      </c>
      <c r="AI170" s="22">
        <v>-1.4993299999999999E-2</v>
      </c>
      <c r="AJ170" s="22">
        <v>160</v>
      </c>
      <c r="AK170" s="22">
        <v>0.70483399999999996</v>
      </c>
      <c r="AL170">
        <f t="shared" si="30"/>
        <v>14.9933</v>
      </c>
      <c r="AM170">
        <f t="shared" si="31"/>
        <v>10.5810566827</v>
      </c>
      <c r="AP170" s="9"/>
      <c r="AQ170" s="22">
        <v>0.99426300000000001</v>
      </c>
      <c r="AR170" s="22">
        <v>137.03</v>
      </c>
      <c r="AS170" s="22">
        <v>-1.4892600000000001E-2</v>
      </c>
      <c r="AT170" s="22">
        <v>160</v>
      </c>
      <c r="AU170" s="22">
        <v>0.99273699999999998</v>
      </c>
      <c r="AV170">
        <f t="shared" si="32"/>
        <v>14.8926</v>
      </c>
      <c r="AW170">
        <f t="shared" si="33"/>
        <v>14.807161153799999</v>
      </c>
      <c r="AX170" s="9"/>
      <c r="AY170" s="22">
        <v>0.70571899999999999</v>
      </c>
      <c r="AZ170" s="22">
        <v>180.88399999999999</v>
      </c>
      <c r="BA170" s="22">
        <v>-1.5090900000000001E-2</v>
      </c>
      <c r="BB170" s="22">
        <v>160</v>
      </c>
      <c r="BC170" s="22">
        <v>0.70498700000000003</v>
      </c>
      <c r="BD170">
        <f t="shared" si="34"/>
        <v>15.090900000000001</v>
      </c>
      <c r="BE170">
        <f t="shared" si="35"/>
        <v>10.6499348571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13.017899999999999</v>
      </c>
      <c r="I171" s="22">
        <v>-1.47644E-2</v>
      </c>
      <c r="J171" s="22">
        <v>161</v>
      </c>
      <c r="K171" s="22">
        <v>0.98815900000000001</v>
      </c>
      <c r="L171">
        <f t="shared" si="24"/>
        <v>14.7644</v>
      </c>
      <c r="M171">
        <f t="shared" si="25"/>
        <v>14.6053431188</v>
      </c>
      <c r="N171" s="9"/>
      <c r="O171" s="22">
        <v>0.710754</v>
      </c>
      <c r="P171" s="22">
        <v>45.790999999999997</v>
      </c>
      <c r="Q171" s="22">
        <v>-1.4941400000000001E-2</v>
      </c>
      <c r="R171" s="22">
        <v>161</v>
      </c>
      <c r="S171" s="22">
        <v>0.709839</v>
      </c>
      <c r="T171">
        <f t="shared" si="26"/>
        <v>14.9414</v>
      </c>
      <c r="U171">
        <f t="shared" si="27"/>
        <v>10.6196598156</v>
      </c>
      <c r="X171" s="9"/>
      <c r="Y171" s="22">
        <v>0.98922699999999997</v>
      </c>
      <c r="Z171" s="22">
        <v>73.843999999999994</v>
      </c>
      <c r="AA171" s="22">
        <v>-1.48529E-2</v>
      </c>
      <c r="AB171" s="22">
        <v>161</v>
      </c>
      <c r="AC171" s="22">
        <v>0.98785400000000001</v>
      </c>
      <c r="AD171">
        <f t="shared" si="28"/>
        <v>14.8529</v>
      </c>
      <c r="AE171">
        <f t="shared" si="29"/>
        <v>14.692889708299999</v>
      </c>
      <c r="AF171" s="9"/>
      <c r="AG171" s="22">
        <v>0.710754</v>
      </c>
      <c r="AH171" s="22">
        <v>108.559</v>
      </c>
      <c r="AI171" s="22">
        <v>-1.4987199999999999E-2</v>
      </c>
      <c r="AJ171" s="22">
        <v>161</v>
      </c>
      <c r="AK171" s="22">
        <v>0.70992999999999995</v>
      </c>
      <c r="AL171">
        <f t="shared" si="30"/>
        <v>14.9872</v>
      </c>
      <c r="AM171">
        <f t="shared" si="31"/>
        <v>10.652212348799999</v>
      </c>
      <c r="AP171" s="9"/>
      <c r="AQ171" s="22">
        <v>0.98922699999999997</v>
      </c>
      <c r="AR171" s="22">
        <v>137.04</v>
      </c>
      <c r="AS171" s="22">
        <v>-1.48895E-2</v>
      </c>
      <c r="AT171" s="22">
        <v>161</v>
      </c>
      <c r="AU171" s="22">
        <v>0.98846400000000001</v>
      </c>
      <c r="AV171">
        <f t="shared" si="32"/>
        <v>14.8895</v>
      </c>
      <c r="AW171">
        <f t="shared" si="33"/>
        <v>14.7290954165</v>
      </c>
      <c r="AX171" s="9"/>
      <c r="AY171" s="22">
        <v>0.710754</v>
      </c>
      <c r="AZ171" s="22">
        <v>180.89500000000001</v>
      </c>
      <c r="BA171" s="22">
        <v>-1.5081799999999999E-2</v>
      </c>
      <c r="BB171" s="22">
        <v>161</v>
      </c>
      <c r="BC171" s="22">
        <v>0.70992999999999995</v>
      </c>
      <c r="BD171">
        <f t="shared" si="34"/>
        <v>15.081799999999999</v>
      </c>
      <c r="BE171">
        <f t="shared" si="35"/>
        <v>10.7194496772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13.027900000000001</v>
      </c>
      <c r="I172" s="22">
        <v>-1.4770500000000001E-2</v>
      </c>
      <c r="J172" s="22">
        <v>162</v>
      </c>
      <c r="K172" s="22">
        <v>0.98266600000000004</v>
      </c>
      <c r="L172">
        <f t="shared" si="24"/>
        <v>14.7705</v>
      </c>
      <c r="M172">
        <f t="shared" si="25"/>
        <v>14.537007936</v>
      </c>
      <c r="N172" s="9"/>
      <c r="O172" s="22">
        <v>0.71579000000000004</v>
      </c>
      <c r="P172" s="22">
        <v>45.801099999999998</v>
      </c>
      <c r="Q172" s="22">
        <v>-1.4941400000000001E-2</v>
      </c>
      <c r="R172" s="22">
        <v>162</v>
      </c>
      <c r="S172" s="22">
        <v>0.71496599999999999</v>
      </c>
      <c r="T172">
        <f t="shared" si="26"/>
        <v>14.9414</v>
      </c>
      <c r="U172">
        <f t="shared" si="27"/>
        <v>10.694904706000001</v>
      </c>
      <c r="X172" s="9"/>
      <c r="Y172" s="22">
        <v>0.98419199999999996</v>
      </c>
      <c r="Z172" s="22">
        <v>73.854100000000003</v>
      </c>
      <c r="AA172" s="22">
        <v>-1.4855999999999999E-2</v>
      </c>
      <c r="AB172" s="22">
        <v>162</v>
      </c>
      <c r="AC172" s="22">
        <v>0.98266600000000004</v>
      </c>
      <c r="AD172">
        <f t="shared" si="28"/>
        <v>14.856</v>
      </c>
      <c r="AE172">
        <f t="shared" si="29"/>
        <v>14.621156352</v>
      </c>
      <c r="AF172" s="9"/>
      <c r="AG172" s="22">
        <v>0.71579000000000004</v>
      </c>
      <c r="AH172" s="22">
        <v>108.569</v>
      </c>
      <c r="AI172" s="22">
        <v>-1.4981100000000001E-2</v>
      </c>
      <c r="AJ172" s="22">
        <v>162</v>
      </c>
      <c r="AK172" s="22">
        <v>0.71493499999999999</v>
      </c>
      <c r="AL172">
        <f t="shared" si="30"/>
        <v>14.981100000000001</v>
      </c>
      <c r="AM172">
        <f t="shared" si="31"/>
        <v>10.723321569000001</v>
      </c>
      <c r="AP172" s="9"/>
      <c r="AQ172" s="22">
        <v>0.98419199999999996</v>
      </c>
      <c r="AR172" s="22">
        <v>137.05000000000001</v>
      </c>
      <c r="AS172" s="22">
        <v>-1.48895E-2</v>
      </c>
      <c r="AT172" s="22">
        <v>162</v>
      </c>
      <c r="AU172" s="22">
        <v>0.98297100000000004</v>
      </c>
      <c r="AV172">
        <f t="shared" si="32"/>
        <v>14.8895</v>
      </c>
      <c r="AW172">
        <f t="shared" si="33"/>
        <v>14.654126783999999</v>
      </c>
      <c r="AX172" s="9"/>
      <c r="AY172" s="22">
        <v>0.71579000000000004</v>
      </c>
      <c r="AZ172" s="22">
        <v>180.905</v>
      </c>
      <c r="BA172" s="22">
        <v>-1.50787E-2</v>
      </c>
      <c r="BB172" s="22">
        <v>162</v>
      </c>
      <c r="BC172" s="22">
        <v>0.71493499999999999</v>
      </c>
      <c r="BD172">
        <f t="shared" si="34"/>
        <v>15.078700000000001</v>
      </c>
      <c r="BE172">
        <f t="shared" si="35"/>
        <v>10.793182673000002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13.038</v>
      </c>
      <c r="I173" s="22">
        <v>-1.47736E-2</v>
      </c>
      <c r="J173" s="22">
        <v>163</v>
      </c>
      <c r="K173" s="22">
        <v>0.97778299999999996</v>
      </c>
      <c r="L173">
        <f t="shared" si="24"/>
        <v>14.7736</v>
      </c>
      <c r="M173">
        <f t="shared" si="25"/>
        <v>14.4656590816</v>
      </c>
      <c r="N173" s="9"/>
      <c r="O173" s="22">
        <v>0.72082500000000005</v>
      </c>
      <c r="P173" s="22">
        <v>45.811100000000003</v>
      </c>
      <c r="Q173" s="22">
        <v>-1.4938399999999999E-2</v>
      </c>
      <c r="R173" s="22">
        <v>163</v>
      </c>
      <c r="S173" s="22">
        <v>0.71994000000000002</v>
      </c>
      <c r="T173">
        <f t="shared" si="26"/>
        <v>14.9384</v>
      </c>
      <c r="U173">
        <f t="shared" si="27"/>
        <v>10.767972180000001</v>
      </c>
      <c r="X173" s="9"/>
      <c r="Y173" s="22">
        <v>0.97915600000000003</v>
      </c>
      <c r="Z173" s="22">
        <v>73.864099999999993</v>
      </c>
      <c r="AA173" s="22">
        <v>-1.4859000000000001E-2</v>
      </c>
      <c r="AB173" s="22">
        <v>163</v>
      </c>
      <c r="AC173" s="22">
        <v>0.97839399999999999</v>
      </c>
      <c r="AD173">
        <f t="shared" si="28"/>
        <v>14.859</v>
      </c>
      <c r="AE173">
        <f t="shared" si="29"/>
        <v>14.549279004000001</v>
      </c>
      <c r="AF173" s="9"/>
      <c r="AG173" s="22">
        <v>0.72082500000000005</v>
      </c>
      <c r="AH173" s="22">
        <v>108.57899999999999</v>
      </c>
      <c r="AI173" s="22">
        <v>-1.4978E-2</v>
      </c>
      <c r="AJ173" s="22">
        <v>163</v>
      </c>
      <c r="AK173" s="22">
        <v>0.72006199999999998</v>
      </c>
      <c r="AL173">
        <f t="shared" si="30"/>
        <v>14.978</v>
      </c>
      <c r="AM173">
        <f t="shared" si="31"/>
        <v>10.79651685</v>
      </c>
      <c r="AP173" s="9"/>
      <c r="AQ173" s="22">
        <v>0.97915600000000003</v>
      </c>
      <c r="AR173" s="22">
        <v>137.06</v>
      </c>
      <c r="AS173" s="22">
        <v>-1.48895E-2</v>
      </c>
      <c r="AT173" s="22">
        <v>163</v>
      </c>
      <c r="AU173" s="22">
        <v>0.97778299999999996</v>
      </c>
      <c r="AV173">
        <f t="shared" si="32"/>
        <v>14.8895</v>
      </c>
      <c r="AW173">
        <f t="shared" si="33"/>
        <v>14.579143262000001</v>
      </c>
      <c r="AX173" s="9"/>
      <c r="AY173" s="22">
        <v>0.72082500000000005</v>
      </c>
      <c r="AZ173" s="22">
        <v>180.91499999999999</v>
      </c>
      <c r="BA173" s="22">
        <v>-1.5075699999999999E-2</v>
      </c>
      <c r="BB173" s="22">
        <v>163</v>
      </c>
      <c r="BC173" s="22">
        <v>0.71991000000000005</v>
      </c>
      <c r="BD173">
        <f t="shared" si="34"/>
        <v>15.075699999999999</v>
      </c>
      <c r="BE173">
        <f t="shared" si="35"/>
        <v>10.866941452500001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13.0481</v>
      </c>
      <c r="I174" s="22">
        <v>-1.47736E-2</v>
      </c>
      <c r="J174" s="22">
        <v>164</v>
      </c>
      <c r="K174" s="22">
        <v>0.97320600000000002</v>
      </c>
      <c r="L174">
        <f t="shared" si="24"/>
        <v>14.7736</v>
      </c>
      <c r="M174">
        <f t="shared" si="25"/>
        <v>14.3912740056</v>
      </c>
      <c r="N174" s="9"/>
      <c r="O174" s="22">
        <v>0.72586099999999998</v>
      </c>
      <c r="P174" s="22">
        <v>45.821199999999997</v>
      </c>
      <c r="Q174" s="22">
        <v>-1.49353E-2</v>
      </c>
      <c r="R174" s="22">
        <v>164</v>
      </c>
      <c r="S174" s="22">
        <v>0.72500600000000004</v>
      </c>
      <c r="T174">
        <f t="shared" si="26"/>
        <v>14.9353</v>
      </c>
      <c r="U174">
        <f t="shared" si="27"/>
        <v>10.8409517933</v>
      </c>
      <c r="X174" s="9"/>
      <c r="Y174" s="22">
        <v>0.97412100000000001</v>
      </c>
      <c r="Z174" s="22">
        <v>73.874200000000002</v>
      </c>
      <c r="AA174" s="22">
        <v>-1.4865099999999999E-2</v>
      </c>
      <c r="AB174" s="22">
        <v>164</v>
      </c>
      <c r="AC174" s="22">
        <v>0.97320600000000002</v>
      </c>
      <c r="AD174">
        <f t="shared" si="28"/>
        <v>14.8651</v>
      </c>
      <c r="AE174">
        <f t="shared" si="29"/>
        <v>14.4804060771</v>
      </c>
      <c r="AF174" s="9"/>
      <c r="AG174" s="22">
        <v>0.72586099999999998</v>
      </c>
      <c r="AH174" s="22">
        <v>108.589</v>
      </c>
      <c r="AI174" s="22">
        <v>-1.4975E-2</v>
      </c>
      <c r="AJ174" s="22">
        <v>164</v>
      </c>
      <c r="AK174" s="22">
        <v>0.72503700000000004</v>
      </c>
      <c r="AL174">
        <f t="shared" si="30"/>
        <v>14.975</v>
      </c>
      <c r="AM174">
        <f t="shared" si="31"/>
        <v>10.869768474999999</v>
      </c>
      <c r="AP174" s="9"/>
      <c r="AQ174" s="22">
        <v>0.97412100000000001</v>
      </c>
      <c r="AR174" s="22">
        <v>137.07</v>
      </c>
      <c r="AS174" s="22">
        <v>-1.48865E-2</v>
      </c>
      <c r="AT174" s="22">
        <v>164</v>
      </c>
      <c r="AU174" s="22">
        <v>0.97320600000000002</v>
      </c>
      <c r="AV174">
        <f t="shared" si="32"/>
        <v>14.8865</v>
      </c>
      <c r="AW174">
        <f t="shared" si="33"/>
        <v>14.5012522665</v>
      </c>
      <c r="AX174" s="9"/>
      <c r="AY174" s="22">
        <v>0.72586099999999998</v>
      </c>
      <c r="AZ174" s="22">
        <v>180.92500000000001</v>
      </c>
      <c r="BA174" s="22">
        <v>-1.5075699999999999E-2</v>
      </c>
      <c r="BB174" s="22">
        <v>164</v>
      </c>
      <c r="BC174" s="22">
        <v>0.72494499999999995</v>
      </c>
      <c r="BD174">
        <f t="shared" si="34"/>
        <v>15.075699999999999</v>
      </c>
      <c r="BE174">
        <f t="shared" si="35"/>
        <v>10.942862677699999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13.058199999999999</v>
      </c>
      <c r="I175" s="22">
        <v>-1.47797E-2</v>
      </c>
      <c r="J175" s="22">
        <v>165</v>
      </c>
      <c r="K175" s="22">
        <v>0.96801800000000005</v>
      </c>
      <c r="L175">
        <f t="shared" si="24"/>
        <v>14.7797</v>
      </c>
      <c r="M175">
        <f t="shared" si="25"/>
        <v>14.3228003542</v>
      </c>
      <c r="N175" s="9"/>
      <c r="O175" s="22">
        <v>0.73089599999999999</v>
      </c>
      <c r="P175" s="22">
        <v>45.831299999999999</v>
      </c>
      <c r="Q175" s="22">
        <v>-1.4932300000000001E-2</v>
      </c>
      <c r="R175" s="22">
        <v>165</v>
      </c>
      <c r="S175" s="22">
        <v>0.73001099999999997</v>
      </c>
      <c r="T175">
        <f t="shared" si="26"/>
        <v>14.932300000000001</v>
      </c>
      <c r="U175">
        <f t="shared" si="27"/>
        <v>10.913958340800001</v>
      </c>
      <c r="X175" s="9"/>
      <c r="Y175" s="22">
        <v>0.969086</v>
      </c>
      <c r="Z175" s="22">
        <v>73.884299999999996</v>
      </c>
      <c r="AA175" s="22">
        <v>-1.4871199999999999E-2</v>
      </c>
      <c r="AB175" s="22">
        <v>165</v>
      </c>
      <c r="AC175" s="22">
        <v>0.96710200000000002</v>
      </c>
      <c r="AD175">
        <f t="shared" si="28"/>
        <v>14.8712</v>
      </c>
      <c r="AE175">
        <f t="shared" si="29"/>
        <v>14.4114717232</v>
      </c>
      <c r="AF175" s="9"/>
      <c r="AG175" s="22">
        <v>0.73089599999999999</v>
      </c>
      <c r="AH175" s="22">
        <v>108.599</v>
      </c>
      <c r="AI175" s="22">
        <v>-1.49719E-2</v>
      </c>
      <c r="AJ175" s="22">
        <v>165</v>
      </c>
      <c r="AK175" s="22">
        <v>0.73001099999999997</v>
      </c>
      <c r="AL175">
        <f t="shared" si="30"/>
        <v>14.9719</v>
      </c>
      <c r="AM175">
        <f t="shared" si="31"/>
        <v>10.9429018224</v>
      </c>
      <c r="AP175" s="9"/>
      <c r="AQ175" s="22">
        <v>0.969086</v>
      </c>
      <c r="AR175" s="22">
        <v>137.08000000000001</v>
      </c>
      <c r="AS175" s="22">
        <v>-1.48895E-2</v>
      </c>
      <c r="AT175" s="22">
        <v>165</v>
      </c>
      <c r="AU175" s="22">
        <v>0.96771200000000002</v>
      </c>
      <c r="AV175">
        <f t="shared" si="32"/>
        <v>14.8895</v>
      </c>
      <c r="AW175">
        <f t="shared" si="33"/>
        <v>14.429205997</v>
      </c>
      <c r="AX175" s="9"/>
      <c r="AY175" s="22">
        <v>0.73089599999999999</v>
      </c>
      <c r="AZ175" s="22">
        <v>180.935</v>
      </c>
      <c r="BA175" s="22">
        <v>-1.50726E-2</v>
      </c>
      <c r="BB175" s="22">
        <v>165</v>
      </c>
      <c r="BC175" s="22">
        <v>0.73001099999999997</v>
      </c>
      <c r="BD175">
        <f t="shared" si="34"/>
        <v>15.0726</v>
      </c>
      <c r="BE175">
        <f t="shared" si="35"/>
        <v>11.016503049599999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13.068199999999999</v>
      </c>
      <c r="I176" s="22">
        <v>-1.47797E-2</v>
      </c>
      <c r="J176" s="22">
        <v>166</v>
      </c>
      <c r="K176" s="22">
        <v>0.96252400000000005</v>
      </c>
      <c r="L176">
        <f t="shared" si="24"/>
        <v>14.7797</v>
      </c>
      <c r="M176">
        <f t="shared" si="25"/>
        <v>14.248369785</v>
      </c>
      <c r="N176" s="9"/>
      <c r="O176" s="22">
        <v>0.735931</v>
      </c>
      <c r="P176" s="22">
        <v>45.841299999999997</v>
      </c>
      <c r="Q176" s="22">
        <v>-1.49292E-2</v>
      </c>
      <c r="R176" s="22">
        <v>166</v>
      </c>
      <c r="S176" s="22">
        <v>0.73513799999999996</v>
      </c>
      <c r="T176">
        <f t="shared" si="26"/>
        <v>14.9292</v>
      </c>
      <c r="U176">
        <f t="shared" si="27"/>
        <v>10.986861085199999</v>
      </c>
      <c r="X176" s="9"/>
      <c r="Y176" s="22">
        <v>0.96404999999999996</v>
      </c>
      <c r="Z176" s="22">
        <v>73.894400000000005</v>
      </c>
      <c r="AA176" s="22">
        <v>-1.48743E-2</v>
      </c>
      <c r="AB176" s="22">
        <v>166</v>
      </c>
      <c r="AC176" s="22">
        <v>0.96252400000000005</v>
      </c>
      <c r="AD176">
        <f t="shared" si="28"/>
        <v>14.8743</v>
      </c>
      <c r="AE176">
        <f t="shared" si="29"/>
        <v>14.339568914999999</v>
      </c>
      <c r="AF176" s="9"/>
      <c r="AG176" s="22">
        <v>0.735931</v>
      </c>
      <c r="AH176" s="22">
        <v>108.61</v>
      </c>
      <c r="AI176" s="22">
        <v>-1.49658E-2</v>
      </c>
      <c r="AJ176" s="22">
        <v>166</v>
      </c>
      <c r="AK176" s="22">
        <v>0.73507699999999998</v>
      </c>
      <c r="AL176">
        <f t="shared" si="30"/>
        <v>14.9658</v>
      </c>
      <c r="AM176">
        <f t="shared" si="31"/>
        <v>11.0137961598</v>
      </c>
      <c r="AP176" s="9"/>
      <c r="AQ176" s="22">
        <v>0.96404999999999996</v>
      </c>
      <c r="AR176" s="22">
        <v>137.09100000000001</v>
      </c>
      <c r="AS176" s="22">
        <v>-1.4892600000000001E-2</v>
      </c>
      <c r="AT176" s="22">
        <v>166</v>
      </c>
      <c r="AU176" s="22">
        <v>0.96282999999999996</v>
      </c>
      <c r="AV176">
        <f t="shared" si="32"/>
        <v>14.8926</v>
      </c>
      <c r="AW176">
        <f t="shared" si="33"/>
        <v>14.357211029999998</v>
      </c>
      <c r="AX176" s="9"/>
      <c r="AY176" s="22">
        <v>0.735931</v>
      </c>
      <c r="AZ176" s="22">
        <v>180.94499999999999</v>
      </c>
      <c r="BA176" s="22">
        <v>-1.5069600000000001E-2</v>
      </c>
      <c r="BB176" s="22">
        <v>166</v>
      </c>
      <c r="BC176" s="22">
        <v>0.73507699999999998</v>
      </c>
      <c r="BD176">
        <f t="shared" si="34"/>
        <v>15.069600000000001</v>
      </c>
      <c r="BE176">
        <f t="shared" si="35"/>
        <v>11.0901857976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13.0783</v>
      </c>
      <c r="I177" s="22">
        <v>-1.47858E-2</v>
      </c>
      <c r="J177" s="22">
        <v>167</v>
      </c>
      <c r="K177" s="22">
        <v>0.95764199999999999</v>
      </c>
      <c r="L177">
        <f t="shared" si="24"/>
        <v>14.7858</v>
      </c>
      <c r="M177">
        <f t="shared" si="25"/>
        <v>14.179803987</v>
      </c>
      <c r="N177" s="9"/>
      <c r="O177" s="22">
        <v>0.74096700000000004</v>
      </c>
      <c r="P177" s="22">
        <v>45.851399999999998</v>
      </c>
      <c r="Q177" s="22">
        <v>-1.49292E-2</v>
      </c>
      <c r="R177" s="22">
        <v>167</v>
      </c>
      <c r="S177" s="22">
        <v>0.74017299999999997</v>
      </c>
      <c r="T177">
        <f t="shared" si="26"/>
        <v>14.9292</v>
      </c>
      <c r="U177">
        <f t="shared" si="27"/>
        <v>11.0620445364</v>
      </c>
      <c r="X177" s="9"/>
      <c r="Y177" s="22">
        <v>0.95901499999999995</v>
      </c>
      <c r="Z177" s="22">
        <v>73.904399999999995</v>
      </c>
      <c r="AA177" s="22">
        <v>-1.4871199999999999E-2</v>
      </c>
      <c r="AB177" s="22">
        <v>167</v>
      </c>
      <c r="AC177" s="22">
        <v>0.95764199999999999</v>
      </c>
      <c r="AD177">
        <f t="shared" si="28"/>
        <v>14.8712</v>
      </c>
      <c r="AE177">
        <f t="shared" si="29"/>
        <v>14.261703868</v>
      </c>
      <c r="AF177" s="9"/>
      <c r="AG177" s="22">
        <v>0.74096700000000004</v>
      </c>
      <c r="AH177" s="22">
        <v>108.62</v>
      </c>
      <c r="AI177" s="22">
        <v>-1.49658E-2</v>
      </c>
      <c r="AJ177" s="22">
        <v>167</v>
      </c>
      <c r="AK177" s="22">
        <v>0.74005100000000001</v>
      </c>
      <c r="AL177">
        <f t="shared" si="30"/>
        <v>14.9658</v>
      </c>
      <c r="AM177">
        <f t="shared" si="31"/>
        <v>11.0891639286</v>
      </c>
      <c r="AP177" s="9"/>
      <c r="AQ177" s="22">
        <v>0.95901499999999995</v>
      </c>
      <c r="AR177" s="22">
        <v>137.101</v>
      </c>
      <c r="AS177" s="22">
        <v>-1.48956E-2</v>
      </c>
      <c r="AT177" s="22">
        <v>167</v>
      </c>
      <c r="AU177" s="22">
        <v>0.95825199999999999</v>
      </c>
      <c r="AV177">
        <f t="shared" si="32"/>
        <v>14.8956</v>
      </c>
      <c r="AW177">
        <f t="shared" si="33"/>
        <v>14.285103833999999</v>
      </c>
      <c r="AX177" s="9"/>
      <c r="AY177" s="22">
        <v>0.74096700000000004</v>
      </c>
      <c r="AZ177" s="22">
        <v>180.95500000000001</v>
      </c>
      <c r="BA177" s="22">
        <v>-1.5069600000000001E-2</v>
      </c>
      <c r="BB177" s="22">
        <v>167</v>
      </c>
      <c r="BC177" s="22">
        <v>0.74011199999999999</v>
      </c>
      <c r="BD177">
        <f t="shared" si="34"/>
        <v>15.069600000000001</v>
      </c>
      <c r="BE177">
        <f t="shared" si="35"/>
        <v>11.166076303200002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13.0884</v>
      </c>
      <c r="I178" s="22">
        <v>-1.47888E-2</v>
      </c>
      <c r="J178" s="22">
        <v>168</v>
      </c>
      <c r="K178" s="22">
        <v>0.95336900000000002</v>
      </c>
      <c r="L178">
        <f t="shared" si="24"/>
        <v>14.7888</v>
      </c>
      <c r="M178">
        <f t="shared" si="25"/>
        <v>14.1082046352</v>
      </c>
      <c r="N178" s="9"/>
      <c r="O178" s="22">
        <v>0.74600200000000005</v>
      </c>
      <c r="P178" s="22">
        <v>45.861499999999999</v>
      </c>
      <c r="Q178" s="22">
        <v>-1.4926099999999999E-2</v>
      </c>
      <c r="R178" s="22">
        <v>168</v>
      </c>
      <c r="S178" s="22">
        <v>0.74511700000000003</v>
      </c>
      <c r="T178">
        <f t="shared" si="26"/>
        <v>14.9261</v>
      </c>
      <c r="U178">
        <f t="shared" si="27"/>
        <v>11.1349004522</v>
      </c>
      <c r="X178" s="9"/>
      <c r="Y178" s="22">
        <v>0.95397900000000002</v>
      </c>
      <c r="Z178" s="22">
        <v>73.914500000000004</v>
      </c>
      <c r="AA178" s="22">
        <v>-1.48743E-2</v>
      </c>
      <c r="AB178" s="22">
        <v>168</v>
      </c>
      <c r="AC178" s="22">
        <v>0.95214799999999999</v>
      </c>
      <c r="AD178">
        <f t="shared" si="28"/>
        <v>14.8743</v>
      </c>
      <c r="AE178">
        <f t="shared" si="29"/>
        <v>14.1897698397</v>
      </c>
      <c r="AF178" s="9"/>
      <c r="AG178" s="22">
        <v>0.74600200000000005</v>
      </c>
      <c r="AH178" s="22">
        <v>108.63</v>
      </c>
      <c r="AI178" s="22">
        <v>-1.49628E-2</v>
      </c>
      <c r="AJ178" s="22">
        <v>168</v>
      </c>
      <c r="AK178" s="22">
        <v>0.74502599999999997</v>
      </c>
      <c r="AL178">
        <f t="shared" si="30"/>
        <v>14.9628</v>
      </c>
      <c r="AM178">
        <f t="shared" si="31"/>
        <v>11.1622787256</v>
      </c>
      <c r="AP178" s="9"/>
      <c r="AQ178" s="22">
        <v>0.95397900000000002</v>
      </c>
      <c r="AR178" s="22">
        <v>137.11099999999999</v>
      </c>
      <c r="AS178" s="22">
        <v>-1.49017E-2</v>
      </c>
      <c r="AT178" s="22">
        <v>168</v>
      </c>
      <c r="AU178" s="22">
        <v>0.95306400000000002</v>
      </c>
      <c r="AV178">
        <f t="shared" si="32"/>
        <v>14.9017</v>
      </c>
      <c r="AW178">
        <f t="shared" si="33"/>
        <v>14.215908864300001</v>
      </c>
      <c r="AX178" s="9"/>
      <c r="AY178" s="22">
        <v>0.74600200000000005</v>
      </c>
      <c r="AZ178" s="22">
        <v>180.965</v>
      </c>
      <c r="BA178" s="22">
        <v>-1.50665E-2</v>
      </c>
      <c r="BB178" s="22">
        <v>168</v>
      </c>
      <c r="BC178" s="22">
        <v>0.74514800000000003</v>
      </c>
      <c r="BD178">
        <f t="shared" si="34"/>
        <v>15.0665</v>
      </c>
      <c r="BE178">
        <f t="shared" si="35"/>
        <v>11.239639133000001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13.0984</v>
      </c>
      <c r="I179" s="22">
        <v>-1.47919E-2</v>
      </c>
      <c r="J179" s="22">
        <v>169</v>
      </c>
      <c r="K179" s="22">
        <v>0.94879199999999997</v>
      </c>
      <c r="L179">
        <f t="shared" si="24"/>
        <v>14.7919</v>
      </c>
      <c r="M179">
        <f t="shared" si="25"/>
        <v>14.036684753599999</v>
      </c>
      <c r="N179" s="9"/>
      <c r="O179" s="22">
        <v>0.75103799999999998</v>
      </c>
      <c r="P179" s="22">
        <v>45.871600000000001</v>
      </c>
      <c r="Q179" s="22">
        <v>-1.4926099999999999E-2</v>
      </c>
      <c r="R179" s="22">
        <v>169</v>
      </c>
      <c r="S179" s="22">
        <v>0.75015299999999996</v>
      </c>
      <c r="T179">
        <f t="shared" si="26"/>
        <v>14.9261</v>
      </c>
      <c r="U179">
        <f t="shared" si="27"/>
        <v>11.210068291799999</v>
      </c>
      <c r="X179" s="9"/>
      <c r="Y179" s="22">
        <v>0.94894400000000001</v>
      </c>
      <c r="Z179" s="22">
        <v>73.924599999999998</v>
      </c>
      <c r="AA179" s="22">
        <v>-1.48743E-2</v>
      </c>
      <c r="AB179" s="22">
        <v>169</v>
      </c>
      <c r="AC179" s="22">
        <v>0.94787600000000005</v>
      </c>
      <c r="AD179">
        <f t="shared" si="28"/>
        <v>14.8743</v>
      </c>
      <c r="AE179">
        <f t="shared" si="29"/>
        <v>14.114877739200001</v>
      </c>
      <c r="AF179" s="9"/>
      <c r="AG179" s="22">
        <v>0.75103799999999998</v>
      </c>
      <c r="AH179" s="22">
        <v>108.64</v>
      </c>
      <c r="AI179" s="22">
        <v>-1.4959699999999999E-2</v>
      </c>
      <c r="AJ179" s="22">
        <v>169</v>
      </c>
      <c r="AK179" s="22">
        <v>0.75015299999999996</v>
      </c>
      <c r="AL179">
        <f t="shared" si="30"/>
        <v>14.9597</v>
      </c>
      <c r="AM179">
        <f t="shared" si="31"/>
        <v>11.2353031686</v>
      </c>
      <c r="AP179" s="9"/>
      <c r="AQ179" s="22">
        <v>0.94894400000000001</v>
      </c>
      <c r="AR179" s="22">
        <v>137.12100000000001</v>
      </c>
      <c r="AS179" s="22">
        <v>-1.4904799999999999E-2</v>
      </c>
      <c r="AT179" s="22">
        <v>169</v>
      </c>
      <c r="AU179" s="22">
        <v>0.94757100000000005</v>
      </c>
      <c r="AV179">
        <f t="shared" si="32"/>
        <v>14.9048</v>
      </c>
      <c r="AW179">
        <f t="shared" si="33"/>
        <v>14.143820531199999</v>
      </c>
      <c r="AX179" s="9"/>
      <c r="AY179" s="22">
        <v>0.75103799999999998</v>
      </c>
      <c r="AZ179" s="22">
        <v>180.97499999999999</v>
      </c>
      <c r="BA179" s="22">
        <v>-1.5063500000000001E-2</v>
      </c>
      <c r="BB179" s="22">
        <v>169</v>
      </c>
      <c r="BC179" s="22">
        <v>0.75015299999999996</v>
      </c>
      <c r="BD179">
        <f t="shared" si="34"/>
        <v>15.063500000000001</v>
      </c>
      <c r="BE179">
        <f t="shared" si="35"/>
        <v>11.313260913000001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13.108499999999999</v>
      </c>
      <c r="I180" s="22">
        <v>-1.47919E-2</v>
      </c>
      <c r="J180" s="22">
        <v>170</v>
      </c>
      <c r="K180" s="22">
        <v>0.94238299999999997</v>
      </c>
      <c r="L180">
        <f t="shared" si="24"/>
        <v>14.7919</v>
      </c>
      <c r="M180">
        <f t="shared" si="25"/>
        <v>13.962207537099999</v>
      </c>
      <c r="N180" s="9"/>
      <c r="O180" s="22">
        <v>0.756073</v>
      </c>
      <c r="P180" s="22">
        <v>45.881599999999999</v>
      </c>
      <c r="Q180" s="22">
        <v>-1.4919999999999999E-2</v>
      </c>
      <c r="R180" s="22">
        <v>170</v>
      </c>
      <c r="S180" s="22">
        <v>0.75531000000000004</v>
      </c>
      <c r="T180">
        <f t="shared" si="26"/>
        <v>14.92</v>
      </c>
      <c r="U180">
        <f t="shared" si="27"/>
        <v>11.280609159999999</v>
      </c>
      <c r="X180" s="9"/>
      <c r="Y180" s="22">
        <v>0.943909</v>
      </c>
      <c r="Z180" s="22">
        <v>73.934600000000003</v>
      </c>
      <c r="AA180" s="22">
        <v>-1.48804E-2</v>
      </c>
      <c r="AB180" s="22">
        <v>170</v>
      </c>
      <c r="AC180" s="22">
        <v>0.94238299999999997</v>
      </c>
      <c r="AD180">
        <f t="shared" si="28"/>
        <v>14.8804</v>
      </c>
      <c r="AE180">
        <f t="shared" si="29"/>
        <v>14.045743483599999</v>
      </c>
      <c r="AF180" s="9"/>
      <c r="AG180" s="22">
        <v>0.756073</v>
      </c>
      <c r="AH180" s="22">
        <v>108.65</v>
      </c>
      <c r="AI180" s="22">
        <v>-1.4953599999999999E-2</v>
      </c>
      <c r="AJ180" s="22">
        <v>170</v>
      </c>
      <c r="AK180" s="22">
        <v>0.75500500000000004</v>
      </c>
      <c r="AL180">
        <f t="shared" si="30"/>
        <v>14.9536</v>
      </c>
      <c r="AM180">
        <f t="shared" si="31"/>
        <v>11.3060132128</v>
      </c>
      <c r="AP180" s="9"/>
      <c r="AQ180" s="22">
        <v>0.943909</v>
      </c>
      <c r="AR180" s="22">
        <v>137.131</v>
      </c>
      <c r="AS180" s="22">
        <v>-1.49109E-2</v>
      </c>
      <c r="AT180" s="22">
        <v>170</v>
      </c>
      <c r="AU180" s="22">
        <v>0.94268799999999997</v>
      </c>
      <c r="AV180">
        <f t="shared" si="32"/>
        <v>14.9109</v>
      </c>
      <c r="AW180">
        <f t="shared" si="33"/>
        <v>14.0745327081</v>
      </c>
      <c r="AX180" s="9"/>
      <c r="AY180" s="22">
        <v>0.756073</v>
      </c>
      <c r="AZ180" s="22">
        <v>180.98500000000001</v>
      </c>
      <c r="BA180" s="22">
        <v>-1.50604E-2</v>
      </c>
      <c r="BB180" s="22">
        <v>170</v>
      </c>
      <c r="BC180" s="22">
        <v>0.75531000000000004</v>
      </c>
      <c r="BD180">
        <f t="shared" si="34"/>
        <v>15.0604</v>
      </c>
      <c r="BE180">
        <f t="shared" si="35"/>
        <v>11.386761809199999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13.118600000000001</v>
      </c>
      <c r="I181" s="22">
        <v>-1.4798E-2</v>
      </c>
      <c r="J181" s="22">
        <v>171</v>
      </c>
      <c r="K181" s="22">
        <v>0.9375</v>
      </c>
      <c r="L181">
        <f t="shared" si="24"/>
        <v>14.798</v>
      </c>
      <c r="M181">
        <f t="shared" si="25"/>
        <v>13.893442653999999</v>
      </c>
      <c r="N181" s="9"/>
      <c r="O181" s="22">
        <v>0.76110800000000001</v>
      </c>
      <c r="P181" s="22">
        <v>45.8917</v>
      </c>
      <c r="Q181" s="22">
        <v>-1.4919999999999999E-2</v>
      </c>
      <c r="R181" s="22">
        <v>171</v>
      </c>
      <c r="S181" s="22">
        <v>0.75988800000000001</v>
      </c>
      <c r="T181">
        <f t="shared" si="26"/>
        <v>14.92</v>
      </c>
      <c r="U181">
        <f t="shared" si="27"/>
        <v>11.35573136</v>
      </c>
      <c r="X181" s="9"/>
      <c r="Y181" s="22">
        <v>0.93887299999999996</v>
      </c>
      <c r="Z181" s="22">
        <v>73.944699999999997</v>
      </c>
      <c r="AA181" s="22">
        <v>-1.48865E-2</v>
      </c>
      <c r="AB181" s="22">
        <v>171</v>
      </c>
      <c r="AC181" s="22">
        <v>0.93811</v>
      </c>
      <c r="AD181">
        <f t="shared" si="28"/>
        <v>14.8865</v>
      </c>
      <c r="AE181">
        <f t="shared" si="29"/>
        <v>13.9765329145</v>
      </c>
      <c r="AF181" s="9"/>
      <c r="AG181" s="22">
        <v>0.76110800000000001</v>
      </c>
      <c r="AH181" s="22">
        <v>108.66</v>
      </c>
      <c r="AI181" s="22">
        <v>-1.4947500000000001E-2</v>
      </c>
      <c r="AJ181" s="22">
        <v>171</v>
      </c>
      <c r="AK181" s="22">
        <v>0.75988800000000001</v>
      </c>
      <c r="AL181">
        <f t="shared" si="30"/>
        <v>14.947500000000002</v>
      </c>
      <c r="AM181">
        <f t="shared" si="31"/>
        <v>11.376661830000002</v>
      </c>
      <c r="AP181" s="9"/>
      <c r="AQ181" s="22">
        <v>0.93887299999999996</v>
      </c>
      <c r="AR181" s="22">
        <v>137.14099999999999</v>
      </c>
      <c r="AS181" s="22">
        <v>-1.49109E-2</v>
      </c>
      <c r="AT181" s="22">
        <v>171</v>
      </c>
      <c r="AU181" s="22">
        <v>0.937805</v>
      </c>
      <c r="AV181">
        <f t="shared" si="32"/>
        <v>14.9109</v>
      </c>
      <c r="AW181">
        <f t="shared" si="33"/>
        <v>13.9994414157</v>
      </c>
      <c r="AX181" s="9"/>
      <c r="AY181" s="22">
        <v>0.76110800000000001</v>
      </c>
      <c r="AZ181" s="22">
        <v>180.995</v>
      </c>
      <c r="BA181" s="22">
        <v>-1.50513E-2</v>
      </c>
      <c r="BB181" s="22">
        <v>171</v>
      </c>
      <c r="BC181" s="22">
        <v>0.75958300000000001</v>
      </c>
      <c r="BD181">
        <f t="shared" si="34"/>
        <v>15.051299999999999</v>
      </c>
      <c r="BE181">
        <f t="shared" si="35"/>
        <v>11.455664840399999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13.1286</v>
      </c>
      <c r="I182" s="22">
        <v>-1.4801E-2</v>
      </c>
      <c r="J182" s="22">
        <v>172</v>
      </c>
      <c r="K182" s="22">
        <v>0.93292200000000003</v>
      </c>
      <c r="L182">
        <f t="shared" si="24"/>
        <v>14.801</v>
      </c>
      <c r="M182">
        <f t="shared" si="25"/>
        <v>13.821736238</v>
      </c>
      <c r="N182" s="9"/>
      <c r="O182" s="22">
        <v>0.76614400000000005</v>
      </c>
      <c r="P182" s="22">
        <v>45.901800000000001</v>
      </c>
      <c r="Q182" s="22">
        <v>-1.4913900000000001E-2</v>
      </c>
      <c r="R182" s="22">
        <v>172</v>
      </c>
      <c r="S182" s="22">
        <v>0.76446499999999995</v>
      </c>
      <c r="T182">
        <f t="shared" si="26"/>
        <v>14.9139</v>
      </c>
      <c r="U182">
        <f t="shared" si="27"/>
        <v>11.4261950016</v>
      </c>
      <c r="X182" s="9"/>
      <c r="Y182" s="22">
        <v>0.93383799999999995</v>
      </c>
      <c r="Z182" s="22">
        <v>73.954800000000006</v>
      </c>
      <c r="AA182" s="22">
        <v>-1.4892600000000001E-2</v>
      </c>
      <c r="AB182" s="22">
        <v>172</v>
      </c>
      <c r="AC182" s="22">
        <v>0.93231200000000003</v>
      </c>
      <c r="AD182">
        <f t="shared" si="28"/>
        <v>14.8926</v>
      </c>
      <c r="AE182">
        <f t="shared" si="29"/>
        <v>13.907275798799999</v>
      </c>
      <c r="AF182" s="9"/>
      <c r="AG182" s="22">
        <v>0.76614400000000005</v>
      </c>
      <c r="AH182" s="22">
        <v>108.67</v>
      </c>
      <c r="AI182" s="22">
        <v>-1.4944499999999999E-2</v>
      </c>
      <c r="AJ182" s="22">
        <v>172</v>
      </c>
      <c r="AK182" s="22">
        <v>0.76507599999999998</v>
      </c>
      <c r="AL182">
        <f t="shared" si="30"/>
        <v>14.9445</v>
      </c>
      <c r="AM182">
        <f t="shared" si="31"/>
        <v>11.449639008</v>
      </c>
      <c r="AP182" s="9"/>
      <c r="AQ182" s="22">
        <v>0.93383799999999995</v>
      </c>
      <c r="AR182" s="22">
        <v>137.15100000000001</v>
      </c>
      <c r="AS182" s="22">
        <v>-1.4917E-2</v>
      </c>
      <c r="AT182" s="22">
        <v>172</v>
      </c>
      <c r="AU182" s="22">
        <v>0.93261700000000003</v>
      </c>
      <c r="AV182">
        <f t="shared" si="32"/>
        <v>14.917</v>
      </c>
      <c r="AW182">
        <f t="shared" si="33"/>
        <v>13.930061446</v>
      </c>
      <c r="AX182" s="9"/>
      <c r="AY182" s="22">
        <v>0.76614400000000005</v>
      </c>
      <c r="AZ182" s="22">
        <v>181.005</v>
      </c>
      <c r="BA182" s="22">
        <v>-1.50452E-2</v>
      </c>
      <c r="BB182" s="22">
        <v>172</v>
      </c>
      <c r="BC182" s="22">
        <v>0.76538099999999998</v>
      </c>
      <c r="BD182">
        <f t="shared" si="34"/>
        <v>15.045199999999999</v>
      </c>
      <c r="BE182">
        <f t="shared" si="35"/>
        <v>11.526789708800001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13.1387</v>
      </c>
      <c r="I183" s="22">
        <v>-1.4804100000000001E-2</v>
      </c>
      <c r="J183" s="22">
        <v>173</v>
      </c>
      <c r="K183" s="22">
        <v>0.92803999999999998</v>
      </c>
      <c r="L183">
        <f t="shared" si="24"/>
        <v>14.8041</v>
      </c>
      <c r="M183">
        <f t="shared" si="25"/>
        <v>13.750077688200001</v>
      </c>
      <c r="N183" s="9"/>
      <c r="O183" s="22">
        <v>0.77117899999999995</v>
      </c>
      <c r="P183" s="22">
        <v>45.911799999999999</v>
      </c>
      <c r="Q183" s="22">
        <v>-1.4913900000000001E-2</v>
      </c>
      <c r="R183" s="22">
        <v>173</v>
      </c>
      <c r="S183" s="22">
        <v>0.76995800000000003</v>
      </c>
      <c r="T183">
        <f t="shared" si="26"/>
        <v>14.9139</v>
      </c>
      <c r="U183">
        <f t="shared" si="27"/>
        <v>11.5012864881</v>
      </c>
      <c r="X183" s="9"/>
      <c r="Y183" s="22">
        <v>0.92880200000000002</v>
      </c>
      <c r="Z183" s="22">
        <v>73.9649</v>
      </c>
      <c r="AA183" s="22">
        <v>-1.4892600000000001E-2</v>
      </c>
      <c r="AB183" s="22">
        <v>173</v>
      </c>
      <c r="AC183" s="22">
        <v>0.92742899999999995</v>
      </c>
      <c r="AD183">
        <f t="shared" si="28"/>
        <v>14.8926</v>
      </c>
      <c r="AE183">
        <f t="shared" si="29"/>
        <v>13.8322766652</v>
      </c>
      <c r="AF183" s="9"/>
      <c r="AG183" s="22">
        <v>0.77117899999999995</v>
      </c>
      <c r="AH183" s="22">
        <v>108.68</v>
      </c>
      <c r="AI183" s="22">
        <v>-1.4941400000000001E-2</v>
      </c>
      <c r="AJ183" s="22">
        <v>173</v>
      </c>
      <c r="AK183" s="22">
        <v>0.76995800000000003</v>
      </c>
      <c r="AL183">
        <f t="shared" si="30"/>
        <v>14.9414</v>
      </c>
      <c r="AM183">
        <f t="shared" si="31"/>
        <v>11.5224939106</v>
      </c>
      <c r="AP183" s="9"/>
      <c r="AQ183" s="22">
        <v>0.92880200000000002</v>
      </c>
      <c r="AR183" s="22">
        <v>137.161</v>
      </c>
      <c r="AS183" s="22">
        <v>-1.4913900000000001E-2</v>
      </c>
      <c r="AT183" s="22">
        <v>173</v>
      </c>
      <c r="AU183" s="22">
        <v>0.92742899999999995</v>
      </c>
      <c r="AV183">
        <f t="shared" si="32"/>
        <v>14.9139</v>
      </c>
      <c r="AW183">
        <f t="shared" si="33"/>
        <v>13.8520601478</v>
      </c>
      <c r="AX183" s="9"/>
      <c r="AY183" s="22">
        <v>0.77117899999999995</v>
      </c>
      <c r="AZ183" s="22">
        <v>181.01499999999999</v>
      </c>
      <c r="BA183" s="22">
        <v>-1.5042099999999999E-2</v>
      </c>
      <c r="BB183" s="22">
        <v>173</v>
      </c>
      <c r="BC183" s="22">
        <v>0.77056899999999995</v>
      </c>
      <c r="BD183">
        <f t="shared" si="34"/>
        <v>15.0421</v>
      </c>
      <c r="BE183">
        <f t="shared" si="35"/>
        <v>11.6001516359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13.1488</v>
      </c>
      <c r="I184" s="22">
        <v>-1.4810200000000001E-2</v>
      </c>
      <c r="J184" s="22">
        <v>174</v>
      </c>
      <c r="K184" s="22">
        <v>0.92254599999999998</v>
      </c>
      <c r="L184">
        <f t="shared" si="24"/>
        <v>14.8102</v>
      </c>
      <c r="M184">
        <f t="shared" si="25"/>
        <v>13.681174023400001</v>
      </c>
      <c r="N184" s="9"/>
      <c r="O184" s="22">
        <v>0.77621499999999999</v>
      </c>
      <c r="P184" s="22">
        <v>45.921900000000001</v>
      </c>
      <c r="Q184" s="22">
        <v>-1.4907800000000001E-2</v>
      </c>
      <c r="R184" s="22">
        <v>174</v>
      </c>
      <c r="S184" s="22">
        <v>0.774536</v>
      </c>
      <c r="T184">
        <f t="shared" si="26"/>
        <v>14.9078</v>
      </c>
      <c r="U184">
        <f t="shared" si="27"/>
        <v>11.571657976999999</v>
      </c>
      <c r="X184" s="9"/>
      <c r="Y184" s="22">
        <v>0.923767</v>
      </c>
      <c r="Z184" s="22">
        <v>73.974900000000005</v>
      </c>
      <c r="AA184" s="22">
        <v>-1.48956E-2</v>
      </c>
      <c r="AB184" s="22">
        <v>174</v>
      </c>
      <c r="AC184" s="22">
        <v>0.92254599999999998</v>
      </c>
      <c r="AD184">
        <f t="shared" si="28"/>
        <v>14.8956</v>
      </c>
      <c r="AE184">
        <f t="shared" si="29"/>
        <v>13.7600637252</v>
      </c>
      <c r="AF184" s="9"/>
      <c r="AG184" s="22">
        <v>0.77621499999999999</v>
      </c>
      <c r="AH184" s="22">
        <v>108.69</v>
      </c>
      <c r="AI184" s="22">
        <v>-1.4938399999999999E-2</v>
      </c>
      <c r="AJ184" s="22">
        <v>174</v>
      </c>
      <c r="AK184" s="22">
        <v>0.775146</v>
      </c>
      <c r="AL184">
        <f t="shared" si="30"/>
        <v>14.9384</v>
      </c>
      <c r="AM184">
        <f t="shared" si="31"/>
        <v>11.595410156</v>
      </c>
      <c r="AP184" s="9"/>
      <c r="AQ184" s="22">
        <v>0.923767</v>
      </c>
      <c r="AR184" s="22">
        <v>137.17099999999999</v>
      </c>
      <c r="AS184" s="22">
        <v>-1.4913900000000001E-2</v>
      </c>
      <c r="AT184" s="22">
        <v>174</v>
      </c>
      <c r="AU184" s="22">
        <v>0.92285200000000001</v>
      </c>
      <c r="AV184">
        <f t="shared" si="32"/>
        <v>14.9139</v>
      </c>
      <c r="AW184">
        <f t="shared" si="33"/>
        <v>13.7769686613</v>
      </c>
      <c r="AX184" s="9"/>
      <c r="AY184" s="22">
        <v>0.77621499999999999</v>
      </c>
      <c r="AZ184" s="22">
        <v>181.02500000000001</v>
      </c>
      <c r="BA184" s="22">
        <v>-1.50391E-2</v>
      </c>
      <c r="BB184" s="22">
        <v>174</v>
      </c>
      <c r="BC184" s="22">
        <v>0.775146</v>
      </c>
      <c r="BD184">
        <f t="shared" si="34"/>
        <v>15.039099999999999</v>
      </c>
      <c r="BE184">
        <f t="shared" si="35"/>
        <v>11.6735750065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13.158899999999999</v>
      </c>
      <c r="I185" s="22">
        <v>-1.48132E-2</v>
      </c>
      <c r="J185" s="22">
        <v>175</v>
      </c>
      <c r="K185" s="22">
        <v>0.91766400000000004</v>
      </c>
      <c r="L185">
        <f t="shared" si="24"/>
        <v>14.8132</v>
      </c>
      <c r="M185">
        <f t="shared" si="25"/>
        <v>13.609360862400001</v>
      </c>
      <c r="N185" s="9"/>
      <c r="O185" s="22">
        <v>0.78125</v>
      </c>
      <c r="P185" s="22">
        <v>45.932000000000002</v>
      </c>
      <c r="Q185" s="22">
        <v>-1.4904799999999999E-2</v>
      </c>
      <c r="R185" s="22">
        <v>175</v>
      </c>
      <c r="S185" s="22">
        <v>0.78002899999999997</v>
      </c>
      <c r="T185">
        <f t="shared" si="26"/>
        <v>14.9048</v>
      </c>
      <c r="U185">
        <f t="shared" si="27"/>
        <v>11.644375</v>
      </c>
      <c r="X185" s="9"/>
      <c r="Y185" s="22">
        <v>0.91873199999999999</v>
      </c>
      <c r="Z185" s="22">
        <v>73.984999999999999</v>
      </c>
      <c r="AA185" s="22">
        <v>-1.48956E-2</v>
      </c>
      <c r="AB185" s="22">
        <v>175</v>
      </c>
      <c r="AC185" s="22">
        <v>0.91827400000000003</v>
      </c>
      <c r="AD185">
        <f t="shared" si="28"/>
        <v>14.8956</v>
      </c>
      <c r="AE185">
        <f t="shared" si="29"/>
        <v>13.6850643792</v>
      </c>
      <c r="AF185" s="9"/>
      <c r="AG185" s="22">
        <v>0.78125</v>
      </c>
      <c r="AH185" s="22">
        <v>108.7</v>
      </c>
      <c r="AI185" s="22">
        <v>-1.4932300000000001E-2</v>
      </c>
      <c r="AJ185" s="22">
        <v>175</v>
      </c>
      <c r="AK185" s="22">
        <v>0.78033399999999997</v>
      </c>
      <c r="AL185">
        <f t="shared" si="30"/>
        <v>14.932300000000001</v>
      </c>
      <c r="AM185">
        <f t="shared" si="31"/>
        <v>11.665859375000002</v>
      </c>
      <c r="AP185" s="9"/>
      <c r="AQ185" s="22">
        <v>0.91873199999999999</v>
      </c>
      <c r="AR185" s="22">
        <v>137.18100000000001</v>
      </c>
      <c r="AS185" s="22">
        <v>-1.4917E-2</v>
      </c>
      <c r="AT185" s="22">
        <v>175</v>
      </c>
      <c r="AU185" s="22">
        <v>0.91796900000000003</v>
      </c>
      <c r="AV185">
        <f t="shared" si="32"/>
        <v>14.917</v>
      </c>
      <c r="AW185">
        <f t="shared" si="33"/>
        <v>13.704725244</v>
      </c>
      <c r="AX185" s="9"/>
      <c r="AY185" s="22">
        <v>0.78125</v>
      </c>
      <c r="AZ185" s="22">
        <v>181.036</v>
      </c>
      <c r="BA185" s="22">
        <v>-1.5036000000000001E-2</v>
      </c>
      <c r="BB185" s="22">
        <v>175</v>
      </c>
      <c r="BC185" s="22">
        <v>0.78002899999999997</v>
      </c>
      <c r="BD185">
        <f t="shared" si="34"/>
        <v>15.036000000000001</v>
      </c>
      <c r="BE185">
        <f t="shared" si="35"/>
        <v>11.746875000000001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13.168900000000001</v>
      </c>
      <c r="I186" s="22">
        <v>-1.4816299999999999E-2</v>
      </c>
      <c r="J186" s="22">
        <v>176</v>
      </c>
      <c r="K186" s="22">
        <v>0.91247599999999995</v>
      </c>
      <c r="L186">
        <f t="shared" si="24"/>
        <v>14.8163</v>
      </c>
      <c r="M186">
        <f t="shared" si="25"/>
        <v>13.537594044799999</v>
      </c>
      <c r="N186" s="9"/>
      <c r="O186" s="22">
        <v>0.78628500000000001</v>
      </c>
      <c r="P186" s="22">
        <v>45.942100000000003</v>
      </c>
      <c r="Q186" s="22">
        <v>-1.4904799999999999E-2</v>
      </c>
      <c r="R186" s="22">
        <v>176</v>
      </c>
      <c r="S186" s="22">
        <v>0.78491200000000005</v>
      </c>
      <c r="T186">
        <f t="shared" si="26"/>
        <v>14.9048</v>
      </c>
      <c r="U186">
        <f t="shared" si="27"/>
        <v>11.719420668</v>
      </c>
      <c r="X186" s="9"/>
      <c r="Y186" s="22">
        <v>0.91369599999999995</v>
      </c>
      <c r="Z186" s="22">
        <v>73.995099999999994</v>
      </c>
      <c r="AA186" s="22">
        <v>-1.4898700000000001E-2</v>
      </c>
      <c r="AB186" s="22">
        <v>176</v>
      </c>
      <c r="AC186" s="22">
        <v>0.91339099999999995</v>
      </c>
      <c r="AD186">
        <f t="shared" si="28"/>
        <v>14.898700000000002</v>
      </c>
      <c r="AE186">
        <f t="shared" si="29"/>
        <v>13.6128825952</v>
      </c>
      <c r="AF186" s="9"/>
      <c r="AG186" s="22">
        <v>0.78628500000000001</v>
      </c>
      <c r="AH186" s="22">
        <v>108.71</v>
      </c>
      <c r="AI186" s="22">
        <v>-1.49292E-2</v>
      </c>
      <c r="AJ186" s="22">
        <v>176</v>
      </c>
      <c r="AK186" s="22">
        <v>0.78613299999999997</v>
      </c>
      <c r="AL186">
        <f t="shared" si="30"/>
        <v>14.9292</v>
      </c>
      <c r="AM186">
        <f t="shared" si="31"/>
        <v>11.738606022000001</v>
      </c>
      <c r="AP186" s="9"/>
      <c r="AQ186" s="22">
        <v>0.91369599999999995</v>
      </c>
      <c r="AR186" s="22">
        <v>137.191</v>
      </c>
      <c r="AS186" s="22">
        <v>-1.4919999999999999E-2</v>
      </c>
      <c r="AT186" s="22">
        <v>176</v>
      </c>
      <c r="AU186" s="22">
        <v>0.91247599999999995</v>
      </c>
      <c r="AV186">
        <f t="shared" si="32"/>
        <v>14.92</v>
      </c>
      <c r="AW186">
        <f t="shared" si="33"/>
        <v>13.63234432</v>
      </c>
      <c r="AX186" s="9"/>
      <c r="AY186" s="22">
        <v>0.78628500000000001</v>
      </c>
      <c r="AZ186" s="22">
        <v>181.04599999999999</v>
      </c>
      <c r="BA186" s="22">
        <v>-1.5036000000000001E-2</v>
      </c>
      <c r="BB186" s="22">
        <v>176</v>
      </c>
      <c r="BC186" s="22">
        <v>0.78491200000000005</v>
      </c>
      <c r="BD186">
        <f t="shared" si="34"/>
        <v>15.036000000000001</v>
      </c>
      <c r="BE186">
        <f t="shared" si="35"/>
        <v>11.822581260000002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13.179</v>
      </c>
      <c r="I187" s="22">
        <v>-1.4801E-2</v>
      </c>
      <c r="J187" s="22">
        <v>177</v>
      </c>
      <c r="K187" s="22">
        <v>0.90728799999999998</v>
      </c>
      <c r="L187">
        <f t="shared" si="24"/>
        <v>14.801</v>
      </c>
      <c r="M187">
        <f t="shared" si="25"/>
        <v>13.449091461</v>
      </c>
      <c r="N187" s="9"/>
      <c r="O187" s="22">
        <v>0.79132100000000005</v>
      </c>
      <c r="P187" s="22">
        <v>45.952100000000002</v>
      </c>
      <c r="Q187" s="22">
        <v>-1.4904799999999999E-2</v>
      </c>
      <c r="R187" s="22">
        <v>177</v>
      </c>
      <c r="S187" s="22">
        <v>0.78979500000000002</v>
      </c>
      <c r="T187">
        <f t="shared" si="26"/>
        <v>14.9048</v>
      </c>
      <c r="U187">
        <f t="shared" si="27"/>
        <v>11.794481240800001</v>
      </c>
      <c r="X187" s="9"/>
      <c r="Y187" s="22">
        <v>0.90866100000000005</v>
      </c>
      <c r="Z187" s="22">
        <v>74.005099999999999</v>
      </c>
      <c r="AA187" s="22">
        <v>-1.49017E-2</v>
      </c>
      <c r="AB187" s="22">
        <v>177</v>
      </c>
      <c r="AC187" s="22">
        <v>0.90759299999999998</v>
      </c>
      <c r="AD187">
        <f t="shared" si="28"/>
        <v>14.9017</v>
      </c>
      <c r="AE187">
        <f t="shared" si="29"/>
        <v>13.540593623700001</v>
      </c>
      <c r="AF187" s="9"/>
      <c r="AG187" s="22">
        <v>0.79132100000000005</v>
      </c>
      <c r="AH187" s="22">
        <v>108.72</v>
      </c>
      <c r="AI187" s="22">
        <v>-1.49292E-2</v>
      </c>
      <c r="AJ187" s="22">
        <v>177</v>
      </c>
      <c r="AK187" s="22">
        <v>0.79040500000000002</v>
      </c>
      <c r="AL187">
        <f t="shared" si="30"/>
        <v>14.9292</v>
      </c>
      <c r="AM187">
        <f t="shared" si="31"/>
        <v>11.8137894732</v>
      </c>
      <c r="AP187" s="9"/>
      <c r="AQ187" s="22">
        <v>0.90866100000000005</v>
      </c>
      <c r="AR187" s="22">
        <v>137.20099999999999</v>
      </c>
      <c r="AS187" s="22">
        <v>-1.49231E-2</v>
      </c>
      <c r="AT187" s="22">
        <v>177</v>
      </c>
      <c r="AU187" s="22">
        <v>0.90759299999999998</v>
      </c>
      <c r="AV187">
        <f t="shared" si="32"/>
        <v>14.9231</v>
      </c>
      <c r="AW187">
        <f t="shared" si="33"/>
        <v>13.560038969100001</v>
      </c>
      <c r="AX187" s="9"/>
      <c r="AY187" s="22">
        <v>0.79132100000000005</v>
      </c>
      <c r="AZ187" s="22">
        <v>181.05600000000001</v>
      </c>
      <c r="BA187" s="22">
        <v>-1.5036000000000001E-2</v>
      </c>
      <c r="BB187" s="22">
        <v>177</v>
      </c>
      <c r="BC187" s="22">
        <v>0.79010000000000002</v>
      </c>
      <c r="BD187">
        <f t="shared" si="34"/>
        <v>15.036000000000001</v>
      </c>
      <c r="BE187">
        <f t="shared" si="35"/>
        <v>11.898302556000003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13.1891</v>
      </c>
      <c r="I188" s="22">
        <v>-1.4801E-2</v>
      </c>
      <c r="J188" s="22">
        <v>178</v>
      </c>
      <c r="K188" s="22">
        <v>0.90240500000000001</v>
      </c>
      <c r="L188">
        <f t="shared" si="24"/>
        <v>14.801</v>
      </c>
      <c r="M188">
        <f t="shared" si="25"/>
        <v>13.374553625000001</v>
      </c>
      <c r="N188" s="9"/>
      <c r="O188" s="22">
        <v>0.79635599999999995</v>
      </c>
      <c r="P188" s="22">
        <v>45.962200000000003</v>
      </c>
      <c r="Q188" s="22">
        <v>-1.4898700000000001E-2</v>
      </c>
      <c r="R188" s="22">
        <v>178</v>
      </c>
      <c r="S188" s="22">
        <v>0.79528799999999999</v>
      </c>
      <c r="T188">
        <f t="shared" si="26"/>
        <v>14.898700000000002</v>
      </c>
      <c r="U188">
        <f t="shared" si="27"/>
        <v>11.8646691372</v>
      </c>
      <c r="X188" s="9"/>
      <c r="Y188" s="22">
        <v>0.90362500000000001</v>
      </c>
      <c r="Z188" s="22">
        <v>74.015199999999993</v>
      </c>
      <c r="AA188" s="22">
        <v>-1.4907800000000001E-2</v>
      </c>
      <c r="AB188" s="22">
        <v>178</v>
      </c>
      <c r="AC188" s="22">
        <v>0.90210000000000001</v>
      </c>
      <c r="AD188">
        <f t="shared" si="28"/>
        <v>14.9078</v>
      </c>
      <c r="AE188">
        <f t="shared" si="29"/>
        <v>13.471060775</v>
      </c>
      <c r="AF188" s="9"/>
      <c r="AG188" s="22">
        <v>0.79635599999999995</v>
      </c>
      <c r="AH188" s="22">
        <v>108.73</v>
      </c>
      <c r="AI188" s="22">
        <v>-1.49292E-2</v>
      </c>
      <c r="AJ188" s="22">
        <v>178</v>
      </c>
      <c r="AK188" s="22">
        <v>0.794678</v>
      </c>
      <c r="AL188">
        <f t="shared" si="30"/>
        <v>14.9292</v>
      </c>
      <c r="AM188">
        <f t="shared" si="31"/>
        <v>11.888957995199998</v>
      </c>
      <c r="AP188" s="9"/>
      <c r="AQ188" s="22">
        <v>0.90362500000000001</v>
      </c>
      <c r="AR188" s="22">
        <v>137.21100000000001</v>
      </c>
      <c r="AS188" s="22">
        <v>-1.49231E-2</v>
      </c>
      <c r="AT188" s="22">
        <v>178</v>
      </c>
      <c r="AU188" s="22">
        <v>0.90271000000000001</v>
      </c>
      <c r="AV188">
        <f t="shared" si="32"/>
        <v>14.9231</v>
      </c>
      <c r="AW188">
        <f t="shared" si="33"/>
        <v>13.4848862375</v>
      </c>
      <c r="AX188" s="9"/>
      <c r="AY188" s="22">
        <v>0.79635599999999995</v>
      </c>
      <c r="AZ188" s="22">
        <v>181.066</v>
      </c>
      <c r="BA188" s="22">
        <v>-1.5026899999999999E-2</v>
      </c>
      <c r="BB188" s="22">
        <v>178</v>
      </c>
      <c r="BC188" s="22">
        <v>0.79559299999999999</v>
      </c>
      <c r="BD188">
        <f t="shared" si="34"/>
        <v>15.026899999999999</v>
      </c>
      <c r="BE188">
        <f t="shared" si="35"/>
        <v>11.966761976399999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13.1991</v>
      </c>
      <c r="I189" s="22">
        <v>-1.4801E-2</v>
      </c>
      <c r="J189" s="22">
        <v>179</v>
      </c>
      <c r="K189" s="22">
        <v>0.89782700000000004</v>
      </c>
      <c r="L189">
        <f t="shared" si="24"/>
        <v>14.801</v>
      </c>
      <c r="M189">
        <f t="shared" si="25"/>
        <v>13.30003059</v>
      </c>
      <c r="N189" s="9"/>
      <c r="O189" s="22">
        <v>0.80139199999999999</v>
      </c>
      <c r="P189" s="22">
        <v>45.972299999999997</v>
      </c>
      <c r="Q189" s="22">
        <v>-1.4898700000000001E-2</v>
      </c>
      <c r="R189" s="22">
        <v>179</v>
      </c>
      <c r="S189" s="22">
        <v>0.80078099999999997</v>
      </c>
      <c r="T189">
        <f t="shared" si="26"/>
        <v>14.898700000000002</v>
      </c>
      <c r="U189">
        <f t="shared" si="27"/>
        <v>11.939698990400002</v>
      </c>
      <c r="X189" s="9"/>
      <c r="Y189" s="22">
        <v>0.89859</v>
      </c>
      <c r="Z189" s="22">
        <v>74.025300000000001</v>
      </c>
      <c r="AA189" s="22">
        <v>-1.4913900000000001E-2</v>
      </c>
      <c r="AB189" s="22">
        <v>179</v>
      </c>
      <c r="AC189" s="22">
        <v>0.89752200000000004</v>
      </c>
      <c r="AD189">
        <f t="shared" si="28"/>
        <v>14.9139</v>
      </c>
      <c r="AE189">
        <f t="shared" si="29"/>
        <v>13.401481401</v>
      </c>
      <c r="AF189" s="9"/>
      <c r="AG189" s="22">
        <v>0.80139199999999999</v>
      </c>
      <c r="AH189" s="22">
        <v>108.74</v>
      </c>
      <c r="AI189" s="22">
        <v>-1.49292E-2</v>
      </c>
      <c r="AJ189" s="22">
        <v>179</v>
      </c>
      <c r="AK189" s="22">
        <v>0.80017099999999997</v>
      </c>
      <c r="AL189">
        <f t="shared" si="30"/>
        <v>14.9292</v>
      </c>
      <c r="AM189">
        <f t="shared" si="31"/>
        <v>11.964141446399999</v>
      </c>
      <c r="AP189" s="9"/>
      <c r="AQ189" s="22">
        <v>0.89859</v>
      </c>
      <c r="AR189" s="22">
        <v>137.221</v>
      </c>
      <c r="AS189" s="22">
        <v>-1.49292E-2</v>
      </c>
      <c r="AT189" s="22">
        <v>179</v>
      </c>
      <c r="AU189" s="22">
        <v>0.89691200000000004</v>
      </c>
      <c r="AV189">
        <f t="shared" si="32"/>
        <v>14.9292</v>
      </c>
      <c r="AW189">
        <f t="shared" si="33"/>
        <v>13.415229827999999</v>
      </c>
      <c r="AX189" s="9"/>
      <c r="AY189" s="22">
        <v>0.80139199999999999</v>
      </c>
      <c r="AZ189" s="22">
        <v>181.07599999999999</v>
      </c>
      <c r="BA189" s="22">
        <v>-1.50238E-2</v>
      </c>
      <c r="BB189" s="22">
        <v>179</v>
      </c>
      <c r="BC189" s="22">
        <v>0.79986599999999997</v>
      </c>
      <c r="BD189">
        <f t="shared" si="34"/>
        <v>15.0238</v>
      </c>
      <c r="BE189">
        <f t="shared" si="35"/>
        <v>12.039953129599999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13.209199999999999</v>
      </c>
      <c r="I190" s="22">
        <v>-1.4804100000000001E-2</v>
      </c>
      <c r="J190" s="22">
        <v>180</v>
      </c>
      <c r="K190" s="22">
        <v>0.89233399999999996</v>
      </c>
      <c r="L190">
        <f t="shared" si="24"/>
        <v>14.8041</v>
      </c>
      <c r="M190">
        <f t="shared" si="25"/>
        <v>13.2282775755</v>
      </c>
      <c r="N190" s="9"/>
      <c r="O190" s="22">
        <v>0.806427</v>
      </c>
      <c r="P190" s="22">
        <v>45.982300000000002</v>
      </c>
      <c r="Q190" s="22">
        <v>-1.48956E-2</v>
      </c>
      <c r="R190" s="22">
        <v>180</v>
      </c>
      <c r="S190" s="22">
        <v>0.80505400000000005</v>
      </c>
      <c r="T190">
        <f t="shared" si="26"/>
        <v>14.8956</v>
      </c>
      <c r="U190">
        <f t="shared" si="27"/>
        <v>12.0122140212</v>
      </c>
      <c r="X190" s="9"/>
      <c r="Y190" s="22">
        <v>0.89355499999999999</v>
      </c>
      <c r="Z190" s="22">
        <v>74.035399999999996</v>
      </c>
      <c r="AA190" s="22">
        <v>-1.4917E-2</v>
      </c>
      <c r="AB190" s="22">
        <v>180</v>
      </c>
      <c r="AC190" s="22">
        <v>0.89294399999999996</v>
      </c>
      <c r="AD190">
        <f t="shared" si="28"/>
        <v>14.917</v>
      </c>
      <c r="AE190">
        <f t="shared" si="29"/>
        <v>13.329159935</v>
      </c>
      <c r="AF190" s="9"/>
      <c r="AG190" s="22">
        <v>0.806427</v>
      </c>
      <c r="AH190" s="22">
        <v>108.751</v>
      </c>
      <c r="AI190" s="22">
        <v>-1.49292E-2</v>
      </c>
      <c r="AJ190" s="22">
        <v>180</v>
      </c>
      <c r="AK190" s="22">
        <v>0.80535900000000005</v>
      </c>
      <c r="AL190">
        <f t="shared" si="30"/>
        <v>14.9292</v>
      </c>
      <c r="AM190">
        <f t="shared" si="31"/>
        <v>12.0393099684</v>
      </c>
      <c r="AP190" s="9"/>
      <c r="AQ190" s="22">
        <v>0.89355499999999999</v>
      </c>
      <c r="AR190" s="22">
        <v>137.232</v>
      </c>
      <c r="AS190" s="22">
        <v>-1.4932300000000001E-2</v>
      </c>
      <c r="AT190" s="22">
        <v>180</v>
      </c>
      <c r="AU190" s="22">
        <v>0.89294399999999996</v>
      </c>
      <c r="AV190">
        <f t="shared" si="32"/>
        <v>14.932300000000001</v>
      </c>
      <c r="AW190">
        <f t="shared" si="33"/>
        <v>13.342831326500001</v>
      </c>
      <c r="AX190" s="9"/>
      <c r="AY190" s="22">
        <v>0.806427</v>
      </c>
      <c r="AZ190" s="22">
        <v>181.08600000000001</v>
      </c>
      <c r="BA190" s="22">
        <v>-1.50177E-2</v>
      </c>
      <c r="BB190" s="22">
        <v>180</v>
      </c>
      <c r="BC190" s="22">
        <v>0.80505400000000005</v>
      </c>
      <c r="BD190">
        <f t="shared" si="34"/>
        <v>15.0177</v>
      </c>
      <c r="BE190">
        <f t="shared" si="35"/>
        <v>12.110678757900001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13.2193</v>
      </c>
      <c r="I191" s="22">
        <v>-1.4810200000000001E-2</v>
      </c>
      <c r="J191" s="22">
        <v>181</v>
      </c>
      <c r="K191" s="22">
        <v>0.88775599999999999</v>
      </c>
      <c r="L191">
        <f t="shared" si="24"/>
        <v>14.8102</v>
      </c>
      <c r="M191">
        <f t="shared" si="25"/>
        <v>13.159144093799998</v>
      </c>
      <c r="N191" s="9"/>
      <c r="O191" s="22">
        <v>0.81146200000000002</v>
      </c>
      <c r="P191" s="22">
        <v>45.992400000000004</v>
      </c>
      <c r="Q191" s="22">
        <v>-1.4892600000000001E-2</v>
      </c>
      <c r="R191" s="22">
        <v>181</v>
      </c>
      <c r="S191" s="22">
        <v>0.81024200000000002</v>
      </c>
      <c r="T191">
        <f t="shared" si="26"/>
        <v>14.8926</v>
      </c>
      <c r="U191">
        <f t="shared" si="27"/>
        <v>12.084778981199999</v>
      </c>
      <c r="X191" s="9"/>
      <c r="Y191" s="22">
        <v>0.88851899999999995</v>
      </c>
      <c r="Z191" s="22">
        <v>74.045400000000001</v>
      </c>
      <c r="AA191" s="22">
        <v>-1.4919999999999999E-2</v>
      </c>
      <c r="AB191" s="22">
        <v>181</v>
      </c>
      <c r="AC191" s="22">
        <v>0.88745099999999999</v>
      </c>
      <c r="AD191">
        <f t="shared" si="28"/>
        <v>14.92</v>
      </c>
      <c r="AE191">
        <f t="shared" si="29"/>
        <v>13.256703479999999</v>
      </c>
      <c r="AF191" s="9"/>
      <c r="AG191" s="22">
        <v>0.81146200000000002</v>
      </c>
      <c r="AH191" s="22">
        <v>108.761</v>
      </c>
      <c r="AI191" s="22">
        <v>-1.49231E-2</v>
      </c>
      <c r="AJ191" s="22">
        <v>181</v>
      </c>
      <c r="AK191" s="22">
        <v>0.81024200000000002</v>
      </c>
      <c r="AL191">
        <f t="shared" si="30"/>
        <v>14.9231</v>
      </c>
      <c r="AM191">
        <f t="shared" si="31"/>
        <v>12.1095285722</v>
      </c>
      <c r="AP191" s="9"/>
      <c r="AQ191" s="22">
        <v>0.88851899999999995</v>
      </c>
      <c r="AR191" s="22">
        <v>137.24199999999999</v>
      </c>
      <c r="AS191" s="22">
        <v>-1.4938399999999999E-2</v>
      </c>
      <c r="AT191" s="22">
        <v>181</v>
      </c>
      <c r="AU191" s="22">
        <v>0.88714599999999999</v>
      </c>
      <c r="AV191">
        <f t="shared" si="32"/>
        <v>14.9384</v>
      </c>
      <c r="AW191">
        <f t="shared" si="33"/>
        <v>13.273052229599999</v>
      </c>
      <c r="AX191" s="9"/>
      <c r="AY191" s="22">
        <v>0.81146200000000002</v>
      </c>
      <c r="AZ191" s="22">
        <v>181.096</v>
      </c>
      <c r="BA191" s="22">
        <v>-1.5014599999999999E-2</v>
      </c>
      <c r="BB191" s="22">
        <v>181</v>
      </c>
      <c r="BC191" s="22">
        <v>0.80993700000000002</v>
      </c>
      <c r="BD191">
        <f t="shared" si="34"/>
        <v>15.0146</v>
      </c>
      <c r="BE191">
        <f t="shared" si="35"/>
        <v>12.183777345199999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13.2294</v>
      </c>
      <c r="I192" s="22">
        <v>-1.48132E-2</v>
      </c>
      <c r="J192" s="22">
        <v>182</v>
      </c>
      <c r="K192" s="22">
        <v>0.88256800000000002</v>
      </c>
      <c r="L192">
        <f t="shared" si="24"/>
        <v>14.8132</v>
      </c>
      <c r="M192">
        <f t="shared" si="25"/>
        <v>13.087225188800002</v>
      </c>
      <c r="N192" s="9"/>
      <c r="O192" s="22">
        <v>0.81649799999999995</v>
      </c>
      <c r="P192" s="22">
        <v>46.002499999999998</v>
      </c>
      <c r="Q192" s="22">
        <v>-1.48865E-2</v>
      </c>
      <c r="R192" s="22">
        <v>182</v>
      </c>
      <c r="S192" s="22">
        <v>0.81573499999999999</v>
      </c>
      <c r="T192">
        <f t="shared" si="26"/>
        <v>14.8865</v>
      </c>
      <c r="U192">
        <f t="shared" si="27"/>
        <v>12.154797476999999</v>
      </c>
      <c r="X192" s="9"/>
      <c r="Y192" s="22">
        <v>0.88348400000000005</v>
      </c>
      <c r="Z192" s="22">
        <v>74.055499999999995</v>
      </c>
      <c r="AA192" s="22">
        <v>-1.49231E-2</v>
      </c>
      <c r="AB192" s="22">
        <v>182</v>
      </c>
      <c r="AC192" s="22">
        <v>0.88195800000000002</v>
      </c>
      <c r="AD192">
        <f t="shared" si="28"/>
        <v>14.9231</v>
      </c>
      <c r="AE192">
        <f t="shared" si="29"/>
        <v>13.184320080400001</v>
      </c>
      <c r="AF192" s="9"/>
      <c r="AG192" s="22">
        <v>0.81649799999999995</v>
      </c>
      <c r="AH192" s="22">
        <v>108.771</v>
      </c>
      <c r="AI192" s="22">
        <v>-1.4917E-2</v>
      </c>
      <c r="AJ192" s="22">
        <v>182</v>
      </c>
      <c r="AK192" s="22">
        <v>0.81542999999999999</v>
      </c>
      <c r="AL192">
        <f t="shared" si="30"/>
        <v>14.917</v>
      </c>
      <c r="AM192">
        <f t="shared" si="31"/>
        <v>12.179700665999999</v>
      </c>
      <c r="AP192" s="9"/>
      <c r="AQ192" s="22">
        <v>0.88348400000000005</v>
      </c>
      <c r="AR192" s="22">
        <v>137.25200000000001</v>
      </c>
      <c r="AS192" s="22">
        <v>-1.4941400000000001E-2</v>
      </c>
      <c r="AT192" s="22">
        <v>182</v>
      </c>
      <c r="AU192" s="22">
        <v>0.88195800000000002</v>
      </c>
      <c r="AV192">
        <f t="shared" si="32"/>
        <v>14.9414</v>
      </c>
      <c r="AW192">
        <f t="shared" si="33"/>
        <v>13.200487837600001</v>
      </c>
      <c r="AX192" s="9"/>
      <c r="AY192" s="22">
        <v>0.81649799999999995</v>
      </c>
      <c r="AZ192" s="22">
        <v>181.10599999999999</v>
      </c>
      <c r="BA192" s="22">
        <v>-1.50116E-2</v>
      </c>
      <c r="BB192" s="22">
        <v>182</v>
      </c>
      <c r="BC192" s="22">
        <v>0.81512499999999999</v>
      </c>
      <c r="BD192">
        <f t="shared" si="34"/>
        <v>15.0116</v>
      </c>
      <c r="BE192">
        <f t="shared" si="35"/>
        <v>12.256941376799999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13.2394</v>
      </c>
      <c r="I193" s="22">
        <v>-1.4819300000000001E-2</v>
      </c>
      <c r="J193" s="22">
        <v>183</v>
      </c>
      <c r="K193" s="22">
        <v>0.87738000000000005</v>
      </c>
      <c r="L193">
        <f t="shared" si="24"/>
        <v>14.8193</v>
      </c>
      <c r="M193">
        <f t="shared" si="25"/>
        <v>13.0179844464</v>
      </c>
      <c r="N193" s="9"/>
      <c r="O193" s="22">
        <v>0.82153299999999996</v>
      </c>
      <c r="P193" s="22">
        <v>46.012500000000003</v>
      </c>
      <c r="Q193" s="22">
        <v>-1.48804E-2</v>
      </c>
      <c r="R193" s="22">
        <v>183</v>
      </c>
      <c r="S193" s="22">
        <v>0.82031299999999996</v>
      </c>
      <c r="T193">
        <f t="shared" si="26"/>
        <v>14.8804</v>
      </c>
      <c r="U193">
        <f t="shared" si="27"/>
        <v>12.224739653199999</v>
      </c>
      <c r="X193" s="9"/>
      <c r="Y193" s="22">
        <v>0.87844800000000001</v>
      </c>
      <c r="Z193" s="22">
        <v>74.065600000000003</v>
      </c>
      <c r="AA193" s="22">
        <v>-1.4919999999999999E-2</v>
      </c>
      <c r="AB193" s="22">
        <v>183</v>
      </c>
      <c r="AC193" s="22">
        <v>0.87707500000000005</v>
      </c>
      <c r="AD193">
        <f t="shared" si="28"/>
        <v>14.92</v>
      </c>
      <c r="AE193">
        <f t="shared" si="29"/>
        <v>13.106444160000001</v>
      </c>
      <c r="AF193" s="9"/>
      <c r="AG193" s="22">
        <v>0.82153299999999996</v>
      </c>
      <c r="AH193" s="22">
        <v>108.78100000000001</v>
      </c>
      <c r="AI193" s="22">
        <v>-1.4913900000000001E-2</v>
      </c>
      <c r="AJ193" s="22">
        <v>183</v>
      </c>
      <c r="AK193" s="22">
        <v>0.82122799999999996</v>
      </c>
      <c r="AL193">
        <f t="shared" si="30"/>
        <v>14.9139</v>
      </c>
      <c r="AM193">
        <f t="shared" si="31"/>
        <v>12.2522610087</v>
      </c>
      <c r="AP193" s="9"/>
      <c r="AQ193" s="22">
        <v>0.87844800000000001</v>
      </c>
      <c r="AR193" s="22">
        <v>137.262</v>
      </c>
      <c r="AS193" s="22">
        <v>-1.4947500000000001E-2</v>
      </c>
      <c r="AT193" s="22">
        <v>183</v>
      </c>
      <c r="AU193" s="22">
        <v>0.87677000000000005</v>
      </c>
      <c r="AV193">
        <f t="shared" si="32"/>
        <v>14.947500000000002</v>
      </c>
      <c r="AW193">
        <f t="shared" si="33"/>
        <v>13.130601480000001</v>
      </c>
      <c r="AX193" s="9"/>
      <c r="AY193" s="22">
        <v>0.82153299999999996</v>
      </c>
      <c r="AZ193" s="22">
        <v>181.11600000000001</v>
      </c>
      <c r="BA193" s="22">
        <v>-1.50116E-2</v>
      </c>
      <c r="BB193" s="22">
        <v>183</v>
      </c>
      <c r="BC193" s="22">
        <v>0.82031299999999996</v>
      </c>
      <c r="BD193">
        <f t="shared" si="34"/>
        <v>15.0116</v>
      </c>
      <c r="BE193">
        <f t="shared" si="35"/>
        <v>12.332524782799998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13.249499999999999</v>
      </c>
      <c r="I194" s="22">
        <v>-1.4822399999999999E-2</v>
      </c>
      <c r="J194" s="22">
        <v>184</v>
      </c>
      <c r="K194" s="22">
        <v>0.873108</v>
      </c>
      <c r="L194">
        <f t="shared" si="24"/>
        <v>14.8224</v>
      </c>
      <c r="M194">
        <f t="shared" si="25"/>
        <v>12.946076851199999</v>
      </c>
      <c r="N194" s="9"/>
      <c r="O194" s="22">
        <v>0.826569</v>
      </c>
      <c r="P194" s="22">
        <v>46.022599999999997</v>
      </c>
      <c r="Q194" s="22">
        <v>-1.48773E-2</v>
      </c>
      <c r="R194" s="22">
        <v>184</v>
      </c>
      <c r="S194" s="22">
        <v>0.82550000000000001</v>
      </c>
      <c r="T194">
        <f t="shared" si="26"/>
        <v>14.8773</v>
      </c>
      <c r="U194">
        <f t="shared" si="27"/>
        <v>12.2971149837</v>
      </c>
      <c r="X194" s="9"/>
      <c r="Y194" s="22">
        <v>0.87341299999999999</v>
      </c>
      <c r="Z194" s="22">
        <v>74.075599999999994</v>
      </c>
      <c r="AA194" s="22">
        <v>-1.49231E-2</v>
      </c>
      <c r="AB194" s="22">
        <v>184</v>
      </c>
      <c r="AC194" s="22">
        <v>0.87219199999999997</v>
      </c>
      <c r="AD194">
        <f t="shared" si="28"/>
        <v>14.9231</v>
      </c>
      <c r="AE194">
        <f t="shared" si="29"/>
        <v>13.034029540300001</v>
      </c>
      <c r="AF194" s="9"/>
      <c r="AG194" s="22">
        <v>0.826569</v>
      </c>
      <c r="AH194" s="22">
        <v>108.791</v>
      </c>
      <c r="AI194" s="22">
        <v>-1.49109E-2</v>
      </c>
      <c r="AJ194" s="22">
        <v>184</v>
      </c>
      <c r="AK194" s="22">
        <v>0.82550000000000001</v>
      </c>
      <c r="AL194">
        <f t="shared" si="30"/>
        <v>14.9109</v>
      </c>
      <c r="AM194">
        <f t="shared" si="31"/>
        <v>12.3248877021</v>
      </c>
      <c r="AP194" s="9"/>
      <c r="AQ194" s="22">
        <v>0.87341299999999999</v>
      </c>
      <c r="AR194" s="22">
        <v>137.27199999999999</v>
      </c>
      <c r="AS194" s="22">
        <v>-1.49506E-2</v>
      </c>
      <c r="AT194" s="22">
        <v>184</v>
      </c>
      <c r="AU194" s="22">
        <v>0.87219199999999997</v>
      </c>
      <c r="AV194">
        <f t="shared" si="32"/>
        <v>14.9506</v>
      </c>
      <c r="AW194">
        <f t="shared" si="33"/>
        <v>13.0580483978</v>
      </c>
      <c r="AX194" s="9"/>
      <c r="AY194" s="22">
        <v>0.826569</v>
      </c>
      <c r="AZ194" s="22">
        <v>181.126</v>
      </c>
      <c r="BA194" s="22">
        <v>-1.50055E-2</v>
      </c>
      <c r="BB194" s="22">
        <v>184</v>
      </c>
      <c r="BC194" s="22">
        <v>0.82550000000000001</v>
      </c>
      <c r="BD194">
        <f t="shared" si="34"/>
        <v>15.0055</v>
      </c>
      <c r="BE194">
        <f t="shared" si="35"/>
        <v>12.4030811295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13.259600000000001</v>
      </c>
      <c r="I195" s="22">
        <v>-1.4822399999999999E-2</v>
      </c>
      <c r="J195" s="22">
        <v>185</v>
      </c>
      <c r="K195" s="22">
        <v>0.86731000000000003</v>
      </c>
      <c r="L195">
        <f t="shared" si="24"/>
        <v>14.8224</v>
      </c>
      <c r="M195">
        <f t="shared" si="25"/>
        <v>12.871446067199999</v>
      </c>
      <c r="N195" s="9"/>
      <c r="O195" s="22">
        <v>0.83160400000000001</v>
      </c>
      <c r="P195" s="22">
        <v>46.032699999999998</v>
      </c>
      <c r="Q195" s="22">
        <v>-1.4871199999999999E-2</v>
      </c>
      <c r="R195" s="22">
        <v>185</v>
      </c>
      <c r="S195" s="22">
        <v>0.83038299999999998</v>
      </c>
      <c r="T195">
        <f t="shared" si="26"/>
        <v>14.8712</v>
      </c>
      <c r="U195">
        <f t="shared" si="27"/>
        <v>12.3669494048</v>
      </c>
      <c r="X195" s="9"/>
      <c r="Y195" s="22">
        <v>0.86837799999999998</v>
      </c>
      <c r="Z195" s="22">
        <v>74.085700000000003</v>
      </c>
      <c r="AA195" s="22">
        <v>-1.4926099999999999E-2</v>
      </c>
      <c r="AB195" s="22">
        <v>185</v>
      </c>
      <c r="AC195" s="22">
        <v>0.867004</v>
      </c>
      <c r="AD195">
        <f t="shared" si="28"/>
        <v>14.9261</v>
      </c>
      <c r="AE195">
        <f t="shared" si="29"/>
        <v>12.961496865799999</v>
      </c>
      <c r="AF195" s="9"/>
      <c r="AG195" s="22">
        <v>0.83160400000000001</v>
      </c>
      <c r="AH195" s="22">
        <v>108.801</v>
      </c>
      <c r="AI195" s="22">
        <v>-1.4907800000000001E-2</v>
      </c>
      <c r="AJ195" s="22">
        <v>185</v>
      </c>
      <c r="AK195" s="22">
        <v>0.83068799999999998</v>
      </c>
      <c r="AL195">
        <f t="shared" si="30"/>
        <v>14.9078</v>
      </c>
      <c r="AM195">
        <f t="shared" si="31"/>
        <v>12.397386111199999</v>
      </c>
      <c r="AP195" s="9"/>
      <c r="AQ195" s="22">
        <v>0.86837799999999998</v>
      </c>
      <c r="AR195" s="22">
        <v>137.28200000000001</v>
      </c>
      <c r="AS195" s="22">
        <v>-1.4953599999999999E-2</v>
      </c>
      <c r="AT195" s="22">
        <v>185</v>
      </c>
      <c r="AU195" s="22">
        <v>0.86731000000000003</v>
      </c>
      <c r="AV195">
        <f t="shared" si="32"/>
        <v>14.9536</v>
      </c>
      <c r="AW195">
        <f t="shared" si="33"/>
        <v>12.9853772608</v>
      </c>
      <c r="AX195" s="9"/>
      <c r="AY195" s="22">
        <v>0.83160400000000001</v>
      </c>
      <c r="AZ195" s="22">
        <v>181.136</v>
      </c>
      <c r="BA195" s="22">
        <v>-1.49994E-2</v>
      </c>
      <c r="BB195" s="22">
        <v>185</v>
      </c>
      <c r="BC195" s="22">
        <v>0.83038299999999998</v>
      </c>
      <c r="BD195">
        <f t="shared" si="34"/>
        <v>14.9994</v>
      </c>
      <c r="BE195">
        <f t="shared" si="35"/>
        <v>12.4735610376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13.269600000000001</v>
      </c>
      <c r="I196" s="22">
        <v>-1.4822399999999999E-2</v>
      </c>
      <c r="J196" s="22">
        <v>186</v>
      </c>
      <c r="K196" s="22">
        <v>0.86242700000000005</v>
      </c>
      <c r="L196">
        <f t="shared" si="24"/>
        <v>14.8224</v>
      </c>
      <c r="M196">
        <f t="shared" si="25"/>
        <v>12.7968004608</v>
      </c>
      <c r="N196" s="9"/>
      <c r="O196" s="22">
        <v>0.83663900000000002</v>
      </c>
      <c r="P196" s="22">
        <v>46.0428</v>
      </c>
      <c r="Q196" s="22">
        <v>-1.48682E-2</v>
      </c>
      <c r="R196" s="22">
        <v>186</v>
      </c>
      <c r="S196" s="22">
        <v>0.83587599999999995</v>
      </c>
      <c r="T196">
        <f t="shared" si="26"/>
        <v>14.8682</v>
      </c>
      <c r="U196">
        <f t="shared" si="27"/>
        <v>12.4393159798</v>
      </c>
      <c r="X196" s="9"/>
      <c r="Y196" s="22">
        <v>0.86334200000000005</v>
      </c>
      <c r="Z196" s="22">
        <v>74.095799999999997</v>
      </c>
      <c r="AA196" s="22">
        <v>-1.49292E-2</v>
      </c>
      <c r="AB196" s="22">
        <v>186</v>
      </c>
      <c r="AC196" s="22">
        <v>0.86242700000000005</v>
      </c>
      <c r="AD196">
        <f t="shared" si="28"/>
        <v>14.9292</v>
      </c>
      <c r="AE196">
        <f t="shared" si="29"/>
        <v>12.889005386400001</v>
      </c>
      <c r="AF196" s="9"/>
      <c r="AG196" s="22">
        <v>0.83663900000000002</v>
      </c>
      <c r="AH196" s="22">
        <v>108.81100000000001</v>
      </c>
      <c r="AI196" s="22">
        <v>-1.4904799999999999E-2</v>
      </c>
      <c r="AJ196" s="22">
        <v>186</v>
      </c>
      <c r="AK196" s="22">
        <v>0.83587599999999995</v>
      </c>
      <c r="AL196">
        <f t="shared" si="30"/>
        <v>14.9048</v>
      </c>
      <c r="AM196">
        <f t="shared" si="31"/>
        <v>12.469936967200001</v>
      </c>
      <c r="AP196" s="9"/>
      <c r="AQ196" s="22">
        <v>0.86334200000000005</v>
      </c>
      <c r="AR196" s="22">
        <v>137.292</v>
      </c>
      <c r="AS196" s="22">
        <v>-1.4959699999999999E-2</v>
      </c>
      <c r="AT196" s="22">
        <v>186</v>
      </c>
      <c r="AU196" s="22">
        <v>0.86242700000000005</v>
      </c>
      <c r="AV196">
        <f t="shared" si="32"/>
        <v>14.9597</v>
      </c>
      <c r="AW196">
        <f t="shared" si="33"/>
        <v>12.915337317400001</v>
      </c>
      <c r="AX196" s="9"/>
      <c r="AY196" s="22">
        <v>0.83663900000000002</v>
      </c>
      <c r="AZ196" s="22">
        <v>181.14599999999999</v>
      </c>
      <c r="BA196" s="22">
        <v>-1.49994E-2</v>
      </c>
      <c r="BB196" s="22">
        <v>186</v>
      </c>
      <c r="BC196" s="22">
        <v>0.83557099999999995</v>
      </c>
      <c r="BD196">
        <f t="shared" si="34"/>
        <v>14.9994</v>
      </c>
      <c r="BE196">
        <f t="shared" si="35"/>
        <v>12.549083016599999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13.2797</v>
      </c>
      <c r="I197" s="22">
        <v>-1.4822399999999999E-2</v>
      </c>
      <c r="J197" s="22">
        <v>187</v>
      </c>
      <c r="K197" s="22">
        <v>0.85662799999999995</v>
      </c>
      <c r="L197">
        <f t="shared" si="24"/>
        <v>14.8224</v>
      </c>
      <c r="M197">
        <f t="shared" si="25"/>
        <v>12.7221696768</v>
      </c>
      <c r="N197" s="9"/>
      <c r="O197" s="22">
        <v>0.84167499999999995</v>
      </c>
      <c r="P197" s="22">
        <v>46.052799999999998</v>
      </c>
      <c r="Q197" s="22">
        <v>-1.4865099999999999E-2</v>
      </c>
      <c r="R197" s="22">
        <v>187</v>
      </c>
      <c r="S197" s="22">
        <v>0.84106400000000003</v>
      </c>
      <c r="T197">
        <f t="shared" si="26"/>
        <v>14.8651</v>
      </c>
      <c r="U197">
        <f t="shared" si="27"/>
        <v>12.5115830425</v>
      </c>
      <c r="X197" s="9"/>
      <c r="Y197" s="22">
        <v>0.85830700000000004</v>
      </c>
      <c r="Z197" s="22">
        <v>74.105800000000002</v>
      </c>
      <c r="AA197" s="22">
        <v>-1.4932300000000001E-2</v>
      </c>
      <c r="AB197" s="22">
        <v>187</v>
      </c>
      <c r="AC197" s="22">
        <v>0.85723899999999997</v>
      </c>
      <c r="AD197">
        <f t="shared" si="28"/>
        <v>14.932300000000001</v>
      </c>
      <c r="AE197">
        <f t="shared" si="29"/>
        <v>12.816497616100001</v>
      </c>
      <c r="AF197" s="9"/>
      <c r="AG197" s="22">
        <v>0.84167499999999995</v>
      </c>
      <c r="AH197" s="22">
        <v>108.821</v>
      </c>
      <c r="AI197" s="22">
        <v>-1.49017E-2</v>
      </c>
      <c r="AJ197" s="22">
        <v>187</v>
      </c>
      <c r="AK197" s="22">
        <v>0.84075900000000003</v>
      </c>
      <c r="AL197">
        <f t="shared" si="30"/>
        <v>14.9017</v>
      </c>
      <c r="AM197">
        <f t="shared" si="31"/>
        <v>12.542388347499999</v>
      </c>
      <c r="AP197" s="9"/>
      <c r="AQ197" s="22">
        <v>0.85830700000000004</v>
      </c>
      <c r="AR197" s="22">
        <v>137.30199999999999</v>
      </c>
      <c r="AS197" s="22">
        <v>-1.49628E-2</v>
      </c>
      <c r="AT197" s="22">
        <v>187</v>
      </c>
      <c r="AU197" s="22">
        <v>0.85784899999999997</v>
      </c>
      <c r="AV197">
        <f t="shared" si="32"/>
        <v>14.9628</v>
      </c>
      <c r="AW197">
        <f t="shared" si="33"/>
        <v>12.842675979600001</v>
      </c>
      <c r="AX197" s="9"/>
      <c r="AY197" s="22">
        <v>0.84167499999999995</v>
      </c>
      <c r="AZ197" s="22">
        <v>181.15600000000001</v>
      </c>
      <c r="BA197" s="22">
        <v>-1.4996300000000001E-2</v>
      </c>
      <c r="BB197" s="22">
        <v>187</v>
      </c>
      <c r="BC197" s="22">
        <v>0.84045400000000003</v>
      </c>
      <c r="BD197">
        <f t="shared" si="34"/>
        <v>14.9963</v>
      </c>
      <c r="BE197">
        <f t="shared" si="35"/>
        <v>12.622010802499998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13.2898</v>
      </c>
      <c r="I198" s="22">
        <v>-1.4822399999999999E-2</v>
      </c>
      <c r="J198" s="22">
        <v>188</v>
      </c>
      <c r="K198" s="22">
        <v>0.852356</v>
      </c>
      <c r="L198">
        <f t="shared" si="24"/>
        <v>14.8224</v>
      </c>
      <c r="M198">
        <f t="shared" si="25"/>
        <v>12.647524070399999</v>
      </c>
      <c r="N198" s="9"/>
      <c r="O198" s="22">
        <v>0.84670999999999996</v>
      </c>
      <c r="P198" s="22">
        <v>46.062899999999999</v>
      </c>
      <c r="Q198" s="22">
        <v>-1.48621E-2</v>
      </c>
      <c r="R198" s="22">
        <v>188</v>
      </c>
      <c r="S198" s="22">
        <v>0.84533700000000001</v>
      </c>
      <c r="T198">
        <f t="shared" si="26"/>
        <v>14.8621</v>
      </c>
      <c r="U198">
        <f t="shared" si="27"/>
        <v>12.583888690999999</v>
      </c>
      <c r="X198" s="9"/>
      <c r="Y198" s="22">
        <v>0.853271</v>
      </c>
      <c r="Z198" s="22">
        <v>74.115899999999996</v>
      </c>
      <c r="AA198" s="22">
        <v>-1.49353E-2</v>
      </c>
      <c r="AB198" s="22">
        <v>188</v>
      </c>
      <c r="AC198" s="22">
        <v>0.852051</v>
      </c>
      <c r="AD198">
        <f t="shared" si="28"/>
        <v>14.9353</v>
      </c>
      <c r="AE198">
        <f t="shared" si="29"/>
        <v>12.7438583663</v>
      </c>
      <c r="AF198" s="9"/>
      <c r="AG198" s="22">
        <v>0.84670999999999996</v>
      </c>
      <c r="AH198" s="22">
        <v>108.831</v>
      </c>
      <c r="AI198" s="22">
        <v>-1.4898700000000001E-2</v>
      </c>
      <c r="AJ198" s="22">
        <v>188</v>
      </c>
      <c r="AK198" s="22">
        <v>0.845642</v>
      </c>
      <c r="AL198">
        <f t="shared" si="30"/>
        <v>14.898700000000002</v>
      </c>
      <c r="AM198">
        <f t="shared" si="31"/>
        <v>12.614878277000001</v>
      </c>
      <c r="AP198" s="9"/>
      <c r="AQ198" s="22">
        <v>0.853271</v>
      </c>
      <c r="AR198" s="22">
        <v>137.31200000000001</v>
      </c>
      <c r="AS198" s="22">
        <v>-1.49658E-2</v>
      </c>
      <c r="AT198" s="22">
        <v>188</v>
      </c>
      <c r="AU198" s="22">
        <v>0.852356</v>
      </c>
      <c r="AV198">
        <f t="shared" si="32"/>
        <v>14.9658</v>
      </c>
      <c r="AW198">
        <f t="shared" si="33"/>
        <v>12.7698831318</v>
      </c>
      <c r="AX198" s="9"/>
      <c r="AY198" s="22">
        <v>0.84670999999999996</v>
      </c>
      <c r="AZ198" s="22">
        <v>181.166</v>
      </c>
      <c r="BA198" s="22">
        <v>-1.4996300000000001E-2</v>
      </c>
      <c r="BB198" s="22">
        <v>188</v>
      </c>
      <c r="BC198" s="22">
        <v>0.84503200000000001</v>
      </c>
      <c r="BD198">
        <f t="shared" si="34"/>
        <v>14.9963</v>
      </c>
      <c r="BE198">
        <f t="shared" si="35"/>
        <v>12.697517173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13.299899999999999</v>
      </c>
      <c r="I199" s="22">
        <v>-1.4825400000000001E-2</v>
      </c>
      <c r="J199" s="22">
        <v>189</v>
      </c>
      <c r="K199" s="22">
        <v>0.84686300000000003</v>
      </c>
      <c r="L199">
        <f t="shared" si="24"/>
        <v>14.8254</v>
      </c>
      <c r="M199">
        <f t="shared" si="25"/>
        <v>12.5754379944</v>
      </c>
      <c r="N199" s="9"/>
      <c r="O199" s="22">
        <v>0.851746</v>
      </c>
      <c r="P199" s="22">
        <v>46.073</v>
      </c>
      <c r="Q199" s="22">
        <v>-1.4859000000000001E-2</v>
      </c>
      <c r="R199" s="22">
        <v>189</v>
      </c>
      <c r="S199" s="22">
        <v>0.85082999999999998</v>
      </c>
      <c r="T199">
        <f t="shared" si="26"/>
        <v>14.859</v>
      </c>
      <c r="U199">
        <f t="shared" si="27"/>
        <v>12.656093814</v>
      </c>
      <c r="X199" s="9"/>
      <c r="Y199" s="22">
        <v>0.84823599999999999</v>
      </c>
      <c r="Z199" s="22">
        <v>74.126000000000005</v>
      </c>
      <c r="AA199" s="22">
        <v>-1.4941400000000001E-2</v>
      </c>
      <c r="AB199" s="22">
        <v>189</v>
      </c>
      <c r="AC199" s="22">
        <v>0.84716800000000003</v>
      </c>
      <c r="AD199">
        <f t="shared" si="28"/>
        <v>14.9414</v>
      </c>
      <c r="AE199">
        <f t="shared" si="29"/>
        <v>12.673833370399999</v>
      </c>
      <c r="AF199" s="9"/>
      <c r="AG199" s="22">
        <v>0.851746</v>
      </c>
      <c r="AH199" s="22">
        <v>108.84099999999999</v>
      </c>
      <c r="AI199" s="22">
        <v>-1.4892600000000001E-2</v>
      </c>
      <c r="AJ199" s="22">
        <v>189</v>
      </c>
      <c r="AK199" s="22">
        <v>0.85021999999999998</v>
      </c>
      <c r="AL199">
        <f t="shared" si="30"/>
        <v>14.8926</v>
      </c>
      <c r="AM199">
        <f t="shared" si="31"/>
        <v>12.6847124796</v>
      </c>
      <c r="AP199" s="9"/>
      <c r="AQ199" s="22">
        <v>0.84823599999999999</v>
      </c>
      <c r="AR199" s="22">
        <v>137.322</v>
      </c>
      <c r="AS199" s="22">
        <v>-1.49719E-2</v>
      </c>
      <c r="AT199" s="22">
        <v>189</v>
      </c>
      <c r="AU199" s="22">
        <v>0.84716800000000003</v>
      </c>
      <c r="AV199">
        <f t="shared" si="32"/>
        <v>14.9719</v>
      </c>
      <c r="AW199">
        <f t="shared" si="33"/>
        <v>12.6997045684</v>
      </c>
      <c r="AX199" s="9"/>
      <c r="AY199" s="22">
        <v>0.851746</v>
      </c>
      <c r="AZ199" s="22">
        <v>181.17699999999999</v>
      </c>
      <c r="BA199" s="22">
        <v>-1.49902E-2</v>
      </c>
      <c r="BB199" s="22">
        <v>189</v>
      </c>
      <c r="BC199" s="22">
        <v>0.85082999999999998</v>
      </c>
      <c r="BD199">
        <f t="shared" si="34"/>
        <v>14.9902</v>
      </c>
      <c r="BE199">
        <f t="shared" si="35"/>
        <v>12.767842889200001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13.309900000000001</v>
      </c>
      <c r="I200" s="22">
        <v>-1.4831499999999999E-2</v>
      </c>
      <c r="J200" s="22">
        <v>190</v>
      </c>
      <c r="K200" s="22">
        <v>0.84167499999999995</v>
      </c>
      <c r="L200">
        <f t="shared" si="24"/>
        <v>14.831499999999998</v>
      </c>
      <c r="M200">
        <f t="shared" si="25"/>
        <v>12.505935631499998</v>
      </c>
      <c r="N200" s="9"/>
      <c r="O200" s="22">
        <v>0.85678100000000001</v>
      </c>
      <c r="P200" s="22">
        <v>46.082999999999998</v>
      </c>
      <c r="Q200" s="22">
        <v>-1.4859000000000001E-2</v>
      </c>
      <c r="R200" s="22">
        <v>190</v>
      </c>
      <c r="S200" s="22">
        <v>0.85601799999999995</v>
      </c>
      <c r="T200">
        <f t="shared" si="26"/>
        <v>14.859</v>
      </c>
      <c r="U200">
        <f t="shared" si="27"/>
        <v>12.730908878999999</v>
      </c>
      <c r="X200" s="9"/>
      <c r="Y200" s="22">
        <v>0.84320099999999998</v>
      </c>
      <c r="Z200" s="22">
        <v>74.136099999999999</v>
      </c>
      <c r="AA200" s="22">
        <v>-1.4944499999999999E-2</v>
      </c>
      <c r="AB200" s="22">
        <v>190</v>
      </c>
      <c r="AC200" s="22">
        <v>0.84197999999999995</v>
      </c>
      <c r="AD200">
        <f t="shared" si="28"/>
        <v>14.9445</v>
      </c>
      <c r="AE200">
        <f t="shared" si="29"/>
        <v>12.6012173445</v>
      </c>
      <c r="AF200" s="9"/>
      <c r="AG200" s="22">
        <v>0.85678100000000001</v>
      </c>
      <c r="AH200" s="22">
        <v>108.851</v>
      </c>
      <c r="AI200" s="22">
        <v>-1.48895E-2</v>
      </c>
      <c r="AJ200" s="22">
        <v>190</v>
      </c>
      <c r="AK200" s="22">
        <v>0.85601799999999995</v>
      </c>
      <c r="AL200">
        <f t="shared" si="30"/>
        <v>14.8895</v>
      </c>
      <c r="AM200">
        <f t="shared" si="31"/>
        <v>12.757040699500001</v>
      </c>
      <c r="AP200" s="9"/>
      <c r="AQ200" s="22">
        <v>0.84320099999999998</v>
      </c>
      <c r="AR200" s="22">
        <v>137.33199999999999</v>
      </c>
      <c r="AS200" s="22">
        <v>-1.4975E-2</v>
      </c>
      <c r="AT200" s="22">
        <v>190</v>
      </c>
      <c r="AU200" s="22">
        <v>0.84258999999999995</v>
      </c>
      <c r="AV200">
        <f t="shared" si="32"/>
        <v>14.975</v>
      </c>
      <c r="AW200">
        <f t="shared" si="33"/>
        <v>12.626934974999999</v>
      </c>
      <c r="AX200" s="9"/>
      <c r="AY200" s="22">
        <v>0.85678100000000001</v>
      </c>
      <c r="AZ200" s="22">
        <v>181.18700000000001</v>
      </c>
      <c r="BA200" s="22">
        <v>-1.4987199999999999E-2</v>
      </c>
      <c r="BB200" s="22">
        <v>190</v>
      </c>
      <c r="BC200" s="22">
        <v>0.85540799999999995</v>
      </c>
      <c r="BD200">
        <f t="shared" si="34"/>
        <v>14.9872</v>
      </c>
      <c r="BE200">
        <f t="shared" si="35"/>
        <v>12.8407482032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13.32</v>
      </c>
      <c r="I201" s="22">
        <v>-1.48407E-2</v>
      </c>
      <c r="J201" s="22">
        <v>191</v>
      </c>
      <c r="K201" s="22">
        <v>0.83679199999999998</v>
      </c>
      <c r="L201">
        <f t="shared" si="24"/>
        <v>14.8407</v>
      </c>
      <c r="M201">
        <f t="shared" si="25"/>
        <v>12.438955315500001</v>
      </c>
      <c r="N201" s="9"/>
      <c r="O201" s="22">
        <v>0.86181600000000003</v>
      </c>
      <c r="P201" s="22">
        <v>46.0931</v>
      </c>
      <c r="Q201" s="22">
        <v>-1.4859000000000001E-2</v>
      </c>
      <c r="R201" s="22">
        <v>191</v>
      </c>
      <c r="S201" s="22">
        <v>0.86059600000000003</v>
      </c>
      <c r="T201">
        <f t="shared" si="26"/>
        <v>14.859</v>
      </c>
      <c r="U201">
        <f t="shared" si="27"/>
        <v>12.805723944</v>
      </c>
      <c r="X201" s="9"/>
      <c r="Y201" s="22">
        <v>0.83816500000000005</v>
      </c>
      <c r="Z201" s="22">
        <v>74.146100000000004</v>
      </c>
      <c r="AA201" s="22">
        <v>-1.4947500000000001E-2</v>
      </c>
      <c r="AB201" s="22">
        <v>191</v>
      </c>
      <c r="AC201" s="22">
        <v>0.83709699999999998</v>
      </c>
      <c r="AD201">
        <f t="shared" si="28"/>
        <v>14.947500000000002</v>
      </c>
      <c r="AE201">
        <f t="shared" si="29"/>
        <v>12.528471337500003</v>
      </c>
      <c r="AF201" s="9"/>
      <c r="AG201" s="22">
        <v>0.86181600000000003</v>
      </c>
      <c r="AH201" s="22">
        <v>108.861</v>
      </c>
      <c r="AI201" s="22">
        <v>-1.48865E-2</v>
      </c>
      <c r="AJ201" s="22">
        <v>191</v>
      </c>
      <c r="AK201" s="22">
        <v>0.86090100000000003</v>
      </c>
      <c r="AL201">
        <f t="shared" si="30"/>
        <v>14.8865</v>
      </c>
      <c r="AM201">
        <f t="shared" si="31"/>
        <v>12.829423884000001</v>
      </c>
      <c r="AP201" s="9"/>
      <c r="AQ201" s="22">
        <v>0.83816500000000005</v>
      </c>
      <c r="AR201" s="22">
        <v>137.34200000000001</v>
      </c>
      <c r="AS201" s="22">
        <v>-1.4981100000000001E-2</v>
      </c>
      <c r="AT201" s="22">
        <v>191</v>
      </c>
      <c r="AU201" s="22">
        <v>0.83679199999999998</v>
      </c>
      <c r="AV201">
        <f t="shared" si="32"/>
        <v>14.981100000000001</v>
      </c>
      <c r="AW201">
        <f t="shared" si="33"/>
        <v>12.556633681500001</v>
      </c>
      <c r="AX201" s="9"/>
      <c r="AY201" s="22">
        <v>0.86181600000000003</v>
      </c>
      <c r="AZ201" s="22">
        <v>181.197</v>
      </c>
      <c r="BA201" s="22">
        <v>-1.49841E-2</v>
      </c>
      <c r="BB201" s="22">
        <v>191</v>
      </c>
      <c r="BC201" s="22">
        <v>0.86120600000000003</v>
      </c>
      <c r="BD201">
        <f t="shared" si="34"/>
        <v>14.9841</v>
      </c>
      <c r="BE201">
        <f t="shared" si="35"/>
        <v>12.9135371256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13.3301</v>
      </c>
      <c r="I202" s="22">
        <v>-1.48407E-2</v>
      </c>
      <c r="J202" s="22">
        <v>192</v>
      </c>
      <c r="K202" s="22">
        <v>0.83252000000000004</v>
      </c>
      <c r="L202">
        <f t="shared" si="24"/>
        <v>14.8407</v>
      </c>
      <c r="M202">
        <f t="shared" si="25"/>
        <v>12.364232391</v>
      </c>
      <c r="N202" s="9"/>
      <c r="O202" s="22">
        <v>0.86685199999999996</v>
      </c>
      <c r="P202" s="22">
        <v>46.103200000000001</v>
      </c>
      <c r="Q202" s="22">
        <v>-1.4855999999999999E-2</v>
      </c>
      <c r="R202" s="22">
        <v>192</v>
      </c>
      <c r="S202" s="22">
        <v>0.865784</v>
      </c>
      <c r="T202">
        <f t="shared" si="26"/>
        <v>14.856</v>
      </c>
      <c r="U202">
        <f t="shared" si="27"/>
        <v>12.877953311999999</v>
      </c>
      <c r="X202" s="9"/>
      <c r="Y202" s="22">
        <v>0.83313000000000004</v>
      </c>
      <c r="Z202" s="22">
        <v>74.156199999999998</v>
      </c>
      <c r="AA202" s="22">
        <v>-1.49506E-2</v>
      </c>
      <c r="AB202" s="22">
        <v>192</v>
      </c>
      <c r="AC202" s="22">
        <v>0.83221400000000001</v>
      </c>
      <c r="AD202">
        <f t="shared" si="28"/>
        <v>14.9506</v>
      </c>
      <c r="AE202">
        <f t="shared" si="29"/>
        <v>12.455793378000001</v>
      </c>
      <c r="AF202" s="9"/>
      <c r="AG202" s="22">
        <v>0.86685199999999996</v>
      </c>
      <c r="AH202" s="22">
        <v>108.871</v>
      </c>
      <c r="AI202" s="22">
        <v>-1.48834E-2</v>
      </c>
      <c r="AJ202" s="22">
        <v>192</v>
      </c>
      <c r="AK202" s="22">
        <v>0.865784</v>
      </c>
      <c r="AL202">
        <f t="shared" si="30"/>
        <v>14.8834</v>
      </c>
      <c r="AM202">
        <f t="shared" si="31"/>
        <v>12.901705056799999</v>
      </c>
      <c r="AP202" s="9"/>
      <c r="AQ202" s="22">
        <v>0.83313000000000004</v>
      </c>
      <c r="AR202" s="22">
        <v>137.352</v>
      </c>
      <c r="AS202" s="22">
        <v>-1.4981100000000001E-2</v>
      </c>
      <c r="AT202" s="22">
        <v>192</v>
      </c>
      <c r="AU202" s="22">
        <v>0.83221400000000001</v>
      </c>
      <c r="AV202">
        <f t="shared" si="32"/>
        <v>14.981100000000001</v>
      </c>
      <c r="AW202">
        <f t="shared" si="33"/>
        <v>12.481203843000001</v>
      </c>
      <c r="AX202" s="9"/>
      <c r="AY202" s="22">
        <v>0.86685199999999996</v>
      </c>
      <c r="AZ202" s="22">
        <v>181.20699999999999</v>
      </c>
      <c r="BA202" s="22">
        <v>-1.4978E-2</v>
      </c>
      <c r="BB202" s="22">
        <v>192</v>
      </c>
      <c r="BC202" s="22">
        <v>0.866089</v>
      </c>
      <c r="BD202">
        <f t="shared" si="34"/>
        <v>14.978</v>
      </c>
      <c r="BE202">
        <f t="shared" si="35"/>
        <v>12.983709255999999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13.3401</v>
      </c>
      <c r="I203" s="22">
        <v>-1.48407E-2</v>
      </c>
      <c r="J203" s="22">
        <v>193</v>
      </c>
      <c r="K203" s="22">
        <v>0.82672100000000004</v>
      </c>
      <c r="L203">
        <f t="shared" si="24"/>
        <v>14.8407</v>
      </c>
      <c r="M203">
        <f t="shared" si="25"/>
        <v>12.2894946258</v>
      </c>
      <c r="N203" s="9"/>
      <c r="O203" s="22">
        <v>0.87188699999999997</v>
      </c>
      <c r="P203" s="22">
        <v>46.113300000000002</v>
      </c>
      <c r="Q203" s="22">
        <v>-1.48468E-2</v>
      </c>
      <c r="R203" s="22">
        <v>193</v>
      </c>
      <c r="S203" s="22">
        <v>0.87127699999999997</v>
      </c>
      <c r="T203">
        <f t="shared" si="26"/>
        <v>14.8468</v>
      </c>
      <c r="U203">
        <f t="shared" si="27"/>
        <v>12.9447319116</v>
      </c>
      <c r="X203" s="9"/>
      <c r="Y203" s="22">
        <v>0.828094</v>
      </c>
      <c r="Z203" s="22">
        <v>74.166300000000007</v>
      </c>
      <c r="AA203" s="22">
        <v>-1.4953599999999999E-2</v>
      </c>
      <c r="AB203" s="22">
        <v>193</v>
      </c>
      <c r="AC203" s="22">
        <v>0.82641600000000004</v>
      </c>
      <c r="AD203">
        <f t="shared" si="28"/>
        <v>14.9536</v>
      </c>
      <c r="AE203">
        <f t="shared" si="29"/>
        <v>12.3829864384</v>
      </c>
      <c r="AF203" s="9"/>
      <c r="AG203" s="22">
        <v>0.87188699999999997</v>
      </c>
      <c r="AH203" s="22">
        <v>108.881</v>
      </c>
      <c r="AI203" s="22">
        <v>-1.48773E-2</v>
      </c>
      <c r="AJ203" s="22">
        <v>193</v>
      </c>
      <c r="AK203" s="22">
        <v>0.87066699999999997</v>
      </c>
      <c r="AL203">
        <f t="shared" si="30"/>
        <v>14.8773</v>
      </c>
      <c r="AM203">
        <f t="shared" si="31"/>
        <v>12.9713244651</v>
      </c>
      <c r="AP203" s="9"/>
      <c r="AQ203" s="22">
        <v>0.828094</v>
      </c>
      <c r="AR203" s="22">
        <v>137.36199999999999</v>
      </c>
      <c r="AS203" s="22">
        <v>-1.4981100000000001E-2</v>
      </c>
      <c r="AT203" s="22">
        <v>193</v>
      </c>
      <c r="AU203" s="22">
        <v>0.82733199999999996</v>
      </c>
      <c r="AV203">
        <f t="shared" si="32"/>
        <v>14.981100000000001</v>
      </c>
      <c r="AW203">
        <f t="shared" si="33"/>
        <v>12.405759023400002</v>
      </c>
      <c r="AX203" s="9"/>
      <c r="AY203" s="22">
        <v>0.87188699999999997</v>
      </c>
      <c r="AZ203" s="22">
        <v>181.21700000000001</v>
      </c>
      <c r="BA203" s="22">
        <v>-1.4978E-2</v>
      </c>
      <c r="BB203" s="22">
        <v>193</v>
      </c>
      <c r="BC203" s="22">
        <v>0.86975100000000005</v>
      </c>
      <c r="BD203">
        <f t="shared" si="34"/>
        <v>14.978</v>
      </c>
      <c r="BE203">
        <f t="shared" si="35"/>
        <v>13.059123485999999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13.350199999999999</v>
      </c>
      <c r="I204" s="22">
        <v>-1.4843800000000001E-2</v>
      </c>
      <c r="J204" s="22">
        <v>194</v>
      </c>
      <c r="K204" s="22">
        <v>0.82214399999999999</v>
      </c>
      <c r="L204">
        <f t="shared" ref="L204:L267" si="36">-I204/$F$2*1000</f>
        <v>14.8438</v>
      </c>
      <c r="M204">
        <f t="shared" ref="M204:M267" si="37">L204*G204</f>
        <v>12.2173231842</v>
      </c>
      <c r="N204" s="9"/>
      <c r="O204" s="22">
        <v>0.87692300000000001</v>
      </c>
      <c r="P204" s="22">
        <v>46.1233</v>
      </c>
      <c r="Q204" s="22">
        <v>-1.4843800000000001E-2</v>
      </c>
      <c r="R204" s="22">
        <v>194</v>
      </c>
      <c r="S204" s="22">
        <v>0.87585400000000002</v>
      </c>
      <c r="T204">
        <f t="shared" ref="T204:T267" si="38">-Q204/$F$2*1000</f>
        <v>14.8438</v>
      </c>
      <c r="U204">
        <f t="shared" ref="U204:U267" si="39">T204*O204</f>
        <v>13.0168696274</v>
      </c>
      <c r="X204" s="9"/>
      <c r="Y204" s="22">
        <v>0.82305899999999999</v>
      </c>
      <c r="Z204" s="22">
        <v>74.176299999999998</v>
      </c>
      <c r="AA204" s="22">
        <v>-1.4959699999999999E-2</v>
      </c>
      <c r="AB204" s="22">
        <v>194</v>
      </c>
      <c r="AC204" s="22">
        <v>0.82183799999999996</v>
      </c>
      <c r="AD204">
        <f t="shared" ref="AD204:AD267" si="40">-AA204/$F$2*1000</f>
        <v>14.9597</v>
      </c>
      <c r="AE204">
        <f t="shared" ref="AE204:AE267" si="41">AD204*Y204</f>
        <v>12.3127157223</v>
      </c>
      <c r="AF204" s="9"/>
      <c r="AG204" s="22">
        <v>0.87692300000000001</v>
      </c>
      <c r="AH204" s="22">
        <v>108.892</v>
      </c>
      <c r="AI204" s="22">
        <v>-1.48773E-2</v>
      </c>
      <c r="AJ204" s="22">
        <v>194</v>
      </c>
      <c r="AK204" s="22">
        <v>0.87616000000000005</v>
      </c>
      <c r="AL204">
        <f t="shared" ref="AL204:AL267" si="42">-AI204/$F$2*1000</f>
        <v>14.8773</v>
      </c>
      <c r="AM204">
        <f t="shared" ref="AM204:AM267" si="43">AL204*AG204</f>
        <v>13.046246547900001</v>
      </c>
      <c r="AP204" s="9"/>
      <c r="AQ204" s="22">
        <v>0.82305899999999999</v>
      </c>
      <c r="AR204" s="22">
        <v>137.37299999999999</v>
      </c>
      <c r="AS204" s="22">
        <v>-1.49841E-2</v>
      </c>
      <c r="AT204" s="22">
        <v>194</v>
      </c>
      <c r="AU204" s="22">
        <v>0.82214399999999999</v>
      </c>
      <c r="AV204">
        <f t="shared" ref="AV204:AV267" si="44">-AS204/$F$2*1000</f>
        <v>14.9841</v>
      </c>
      <c r="AW204">
        <f t="shared" ref="AW204:AW267" si="45">AV204*AQ204</f>
        <v>12.3327983619</v>
      </c>
      <c r="AX204" s="9"/>
      <c r="AY204" s="22">
        <v>0.87692300000000001</v>
      </c>
      <c r="AZ204" s="22">
        <v>181.227</v>
      </c>
      <c r="BA204" s="22">
        <v>-1.49719E-2</v>
      </c>
      <c r="BB204" s="22">
        <v>194</v>
      </c>
      <c r="BC204" s="22">
        <v>0.87585400000000002</v>
      </c>
      <c r="BD204">
        <f t="shared" ref="BD204:BD267" si="46">-BA204/$F$2*1000</f>
        <v>14.9719</v>
      </c>
      <c r="BE204">
        <f t="shared" ref="BE204:BE267" si="47">BD204*AY204</f>
        <v>13.1292034637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13.360300000000001</v>
      </c>
      <c r="I205" s="22">
        <v>-1.48468E-2</v>
      </c>
      <c r="J205" s="22">
        <v>195</v>
      </c>
      <c r="K205" s="22">
        <v>0.81664999999999999</v>
      </c>
      <c r="L205">
        <f t="shared" si="36"/>
        <v>14.8468</v>
      </c>
      <c r="M205">
        <f t="shared" si="37"/>
        <v>12.145038723199999</v>
      </c>
      <c r="N205" s="9"/>
      <c r="O205" s="22">
        <v>0.88195800000000002</v>
      </c>
      <c r="P205" s="22">
        <v>46.133400000000002</v>
      </c>
      <c r="Q205" s="22">
        <v>-1.48407E-2</v>
      </c>
      <c r="R205" s="22">
        <v>195</v>
      </c>
      <c r="S205" s="22">
        <v>0.88073699999999999</v>
      </c>
      <c r="T205">
        <f t="shared" si="38"/>
        <v>14.8407</v>
      </c>
      <c r="U205">
        <f t="shared" si="39"/>
        <v>13.088874090600001</v>
      </c>
      <c r="X205" s="9"/>
      <c r="Y205" s="22">
        <v>0.81802399999999997</v>
      </c>
      <c r="Z205" s="22">
        <v>74.186400000000006</v>
      </c>
      <c r="AA205" s="22">
        <v>-1.49628E-2</v>
      </c>
      <c r="AB205" s="22">
        <v>195</v>
      </c>
      <c r="AC205" s="22">
        <v>0.81695600000000002</v>
      </c>
      <c r="AD205">
        <f t="shared" si="40"/>
        <v>14.9628</v>
      </c>
      <c r="AE205">
        <f t="shared" si="41"/>
        <v>12.239929507199999</v>
      </c>
      <c r="AF205" s="9"/>
      <c r="AG205" s="22">
        <v>0.88195800000000002</v>
      </c>
      <c r="AH205" s="22">
        <v>108.902</v>
      </c>
      <c r="AI205" s="22">
        <v>-1.48804E-2</v>
      </c>
      <c r="AJ205" s="22">
        <v>195</v>
      </c>
      <c r="AK205" s="22">
        <v>0.88073699999999999</v>
      </c>
      <c r="AL205">
        <f t="shared" si="42"/>
        <v>14.8804</v>
      </c>
      <c r="AM205">
        <f t="shared" si="43"/>
        <v>13.1238878232</v>
      </c>
      <c r="AP205" s="9"/>
      <c r="AQ205" s="22">
        <v>0.81802399999999997</v>
      </c>
      <c r="AR205" s="22">
        <v>137.38300000000001</v>
      </c>
      <c r="AS205" s="22">
        <v>-1.49841E-2</v>
      </c>
      <c r="AT205" s="22">
        <v>195</v>
      </c>
      <c r="AU205" s="22">
        <v>0.81664999999999999</v>
      </c>
      <c r="AV205">
        <f t="shared" si="44"/>
        <v>14.9841</v>
      </c>
      <c r="AW205">
        <f t="shared" si="45"/>
        <v>12.257353418399999</v>
      </c>
      <c r="AX205" s="9"/>
      <c r="AY205" s="22">
        <v>0.88195800000000002</v>
      </c>
      <c r="AZ205" s="22">
        <v>181.23699999999999</v>
      </c>
      <c r="BA205" s="22">
        <v>-1.49689E-2</v>
      </c>
      <c r="BB205" s="22">
        <v>195</v>
      </c>
      <c r="BC205" s="22">
        <v>0.88073699999999999</v>
      </c>
      <c r="BD205">
        <f t="shared" si="46"/>
        <v>14.9689</v>
      </c>
      <c r="BE205">
        <f t="shared" si="47"/>
        <v>13.2019411062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13.3704</v>
      </c>
      <c r="I206" s="22">
        <v>-1.4849899999999999E-2</v>
      </c>
      <c r="J206" s="22">
        <v>196</v>
      </c>
      <c r="K206" s="22">
        <v>0.81237800000000004</v>
      </c>
      <c r="L206">
        <f t="shared" si="36"/>
        <v>14.8499</v>
      </c>
      <c r="M206">
        <f t="shared" si="37"/>
        <v>12.0727905012</v>
      </c>
      <c r="N206" s="9"/>
      <c r="O206" s="22">
        <v>0.88699300000000003</v>
      </c>
      <c r="P206" s="22">
        <v>46.143500000000003</v>
      </c>
      <c r="Q206" s="22">
        <v>-1.48407E-2</v>
      </c>
      <c r="R206" s="22">
        <v>196</v>
      </c>
      <c r="S206" s="22">
        <v>0.88622999999999996</v>
      </c>
      <c r="T206">
        <f t="shared" si="38"/>
        <v>14.8407</v>
      </c>
      <c r="U206">
        <f t="shared" si="39"/>
        <v>13.163597015100001</v>
      </c>
      <c r="X206" s="9"/>
      <c r="Y206" s="22">
        <v>0.81298800000000004</v>
      </c>
      <c r="Z206" s="22">
        <v>74.1965</v>
      </c>
      <c r="AA206" s="22">
        <v>-1.4959699999999999E-2</v>
      </c>
      <c r="AB206" s="22">
        <v>196</v>
      </c>
      <c r="AC206" s="22">
        <v>0.81176800000000005</v>
      </c>
      <c r="AD206">
        <f t="shared" si="40"/>
        <v>14.9597</v>
      </c>
      <c r="AE206">
        <f t="shared" si="41"/>
        <v>12.1620565836</v>
      </c>
      <c r="AF206" s="9"/>
      <c r="AG206" s="22">
        <v>0.88699300000000003</v>
      </c>
      <c r="AH206" s="22">
        <v>108.91200000000001</v>
      </c>
      <c r="AI206" s="22">
        <v>-1.48773E-2</v>
      </c>
      <c r="AJ206" s="22">
        <v>196</v>
      </c>
      <c r="AK206" s="22">
        <v>0.88561999999999996</v>
      </c>
      <c r="AL206">
        <f t="shared" si="42"/>
        <v>14.8773</v>
      </c>
      <c r="AM206">
        <f t="shared" si="43"/>
        <v>13.1960609589</v>
      </c>
      <c r="AP206" s="9"/>
      <c r="AQ206" s="22">
        <v>0.81298800000000004</v>
      </c>
      <c r="AR206" s="22">
        <v>137.393</v>
      </c>
      <c r="AS206" s="22">
        <v>-1.49841E-2</v>
      </c>
      <c r="AT206" s="22">
        <v>196</v>
      </c>
      <c r="AU206" s="22">
        <v>0.81176800000000005</v>
      </c>
      <c r="AV206">
        <f t="shared" si="44"/>
        <v>14.9841</v>
      </c>
      <c r="AW206">
        <f t="shared" si="45"/>
        <v>12.1818934908</v>
      </c>
      <c r="AX206" s="9"/>
      <c r="AY206" s="22">
        <v>0.88699300000000003</v>
      </c>
      <c r="AZ206" s="22">
        <v>181.24700000000001</v>
      </c>
      <c r="BA206" s="22">
        <v>-1.49658E-2</v>
      </c>
      <c r="BB206" s="22">
        <v>196</v>
      </c>
      <c r="BC206" s="22">
        <v>0.88653599999999999</v>
      </c>
      <c r="BD206">
        <f t="shared" si="46"/>
        <v>14.9658</v>
      </c>
      <c r="BE206">
        <f t="shared" si="47"/>
        <v>13.2745598394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13.3804</v>
      </c>
      <c r="I207" s="22">
        <v>-1.4849899999999999E-2</v>
      </c>
      <c r="J207" s="22">
        <v>197</v>
      </c>
      <c r="K207" s="22">
        <v>0.80688499999999996</v>
      </c>
      <c r="L207">
        <f t="shared" si="36"/>
        <v>14.8499</v>
      </c>
      <c r="M207">
        <f t="shared" si="37"/>
        <v>11.998021254700001</v>
      </c>
      <c r="N207" s="9"/>
      <c r="O207" s="22">
        <v>0.89202899999999996</v>
      </c>
      <c r="P207" s="22">
        <v>46.153500000000001</v>
      </c>
      <c r="Q207" s="22">
        <v>-1.4837599999999999E-2</v>
      </c>
      <c r="R207" s="22">
        <v>197</v>
      </c>
      <c r="S207" s="22">
        <v>0.89111300000000004</v>
      </c>
      <c r="T207">
        <f t="shared" si="38"/>
        <v>14.8376</v>
      </c>
      <c r="U207">
        <f t="shared" si="39"/>
        <v>13.2355694904</v>
      </c>
      <c r="X207" s="9"/>
      <c r="Y207" s="22">
        <v>0.80795300000000003</v>
      </c>
      <c r="Z207" s="22">
        <v>74.206599999999995</v>
      </c>
      <c r="AA207" s="22">
        <v>-1.49628E-2</v>
      </c>
      <c r="AB207" s="22">
        <v>197</v>
      </c>
      <c r="AC207" s="22">
        <v>0.80657999999999996</v>
      </c>
      <c r="AD207">
        <f t="shared" si="40"/>
        <v>14.9628</v>
      </c>
      <c r="AE207">
        <f t="shared" si="41"/>
        <v>12.089239148400001</v>
      </c>
      <c r="AF207" s="9"/>
      <c r="AG207" s="22">
        <v>0.89202899999999996</v>
      </c>
      <c r="AH207" s="22">
        <v>108.922</v>
      </c>
      <c r="AI207" s="22">
        <v>-1.4871199999999999E-2</v>
      </c>
      <c r="AJ207" s="22">
        <v>197</v>
      </c>
      <c r="AK207" s="22">
        <v>0.89050300000000004</v>
      </c>
      <c r="AL207">
        <f t="shared" si="42"/>
        <v>14.8712</v>
      </c>
      <c r="AM207">
        <f t="shared" si="43"/>
        <v>13.265541664799999</v>
      </c>
      <c r="AP207" s="9"/>
      <c r="AQ207" s="22">
        <v>0.80795300000000003</v>
      </c>
      <c r="AR207" s="22">
        <v>137.40299999999999</v>
      </c>
      <c r="AS207" s="22">
        <v>-1.49841E-2</v>
      </c>
      <c r="AT207" s="22">
        <v>197</v>
      </c>
      <c r="AU207" s="22">
        <v>0.80688499999999996</v>
      </c>
      <c r="AV207">
        <f t="shared" si="44"/>
        <v>14.9841</v>
      </c>
      <c r="AW207">
        <f t="shared" si="45"/>
        <v>12.106448547299999</v>
      </c>
      <c r="AX207" s="9"/>
      <c r="AY207" s="22">
        <v>0.89202899999999996</v>
      </c>
      <c r="AZ207" s="22">
        <v>181.25700000000001</v>
      </c>
      <c r="BA207" s="22">
        <v>-1.49658E-2</v>
      </c>
      <c r="BB207" s="22">
        <v>197</v>
      </c>
      <c r="BC207" s="22">
        <v>0.89111300000000004</v>
      </c>
      <c r="BD207">
        <f t="shared" si="46"/>
        <v>14.9658</v>
      </c>
      <c r="BE207">
        <f t="shared" si="47"/>
        <v>13.3499276082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13.390499999999999</v>
      </c>
      <c r="I208" s="22">
        <v>-1.4849899999999999E-2</v>
      </c>
      <c r="J208" s="22">
        <v>198</v>
      </c>
      <c r="K208" s="22">
        <v>0.80200199999999999</v>
      </c>
      <c r="L208">
        <f t="shared" si="36"/>
        <v>14.8499</v>
      </c>
      <c r="M208">
        <f t="shared" si="37"/>
        <v>11.923237158299999</v>
      </c>
      <c r="N208" s="9"/>
      <c r="O208" s="22">
        <v>0.89706399999999997</v>
      </c>
      <c r="P208" s="22">
        <v>46.163600000000002</v>
      </c>
      <c r="Q208" s="22">
        <v>-1.4831499999999999E-2</v>
      </c>
      <c r="R208" s="22">
        <v>198</v>
      </c>
      <c r="S208" s="22">
        <v>0.89599600000000001</v>
      </c>
      <c r="T208">
        <f t="shared" si="38"/>
        <v>14.831499999999998</v>
      </c>
      <c r="U208">
        <f t="shared" si="39"/>
        <v>13.304804715999998</v>
      </c>
      <c r="X208" s="9"/>
      <c r="Y208" s="22">
        <v>0.80291699999999999</v>
      </c>
      <c r="Z208" s="22">
        <v>74.2166</v>
      </c>
      <c r="AA208" s="22">
        <v>-1.49628E-2</v>
      </c>
      <c r="AB208" s="22">
        <v>198</v>
      </c>
      <c r="AC208" s="22">
        <v>0.80200199999999999</v>
      </c>
      <c r="AD208">
        <f t="shared" si="40"/>
        <v>14.9628</v>
      </c>
      <c r="AE208">
        <f t="shared" si="41"/>
        <v>12.013886487599999</v>
      </c>
      <c r="AF208" s="9"/>
      <c r="AG208" s="22">
        <v>0.89706399999999997</v>
      </c>
      <c r="AH208" s="22">
        <v>108.932</v>
      </c>
      <c r="AI208" s="22">
        <v>-1.48682E-2</v>
      </c>
      <c r="AJ208" s="22">
        <v>198</v>
      </c>
      <c r="AK208" s="22">
        <v>0.89630100000000001</v>
      </c>
      <c r="AL208">
        <f t="shared" si="42"/>
        <v>14.8682</v>
      </c>
      <c r="AM208">
        <f t="shared" si="43"/>
        <v>13.3377269648</v>
      </c>
      <c r="AP208" s="9"/>
      <c r="AQ208" s="22">
        <v>0.80291699999999999</v>
      </c>
      <c r="AR208" s="22">
        <v>137.41300000000001</v>
      </c>
      <c r="AS208" s="22">
        <v>-1.49841E-2</v>
      </c>
      <c r="AT208" s="22">
        <v>198</v>
      </c>
      <c r="AU208" s="22">
        <v>0.80200199999999999</v>
      </c>
      <c r="AV208">
        <f t="shared" si="44"/>
        <v>14.9841</v>
      </c>
      <c r="AW208">
        <f t="shared" si="45"/>
        <v>12.0309886197</v>
      </c>
      <c r="AX208" s="9"/>
      <c r="AY208" s="22">
        <v>0.89706399999999997</v>
      </c>
      <c r="AZ208" s="22">
        <v>181.267</v>
      </c>
      <c r="BA208" s="22">
        <v>-1.49628E-2</v>
      </c>
      <c r="BB208" s="22">
        <v>198</v>
      </c>
      <c r="BC208" s="22">
        <v>0.89599600000000001</v>
      </c>
      <c r="BD208">
        <f t="shared" si="46"/>
        <v>14.9628</v>
      </c>
      <c r="BE208">
        <f t="shared" si="47"/>
        <v>13.422589219199999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13.400600000000001</v>
      </c>
      <c r="I209" s="22">
        <v>-1.48529E-2</v>
      </c>
      <c r="J209" s="22">
        <v>199</v>
      </c>
      <c r="K209" s="22">
        <v>0.79711900000000002</v>
      </c>
      <c r="L209">
        <f t="shared" si="36"/>
        <v>14.8529</v>
      </c>
      <c r="M209">
        <f t="shared" si="37"/>
        <v>11.8508615578</v>
      </c>
      <c r="N209" s="9"/>
      <c r="O209" s="22">
        <v>0.90210000000000001</v>
      </c>
      <c r="P209" s="22">
        <v>46.173699999999997</v>
      </c>
      <c r="Q209" s="22">
        <v>-1.48285E-2</v>
      </c>
      <c r="R209" s="22">
        <v>199</v>
      </c>
      <c r="S209" s="22">
        <v>0.90148899999999998</v>
      </c>
      <c r="T209">
        <f t="shared" si="38"/>
        <v>14.8285</v>
      </c>
      <c r="U209">
        <f t="shared" si="39"/>
        <v>13.37678985</v>
      </c>
      <c r="X209" s="9"/>
      <c r="Y209" s="22">
        <v>0.79788199999999998</v>
      </c>
      <c r="Z209" s="22">
        <v>74.226699999999994</v>
      </c>
      <c r="AA209" s="22">
        <v>-1.49658E-2</v>
      </c>
      <c r="AB209" s="22">
        <v>199</v>
      </c>
      <c r="AC209" s="22">
        <v>0.79681400000000002</v>
      </c>
      <c r="AD209">
        <f t="shared" si="40"/>
        <v>14.9658</v>
      </c>
      <c r="AE209">
        <f t="shared" si="41"/>
        <v>11.9409424356</v>
      </c>
      <c r="AF209" s="9"/>
      <c r="AG209" s="22">
        <v>0.90210000000000001</v>
      </c>
      <c r="AH209" s="22">
        <v>108.94199999999999</v>
      </c>
      <c r="AI209" s="22">
        <v>-1.4865099999999999E-2</v>
      </c>
      <c r="AJ209" s="22">
        <v>199</v>
      </c>
      <c r="AK209" s="22">
        <v>0.90087899999999999</v>
      </c>
      <c r="AL209">
        <f t="shared" si="42"/>
        <v>14.8651</v>
      </c>
      <c r="AM209">
        <f t="shared" si="43"/>
        <v>13.40980671</v>
      </c>
      <c r="AP209" s="9"/>
      <c r="AQ209" s="22">
        <v>0.79788199999999998</v>
      </c>
      <c r="AR209" s="22">
        <v>137.423</v>
      </c>
      <c r="AS209" s="22">
        <v>-1.4987199999999999E-2</v>
      </c>
      <c r="AT209" s="22">
        <v>199</v>
      </c>
      <c r="AU209" s="22">
        <v>0.79711900000000002</v>
      </c>
      <c r="AV209">
        <f t="shared" si="44"/>
        <v>14.9872</v>
      </c>
      <c r="AW209">
        <f t="shared" si="45"/>
        <v>11.9580171104</v>
      </c>
      <c r="AX209" s="9"/>
      <c r="AY209" s="22">
        <v>0.90210000000000001</v>
      </c>
      <c r="AZ209" s="22">
        <v>181.27699999999999</v>
      </c>
      <c r="BA209" s="22">
        <v>-1.49567E-2</v>
      </c>
      <c r="BB209" s="22">
        <v>199</v>
      </c>
      <c r="BC209" s="22">
        <v>0.90118399999999999</v>
      </c>
      <c r="BD209">
        <f t="shared" si="46"/>
        <v>14.9567</v>
      </c>
      <c r="BE209">
        <f t="shared" si="47"/>
        <v>13.49243907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13.410600000000001</v>
      </c>
      <c r="I210" s="22">
        <v>-1.4855999999999999E-2</v>
      </c>
      <c r="J210" s="22">
        <v>200</v>
      </c>
      <c r="K210" s="22">
        <v>0.79162600000000005</v>
      </c>
      <c r="L210">
        <f t="shared" si="36"/>
        <v>14.856</v>
      </c>
      <c r="M210">
        <f t="shared" si="37"/>
        <v>11.778535031999999</v>
      </c>
      <c r="N210" s="9"/>
      <c r="O210" s="22">
        <v>0.90713500000000002</v>
      </c>
      <c r="P210" s="22">
        <v>46.183799999999998</v>
      </c>
      <c r="Q210" s="22">
        <v>-1.4822399999999999E-2</v>
      </c>
      <c r="R210" s="22">
        <v>200</v>
      </c>
      <c r="S210" s="22">
        <v>0.90606699999999996</v>
      </c>
      <c r="T210">
        <f t="shared" si="38"/>
        <v>14.8224</v>
      </c>
      <c r="U210">
        <f t="shared" si="39"/>
        <v>13.445917824</v>
      </c>
      <c r="X210" s="9"/>
      <c r="Y210" s="22">
        <v>0.79284699999999997</v>
      </c>
      <c r="Z210" s="22">
        <v>74.236800000000002</v>
      </c>
      <c r="AA210" s="22">
        <v>-1.49658E-2</v>
      </c>
      <c r="AB210" s="22">
        <v>200</v>
      </c>
      <c r="AC210" s="22">
        <v>0.79193100000000005</v>
      </c>
      <c r="AD210">
        <f t="shared" si="40"/>
        <v>14.9658</v>
      </c>
      <c r="AE210">
        <f t="shared" si="41"/>
        <v>11.865589632599999</v>
      </c>
      <c r="AF210" s="9"/>
      <c r="AG210" s="22">
        <v>0.90713500000000002</v>
      </c>
      <c r="AH210" s="22">
        <v>108.952</v>
      </c>
      <c r="AI210" s="22">
        <v>-1.4859000000000001E-2</v>
      </c>
      <c r="AJ210" s="22">
        <v>200</v>
      </c>
      <c r="AK210" s="22">
        <v>0.90576199999999996</v>
      </c>
      <c r="AL210">
        <f t="shared" si="42"/>
        <v>14.859</v>
      </c>
      <c r="AM210">
        <f t="shared" si="43"/>
        <v>13.479118965</v>
      </c>
      <c r="AP210" s="9"/>
      <c r="AQ210" s="22">
        <v>0.79284699999999997</v>
      </c>
      <c r="AR210" s="22">
        <v>137.43299999999999</v>
      </c>
      <c r="AS210" s="22">
        <v>-1.4993299999999999E-2</v>
      </c>
      <c r="AT210" s="22">
        <v>200</v>
      </c>
      <c r="AU210" s="22">
        <v>0.79223600000000005</v>
      </c>
      <c r="AV210">
        <f t="shared" si="44"/>
        <v>14.9933</v>
      </c>
      <c r="AW210">
        <f t="shared" si="45"/>
        <v>11.887392925099999</v>
      </c>
      <c r="AX210" s="9"/>
      <c r="AY210" s="22">
        <v>0.90713500000000002</v>
      </c>
      <c r="AZ210" s="22">
        <v>181.28700000000001</v>
      </c>
      <c r="BA210" s="22">
        <v>-1.4953599999999999E-2</v>
      </c>
      <c r="BB210" s="22">
        <v>200</v>
      </c>
      <c r="BC210" s="22">
        <v>0.90606699999999996</v>
      </c>
      <c r="BD210">
        <f t="shared" si="46"/>
        <v>14.9536</v>
      </c>
      <c r="BE210">
        <f t="shared" si="47"/>
        <v>13.564933936000001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13.4207</v>
      </c>
      <c r="I211" s="22">
        <v>-1.4859000000000001E-2</v>
      </c>
      <c r="J211" s="22">
        <v>201</v>
      </c>
      <c r="K211" s="22">
        <v>0.78704799999999997</v>
      </c>
      <c r="L211">
        <f t="shared" si="36"/>
        <v>14.859</v>
      </c>
      <c r="M211">
        <f t="shared" si="37"/>
        <v>11.706083649</v>
      </c>
      <c r="N211" s="9"/>
      <c r="O211" s="22">
        <v>0.91217000000000004</v>
      </c>
      <c r="P211" s="22">
        <v>46.193800000000003</v>
      </c>
      <c r="Q211" s="22">
        <v>-1.4819300000000001E-2</v>
      </c>
      <c r="R211" s="22">
        <v>201</v>
      </c>
      <c r="S211" s="22">
        <v>0.91095000000000004</v>
      </c>
      <c r="T211">
        <f t="shared" si="38"/>
        <v>14.8193</v>
      </c>
      <c r="U211">
        <f t="shared" si="39"/>
        <v>13.517720881000001</v>
      </c>
      <c r="X211" s="9"/>
      <c r="Y211" s="22">
        <v>0.78781100000000004</v>
      </c>
      <c r="Z211" s="22">
        <v>74.246799999999993</v>
      </c>
      <c r="AA211" s="22">
        <v>-1.49689E-2</v>
      </c>
      <c r="AB211" s="22">
        <v>201</v>
      </c>
      <c r="AC211" s="22">
        <v>0.78704799999999997</v>
      </c>
      <c r="AD211">
        <f t="shared" si="40"/>
        <v>14.9689</v>
      </c>
      <c r="AE211">
        <f t="shared" si="41"/>
        <v>11.7926640779</v>
      </c>
      <c r="AF211" s="9"/>
      <c r="AG211" s="22">
        <v>0.91217000000000004</v>
      </c>
      <c r="AH211" s="22">
        <v>108.962</v>
      </c>
      <c r="AI211" s="22">
        <v>-1.48529E-2</v>
      </c>
      <c r="AJ211" s="22">
        <v>201</v>
      </c>
      <c r="AK211" s="22">
        <v>0.91064500000000004</v>
      </c>
      <c r="AL211">
        <f t="shared" si="42"/>
        <v>14.8529</v>
      </c>
      <c r="AM211">
        <f t="shared" si="43"/>
        <v>13.548369793000001</v>
      </c>
      <c r="AP211" s="9"/>
      <c r="AQ211" s="22">
        <v>0.78781100000000004</v>
      </c>
      <c r="AR211" s="22">
        <v>137.44300000000001</v>
      </c>
      <c r="AS211" s="22">
        <v>-1.4996300000000001E-2</v>
      </c>
      <c r="AT211" s="22">
        <v>201</v>
      </c>
      <c r="AU211" s="22">
        <v>0.78674299999999997</v>
      </c>
      <c r="AV211">
        <f t="shared" si="44"/>
        <v>14.9963</v>
      </c>
      <c r="AW211">
        <f t="shared" si="45"/>
        <v>11.814250099300001</v>
      </c>
      <c r="AX211" s="9"/>
      <c r="AY211" s="22">
        <v>0.91217000000000004</v>
      </c>
      <c r="AZ211" s="22">
        <v>181.297</v>
      </c>
      <c r="BA211" s="22">
        <v>-1.49506E-2</v>
      </c>
      <c r="BB211" s="22">
        <v>201</v>
      </c>
      <c r="BC211" s="22">
        <v>0.91125500000000004</v>
      </c>
      <c r="BD211">
        <f t="shared" si="46"/>
        <v>14.9506</v>
      </c>
      <c r="BE211">
        <f t="shared" si="47"/>
        <v>13.637488802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13.4308</v>
      </c>
      <c r="I212" s="22">
        <v>-1.48621E-2</v>
      </c>
      <c r="J212" s="22">
        <v>202</v>
      </c>
      <c r="K212" s="22">
        <v>0.781555</v>
      </c>
      <c r="L212">
        <f t="shared" si="36"/>
        <v>14.8621</v>
      </c>
      <c r="M212">
        <f t="shared" si="37"/>
        <v>11.633695189600001</v>
      </c>
      <c r="N212" s="9"/>
      <c r="O212" s="22">
        <v>0.91720599999999997</v>
      </c>
      <c r="P212" s="22">
        <v>46.203899999999997</v>
      </c>
      <c r="Q212" s="22">
        <v>-1.48132E-2</v>
      </c>
      <c r="R212" s="22">
        <v>202</v>
      </c>
      <c r="S212" s="22">
        <v>0.91674800000000001</v>
      </c>
      <c r="T212">
        <f t="shared" si="38"/>
        <v>14.8132</v>
      </c>
      <c r="U212">
        <f t="shared" si="39"/>
        <v>13.5867559192</v>
      </c>
      <c r="X212" s="9"/>
      <c r="Y212" s="22">
        <v>0.78277600000000003</v>
      </c>
      <c r="Z212" s="22">
        <v>74.256900000000002</v>
      </c>
      <c r="AA212" s="22">
        <v>-1.49719E-2</v>
      </c>
      <c r="AB212" s="22">
        <v>202</v>
      </c>
      <c r="AC212" s="22">
        <v>0.781555</v>
      </c>
      <c r="AD212">
        <f t="shared" si="40"/>
        <v>14.9719</v>
      </c>
      <c r="AE212">
        <f t="shared" si="41"/>
        <v>11.7196439944</v>
      </c>
      <c r="AF212" s="9"/>
      <c r="AG212" s="22">
        <v>0.91720599999999997</v>
      </c>
      <c r="AH212" s="22">
        <v>108.97199999999999</v>
      </c>
      <c r="AI212" s="22">
        <v>-1.4849899999999999E-2</v>
      </c>
      <c r="AJ212" s="22">
        <v>202</v>
      </c>
      <c r="AK212" s="22">
        <v>0.91674800000000001</v>
      </c>
      <c r="AL212">
        <f t="shared" si="42"/>
        <v>14.8499</v>
      </c>
      <c r="AM212">
        <f t="shared" si="43"/>
        <v>13.620417379399999</v>
      </c>
      <c r="AP212" s="9"/>
      <c r="AQ212" s="22">
        <v>0.78277600000000003</v>
      </c>
      <c r="AR212" s="22">
        <v>137.453</v>
      </c>
      <c r="AS212" s="22">
        <v>-1.49994E-2</v>
      </c>
      <c r="AT212" s="22">
        <v>202</v>
      </c>
      <c r="AU212" s="22">
        <v>0.78216600000000003</v>
      </c>
      <c r="AV212">
        <f t="shared" si="44"/>
        <v>14.9994</v>
      </c>
      <c r="AW212">
        <f t="shared" si="45"/>
        <v>11.7411703344</v>
      </c>
      <c r="AX212" s="9"/>
      <c r="AY212" s="22">
        <v>0.91720599999999997</v>
      </c>
      <c r="AZ212" s="22">
        <v>181.30699999999999</v>
      </c>
      <c r="BA212" s="22">
        <v>-1.49506E-2</v>
      </c>
      <c r="BB212" s="22">
        <v>202</v>
      </c>
      <c r="BC212" s="22">
        <v>0.91552699999999998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13.440799999999999</v>
      </c>
      <c r="I213" s="22">
        <v>-1.4865099999999999E-2</v>
      </c>
      <c r="J213" s="22">
        <v>203</v>
      </c>
      <c r="K213" s="22">
        <v>0.77636700000000003</v>
      </c>
      <c r="L213">
        <f t="shared" si="36"/>
        <v>14.8651</v>
      </c>
      <c r="M213">
        <f t="shared" si="37"/>
        <v>11.561182874</v>
      </c>
      <c r="N213" s="9"/>
      <c r="O213" s="22">
        <v>0.92224099999999998</v>
      </c>
      <c r="P213" s="22">
        <v>46.213999999999999</v>
      </c>
      <c r="Q213" s="22">
        <v>-1.48132E-2</v>
      </c>
      <c r="R213" s="22">
        <v>203</v>
      </c>
      <c r="S213" s="22">
        <v>0.92132599999999998</v>
      </c>
      <c r="T213">
        <f t="shared" si="38"/>
        <v>14.8132</v>
      </c>
      <c r="U213">
        <f t="shared" si="39"/>
        <v>13.6613403812</v>
      </c>
      <c r="X213" s="9"/>
      <c r="Y213" s="22">
        <v>0.77773999999999999</v>
      </c>
      <c r="Z213" s="22">
        <v>74.266999999999996</v>
      </c>
      <c r="AA213" s="22">
        <v>-1.4978E-2</v>
      </c>
      <c r="AB213" s="22">
        <v>203</v>
      </c>
      <c r="AC213" s="22">
        <v>0.77667200000000003</v>
      </c>
      <c r="AD213">
        <f t="shared" si="40"/>
        <v>14.978</v>
      </c>
      <c r="AE213">
        <f t="shared" si="41"/>
        <v>11.648989719999999</v>
      </c>
      <c r="AF213" s="9"/>
      <c r="AG213" s="22">
        <v>0.92224099999999998</v>
      </c>
      <c r="AH213" s="22">
        <v>108.982</v>
      </c>
      <c r="AI213" s="22">
        <v>-1.4843800000000001E-2</v>
      </c>
      <c r="AJ213" s="22">
        <v>203</v>
      </c>
      <c r="AK213" s="22">
        <v>0.92040999999999995</v>
      </c>
      <c r="AL213">
        <f t="shared" si="42"/>
        <v>14.8438</v>
      </c>
      <c r="AM213">
        <f t="shared" si="43"/>
        <v>13.689560955799999</v>
      </c>
      <c r="AP213" s="9"/>
      <c r="AQ213" s="22">
        <v>0.77773999999999999</v>
      </c>
      <c r="AR213" s="22">
        <v>137.46299999999999</v>
      </c>
      <c r="AS213" s="22">
        <v>-1.50055E-2</v>
      </c>
      <c r="AT213" s="22">
        <v>203</v>
      </c>
      <c r="AU213" s="22">
        <v>0.77697799999999995</v>
      </c>
      <c r="AV213">
        <f t="shared" si="44"/>
        <v>15.0055</v>
      </c>
      <c r="AW213">
        <f t="shared" si="45"/>
        <v>11.670377569999999</v>
      </c>
      <c r="AX213" s="9"/>
      <c r="AY213" s="22">
        <v>0.92224099999999998</v>
      </c>
      <c r="AZ213" s="22">
        <v>181.31800000000001</v>
      </c>
      <c r="BA213" s="22">
        <v>-1.4947500000000001E-2</v>
      </c>
      <c r="BB213" s="22">
        <v>203</v>
      </c>
      <c r="BC213" s="22">
        <v>0.92102099999999998</v>
      </c>
      <c r="BD213">
        <f t="shared" si="46"/>
        <v>14.947500000000002</v>
      </c>
      <c r="BE213">
        <f t="shared" si="47"/>
        <v>13.7851973475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13.450900000000001</v>
      </c>
      <c r="I214" s="22">
        <v>-1.4871199999999999E-2</v>
      </c>
      <c r="J214" s="22">
        <v>204</v>
      </c>
      <c r="K214" s="22">
        <v>0.77087399999999995</v>
      </c>
      <c r="L214">
        <f t="shared" si="36"/>
        <v>14.8712</v>
      </c>
      <c r="M214">
        <f t="shared" si="37"/>
        <v>11.491050595999999</v>
      </c>
      <c r="N214" s="9"/>
      <c r="O214" s="22">
        <v>0.92727700000000002</v>
      </c>
      <c r="P214" s="22">
        <v>46.223999999999997</v>
      </c>
      <c r="Q214" s="22">
        <v>-1.4816299999999999E-2</v>
      </c>
      <c r="R214" s="22">
        <v>204</v>
      </c>
      <c r="S214" s="22">
        <v>0.92620800000000003</v>
      </c>
      <c r="T214">
        <f t="shared" si="38"/>
        <v>14.8163</v>
      </c>
      <c r="U214">
        <f t="shared" si="39"/>
        <v>13.7388142151</v>
      </c>
      <c r="X214" s="9"/>
      <c r="Y214" s="22">
        <v>0.77270499999999998</v>
      </c>
      <c r="Z214" s="22">
        <v>74.277100000000004</v>
      </c>
      <c r="AA214" s="22">
        <v>-1.4981100000000001E-2</v>
      </c>
      <c r="AB214" s="22">
        <v>204</v>
      </c>
      <c r="AC214" s="22">
        <v>0.77148399999999995</v>
      </c>
      <c r="AD214">
        <f t="shared" si="40"/>
        <v>14.981100000000001</v>
      </c>
      <c r="AE214">
        <f t="shared" si="41"/>
        <v>11.575970875500001</v>
      </c>
      <c r="AF214" s="9"/>
      <c r="AG214" s="22">
        <v>0.92727700000000002</v>
      </c>
      <c r="AH214" s="22">
        <v>108.992</v>
      </c>
      <c r="AI214" s="22">
        <v>-1.4843800000000001E-2</v>
      </c>
      <c r="AJ214" s="22">
        <v>204</v>
      </c>
      <c r="AK214" s="22">
        <v>0.92590300000000003</v>
      </c>
      <c r="AL214">
        <f t="shared" si="42"/>
        <v>14.8438</v>
      </c>
      <c r="AM214">
        <f t="shared" si="43"/>
        <v>13.7643143326</v>
      </c>
      <c r="AP214" s="9"/>
      <c r="AQ214" s="22">
        <v>0.77270499999999998</v>
      </c>
      <c r="AR214" s="22">
        <v>137.47300000000001</v>
      </c>
      <c r="AS214" s="22">
        <v>-1.5014599999999999E-2</v>
      </c>
      <c r="AT214" s="22">
        <v>204</v>
      </c>
      <c r="AU214" s="22">
        <v>0.77209499999999998</v>
      </c>
      <c r="AV214">
        <f t="shared" si="44"/>
        <v>15.0146</v>
      </c>
      <c r="AW214">
        <f t="shared" si="45"/>
        <v>11.601856493</v>
      </c>
      <c r="AX214" s="9"/>
      <c r="AY214" s="22">
        <v>0.92727700000000002</v>
      </c>
      <c r="AZ214" s="22">
        <v>181.328</v>
      </c>
      <c r="BA214" s="22">
        <v>-1.4941400000000001E-2</v>
      </c>
      <c r="BB214" s="22">
        <v>204</v>
      </c>
      <c r="BC214" s="22">
        <v>0.92651399999999995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13.461</v>
      </c>
      <c r="I215" s="22">
        <v>-1.48773E-2</v>
      </c>
      <c r="J215" s="22">
        <v>205</v>
      </c>
      <c r="K215" s="22">
        <v>0.76660200000000001</v>
      </c>
      <c r="L215">
        <f t="shared" si="36"/>
        <v>14.8773</v>
      </c>
      <c r="M215">
        <f t="shared" si="37"/>
        <v>11.420856891</v>
      </c>
      <c r="N215" s="9"/>
      <c r="O215" s="22">
        <v>0.93231200000000003</v>
      </c>
      <c r="P215" s="22">
        <v>46.234099999999998</v>
      </c>
      <c r="Q215" s="22">
        <v>-1.48132E-2</v>
      </c>
      <c r="R215" s="22">
        <v>205</v>
      </c>
      <c r="S215" s="22">
        <v>0.931091</v>
      </c>
      <c r="T215">
        <f t="shared" si="38"/>
        <v>14.8132</v>
      </c>
      <c r="U215">
        <f t="shared" si="39"/>
        <v>13.8105241184</v>
      </c>
      <c r="X215" s="9"/>
      <c r="Y215" s="22">
        <v>0.76766999999999996</v>
      </c>
      <c r="Z215" s="22">
        <v>74.287099999999995</v>
      </c>
      <c r="AA215" s="22">
        <v>-1.49841E-2</v>
      </c>
      <c r="AB215" s="22">
        <v>205</v>
      </c>
      <c r="AC215" s="22">
        <v>0.76599099999999998</v>
      </c>
      <c r="AD215">
        <f t="shared" si="40"/>
        <v>14.9841</v>
      </c>
      <c r="AE215">
        <f t="shared" si="41"/>
        <v>11.502844047</v>
      </c>
      <c r="AF215" s="9"/>
      <c r="AG215" s="22">
        <v>0.93231200000000003</v>
      </c>
      <c r="AH215" s="22">
        <v>109.002</v>
      </c>
      <c r="AI215" s="22">
        <v>-1.4843800000000001E-2</v>
      </c>
      <c r="AJ215" s="22">
        <v>205</v>
      </c>
      <c r="AK215" s="22">
        <v>0.931091</v>
      </c>
      <c r="AL215">
        <f t="shared" si="42"/>
        <v>14.8438</v>
      </c>
      <c r="AM215">
        <f t="shared" si="43"/>
        <v>13.839052865600001</v>
      </c>
      <c r="AP215" s="9"/>
      <c r="AQ215" s="22">
        <v>0.76766999999999996</v>
      </c>
      <c r="AR215" s="22">
        <v>137.483</v>
      </c>
      <c r="AS215" s="22">
        <v>-1.50177E-2</v>
      </c>
      <c r="AT215" s="22">
        <v>205</v>
      </c>
      <c r="AU215" s="22">
        <v>0.76660200000000001</v>
      </c>
      <c r="AV215">
        <f t="shared" si="44"/>
        <v>15.0177</v>
      </c>
      <c r="AW215">
        <f t="shared" si="45"/>
        <v>11.528637758999999</v>
      </c>
      <c r="AX215" s="9"/>
      <c r="AY215" s="22">
        <v>0.93231200000000003</v>
      </c>
      <c r="AZ215" s="22">
        <v>181.33799999999999</v>
      </c>
      <c r="BA215" s="22">
        <v>-1.4941400000000001E-2</v>
      </c>
      <c r="BB215" s="22">
        <v>205</v>
      </c>
      <c r="BC215" s="22">
        <v>0.931091</v>
      </c>
      <c r="BD215">
        <f t="shared" si="46"/>
        <v>14.9414</v>
      </c>
      <c r="BE215">
        <f t="shared" si="47"/>
        <v>13.930046516800001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13.4711</v>
      </c>
      <c r="I216" s="22">
        <v>-1.48834E-2</v>
      </c>
      <c r="J216" s="22">
        <v>206</v>
      </c>
      <c r="K216" s="22">
        <v>0.76171900000000003</v>
      </c>
      <c r="L216">
        <f t="shared" si="36"/>
        <v>14.8834</v>
      </c>
      <c r="M216">
        <f t="shared" si="37"/>
        <v>11.350586875600001</v>
      </c>
      <c r="N216" s="9"/>
      <c r="O216" s="22">
        <v>0.93734700000000004</v>
      </c>
      <c r="P216" s="22">
        <v>46.244199999999999</v>
      </c>
      <c r="Q216" s="22">
        <v>-1.4810200000000001E-2</v>
      </c>
      <c r="R216" s="22">
        <v>206</v>
      </c>
      <c r="S216" s="22">
        <v>0.93597399999999997</v>
      </c>
      <c r="T216">
        <f t="shared" si="38"/>
        <v>14.8102</v>
      </c>
      <c r="U216">
        <f t="shared" si="39"/>
        <v>13.8822965394</v>
      </c>
      <c r="X216" s="9"/>
      <c r="Y216" s="22">
        <v>0.76263400000000003</v>
      </c>
      <c r="Z216" s="22">
        <v>74.297200000000004</v>
      </c>
      <c r="AA216" s="22">
        <v>-1.4993299999999999E-2</v>
      </c>
      <c r="AB216" s="22">
        <v>206</v>
      </c>
      <c r="AC216" s="22">
        <v>0.76141400000000004</v>
      </c>
      <c r="AD216">
        <f t="shared" si="40"/>
        <v>14.9933</v>
      </c>
      <c r="AE216">
        <f t="shared" si="41"/>
        <v>11.434400352200001</v>
      </c>
      <c r="AF216" s="9"/>
      <c r="AG216" s="22">
        <v>0.93734700000000004</v>
      </c>
      <c r="AH216" s="22">
        <v>109.012</v>
      </c>
      <c r="AI216" s="22">
        <v>-1.48407E-2</v>
      </c>
      <c r="AJ216" s="22">
        <v>206</v>
      </c>
      <c r="AK216" s="22">
        <v>0.93627899999999997</v>
      </c>
      <c r="AL216">
        <f t="shared" si="42"/>
        <v>14.8407</v>
      </c>
      <c r="AM216">
        <f t="shared" si="43"/>
        <v>13.9108856229</v>
      </c>
      <c r="AP216" s="9"/>
      <c r="AQ216" s="22">
        <v>0.76263400000000003</v>
      </c>
      <c r="AR216" s="22">
        <v>137.49299999999999</v>
      </c>
      <c r="AS216" s="22">
        <v>-1.5026899999999999E-2</v>
      </c>
      <c r="AT216" s="22">
        <v>206</v>
      </c>
      <c r="AU216" s="22">
        <v>0.76110800000000001</v>
      </c>
      <c r="AV216">
        <f t="shared" si="44"/>
        <v>15.026899999999999</v>
      </c>
      <c r="AW216">
        <f t="shared" si="45"/>
        <v>11.4600248546</v>
      </c>
      <c r="AX216" s="9"/>
      <c r="AY216" s="22">
        <v>0.93734700000000004</v>
      </c>
      <c r="AZ216" s="22">
        <v>181.34800000000001</v>
      </c>
      <c r="BA216" s="22">
        <v>-1.4938399999999999E-2</v>
      </c>
      <c r="BB216" s="22">
        <v>206</v>
      </c>
      <c r="BC216" s="22">
        <v>0.93597399999999997</v>
      </c>
      <c r="BD216">
        <f t="shared" si="46"/>
        <v>14.9384</v>
      </c>
      <c r="BE216">
        <f t="shared" si="47"/>
        <v>14.002464424800001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13.4811</v>
      </c>
      <c r="I217" s="22">
        <v>-1.48865E-2</v>
      </c>
      <c r="J217" s="22">
        <v>207</v>
      </c>
      <c r="K217" s="22">
        <v>0.75622599999999995</v>
      </c>
      <c r="L217">
        <f t="shared" si="36"/>
        <v>14.8865</v>
      </c>
      <c r="M217">
        <f t="shared" si="37"/>
        <v>11.277997513500001</v>
      </c>
      <c r="N217" s="9"/>
      <c r="O217" s="22">
        <v>0.94238299999999997</v>
      </c>
      <c r="P217" s="22">
        <v>46.254300000000001</v>
      </c>
      <c r="Q217" s="22">
        <v>-1.4798E-2</v>
      </c>
      <c r="R217" s="22">
        <v>207</v>
      </c>
      <c r="S217" s="22">
        <v>0.94146700000000005</v>
      </c>
      <c r="T217">
        <f t="shared" si="38"/>
        <v>14.798</v>
      </c>
      <c r="U217">
        <f t="shared" si="39"/>
        <v>13.945383633999999</v>
      </c>
      <c r="X217" s="9"/>
      <c r="Y217" s="22">
        <v>0.75759900000000002</v>
      </c>
      <c r="Z217" s="22">
        <v>74.307299999999998</v>
      </c>
      <c r="AA217" s="22">
        <v>-1.4996300000000001E-2</v>
      </c>
      <c r="AB217" s="22">
        <v>207</v>
      </c>
      <c r="AC217" s="22">
        <v>0.75653099999999995</v>
      </c>
      <c r="AD217">
        <f t="shared" si="40"/>
        <v>14.9963</v>
      </c>
      <c r="AE217">
        <f t="shared" si="41"/>
        <v>11.3611818837</v>
      </c>
      <c r="AF217" s="9"/>
      <c r="AG217" s="22">
        <v>0.94238299999999997</v>
      </c>
      <c r="AH217" s="22">
        <v>109.02200000000001</v>
      </c>
      <c r="AI217" s="22">
        <v>-1.4837599999999999E-2</v>
      </c>
      <c r="AJ217" s="22">
        <v>207</v>
      </c>
      <c r="AK217" s="22">
        <v>0.94085700000000005</v>
      </c>
      <c r="AL217">
        <f t="shared" si="42"/>
        <v>14.8376</v>
      </c>
      <c r="AM217">
        <f t="shared" si="43"/>
        <v>13.9827020008</v>
      </c>
      <c r="AP217" s="9"/>
      <c r="AQ217" s="22">
        <v>0.75759900000000002</v>
      </c>
      <c r="AR217" s="22">
        <v>137.50299999999999</v>
      </c>
      <c r="AS217" s="22">
        <v>-1.5029900000000001E-2</v>
      </c>
      <c r="AT217" s="22">
        <v>207</v>
      </c>
      <c r="AU217" s="22">
        <v>0.75653099999999995</v>
      </c>
      <c r="AV217">
        <f t="shared" si="44"/>
        <v>15.029900000000001</v>
      </c>
      <c r="AW217">
        <f t="shared" si="45"/>
        <v>11.386637210100002</v>
      </c>
      <c r="AX217" s="9"/>
      <c r="AY217" s="22">
        <v>0.94238299999999997</v>
      </c>
      <c r="AZ217" s="22">
        <v>181.358</v>
      </c>
      <c r="BA217" s="22">
        <v>-1.4938399999999999E-2</v>
      </c>
      <c r="BB217" s="22">
        <v>207</v>
      </c>
      <c r="BC217" s="22">
        <v>0.94116200000000005</v>
      </c>
      <c r="BD217">
        <f t="shared" si="46"/>
        <v>14.9384</v>
      </c>
      <c r="BE217">
        <f t="shared" si="47"/>
        <v>14.077694207199999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13.491199999999999</v>
      </c>
      <c r="I218" s="22">
        <v>-1.48895E-2</v>
      </c>
      <c r="J218" s="22">
        <v>208</v>
      </c>
      <c r="K218" s="22">
        <v>0.75164799999999998</v>
      </c>
      <c r="L218">
        <f t="shared" si="36"/>
        <v>14.8895</v>
      </c>
      <c r="M218">
        <f t="shared" si="37"/>
        <v>11.2052867885</v>
      </c>
      <c r="N218" s="9"/>
      <c r="O218" s="22">
        <v>0.94741799999999998</v>
      </c>
      <c r="P218" s="22">
        <v>46.264299999999999</v>
      </c>
      <c r="Q218" s="22">
        <v>-1.47949E-2</v>
      </c>
      <c r="R218" s="22">
        <v>208</v>
      </c>
      <c r="S218" s="22">
        <v>0.94604500000000002</v>
      </c>
      <c r="T218">
        <f t="shared" si="38"/>
        <v>14.7949</v>
      </c>
      <c r="U218">
        <f t="shared" si="39"/>
        <v>14.016954568199999</v>
      </c>
      <c r="X218" s="9"/>
      <c r="Y218" s="22">
        <v>0.75256299999999998</v>
      </c>
      <c r="Z218" s="22">
        <v>74.317300000000003</v>
      </c>
      <c r="AA218" s="22">
        <v>-1.50055E-2</v>
      </c>
      <c r="AB218" s="22">
        <v>208</v>
      </c>
      <c r="AC218" s="22">
        <v>0.75164799999999998</v>
      </c>
      <c r="AD218">
        <f t="shared" si="40"/>
        <v>15.0055</v>
      </c>
      <c r="AE218">
        <f t="shared" si="41"/>
        <v>11.292584096499999</v>
      </c>
      <c r="AF218" s="9"/>
      <c r="AG218" s="22">
        <v>0.94741799999999998</v>
      </c>
      <c r="AH218" s="22">
        <v>109.033</v>
      </c>
      <c r="AI218" s="22">
        <v>-1.4837599999999999E-2</v>
      </c>
      <c r="AJ218" s="22">
        <v>208</v>
      </c>
      <c r="AK218" s="22">
        <v>0.94665500000000002</v>
      </c>
      <c r="AL218">
        <f t="shared" si="42"/>
        <v>14.8376</v>
      </c>
      <c r="AM218">
        <f t="shared" si="43"/>
        <v>14.057409316799999</v>
      </c>
      <c r="AP218" s="9"/>
      <c r="AQ218" s="22">
        <v>0.75256299999999998</v>
      </c>
      <c r="AR218" s="22">
        <v>137.51400000000001</v>
      </c>
      <c r="AS218" s="22">
        <v>-1.5032999999999999E-2</v>
      </c>
      <c r="AT218" s="22">
        <v>208</v>
      </c>
      <c r="AU218" s="22">
        <v>0.75134299999999998</v>
      </c>
      <c r="AV218">
        <f t="shared" si="44"/>
        <v>15.032999999999999</v>
      </c>
      <c r="AW218">
        <f t="shared" si="45"/>
        <v>11.313279579</v>
      </c>
      <c r="AX218" s="9"/>
      <c r="AY218" s="22">
        <v>0.94741799999999998</v>
      </c>
      <c r="AZ218" s="22">
        <v>181.36799999999999</v>
      </c>
      <c r="BA218" s="22">
        <v>-1.4938399999999999E-2</v>
      </c>
      <c r="BB218" s="22">
        <v>208</v>
      </c>
      <c r="BC218" s="22">
        <v>0.94635000000000002</v>
      </c>
      <c r="BD218">
        <f t="shared" si="46"/>
        <v>14.9384</v>
      </c>
      <c r="BE218">
        <f t="shared" si="47"/>
        <v>14.1529090512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13.501300000000001</v>
      </c>
      <c r="I219" s="22">
        <v>-1.4892600000000001E-2</v>
      </c>
      <c r="J219" s="22">
        <v>209</v>
      </c>
      <c r="K219" s="22">
        <v>0.74670400000000003</v>
      </c>
      <c r="L219">
        <f t="shared" si="36"/>
        <v>14.8926</v>
      </c>
      <c r="M219">
        <f t="shared" si="37"/>
        <v>11.132635492799999</v>
      </c>
      <c r="N219" s="9"/>
      <c r="O219" s="22">
        <v>0.95245400000000002</v>
      </c>
      <c r="P219" s="22">
        <v>46.2744</v>
      </c>
      <c r="Q219" s="22">
        <v>-1.47919E-2</v>
      </c>
      <c r="R219" s="22">
        <v>209</v>
      </c>
      <c r="S219" s="22">
        <v>0.951233</v>
      </c>
      <c r="T219">
        <f t="shared" si="38"/>
        <v>14.7919</v>
      </c>
      <c r="U219">
        <f t="shared" si="39"/>
        <v>14.0886043226</v>
      </c>
      <c r="X219" s="9"/>
      <c r="Y219" s="22">
        <v>0.74752799999999997</v>
      </c>
      <c r="Z219" s="22">
        <v>74.327399999999997</v>
      </c>
      <c r="AA219" s="22">
        <v>-1.5008499999999999E-2</v>
      </c>
      <c r="AB219" s="22">
        <v>209</v>
      </c>
      <c r="AC219" s="22">
        <v>0.74667399999999995</v>
      </c>
      <c r="AD219">
        <f t="shared" si="40"/>
        <v>15.0085</v>
      </c>
      <c r="AE219">
        <f t="shared" si="41"/>
        <v>11.219273987999999</v>
      </c>
      <c r="AF219" s="9"/>
      <c r="AG219" s="22">
        <v>0.95245400000000002</v>
      </c>
      <c r="AH219" s="22">
        <v>109.04300000000001</v>
      </c>
      <c r="AI219" s="22">
        <v>-1.4831499999999999E-2</v>
      </c>
      <c r="AJ219" s="22">
        <v>209</v>
      </c>
      <c r="AK219" s="22">
        <v>0.95153799999999999</v>
      </c>
      <c r="AL219">
        <f t="shared" si="42"/>
        <v>14.831499999999998</v>
      </c>
      <c r="AM219">
        <f t="shared" si="43"/>
        <v>14.126321501</v>
      </c>
      <c r="AP219" s="9"/>
      <c r="AQ219" s="22">
        <v>0.74752799999999997</v>
      </c>
      <c r="AR219" s="22">
        <v>137.524</v>
      </c>
      <c r="AS219" s="22">
        <v>-1.5032999999999999E-2</v>
      </c>
      <c r="AT219" s="22">
        <v>209</v>
      </c>
      <c r="AU219" s="22">
        <v>0.74661299999999997</v>
      </c>
      <c r="AV219">
        <f t="shared" si="44"/>
        <v>15.032999999999999</v>
      </c>
      <c r="AW219">
        <f t="shared" si="45"/>
        <v>11.237588423999998</v>
      </c>
      <c r="AX219" s="9"/>
      <c r="AY219" s="22">
        <v>0.95245400000000002</v>
      </c>
      <c r="AZ219" s="22">
        <v>181.37799999999999</v>
      </c>
      <c r="BA219" s="22">
        <v>-1.4932300000000001E-2</v>
      </c>
      <c r="BB219" s="22">
        <v>209</v>
      </c>
      <c r="BC219" s="22">
        <v>0.95153799999999999</v>
      </c>
      <c r="BD219">
        <f t="shared" si="46"/>
        <v>14.932300000000001</v>
      </c>
      <c r="BE219">
        <f t="shared" si="47"/>
        <v>14.222328864200001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13.5113</v>
      </c>
      <c r="I220" s="22">
        <v>-1.4898700000000001E-2</v>
      </c>
      <c r="J220" s="22">
        <v>210</v>
      </c>
      <c r="K220" s="22">
        <v>0.74157700000000004</v>
      </c>
      <c r="L220">
        <f t="shared" si="36"/>
        <v>14.898700000000002</v>
      </c>
      <c r="M220">
        <f t="shared" si="37"/>
        <v>11.0621804591</v>
      </c>
      <c r="N220" s="9"/>
      <c r="O220" s="22">
        <v>0.95748900000000003</v>
      </c>
      <c r="P220" s="22">
        <v>46.284500000000001</v>
      </c>
      <c r="Q220" s="22">
        <v>-1.47888E-2</v>
      </c>
      <c r="R220" s="22">
        <v>210</v>
      </c>
      <c r="S220" s="22">
        <v>0.95642099999999997</v>
      </c>
      <c r="T220">
        <f t="shared" si="38"/>
        <v>14.7888</v>
      </c>
      <c r="U220">
        <f t="shared" si="39"/>
        <v>14.160113323200001</v>
      </c>
      <c r="X220" s="9"/>
      <c r="Y220" s="22">
        <v>0.74249299999999996</v>
      </c>
      <c r="Z220" s="22">
        <v>74.337500000000006</v>
      </c>
      <c r="AA220" s="22">
        <v>-1.50116E-2</v>
      </c>
      <c r="AB220" s="22">
        <v>210</v>
      </c>
      <c r="AC220" s="22">
        <v>0.74160800000000004</v>
      </c>
      <c r="AD220">
        <f t="shared" si="40"/>
        <v>15.0116</v>
      </c>
      <c r="AE220">
        <f t="shared" si="41"/>
        <v>11.146007918799999</v>
      </c>
      <c r="AF220" s="9"/>
      <c r="AG220" s="22">
        <v>0.95748900000000003</v>
      </c>
      <c r="AH220" s="22">
        <v>109.053</v>
      </c>
      <c r="AI220" s="22">
        <v>-1.48285E-2</v>
      </c>
      <c r="AJ220" s="22">
        <v>210</v>
      </c>
      <c r="AK220" s="22">
        <v>0.95672599999999997</v>
      </c>
      <c r="AL220">
        <f t="shared" si="42"/>
        <v>14.8285</v>
      </c>
      <c r="AM220">
        <f t="shared" si="43"/>
        <v>14.1981256365</v>
      </c>
      <c r="AP220" s="9"/>
      <c r="AQ220" s="22">
        <v>0.74249299999999996</v>
      </c>
      <c r="AR220" s="22">
        <v>137.53399999999999</v>
      </c>
      <c r="AS220" s="22">
        <v>-1.5032999999999999E-2</v>
      </c>
      <c r="AT220" s="22">
        <v>210</v>
      </c>
      <c r="AU220" s="22">
        <v>0.74151599999999995</v>
      </c>
      <c r="AV220">
        <f t="shared" si="44"/>
        <v>15.032999999999999</v>
      </c>
      <c r="AW220">
        <f t="shared" si="45"/>
        <v>11.161897268999999</v>
      </c>
      <c r="AX220" s="9"/>
      <c r="AY220" s="22">
        <v>0.95748900000000003</v>
      </c>
      <c r="AZ220" s="22">
        <v>181.38800000000001</v>
      </c>
      <c r="BA220" s="22">
        <v>-1.49292E-2</v>
      </c>
      <c r="BB220" s="22">
        <v>210</v>
      </c>
      <c r="BC220" s="22">
        <v>0.95642099999999997</v>
      </c>
      <c r="BD220">
        <f t="shared" si="46"/>
        <v>14.9292</v>
      </c>
      <c r="BE220">
        <f t="shared" si="47"/>
        <v>14.294544778800001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13.5214</v>
      </c>
      <c r="I221" s="22">
        <v>-1.49017E-2</v>
      </c>
      <c r="J221" s="22">
        <v>211</v>
      </c>
      <c r="K221" s="22">
        <v>0.73654200000000003</v>
      </c>
      <c r="L221">
        <f t="shared" si="36"/>
        <v>14.9017</v>
      </c>
      <c r="M221">
        <f t="shared" si="37"/>
        <v>10.989362976900001</v>
      </c>
      <c r="N221" s="9"/>
      <c r="O221" s="22">
        <v>0.96252400000000005</v>
      </c>
      <c r="P221" s="22">
        <v>46.294499999999999</v>
      </c>
      <c r="Q221" s="22">
        <v>-1.47858E-2</v>
      </c>
      <c r="R221" s="22">
        <v>211</v>
      </c>
      <c r="S221" s="22">
        <v>0.96160900000000005</v>
      </c>
      <c r="T221">
        <f t="shared" si="38"/>
        <v>14.7858</v>
      </c>
      <c r="U221">
        <f t="shared" si="39"/>
        <v>14.2316873592</v>
      </c>
      <c r="X221" s="9"/>
      <c r="Y221" s="22">
        <v>0.73745700000000003</v>
      </c>
      <c r="Z221" s="22">
        <v>74.3476</v>
      </c>
      <c r="AA221" s="22">
        <v>-1.5014599999999999E-2</v>
      </c>
      <c r="AB221" s="22">
        <v>211</v>
      </c>
      <c r="AC221" s="22">
        <v>0.73672499999999996</v>
      </c>
      <c r="AD221">
        <f t="shared" si="40"/>
        <v>15.0146</v>
      </c>
      <c r="AE221">
        <f t="shared" si="41"/>
        <v>11.072621872200001</v>
      </c>
      <c r="AF221" s="9"/>
      <c r="AG221" s="22">
        <v>0.96252400000000005</v>
      </c>
      <c r="AH221" s="22">
        <v>109.063</v>
      </c>
      <c r="AI221" s="22">
        <v>-1.4825400000000001E-2</v>
      </c>
      <c r="AJ221" s="22">
        <v>211</v>
      </c>
      <c r="AK221" s="22">
        <v>0.96130400000000005</v>
      </c>
      <c r="AL221">
        <f t="shared" si="42"/>
        <v>14.8254</v>
      </c>
      <c r="AM221">
        <f t="shared" si="43"/>
        <v>14.2698033096</v>
      </c>
      <c r="AP221" s="9"/>
      <c r="AQ221" s="22">
        <v>0.73745700000000003</v>
      </c>
      <c r="AR221" s="22">
        <v>137.54400000000001</v>
      </c>
      <c r="AS221" s="22">
        <v>-1.50391E-2</v>
      </c>
      <c r="AT221" s="22">
        <v>211</v>
      </c>
      <c r="AU221" s="22">
        <v>0.73675500000000005</v>
      </c>
      <c r="AV221">
        <f t="shared" si="44"/>
        <v>15.039099999999999</v>
      </c>
      <c r="AW221">
        <f t="shared" si="45"/>
        <v>11.0906895687</v>
      </c>
      <c r="AX221" s="9"/>
      <c r="AY221" s="22">
        <v>0.96252400000000005</v>
      </c>
      <c r="AZ221" s="22">
        <v>181.398</v>
      </c>
      <c r="BA221" s="22">
        <v>-1.4926099999999999E-2</v>
      </c>
      <c r="BB221" s="22">
        <v>211</v>
      </c>
      <c r="BC221" s="22">
        <v>0.96160900000000005</v>
      </c>
      <c r="BD221">
        <f t="shared" si="46"/>
        <v>14.9261</v>
      </c>
      <c r="BE221">
        <f t="shared" si="47"/>
        <v>14.3667294764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13.531499999999999</v>
      </c>
      <c r="I222" s="22">
        <v>-1.4907800000000001E-2</v>
      </c>
      <c r="J222" s="22">
        <v>212</v>
      </c>
      <c r="K222" s="22">
        <v>0.73159799999999997</v>
      </c>
      <c r="L222">
        <f t="shared" si="36"/>
        <v>14.9078</v>
      </c>
      <c r="M222">
        <f t="shared" si="37"/>
        <v>10.9188006916</v>
      </c>
      <c r="N222" s="9"/>
      <c r="O222" s="22">
        <v>0.96755999999999998</v>
      </c>
      <c r="P222" s="22">
        <v>46.304600000000001</v>
      </c>
      <c r="Q222" s="22">
        <v>-1.4782699999999999E-2</v>
      </c>
      <c r="R222" s="22">
        <v>212</v>
      </c>
      <c r="S222" s="22">
        <v>0.96618700000000002</v>
      </c>
      <c r="T222">
        <f t="shared" si="38"/>
        <v>14.7827</v>
      </c>
      <c r="U222">
        <f t="shared" si="39"/>
        <v>14.303149211999999</v>
      </c>
      <c r="X222" s="9"/>
      <c r="Y222" s="22">
        <v>0.73242200000000002</v>
      </c>
      <c r="Z222" s="22">
        <v>74.357600000000005</v>
      </c>
      <c r="AA222" s="22">
        <v>-1.5014599999999999E-2</v>
      </c>
      <c r="AB222" s="22">
        <v>212</v>
      </c>
      <c r="AC222" s="22">
        <v>0.73165899999999995</v>
      </c>
      <c r="AD222">
        <f t="shared" si="40"/>
        <v>15.0146</v>
      </c>
      <c r="AE222">
        <f t="shared" si="41"/>
        <v>10.9970233612</v>
      </c>
      <c r="AF222" s="9"/>
      <c r="AG222" s="22">
        <v>0.96755999999999998</v>
      </c>
      <c r="AH222" s="22">
        <v>109.07299999999999</v>
      </c>
      <c r="AI222" s="22">
        <v>-1.4822399999999999E-2</v>
      </c>
      <c r="AJ222" s="22">
        <v>212</v>
      </c>
      <c r="AK222" s="22">
        <v>0.96649200000000002</v>
      </c>
      <c r="AL222">
        <f t="shared" si="42"/>
        <v>14.8224</v>
      </c>
      <c r="AM222">
        <f t="shared" si="43"/>
        <v>14.341561344</v>
      </c>
      <c r="AP222" s="9"/>
      <c r="AQ222" s="22">
        <v>0.73242200000000002</v>
      </c>
      <c r="AR222" s="22">
        <v>137.554</v>
      </c>
      <c r="AS222" s="22">
        <v>-1.50391E-2</v>
      </c>
      <c r="AT222" s="22">
        <v>212</v>
      </c>
      <c r="AU222" s="22">
        <v>0.73150599999999999</v>
      </c>
      <c r="AV222">
        <f t="shared" si="44"/>
        <v>15.039099999999999</v>
      </c>
      <c r="AW222">
        <f t="shared" si="45"/>
        <v>11.0149677002</v>
      </c>
      <c r="AX222" s="9"/>
      <c r="AY222" s="22">
        <v>0.96755999999999998</v>
      </c>
      <c r="AZ222" s="22">
        <v>181.40799999999999</v>
      </c>
      <c r="BA222" s="22">
        <v>-1.49231E-2</v>
      </c>
      <c r="BB222" s="22">
        <v>212</v>
      </c>
      <c r="BC222" s="22">
        <v>0.96588099999999999</v>
      </c>
      <c r="BD222">
        <f t="shared" si="46"/>
        <v>14.9231</v>
      </c>
      <c r="BE222">
        <f t="shared" si="47"/>
        <v>14.438994636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13.541600000000001</v>
      </c>
      <c r="I223" s="22">
        <v>-1.49109E-2</v>
      </c>
      <c r="J223" s="22">
        <v>213</v>
      </c>
      <c r="K223" s="22">
        <v>0.72656299999999996</v>
      </c>
      <c r="L223">
        <f t="shared" si="36"/>
        <v>14.9109</v>
      </c>
      <c r="M223">
        <f t="shared" si="37"/>
        <v>10.8459799074</v>
      </c>
      <c r="N223" s="9"/>
      <c r="O223" s="22">
        <v>0.97259499999999999</v>
      </c>
      <c r="P223" s="22">
        <v>46.314700000000002</v>
      </c>
      <c r="Q223" s="22">
        <v>-1.4782699999999999E-2</v>
      </c>
      <c r="R223" s="22">
        <v>213</v>
      </c>
      <c r="S223" s="22">
        <v>0.97106899999999996</v>
      </c>
      <c r="T223">
        <f t="shared" si="38"/>
        <v>14.7827</v>
      </c>
      <c r="U223">
        <f t="shared" si="39"/>
        <v>14.3775801065</v>
      </c>
      <c r="X223" s="9"/>
      <c r="Y223" s="22">
        <v>0.72738599999999998</v>
      </c>
      <c r="Z223" s="22">
        <v>74.367699999999999</v>
      </c>
      <c r="AA223" s="22">
        <v>-1.50177E-2</v>
      </c>
      <c r="AB223" s="22">
        <v>213</v>
      </c>
      <c r="AC223" s="22">
        <v>0.72650099999999995</v>
      </c>
      <c r="AD223">
        <f t="shared" si="40"/>
        <v>15.0177</v>
      </c>
      <c r="AE223">
        <f t="shared" si="41"/>
        <v>10.923664732199999</v>
      </c>
      <c r="AF223" s="9"/>
      <c r="AG223" s="22">
        <v>0.97259499999999999</v>
      </c>
      <c r="AH223" s="22">
        <v>109.083</v>
      </c>
      <c r="AI223" s="22">
        <v>-1.4816299999999999E-2</v>
      </c>
      <c r="AJ223" s="22">
        <v>213</v>
      </c>
      <c r="AK223" s="22">
        <v>0.97198499999999999</v>
      </c>
      <c r="AL223">
        <f t="shared" si="42"/>
        <v>14.8163</v>
      </c>
      <c r="AM223">
        <f t="shared" si="43"/>
        <v>14.4102592985</v>
      </c>
      <c r="AP223" s="9"/>
      <c r="AQ223" s="22">
        <v>0.72738599999999998</v>
      </c>
      <c r="AR223" s="22">
        <v>137.56399999999999</v>
      </c>
      <c r="AS223" s="22">
        <v>-1.5042099999999999E-2</v>
      </c>
      <c r="AT223" s="22">
        <v>213</v>
      </c>
      <c r="AU223" s="22">
        <v>0.72656299999999996</v>
      </c>
      <c r="AV223">
        <f t="shared" si="44"/>
        <v>15.0421</v>
      </c>
      <c r="AW223">
        <f t="shared" si="45"/>
        <v>10.9414129506</v>
      </c>
      <c r="AX223" s="9"/>
      <c r="AY223" s="22">
        <v>0.97259499999999999</v>
      </c>
      <c r="AZ223" s="22">
        <v>181.41800000000001</v>
      </c>
      <c r="BA223" s="22">
        <v>-1.4917E-2</v>
      </c>
      <c r="BB223" s="22">
        <v>213</v>
      </c>
      <c r="BC223" s="22">
        <v>0.97167999999999999</v>
      </c>
      <c r="BD223">
        <f t="shared" si="46"/>
        <v>14.917</v>
      </c>
      <c r="BE223">
        <f t="shared" si="47"/>
        <v>14.508199614999999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13.551600000000001</v>
      </c>
      <c r="I224" s="22">
        <v>-1.4917E-2</v>
      </c>
      <c r="J224" s="22">
        <v>214</v>
      </c>
      <c r="K224" s="22">
        <v>0.72143599999999997</v>
      </c>
      <c r="L224">
        <f t="shared" si="36"/>
        <v>14.917</v>
      </c>
      <c r="M224">
        <f t="shared" si="37"/>
        <v>10.775309866999999</v>
      </c>
      <c r="N224" s="9"/>
      <c r="O224" s="22">
        <v>0.97763100000000003</v>
      </c>
      <c r="P224" s="22">
        <v>46.3247</v>
      </c>
      <c r="Q224" s="22">
        <v>-1.47797E-2</v>
      </c>
      <c r="R224" s="22">
        <v>214</v>
      </c>
      <c r="S224" s="22">
        <v>0.97656299999999996</v>
      </c>
      <c r="T224">
        <f t="shared" si="38"/>
        <v>14.7797</v>
      </c>
      <c r="U224">
        <f t="shared" si="39"/>
        <v>14.449092890700001</v>
      </c>
      <c r="X224" s="9"/>
      <c r="Y224" s="22">
        <v>0.72235099999999997</v>
      </c>
      <c r="Z224" s="22">
        <v>74.377799999999993</v>
      </c>
      <c r="AA224" s="22">
        <v>-1.50177E-2</v>
      </c>
      <c r="AB224" s="22">
        <v>214</v>
      </c>
      <c r="AC224" s="22">
        <v>0.72143599999999997</v>
      </c>
      <c r="AD224">
        <f t="shared" si="40"/>
        <v>15.0177</v>
      </c>
      <c r="AE224">
        <f t="shared" si="41"/>
        <v>10.8480506127</v>
      </c>
      <c r="AF224" s="9"/>
      <c r="AG224" s="22">
        <v>0.97763100000000003</v>
      </c>
      <c r="AH224" s="22">
        <v>109.093</v>
      </c>
      <c r="AI224" s="22">
        <v>-1.48132E-2</v>
      </c>
      <c r="AJ224" s="22">
        <v>214</v>
      </c>
      <c r="AK224" s="22">
        <v>0.97686799999999996</v>
      </c>
      <c r="AL224">
        <f t="shared" si="42"/>
        <v>14.8132</v>
      </c>
      <c r="AM224">
        <f t="shared" si="43"/>
        <v>14.481843529200001</v>
      </c>
      <c r="AP224" s="9"/>
      <c r="AQ224" s="22">
        <v>0.72235099999999997</v>
      </c>
      <c r="AR224" s="22">
        <v>137.57400000000001</v>
      </c>
      <c r="AS224" s="22">
        <v>-1.5048199999999999E-2</v>
      </c>
      <c r="AT224" s="22">
        <v>214</v>
      </c>
      <c r="AU224" s="22">
        <v>0.72146600000000005</v>
      </c>
      <c r="AV224">
        <f t="shared" si="44"/>
        <v>15.0482</v>
      </c>
      <c r="AW224">
        <f t="shared" si="45"/>
        <v>10.8700823182</v>
      </c>
      <c r="AX224" s="9"/>
      <c r="AY224" s="22">
        <v>0.97763100000000003</v>
      </c>
      <c r="AZ224" s="22">
        <v>181.428</v>
      </c>
      <c r="BA224" s="22">
        <v>-1.4913900000000001E-2</v>
      </c>
      <c r="BB224" s="22">
        <v>214</v>
      </c>
      <c r="BC224" s="22">
        <v>0.97686799999999996</v>
      </c>
      <c r="BD224">
        <f t="shared" si="46"/>
        <v>14.9139</v>
      </c>
      <c r="BE224">
        <f t="shared" si="47"/>
        <v>14.5802909709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13.5617</v>
      </c>
      <c r="I225" s="22">
        <v>-1.49231E-2</v>
      </c>
      <c r="J225" s="22">
        <v>215</v>
      </c>
      <c r="K225" s="22">
        <v>0.71646100000000001</v>
      </c>
      <c r="L225">
        <f t="shared" si="36"/>
        <v>14.9231</v>
      </c>
      <c r="M225">
        <f t="shared" si="37"/>
        <v>10.704578399599999</v>
      </c>
      <c r="N225" s="9"/>
      <c r="O225" s="22">
        <v>0.98266600000000004</v>
      </c>
      <c r="P225" s="22">
        <v>46.334800000000001</v>
      </c>
      <c r="Q225" s="22">
        <v>-1.47797E-2</v>
      </c>
      <c r="R225" s="22">
        <v>215</v>
      </c>
      <c r="S225" s="22">
        <v>0.98114000000000001</v>
      </c>
      <c r="T225">
        <f t="shared" si="38"/>
        <v>14.7797</v>
      </c>
      <c r="U225">
        <f t="shared" si="39"/>
        <v>14.523508680200001</v>
      </c>
      <c r="X225" s="9"/>
      <c r="Y225" s="22">
        <v>0.71731599999999995</v>
      </c>
      <c r="Z225" s="22">
        <v>74.387799999999999</v>
      </c>
      <c r="AA225" s="22">
        <v>-1.50177E-2</v>
      </c>
      <c r="AB225" s="22">
        <v>215</v>
      </c>
      <c r="AC225" s="22">
        <v>0.71640000000000004</v>
      </c>
      <c r="AD225">
        <f t="shared" si="40"/>
        <v>15.0177</v>
      </c>
      <c r="AE225">
        <f t="shared" si="41"/>
        <v>10.772436493199999</v>
      </c>
      <c r="AF225" s="9"/>
      <c r="AG225" s="22">
        <v>0.98266600000000004</v>
      </c>
      <c r="AH225" s="22">
        <v>109.10299999999999</v>
      </c>
      <c r="AI225" s="22">
        <v>-1.48071E-2</v>
      </c>
      <c r="AJ225" s="22">
        <v>215</v>
      </c>
      <c r="AK225" s="22">
        <v>0.98114000000000001</v>
      </c>
      <c r="AL225">
        <f t="shared" si="42"/>
        <v>14.8071</v>
      </c>
      <c r="AM225">
        <f t="shared" si="43"/>
        <v>14.550433728600002</v>
      </c>
      <c r="AP225" s="9"/>
      <c r="AQ225" s="22">
        <v>0.71731599999999995</v>
      </c>
      <c r="AR225" s="22">
        <v>137.584</v>
      </c>
      <c r="AS225" s="22">
        <v>-1.50513E-2</v>
      </c>
      <c r="AT225" s="22">
        <v>215</v>
      </c>
      <c r="AU225" s="22">
        <v>0.71649200000000002</v>
      </c>
      <c r="AV225">
        <f t="shared" si="44"/>
        <v>15.051299999999999</v>
      </c>
      <c r="AW225">
        <f t="shared" si="45"/>
        <v>10.796538310799999</v>
      </c>
      <c r="AX225" s="9"/>
      <c r="AY225" s="22">
        <v>0.98266600000000004</v>
      </c>
      <c r="AZ225" s="22">
        <v>181.43799999999999</v>
      </c>
      <c r="BA225" s="22">
        <v>-1.49109E-2</v>
      </c>
      <c r="BB225" s="22">
        <v>215</v>
      </c>
      <c r="BC225" s="22">
        <v>0.98175000000000001</v>
      </c>
      <c r="BD225">
        <f t="shared" si="46"/>
        <v>14.9109</v>
      </c>
      <c r="BE225">
        <f t="shared" si="47"/>
        <v>14.6524344594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13.5718</v>
      </c>
      <c r="I226" s="22">
        <v>-1.49231E-2</v>
      </c>
      <c r="J226" s="22">
        <v>216</v>
      </c>
      <c r="K226" s="22">
        <v>0.711426</v>
      </c>
      <c r="L226">
        <f t="shared" si="36"/>
        <v>14.9231</v>
      </c>
      <c r="M226">
        <f t="shared" si="37"/>
        <v>10.629425668</v>
      </c>
      <c r="N226" s="9"/>
      <c r="O226" s="22">
        <v>0.98770100000000005</v>
      </c>
      <c r="P226" s="22">
        <v>46.344900000000003</v>
      </c>
      <c r="Q226" s="22">
        <v>-1.4776600000000001E-2</v>
      </c>
      <c r="R226" s="22">
        <v>216</v>
      </c>
      <c r="S226" s="22">
        <v>0.98663299999999998</v>
      </c>
      <c r="T226">
        <f t="shared" si="38"/>
        <v>14.7766</v>
      </c>
      <c r="U226">
        <f t="shared" si="39"/>
        <v>14.594862596600001</v>
      </c>
      <c r="X226" s="9"/>
      <c r="Y226" s="22">
        <v>0.71228000000000002</v>
      </c>
      <c r="Z226" s="22">
        <v>74.397900000000007</v>
      </c>
      <c r="AA226" s="22">
        <v>-1.5014599999999999E-2</v>
      </c>
      <c r="AB226" s="22">
        <v>216</v>
      </c>
      <c r="AC226" s="22">
        <v>0.71151699999999996</v>
      </c>
      <c r="AD226">
        <f t="shared" si="40"/>
        <v>15.0146</v>
      </c>
      <c r="AE226">
        <f t="shared" si="41"/>
        <v>10.694599288000001</v>
      </c>
      <c r="AF226" s="9"/>
      <c r="AG226" s="22">
        <v>0.98770100000000005</v>
      </c>
      <c r="AH226" s="22">
        <v>109.113</v>
      </c>
      <c r="AI226" s="22">
        <v>-1.4804100000000001E-2</v>
      </c>
      <c r="AJ226" s="22">
        <v>216</v>
      </c>
      <c r="AK226" s="22">
        <v>0.98693799999999998</v>
      </c>
      <c r="AL226">
        <f t="shared" si="42"/>
        <v>14.8041</v>
      </c>
      <c r="AM226">
        <f t="shared" si="43"/>
        <v>14.6220243741</v>
      </c>
      <c r="AP226" s="9"/>
      <c r="AQ226" s="22">
        <v>0.71228000000000002</v>
      </c>
      <c r="AR226" s="22">
        <v>137.59399999999999</v>
      </c>
      <c r="AS226" s="22">
        <v>-1.50574E-2</v>
      </c>
      <c r="AT226" s="22">
        <v>216</v>
      </c>
      <c r="AU226" s="22">
        <v>0.71130400000000005</v>
      </c>
      <c r="AV226">
        <f t="shared" si="44"/>
        <v>15.057399999999999</v>
      </c>
      <c r="AW226">
        <f t="shared" si="45"/>
        <v>10.725084872</v>
      </c>
      <c r="AX226" s="9"/>
      <c r="AY226" s="22">
        <v>0.98770100000000005</v>
      </c>
      <c r="AZ226" s="22">
        <v>181.44800000000001</v>
      </c>
      <c r="BA226" s="22">
        <v>-1.49109E-2</v>
      </c>
      <c r="BB226" s="22">
        <v>216</v>
      </c>
      <c r="BC226" s="22">
        <v>0.98693799999999998</v>
      </c>
      <c r="BD226">
        <f t="shared" si="46"/>
        <v>14.9109</v>
      </c>
      <c r="BE226">
        <f t="shared" si="47"/>
        <v>14.727510840900001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13.581799999999999</v>
      </c>
      <c r="I227" s="22">
        <v>-1.49231E-2</v>
      </c>
      <c r="J227" s="22">
        <v>217</v>
      </c>
      <c r="K227" s="22">
        <v>0.70632899999999998</v>
      </c>
      <c r="L227">
        <f t="shared" si="36"/>
        <v>14.9231</v>
      </c>
      <c r="M227">
        <f t="shared" si="37"/>
        <v>10.5542878595</v>
      </c>
      <c r="N227" s="9"/>
      <c r="O227" s="22">
        <v>0.99273699999999998</v>
      </c>
      <c r="P227" s="22">
        <v>46.354999999999997</v>
      </c>
      <c r="Q227" s="22">
        <v>-1.47736E-2</v>
      </c>
      <c r="R227" s="22">
        <v>217</v>
      </c>
      <c r="S227" s="22">
        <v>0.99243199999999998</v>
      </c>
      <c r="T227">
        <f t="shared" si="38"/>
        <v>14.7736</v>
      </c>
      <c r="U227">
        <f t="shared" si="39"/>
        <v>14.6662993432</v>
      </c>
      <c r="X227" s="9"/>
      <c r="Y227" s="22">
        <v>0.70724500000000001</v>
      </c>
      <c r="Z227" s="22">
        <v>74.408000000000001</v>
      </c>
      <c r="AA227" s="22">
        <v>-1.5014599999999999E-2</v>
      </c>
      <c r="AB227" s="22">
        <v>217</v>
      </c>
      <c r="AC227" s="22">
        <v>0.70632899999999998</v>
      </c>
      <c r="AD227">
        <f t="shared" si="40"/>
        <v>15.0146</v>
      </c>
      <c r="AE227">
        <f t="shared" si="41"/>
        <v>10.619000777</v>
      </c>
      <c r="AF227" s="9"/>
      <c r="AG227" s="22">
        <v>0.99273699999999998</v>
      </c>
      <c r="AH227" s="22">
        <v>109.123</v>
      </c>
      <c r="AI227" s="22">
        <v>-1.4804100000000001E-2</v>
      </c>
      <c r="AJ227" s="22">
        <v>217</v>
      </c>
      <c r="AK227" s="22">
        <v>0.99151599999999995</v>
      </c>
      <c r="AL227">
        <f t="shared" si="42"/>
        <v>14.8041</v>
      </c>
      <c r="AM227">
        <f t="shared" si="43"/>
        <v>14.6965778217</v>
      </c>
      <c r="AP227" s="9"/>
      <c r="AQ227" s="22">
        <v>0.70724500000000001</v>
      </c>
      <c r="AR227" s="22">
        <v>137.60400000000001</v>
      </c>
      <c r="AS227" s="22">
        <v>-1.50604E-2</v>
      </c>
      <c r="AT227" s="22">
        <v>217</v>
      </c>
      <c r="AU227" s="22">
        <v>0.70645100000000005</v>
      </c>
      <c r="AV227">
        <f t="shared" si="44"/>
        <v>15.0604</v>
      </c>
      <c r="AW227">
        <f t="shared" si="45"/>
        <v>10.651392597999999</v>
      </c>
      <c r="AX227" s="9"/>
      <c r="AY227" s="22">
        <v>0.99273699999999998</v>
      </c>
      <c r="AZ227" s="22">
        <v>181.459</v>
      </c>
      <c r="BA227" s="22">
        <v>-1.4904799999999999E-2</v>
      </c>
      <c r="BB227" s="22">
        <v>217</v>
      </c>
      <c r="BC227" s="22">
        <v>0.99151599999999995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13.591900000000001</v>
      </c>
      <c r="I228" s="22">
        <v>-1.49231E-2</v>
      </c>
      <c r="J228" s="22">
        <v>218</v>
      </c>
      <c r="K228" s="22">
        <v>0.70129399999999997</v>
      </c>
      <c r="L228">
        <f t="shared" si="36"/>
        <v>14.9231</v>
      </c>
      <c r="M228">
        <f t="shared" si="37"/>
        <v>10.479135127899999</v>
      </c>
      <c r="N228" s="9"/>
      <c r="O228" s="22">
        <v>0.99777199999999999</v>
      </c>
      <c r="P228" s="22">
        <v>46.365000000000002</v>
      </c>
      <c r="Q228" s="22">
        <v>-1.4767499999999999E-2</v>
      </c>
      <c r="R228" s="22">
        <v>218</v>
      </c>
      <c r="S228" s="22">
        <v>0.99639900000000003</v>
      </c>
      <c r="T228">
        <f t="shared" si="38"/>
        <v>14.7675</v>
      </c>
      <c r="U228">
        <f t="shared" si="39"/>
        <v>14.734598009999999</v>
      </c>
      <c r="X228" s="9"/>
      <c r="Y228" s="22">
        <v>0.70220899999999997</v>
      </c>
      <c r="Z228" s="22">
        <v>74.418099999999995</v>
      </c>
      <c r="AA228" s="22">
        <v>-1.5020800000000001E-2</v>
      </c>
      <c r="AB228" s="22">
        <v>218</v>
      </c>
      <c r="AC228" s="22">
        <v>0.701233</v>
      </c>
      <c r="AD228">
        <f t="shared" si="40"/>
        <v>15.020800000000001</v>
      </c>
      <c r="AE228">
        <f t="shared" si="41"/>
        <v>10.547740947200001</v>
      </c>
      <c r="AF228" s="9"/>
      <c r="AG228" s="22">
        <v>0.99777199999999999</v>
      </c>
      <c r="AH228" s="22">
        <v>109.133</v>
      </c>
      <c r="AI228" s="22">
        <v>-1.4804100000000001E-2</v>
      </c>
      <c r="AJ228" s="22">
        <v>218</v>
      </c>
      <c r="AK228" s="22">
        <v>0.99609400000000003</v>
      </c>
      <c r="AL228">
        <f t="shared" si="42"/>
        <v>14.8041</v>
      </c>
      <c r="AM228">
        <f t="shared" si="43"/>
        <v>14.7711164652</v>
      </c>
      <c r="AP228" s="9"/>
      <c r="AQ228" s="22">
        <v>0.70220899999999997</v>
      </c>
      <c r="AR228" s="22">
        <v>137.614</v>
      </c>
      <c r="AS228" s="22">
        <v>-1.5063500000000001E-2</v>
      </c>
      <c r="AT228" s="22">
        <v>218</v>
      </c>
      <c r="AU228" s="22">
        <v>0.70132399999999995</v>
      </c>
      <c r="AV228">
        <f t="shared" si="44"/>
        <v>15.063500000000001</v>
      </c>
      <c r="AW228">
        <f t="shared" si="45"/>
        <v>10.5777252715</v>
      </c>
      <c r="AX228" s="9"/>
      <c r="AY228" s="22">
        <v>0.99777199999999999</v>
      </c>
      <c r="AZ228" s="22">
        <v>181.46899999999999</v>
      </c>
      <c r="BA228" s="22">
        <v>-1.49017E-2</v>
      </c>
      <c r="BB228" s="22">
        <v>218</v>
      </c>
      <c r="BC228" s="22">
        <v>0.99670400000000003</v>
      </c>
      <c r="BD228">
        <f t="shared" si="46"/>
        <v>14.9017</v>
      </c>
      <c r="BE228">
        <f t="shared" si="47"/>
        <v>14.868499012399999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13.602</v>
      </c>
      <c r="I229" s="22">
        <v>-1.4919999999999999E-2</v>
      </c>
      <c r="J229" s="22">
        <v>219</v>
      </c>
      <c r="K229" s="22">
        <v>0.69622799999999996</v>
      </c>
      <c r="L229">
        <f t="shared" si="36"/>
        <v>14.92</v>
      </c>
      <c r="M229">
        <f t="shared" si="37"/>
        <v>10.401836079999999</v>
      </c>
      <c r="N229" s="9"/>
      <c r="O229" s="22">
        <v>1.00281</v>
      </c>
      <c r="P229" s="22">
        <v>46.375100000000003</v>
      </c>
      <c r="Q229" s="22">
        <v>-1.47644E-2</v>
      </c>
      <c r="R229" s="22">
        <v>219</v>
      </c>
      <c r="S229" s="22">
        <v>1.0018899999999999</v>
      </c>
      <c r="T229">
        <f t="shared" si="38"/>
        <v>14.7644</v>
      </c>
      <c r="U229">
        <f t="shared" si="39"/>
        <v>14.805887964</v>
      </c>
      <c r="X229" s="9"/>
      <c r="Y229" s="22">
        <v>0.69717399999999996</v>
      </c>
      <c r="Z229" s="22">
        <v>74.428100000000001</v>
      </c>
      <c r="AA229" s="22">
        <v>-1.50238E-2</v>
      </c>
      <c r="AB229" s="22">
        <v>219</v>
      </c>
      <c r="AC229" s="22">
        <v>0.69622799999999996</v>
      </c>
      <c r="AD229">
        <f t="shared" si="40"/>
        <v>15.0238</v>
      </c>
      <c r="AE229">
        <f t="shared" si="41"/>
        <v>10.474202741199999</v>
      </c>
      <c r="AF229" s="9"/>
      <c r="AG229" s="22">
        <v>1.00281</v>
      </c>
      <c r="AH229" s="22">
        <v>109.143</v>
      </c>
      <c r="AI229" s="22">
        <v>-1.4801E-2</v>
      </c>
      <c r="AJ229" s="22">
        <v>219</v>
      </c>
      <c r="AK229" s="22">
        <v>1.0018899999999999</v>
      </c>
      <c r="AL229">
        <f t="shared" si="42"/>
        <v>14.801</v>
      </c>
      <c r="AM229">
        <f t="shared" si="43"/>
        <v>14.842590809999999</v>
      </c>
      <c r="AP229" s="9"/>
      <c r="AQ229" s="22">
        <v>0.69717399999999996</v>
      </c>
      <c r="AR229" s="22">
        <v>137.624</v>
      </c>
      <c r="AS229" s="22">
        <v>-1.50665E-2</v>
      </c>
      <c r="AT229" s="22">
        <v>219</v>
      </c>
      <c r="AU229" s="22">
        <v>0.69628900000000005</v>
      </c>
      <c r="AV229">
        <f t="shared" si="44"/>
        <v>15.0665</v>
      </c>
      <c r="AW229">
        <f t="shared" si="45"/>
        <v>10.503972071</v>
      </c>
      <c r="AX229" s="9"/>
      <c r="AY229" s="22">
        <v>1.00281</v>
      </c>
      <c r="AZ229" s="22">
        <v>181.47900000000001</v>
      </c>
      <c r="BA229" s="22">
        <v>-1.4898700000000001E-2</v>
      </c>
      <c r="BB229" s="22">
        <v>219</v>
      </c>
      <c r="BC229" s="22">
        <v>1.00159</v>
      </c>
      <c r="BD229">
        <f t="shared" si="46"/>
        <v>14.898700000000002</v>
      </c>
      <c r="BE229">
        <f t="shared" si="47"/>
        <v>14.940565347000001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13.6121</v>
      </c>
      <c r="I230" s="22">
        <v>-1.49231E-2</v>
      </c>
      <c r="J230" s="22">
        <v>220</v>
      </c>
      <c r="K230" s="22">
        <v>0.69137599999999999</v>
      </c>
      <c r="L230">
        <f t="shared" si="36"/>
        <v>14.9231</v>
      </c>
      <c r="M230">
        <f t="shared" si="37"/>
        <v>10.328859510899999</v>
      </c>
      <c r="N230" s="9"/>
      <c r="O230" s="22">
        <v>1.0078400000000001</v>
      </c>
      <c r="P230" s="22">
        <v>46.385199999999998</v>
      </c>
      <c r="Q230" s="22">
        <v>-1.47644E-2</v>
      </c>
      <c r="R230" s="22">
        <v>220</v>
      </c>
      <c r="S230" s="22">
        <v>1.0067699999999999</v>
      </c>
      <c r="T230">
        <f t="shared" si="38"/>
        <v>14.7644</v>
      </c>
      <c r="U230">
        <f t="shared" si="39"/>
        <v>14.880152896000002</v>
      </c>
      <c r="X230" s="9"/>
      <c r="Y230" s="22">
        <v>0.69213899999999995</v>
      </c>
      <c r="Z230" s="22">
        <v>74.438199999999995</v>
      </c>
      <c r="AA230" s="22">
        <v>-1.5029900000000001E-2</v>
      </c>
      <c r="AB230" s="22">
        <v>220</v>
      </c>
      <c r="AC230" s="22">
        <v>0.69125400000000004</v>
      </c>
      <c r="AD230">
        <f t="shared" si="40"/>
        <v>15.029900000000001</v>
      </c>
      <c r="AE230">
        <f t="shared" si="41"/>
        <v>10.4027799561</v>
      </c>
      <c r="AF230" s="9"/>
      <c r="AG230" s="22">
        <v>1.0078400000000001</v>
      </c>
      <c r="AH230" s="22">
        <v>109.15300000000001</v>
      </c>
      <c r="AI230" s="22">
        <v>-1.4798E-2</v>
      </c>
      <c r="AJ230" s="22">
        <v>220</v>
      </c>
      <c r="AK230" s="22">
        <v>1.00647</v>
      </c>
      <c r="AL230">
        <f t="shared" si="42"/>
        <v>14.798</v>
      </c>
      <c r="AM230">
        <f t="shared" si="43"/>
        <v>14.914016320000002</v>
      </c>
      <c r="AP230" s="9"/>
      <c r="AQ230" s="22">
        <v>0.69213899999999995</v>
      </c>
      <c r="AR230" s="22">
        <v>137.63399999999999</v>
      </c>
      <c r="AS230" s="22">
        <v>-1.50665E-2</v>
      </c>
      <c r="AT230" s="22">
        <v>220</v>
      </c>
      <c r="AU230" s="22">
        <v>0.69116200000000005</v>
      </c>
      <c r="AV230">
        <f t="shared" si="44"/>
        <v>15.0665</v>
      </c>
      <c r="AW230">
        <f t="shared" si="45"/>
        <v>10.428112243499999</v>
      </c>
      <c r="AX230" s="9"/>
      <c r="AY230" s="22">
        <v>1.0078400000000001</v>
      </c>
      <c r="AZ230" s="22">
        <v>181.489</v>
      </c>
      <c r="BA230" s="22">
        <v>-1.4892600000000001E-2</v>
      </c>
      <c r="BB230" s="22">
        <v>220</v>
      </c>
      <c r="BC230" s="22">
        <v>1.00647</v>
      </c>
      <c r="BD230">
        <f t="shared" si="46"/>
        <v>14.8926</v>
      </c>
      <c r="BE230">
        <f t="shared" si="47"/>
        <v>15.009357984000001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13.6221</v>
      </c>
      <c r="I231" s="22">
        <v>-1.4926099999999999E-2</v>
      </c>
      <c r="J231" s="22">
        <v>221</v>
      </c>
      <c r="K231" s="22">
        <v>0.68633999999999995</v>
      </c>
      <c r="L231">
        <f t="shared" si="36"/>
        <v>14.9261</v>
      </c>
      <c r="M231">
        <f t="shared" si="37"/>
        <v>10.2557680883</v>
      </c>
      <c r="N231" s="9"/>
      <c r="O231" s="22">
        <v>1.01288</v>
      </c>
      <c r="P231" s="22">
        <v>46.395200000000003</v>
      </c>
      <c r="Q231" s="22">
        <v>-1.4761399999999999E-2</v>
      </c>
      <c r="R231" s="22">
        <v>221</v>
      </c>
      <c r="S231" s="22">
        <v>1.01166</v>
      </c>
      <c r="T231">
        <f t="shared" si="38"/>
        <v>14.761399999999998</v>
      </c>
      <c r="U231">
        <f t="shared" si="39"/>
        <v>14.951526831999999</v>
      </c>
      <c r="X231" s="9"/>
      <c r="Y231" s="22">
        <v>0.68710300000000002</v>
      </c>
      <c r="Z231" s="22">
        <v>74.448300000000003</v>
      </c>
      <c r="AA231" s="22">
        <v>-1.5036000000000001E-2</v>
      </c>
      <c r="AB231" s="22">
        <v>221</v>
      </c>
      <c r="AC231" s="22">
        <v>0.68612700000000004</v>
      </c>
      <c r="AD231">
        <f t="shared" si="40"/>
        <v>15.036000000000001</v>
      </c>
      <c r="AE231">
        <f t="shared" si="41"/>
        <v>10.331280708000001</v>
      </c>
      <c r="AF231" s="9"/>
      <c r="AG231" s="22">
        <v>1.01288</v>
      </c>
      <c r="AH231" s="22">
        <v>109.163</v>
      </c>
      <c r="AI231" s="22">
        <v>-1.47949E-2</v>
      </c>
      <c r="AJ231" s="22">
        <v>221</v>
      </c>
      <c r="AK231" s="22">
        <v>1.01227</v>
      </c>
      <c r="AL231">
        <f t="shared" si="42"/>
        <v>14.7949</v>
      </c>
      <c r="AM231">
        <f t="shared" si="43"/>
        <v>14.985458312</v>
      </c>
      <c r="AP231" s="9"/>
      <c r="AQ231" s="22">
        <v>0.68710300000000002</v>
      </c>
      <c r="AR231" s="22">
        <v>137.64400000000001</v>
      </c>
      <c r="AS231" s="22">
        <v>-1.50665E-2</v>
      </c>
      <c r="AT231" s="22">
        <v>221</v>
      </c>
      <c r="AU231" s="22">
        <v>0.68627899999999997</v>
      </c>
      <c r="AV231">
        <f t="shared" si="44"/>
        <v>15.0665</v>
      </c>
      <c r="AW231">
        <f t="shared" si="45"/>
        <v>10.352237349499999</v>
      </c>
      <c r="AX231" s="9"/>
      <c r="AY231" s="22">
        <v>1.01288</v>
      </c>
      <c r="AZ231" s="22">
        <v>181.499</v>
      </c>
      <c r="BA231" s="22">
        <v>-1.48895E-2</v>
      </c>
      <c r="BB231" s="22">
        <v>221</v>
      </c>
      <c r="BC231" s="22">
        <v>1.01135</v>
      </c>
      <c r="BD231">
        <f t="shared" si="46"/>
        <v>14.8895</v>
      </c>
      <c r="BE231">
        <f t="shared" si="47"/>
        <v>15.08127676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13.632199999999999</v>
      </c>
      <c r="I232" s="22">
        <v>-1.49353E-2</v>
      </c>
      <c r="J232" s="22">
        <v>222</v>
      </c>
      <c r="K232" s="22">
        <v>0.68121299999999996</v>
      </c>
      <c r="L232">
        <f t="shared" si="36"/>
        <v>14.9353</v>
      </c>
      <c r="M232">
        <f t="shared" si="37"/>
        <v>10.186890200400001</v>
      </c>
      <c r="N232" s="9"/>
      <c r="O232" s="22">
        <v>1.0179100000000001</v>
      </c>
      <c r="P232" s="22">
        <v>46.405299999999997</v>
      </c>
      <c r="Q232" s="22">
        <v>-1.47552E-2</v>
      </c>
      <c r="R232" s="22">
        <v>222</v>
      </c>
      <c r="S232" s="22">
        <v>1.01685</v>
      </c>
      <c r="T232">
        <f t="shared" si="38"/>
        <v>14.7552</v>
      </c>
      <c r="U232">
        <f t="shared" si="39"/>
        <v>15.019465632000001</v>
      </c>
      <c r="X232" s="9"/>
      <c r="Y232" s="22">
        <v>0.68206800000000001</v>
      </c>
      <c r="Z232" s="22">
        <v>74.458299999999994</v>
      </c>
      <c r="AA232" s="22">
        <v>-1.5042099999999999E-2</v>
      </c>
      <c r="AB232" s="22">
        <v>222</v>
      </c>
      <c r="AC232" s="22">
        <v>0.68121299999999996</v>
      </c>
      <c r="AD232">
        <f t="shared" si="40"/>
        <v>15.0421</v>
      </c>
      <c r="AE232">
        <f t="shared" si="41"/>
        <v>10.259735062799999</v>
      </c>
      <c r="AF232" s="9"/>
      <c r="AG232" s="22">
        <v>1.0179100000000001</v>
      </c>
      <c r="AH232" s="22">
        <v>109.173</v>
      </c>
      <c r="AI232" s="22">
        <v>-1.47949E-2</v>
      </c>
      <c r="AJ232" s="22">
        <v>222</v>
      </c>
      <c r="AK232" s="22">
        <v>1.01685</v>
      </c>
      <c r="AL232">
        <f t="shared" si="42"/>
        <v>14.7949</v>
      </c>
      <c r="AM232">
        <f t="shared" si="43"/>
        <v>15.059876659000002</v>
      </c>
      <c r="AP232" s="9"/>
      <c r="AQ232" s="22">
        <v>0.68206800000000001</v>
      </c>
      <c r="AR232" s="22">
        <v>137.655</v>
      </c>
      <c r="AS232" s="22">
        <v>-1.50726E-2</v>
      </c>
      <c r="AT232" s="22">
        <v>222</v>
      </c>
      <c r="AU232" s="22">
        <v>0.681396</v>
      </c>
      <c r="AV232">
        <f t="shared" si="44"/>
        <v>15.0726</v>
      </c>
      <c r="AW232">
        <f t="shared" si="45"/>
        <v>10.280538136800001</v>
      </c>
      <c r="AX232" s="9"/>
      <c r="AY232" s="22">
        <v>1.0179100000000001</v>
      </c>
      <c r="AZ232" s="22">
        <v>181.50899999999999</v>
      </c>
      <c r="BA232" s="22">
        <v>-1.48895E-2</v>
      </c>
      <c r="BB232" s="22">
        <v>222</v>
      </c>
      <c r="BC232" s="22">
        <v>1.01654</v>
      </c>
      <c r="BD232">
        <f t="shared" si="46"/>
        <v>14.8895</v>
      </c>
      <c r="BE232">
        <f t="shared" si="47"/>
        <v>15.156170945000001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13.642300000000001</v>
      </c>
      <c r="I233" s="22">
        <v>-1.4938399999999999E-2</v>
      </c>
      <c r="J233" s="22">
        <v>223</v>
      </c>
      <c r="K233" s="22">
        <v>0.67620800000000003</v>
      </c>
      <c r="L233">
        <f t="shared" si="36"/>
        <v>14.9384</v>
      </c>
      <c r="M233">
        <f t="shared" si="37"/>
        <v>10.113774828799999</v>
      </c>
      <c r="N233" s="9"/>
      <c r="O233" s="22">
        <v>1.02295</v>
      </c>
      <c r="P233" s="22">
        <v>46.415399999999998</v>
      </c>
      <c r="Q233" s="22">
        <v>-1.47522E-2</v>
      </c>
      <c r="R233" s="22">
        <v>223</v>
      </c>
      <c r="S233" s="22">
        <v>1.02142</v>
      </c>
      <c r="T233">
        <f t="shared" si="38"/>
        <v>14.7522</v>
      </c>
      <c r="U233">
        <f t="shared" si="39"/>
        <v>15.09076299</v>
      </c>
      <c r="X233" s="9"/>
      <c r="Y233" s="22">
        <v>0.67703199999999997</v>
      </c>
      <c r="Z233" s="22">
        <v>74.468400000000003</v>
      </c>
      <c r="AA233" s="22">
        <v>-1.50452E-2</v>
      </c>
      <c r="AB233" s="22">
        <v>223</v>
      </c>
      <c r="AC233" s="22">
        <v>0.67642199999999997</v>
      </c>
      <c r="AD233">
        <f t="shared" si="40"/>
        <v>15.045199999999999</v>
      </c>
      <c r="AE233">
        <f t="shared" si="41"/>
        <v>10.186081846399999</v>
      </c>
      <c r="AF233" s="9"/>
      <c r="AG233" s="22">
        <v>1.02295</v>
      </c>
      <c r="AH233" s="22">
        <v>109.184</v>
      </c>
      <c r="AI233" s="22">
        <v>-1.47919E-2</v>
      </c>
      <c r="AJ233" s="22">
        <v>223</v>
      </c>
      <c r="AK233" s="22">
        <v>1.02173</v>
      </c>
      <c r="AL233">
        <f t="shared" si="42"/>
        <v>14.7919</v>
      </c>
      <c r="AM233">
        <f t="shared" si="43"/>
        <v>15.131374105000001</v>
      </c>
      <c r="AP233" s="9"/>
      <c r="AQ233" s="22">
        <v>0.67703199999999997</v>
      </c>
      <c r="AR233" s="22">
        <v>137.66499999999999</v>
      </c>
      <c r="AS233" s="22">
        <v>-1.5075699999999999E-2</v>
      </c>
      <c r="AT233" s="22">
        <v>223</v>
      </c>
      <c r="AU233" s="22">
        <v>0.67623900000000003</v>
      </c>
      <c r="AV233">
        <f t="shared" si="44"/>
        <v>15.075699999999999</v>
      </c>
      <c r="AW233">
        <f t="shared" si="45"/>
        <v>10.2067313224</v>
      </c>
      <c r="AX233" s="9"/>
      <c r="AY233" s="22">
        <v>1.02295</v>
      </c>
      <c r="AZ233" s="22">
        <v>181.51900000000001</v>
      </c>
      <c r="BA233" s="22">
        <v>-1.48834E-2</v>
      </c>
      <c r="BB233" s="22">
        <v>223</v>
      </c>
      <c r="BC233" s="22">
        <v>1.02173</v>
      </c>
      <c r="BD233">
        <f t="shared" si="46"/>
        <v>14.8834</v>
      </c>
      <c r="BE233">
        <f t="shared" si="47"/>
        <v>15.22497403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13.6523</v>
      </c>
      <c r="I234" s="22">
        <v>-1.4941400000000001E-2</v>
      </c>
      <c r="J234" s="22">
        <v>224</v>
      </c>
      <c r="K234" s="22">
        <v>0.67117300000000002</v>
      </c>
      <c r="L234">
        <f t="shared" si="36"/>
        <v>14.9414</v>
      </c>
      <c r="M234">
        <f t="shared" si="37"/>
        <v>10.040575975799999</v>
      </c>
      <c r="N234" s="9"/>
      <c r="O234" s="22">
        <v>1.0279799999999999</v>
      </c>
      <c r="P234" s="22">
        <v>46.4255</v>
      </c>
      <c r="Q234" s="22">
        <v>-1.4749099999999999E-2</v>
      </c>
      <c r="R234" s="22">
        <v>224</v>
      </c>
      <c r="S234" s="22">
        <v>1.0275300000000001</v>
      </c>
      <c r="T234">
        <f t="shared" si="38"/>
        <v>14.749099999999999</v>
      </c>
      <c r="U234">
        <f t="shared" si="39"/>
        <v>15.161779817999998</v>
      </c>
      <c r="X234" s="9"/>
      <c r="Y234" s="22">
        <v>0.67199699999999996</v>
      </c>
      <c r="Z234" s="22">
        <v>74.478499999999997</v>
      </c>
      <c r="AA234" s="22">
        <v>-1.50513E-2</v>
      </c>
      <c r="AB234" s="22">
        <v>224</v>
      </c>
      <c r="AC234" s="22">
        <v>0.67111200000000004</v>
      </c>
      <c r="AD234">
        <f t="shared" si="40"/>
        <v>15.051299999999999</v>
      </c>
      <c r="AE234">
        <f t="shared" si="41"/>
        <v>10.1144284461</v>
      </c>
      <c r="AF234" s="9"/>
      <c r="AG234" s="22">
        <v>1.0279799999999999</v>
      </c>
      <c r="AH234" s="22">
        <v>109.194</v>
      </c>
      <c r="AI234" s="22">
        <v>-1.47919E-2</v>
      </c>
      <c r="AJ234" s="22">
        <v>224</v>
      </c>
      <c r="AK234" s="22">
        <v>1.0269200000000001</v>
      </c>
      <c r="AL234">
        <f t="shared" si="42"/>
        <v>14.7919</v>
      </c>
      <c r="AM234">
        <f t="shared" si="43"/>
        <v>15.205777361999999</v>
      </c>
      <c r="AP234" s="9"/>
      <c r="AQ234" s="22">
        <v>0.67199699999999996</v>
      </c>
      <c r="AR234" s="22">
        <v>137.67500000000001</v>
      </c>
      <c r="AS234" s="22">
        <v>-1.5075699999999999E-2</v>
      </c>
      <c r="AT234" s="22">
        <v>224</v>
      </c>
      <c r="AU234" s="22">
        <v>0.67114300000000005</v>
      </c>
      <c r="AV234">
        <f t="shared" si="44"/>
        <v>15.075699999999999</v>
      </c>
      <c r="AW234">
        <f t="shared" si="45"/>
        <v>10.130825172899998</v>
      </c>
      <c r="AX234" s="9"/>
      <c r="AY234" s="22">
        <v>1.0279799999999999</v>
      </c>
      <c r="AZ234" s="22">
        <v>181.529</v>
      </c>
      <c r="BA234" s="22">
        <v>-1.48804E-2</v>
      </c>
      <c r="BB234" s="22">
        <v>224</v>
      </c>
      <c r="BC234" s="22">
        <v>1.02661</v>
      </c>
      <c r="BD234">
        <f t="shared" si="46"/>
        <v>14.8804</v>
      </c>
      <c r="BE234">
        <f t="shared" si="47"/>
        <v>15.296753591999998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13.6624</v>
      </c>
      <c r="I235" s="22">
        <v>-1.4944499999999999E-2</v>
      </c>
      <c r="J235" s="22">
        <v>225</v>
      </c>
      <c r="K235" s="22">
        <v>0.66604600000000003</v>
      </c>
      <c r="L235">
        <f t="shared" si="36"/>
        <v>14.9445</v>
      </c>
      <c r="M235">
        <f t="shared" si="37"/>
        <v>9.9674136090000012</v>
      </c>
      <c r="N235" s="9"/>
      <c r="O235" s="22">
        <v>1.03302</v>
      </c>
      <c r="P235" s="22">
        <v>46.435499999999998</v>
      </c>
      <c r="Q235" s="22">
        <v>-1.47461E-2</v>
      </c>
      <c r="R235" s="22">
        <v>225</v>
      </c>
      <c r="S235" s="22">
        <v>1.0321</v>
      </c>
      <c r="T235">
        <f t="shared" si="38"/>
        <v>14.7461</v>
      </c>
      <c r="U235">
        <f t="shared" si="39"/>
        <v>15.233016222000002</v>
      </c>
      <c r="X235" s="9"/>
      <c r="Y235" s="22">
        <v>0.66696200000000005</v>
      </c>
      <c r="Z235" s="22">
        <v>74.488500000000002</v>
      </c>
      <c r="AA235" s="22">
        <v>-1.50574E-2</v>
      </c>
      <c r="AB235" s="22">
        <v>225</v>
      </c>
      <c r="AC235" s="22">
        <v>0.66613800000000001</v>
      </c>
      <c r="AD235">
        <f t="shared" si="40"/>
        <v>15.057399999999999</v>
      </c>
      <c r="AE235">
        <f t="shared" si="41"/>
        <v>10.042713618800001</v>
      </c>
      <c r="AF235" s="9"/>
      <c r="AG235" s="22">
        <v>1.03302</v>
      </c>
      <c r="AH235" s="22">
        <v>109.20399999999999</v>
      </c>
      <c r="AI235" s="22">
        <v>-1.47888E-2</v>
      </c>
      <c r="AJ235" s="22">
        <v>225</v>
      </c>
      <c r="AK235" s="22">
        <v>1.0321</v>
      </c>
      <c r="AL235">
        <f t="shared" si="42"/>
        <v>14.7888</v>
      </c>
      <c r="AM235">
        <f t="shared" si="43"/>
        <v>15.277126176000001</v>
      </c>
      <c r="AP235" s="9"/>
      <c r="AQ235" s="22">
        <v>0.66696200000000005</v>
      </c>
      <c r="AR235" s="22">
        <v>137.685</v>
      </c>
      <c r="AS235" s="22">
        <v>-1.5081799999999999E-2</v>
      </c>
      <c r="AT235" s="22">
        <v>225</v>
      </c>
      <c r="AU235" s="22">
        <v>0.66616799999999998</v>
      </c>
      <c r="AV235">
        <f t="shared" si="44"/>
        <v>15.081799999999999</v>
      </c>
      <c r="AW235">
        <f t="shared" si="45"/>
        <v>10.0589874916</v>
      </c>
      <c r="AX235" s="9"/>
      <c r="AY235" s="22">
        <v>1.03302</v>
      </c>
      <c r="AZ235" s="22">
        <v>181.53899999999999</v>
      </c>
      <c r="BA235" s="22">
        <v>-1.48804E-2</v>
      </c>
      <c r="BB235" s="22">
        <v>225</v>
      </c>
      <c r="BC235" s="22">
        <v>1.0318000000000001</v>
      </c>
      <c r="BD235">
        <f t="shared" si="46"/>
        <v>14.8804</v>
      </c>
      <c r="BE235">
        <f t="shared" si="47"/>
        <v>15.371750808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13.672499999999999</v>
      </c>
      <c r="I236" s="22">
        <v>-1.4947500000000001E-2</v>
      </c>
      <c r="J236" s="22">
        <v>226</v>
      </c>
      <c r="K236" s="22">
        <v>0.66110199999999997</v>
      </c>
      <c r="L236">
        <f t="shared" si="36"/>
        <v>14.947500000000002</v>
      </c>
      <c r="M236">
        <f t="shared" si="37"/>
        <v>9.894138885000002</v>
      </c>
      <c r="N236" s="9"/>
      <c r="O236" s="22">
        <v>1.03806</v>
      </c>
      <c r="P236" s="22">
        <v>46.445599999999999</v>
      </c>
      <c r="Q236" s="22">
        <v>-1.4742999999999999E-2</v>
      </c>
      <c r="R236" s="22">
        <v>226</v>
      </c>
      <c r="S236" s="22">
        <v>1.0369900000000001</v>
      </c>
      <c r="T236">
        <f t="shared" si="38"/>
        <v>14.742999999999999</v>
      </c>
      <c r="U236">
        <f t="shared" si="39"/>
        <v>15.304118579999999</v>
      </c>
      <c r="X236" s="9"/>
      <c r="Y236" s="22">
        <v>0.66192600000000001</v>
      </c>
      <c r="Z236" s="22">
        <v>74.498599999999996</v>
      </c>
      <c r="AA236" s="22">
        <v>-1.50604E-2</v>
      </c>
      <c r="AB236" s="22">
        <v>226</v>
      </c>
      <c r="AC236" s="22">
        <v>0.66098000000000001</v>
      </c>
      <c r="AD236">
        <f t="shared" si="40"/>
        <v>15.0604</v>
      </c>
      <c r="AE236">
        <f t="shared" si="41"/>
        <v>9.9688703303999997</v>
      </c>
      <c r="AF236" s="9"/>
      <c r="AG236" s="22">
        <v>1.03806</v>
      </c>
      <c r="AH236" s="22">
        <v>109.214</v>
      </c>
      <c r="AI236" s="22">
        <v>-1.47858E-2</v>
      </c>
      <c r="AJ236" s="22">
        <v>226</v>
      </c>
      <c r="AK236" s="22">
        <v>1.0376000000000001</v>
      </c>
      <c r="AL236">
        <f t="shared" si="42"/>
        <v>14.7858</v>
      </c>
      <c r="AM236">
        <f t="shared" si="43"/>
        <v>15.348547547999999</v>
      </c>
      <c r="AP236" s="9"/>
      <c r="AQ236" s="22">
        <v>0.66192600000000001</v>
      </c>
      <c r="AR236" s="22">
        <v>137.69499999999999</v>
      </c>
      <c r="AS236" s="22">
        <v>-1.5081799999999999E-2</v>
      </c>
      <c r="AT236" s="22">
        <v>226</v>
      </c>
      <c r="AU236" s="22">
        <v>0.66101100000000002</v>
      </c>
      <c r="AV236">
        <f t="shared" si="44"/>
        <v>15.081799999999999</v>
      </c>
      <c r="AW236">
        <f t="shared" si="45"/>
        <v>9.9830355468</v>
      </c>
      <c r="AX236" s="9"/>
      <c r="AY236" s="22">
        <v>1.03806</v>
      </c>
      <c r="AZ236" s="22">
        <v>181.54900000000001</v>
      </c>
      <c r="BA236" s="22">
        <v>-1.48773E-2</v>
      </c>
      <c r="BB236" s="22">
        <v>226</v>
      </c>
      <c r="BC236" s="22">
        <v>1.0363800000000001</v>
      </c>
      <c r="BD236">
        <f t="shared" si="46"/>
        <v>14.8773</v>
      </c>
      <c r="BE236">
        <f t="shared" si="47"/>
        <v>15.443530038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13.682600000000001</v>
      </c>
      <c r="I237" s="22">
        <v>-1.49506E-2</v>
      </c>
      <c r="J237" s="22">
        <v>227</v>
      </c>
      <c r="K237" s="22">
        <v>0.65597499999999997</v>
      </c>
      <c r="L237">
        <f t="shared" si="36"/>
        <v>14.9506</v>
      </c>
      <c r="M237">
        <f t="shared" si="37"/>
        <v>9.8209145846000006</v>
      </c>
      <c r="N237" s="9"/>
      <c r="O237" s="22">
        <v>1.0430900000000001</v>
      </c>
      <c r="P237" s="22">
        <v>46.4557</v>
      </c>
      <c r="Q237" s="22">
        <v>-1.4742999999999999E-2</v>
      </c>
      <c r="R237" s="22">
        <v>227</v>
      </c>
      <c r="S237" s="22">
        <v>1.0424800000000001</v>
      </c>
      <c r="T237">
        <f t="shared" si="38"/>
        <v>14.742999999999999</v>
      </c>
      <c r="U237">
        <f t="shared" si="39"/>
        <v>15.37827587</v>
      </c>
      <c r="X237" s="9"/>
      <c r="Y237" s="22">
        <v>0.656891</v>
      </c>
      <c r="Z237" s="22">
        <v>74.508700000000005</v>
      </c>
      <c r="AA237" s="22">
        <v>-1.50604E-2</v>
      </c>
      <c r="AB237" s="22">
        <v>227</v>
      </c>
      <c r="AC237" s="22">
        <v>0.65585300000000002</v>
      </c>
      <c r="AD237">
        <f t="shared" si="40"/>
        <v>15.0604</v>
      </c>
      <c r="AE237">
        <f t="shared" si="41"/>
        <v>9.8930412164000003</v>
      </c>
      <c r="AF237" s="9"/>
      <c r="AG237" s="22">
        <v>1.0430900000000001</v>
      </c>
      <c r="AH237" s="22">
        <v>109.224</v>
      </c>
      <c r="AI237" s="22">
        <v>-1.4776600000000001E-2</v>
      </c>
      <c r="AJ237" s="22">
        <v>227</v>
      </c>
      <c r="AK237" s="22">
        <v>1.0418700000000001</v>
      </c>
      <c r="AL237">
        <f t="shared" si="42"/>
        <v>14.7766</v>
      </c>
      <c r="AM237">
        <f t="shared" si="43"/>
        <v>15.413323694000001</v>
      </c>
      <c r="AP237" s="9"/>
      <c r="AQ237" s="22">
        <v>0.656891</v>
      </c>
      <c r="AR237" s="22">
        <v>137.70500000000001</v>
      </c>
      <c r="AS237" s="22">
        <v>-1.5084800000000001E-2</v>
      </c>
      <c r="AT237" s="22">
        <v>227</v>
      </c>
      <c r="AU237" s="22">
        <v>0.65600599999999998</v>
      </c>
      <c r="AV237">
        <f t="shared" si="44"/>
        <v>15.084800000000001</v>
      </c>
      <c r="AW237">
        <f t="shared" si="45"/>
        <v>9.9090693568000017</v>
      </c>
      <c r="AX237" s="9"/>
      <c r="AY237" s="22">
        <v>1.0430900000000001</v>
      </c>
      <c r="AZ237" s="22">
        <v>181.559</v>
      </c>
      <c r="BA237" s="22">
        <v>-1.48743E-2</v>
      </c>
      <c r="BB237" s="22">
        <v>227</v>
      </c>
      <c r="BC237" s="22">
        <v>1.0418700000000001</v>
      </c>
      <c r="BD237">
        <f t="shared" si="46"/>
        <v>14.8743</v>
      </c>
      <c r="BE237">
        <f t="shared" si="47"/>
        <v>15.515233587000001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13.692600000000001</v>
      </c>
      <c r="I238" s="22">
        <v>-1.49506E-2</v>
      </c>
      <c r="J238" s="22">
        <v>228</v>
      </c>
      <c r="K238" s="22">
        <v>0.65109300000000003</v>
      </c>
      <c r="L238">
        <f t="shared" si="36"/>
        <v>14.9506</v>
      </c>
      <c r="M238">
        <f t="shared" si="37"/>
        <v>9.745623363</v>
      </c>
      <c r="N238" s="9"/>
      <c r="O238" s="22">
        <v>1.04813</v>
      </c>
      <c r="P238" s="22">
        <v>46.465699999999998</v>
      </c>
      <c r="Q238" s="22">
        <v>-1.474E-2</v>
      </c>
      <c r="R238" s="22">
        <v>228</v>
      </c>
      <c r="S238" s="22">
        <v>1.0470600000000001</v>
      </c>
      <c r="T238">
        <f t="shared" si="38"/>
        <v>14.74</v>
      </c>
      <c r="U238">
        <f t="shared" si="39"/>
        <v>15.449436200000001</v>
      </c>
      <c r="X238" s="9"/>
      <c r="Y238" s="22">
        <v>0.65185499999999996</v>
      </c>
      <c r="Z238" s="22">
        <v>74.518799999999999</v>
      </c>
      <c r="AA238" s="22">
        <v>-1.50665E-2</v>
      </c>
      <c r="AB238" s="22">
        <v>228</v>
      </c>
      <c r="AC238" s="22">
        <v>0.65093999999999996</v>
      </c>
      <c r="AD238">
        <f t="shared" si="40"/>
        <v>15.0665</v>
      </c>
      <c r="AE238">
        <f t="shared" si="41"/>
        <v>9.8211733574999993</v>
      </c>
      <c r="AF238" s="9"/>
      <c r="AG238" s="22">
        <v>1.04813</v>
      </c>
      <c r="AH238" s="22">
        <v>109.23399999999999</v>
      </c>
      <c r="AI238" s="22">
        <v>-1.47736E-2</v>
      </c>
      <c r="AJ238" s="22">
        <v>228</v>
      </c>
      <c r="AK238" s="22">
        <v>1.0473600000000001</v>
      </c>
      <c r="AL238">
        <f t="shared" si="42"/>
        <v>14.7736</v>
      </c>
      <c r="AM238">
        <f t="shared" si="43"/>
        <v>15.484653368</v>
      </c>
      <c r="AP238" s="9"/>
      <c r="AQ238" s="22">
        <v>0.65185499999999996</v>
      </c>
      <c r="AR238" s="22">
        <v>137.715</v>
      </c>
      <c r="AS238" s="22">
        <v>-1.50879E-2</v>
      </c>
      <c r="AT238" s="22">
        <v>228</v>
      </c>
      <c r="AU238" s="22">
        <v>0.65106200000000003</v>
      </c>
      <c r="AV238">
        <f t="shared" si="44"/>
        <v>15.087899999999999</v>
      </c>
      <c r="AW238">
        <f t="shared" si="45"/>
        <v>9.8351230544999986</v>
      </c>
      <c r="AX238" s="9"/>
      <c r="AY238" s="22">
        <v>1.04813</v>
      </c>
      <c r="AZ238" s="22">
        <v>181.56899999999999</v>
      </c>
      <c r="BA238" s="22">
        <v>-1.4871199999999999E-2</v>
      </c>
      <c r="BB238" s="22">
        <v>228</v>
      </c>
      <c r="BC238" s="22">
        <v>1.0473600000000001</v>
      </c>
      <c r="BD238">
        <f t="shared" si="46"/>
        <v>14.8712</v>
      </c>
      <c r="BE238">
        <f t="shared" si="47"/>
        <v>15.586950856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13.7027</v>
      </c>
      <c r="I239" s="22">
        <v>-1.49506E-2</v>
      </c>
      <c r="J239" s="22">
        <v>229</v>
      </c>
      <c r="K239" s="22">
        <v>0.64596600000000004</v>
      </c>
      <c r="L239">
        <f t="shared" si="36"/>
        <v>14.9506</v>
      </c>
      <c r="M239">
        <f t="shared" si="37"/>
        <v>9.6703470919999983</v>
      </c>
      <c r="N239" s="9"/>
      <c r="O239" s="22">
        <v>1.0531600000000001</v>
      </c>
      <c r="P239" s="22">
        <v>46.4758</v>
      </c>
      <c r="Q239" s="22">
        <v>-1.4733899999999999E-2</v>
      </c>
      <c r="R239" s="22">
        <v>229</v>
      </c>
      <c r="S239" s="22">
        <v>1.0516399999999999</v>
      </c>
      <c r="T239">
        <f t="shared" si="38"/>
        <v>14.7339</v>
      </c>
      <c r="U239">
        <f t="shared" si="39"/>
        <v>15.517154124000001</v>
      </c>
      <c r="X239" s="9"/>
      <c r="Y239" s="22">
        <v>0.64681999999999995</v>
      </c>
      <c r="Z239" s="22">
        <v>74.528800000000004</v>
      </c>
      <c r="AA239" s="22">
        <v>-1.50665E-2</v>
      </c>
      <c r="AB239" s="22">
        <v>229</v>
      </c>
      <c r="AC239" s="22">
        <v>0.64596600000000004</v>
      </c>
      <c r="AD239">
        <f t="shared" si="40"/>
        <v>15.0665</v>
      </c>
      <c r="AE239">
        <f t="shared" si="41"/>
        <v>9.7453135299999989</v>
      </c>
      <c r="AF239" s="9"/>
      <c r="AG239" s="22">
        <v>1.0531600000000001</v>
      </c>
      <c r="AH239" s="22">
        <v>109.244</v>
      </c>
      <c r="AI239" s="22">
        <v>-1.4770500000000001E-2</v>
      </c>
      <c r="AJ239" s="22">
        <v>229</v>
      </c>
      <c r="AK239" s="22">
        <v>1.0522499999999999</v>
      </c>
      <c r="AL239">
        <f t="shared" si="42"/>
        <v>14.7705</v>
      </c>
      <c r="AM239">
        <f t="shared" si="43"/>
        <v>15.555699780000001</v>
      </c>
      <c r="AP239" s="9"/>
      <c r="AQ239" s="22">
        <v>0.64681999999999995</v>
      </c>
      <c r="AR239" s="22">
        <v>137.72499999999999</v>
      </c>
      <c r="AS239" s="22">
        <v>-1.5094E-2</v>
      </c>
      <c r="AT239" s="22">
        <v>229</v>
      </c>
      <c r="AU239" s="22">
        <v>0.64602700000000002</v>
      </c>
      <c r="AV239">
        <f t="shared" si="44"/>
        <v>15.093999999999999</v>
      </c>
      <c r="AW239">
        <f t="shared" si="45"/>
        <v>9.7631010799999984</v>
      </c>
      <c r="AX239" s="9"/>
      <c r="AY239" s="22">
        <v>1.0531600000000001</v>
      </c>
      <c r="AZ239" s="22">
        <v>181.57900000000001</v>
      </c>
      <c r="BA239" s="22">
        <v>-1.48682E-2</v>
      </c>
      <c r="BB239" s="22">
        <v>229</v>
      </c>
      <c r="BC239" s="22">
        <v>1.0522499999999999</v>
      </c>
      <c r="BD239">
        <f t="shared" si="46"/>
        <v>14.8682</v>
      </c>
      <c r="BE239">
        <f t="shared" si="47"/>
        <v>15.658593512000001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13.7128</v>
      </c>
      <c r="I240" s="22">
        <v>-1.4959699999999999E-2</v>
      </c>
      <c r="J240" s="22">
        <v>230</v>
      </c>
      <c r="K240" s="22">
        <v>0.640961</v>
      </c>
      <c r="L240">
        <f t="shared" si="36"/>
        <v>14.9597</v>
      </c>
      <c r="M240">
        <f t="shared" si="37"/>
        <v>9.6009110645</v>
      </c>
      <c r="N240" s="9"/>
      <c r="O240" s="22">
        <v>1.0582</v>
      </c>
      <c r="P240" s="22">
        <v>46.485900000000001</v>
      </c>
      <c r="Q240" s="22">
        <v>-1.47308E-2</v>
      </c>
      <c r="R240" s="22">
        <v>230</v>
      </c>
      <c r="S240" s="22">
        <v>1.0568200000000001</v>
      </c>
      <c r="T240">
        <f t="shared" si="38"/>
        <v>14.7308</v>
      </c>
      <c r="U240">
        <f t="shared" si="39"/>
        <v>15.58813256</v>
      </c>
      <c r="X240" s="9"/>
      <c r="Y240" s="22">
        <v>0.64178500000000005</v>
      </c>
      <c r="Z240" s="22">
        <v>74.538899999999998</v>
      </c>
      <c r="AA240" s="22">
        <v>-1.50726E-2</v>
      </c>
      <c r="AB240" s="22">
        <v>230</v>
      </c>
      <c r="AC240" s="22">
        <v>0.64108299999999996</v>
      </c>
      <c r="AD240">
        <f t="shared" si="40"/>
        <v>15.0726</v>
      </c>
      <c r="AE240">
        <f t="shared" si="41"/>
        <v>9.6733685910000009</v>
      </c>
      <c r="AF240" s="9"/>
      <c r="AG240" s="22">
        <v>1.0582</v>
      </c>
      <c r="AH240" s="22">
        <v>109.254</v>
      </c>
      <c r="AI240" s="22">
        <v>-1.4761399999999999E-2</v>
      </c>
      <c r="AJ240" s="22">
        <v>230</v>
      </c>
      <c r="AK240" s="22">
        <v>1.0571299999999999</v>
      </c>
      <c r="AL240">
        <f t="shared" si="42"/>
        <v>14.761399999999998</v>
      </c>
      <c r="AM240">
        <f t="shared" si="43"/>
        <v>15.620513479999998</v>
      </c>
      <c r="AP240" s="9"/>
      <c r="AQ240" s="22">
        <v>0.64178500000000005</v>
      </c>
      <c r="AR240" s="22">
        <v>137.73500000000001</v>
      </c>
      <c r="AS240" s="22">
        <v>-1.5096999999999999E-2</v>
      </c>
      <c r="AT240" s="22">
        <v>230</v>
      </c>
      <c r="AU240" s="22">
        <v>0.64093</v>
      </c>
      <c r="AV240">
        <f t="shared" si="44"/>
        <v>15.097</v>
      </c>
      <c r="AW240">
        <f t="shared" si="45"/>
        <v>9.689028145</v>
      </c>
      <c r="AX240" s="9"/>
      <c r="AY240" s="22">
        <v>1.0582</v>
      </c>
      <c r="AZ240" s="22">
        <v>181.589</v>
      </c>
      <c r="BA240" s="22">
        <v>-1.4865099999999999E-2</v>
      </c>
      <c r="BB240" s="22">
        <v>230</v>
      </c>
      <c r="BC240" s="22">
        <v>1.0571299999999999</v>
      </c>
      <c r="BD240">
        <f t="shared" si="46"/>
        <v>14.8651</v>
      </c>
      <c r="BE240">
        <f t="shared" si="47"/>
        <v>15.73024882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13.722799999999999</v>
      </c>
      <c r="I241" s="22">
        <v>-1.4959699999999999E-2</v>
      </c>
      <c r="J241" s="22">
        <v>231</v>
      </c>
      <c r="K241" s="22">
        <v>0.63580300000000001</v>
      </c>
      <c r="L241">
        <f t="shared" si="36"/>
        <v>14.9597</v>
      </c>
      <c r="M241">
        <f t="shared" si="37"/>
        <v>9.5255740153000001</v>
      </c>
      <c r="N241" s="9"/>
      <c r="O241" s="22">
        <v>1.0632299999999999</v>
      </c>
      <c r="P241" s="22">
        <v>46.496000000000002</v>
      </c>
      <c r="Q241" s="22">
        <v>-1.4727799999999999E-2</v>
      </c>
      <c r="R241" s="22">
        <v>231</v>
      </c>
      <c r="S241" s="22">
        <v>1.0623199999999999</v>
      </c>
      <c r="T241">
        <f t="shared" si="38"/>
        <v>14.727799999999998</v>
      </c>
      <c r="U241">
        <f t="shared" si="39"/>
        <v>15.659038793999997</v>
      </c>
      <c r="X241" s="9"/>
      <c r="Y241" s="22">
        <v>0.63674900000000001</v>
      </c>
      <c r="Z241" s="22">
        <v>74.549000000000007</v>
      </c>
      <c r="AA241" s="22">
        <v>-1.50726E-2</v>
      </c>
      <c r="AB241" s="22">
        <v>231</v>
      </c>
      <c r="AC241" s="22">
        <v>0.63589499999999999</v>
      </c>
      <c r="AD241">
        <f t="shared" si="40"/>
        <v>15.0726</v>
      </c>
      <c r="AE241">
        <f t="shared" si="41"/>
        <v>9.5974629773999993</v>
      </c>
      <c r="AF241" s="9"/>
      <c r="AG241" s="22">
        <v>1.0632299999999999</v>
      </c>
      <c r="AH241" s="22">
        <v>109.264</v>
      </c>
      <c r="AI241" s="22">
        <v>-1.4761399999999999E-2</v>
      </c>
      <c r="AJ241" s="22">
        <v>231</v>
      </c>
      <c r="AK241" s="22">
        <v>1.0626199999999999</v>
      </c>
      <c r="AL241">
        <f t="shared" si="42"/>
        <v>14.761399999999998</v>
      </c>
      <c r="AM241">
        <f t="shared" si="43"/>
        <v>15.694763321999996</v>
      </c>
      <c r="AP241" s="9"/>
      <c r="AQ241" s="22">
        <v>0.63674900000000001</v>
      </c>
      <c r="AR241" s="22">
        <v>137.745</v>
      </c>
      <c r="AS241" s="22">
        <v>-1.51031E-2</v>
      </c>
      <c r="AT241" s="22">
        <v>231</v>
      </c>
      <c r="AU241" s="22">
        <v>0.63589499999999999</v>
      </c>
      <c r="AV241">
        <f t="shared" si="44"/>
        <v>15.1031</v>
      </c>
      <c r="AW241">
        <f t="shared" si="45"/>
        <v>9.6168838219000001</v>
      </c>
      <c r="AX241" s="9"/>
      <c r="AY241" s="22">
        <v>1.0632299999999999</v>
      </c>
      <c r="AZ241" s="22">
        <v>181.59899999999999</v>
      </c>
      <c r="BA241" s="22">
        <v>-1.48621E-2</v>
      </c>
      <c r="BB241" s="22">
        <v>231</v>
      </c>
      <c r="BC241" s="22">
        <v>1.0613999999999999</v>
      </c>
      <c r="BD241">
        <f t="shared" si="46"/>
        <v>14.8621</v>
      </c>
      <c r="BE241">
        <f t="shared" si="47"/>
        <v>15.801830582999999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13.732900000000001</v>
      </c>
      <c r="I242" s="22">
        <v>-1.4959699999999999E-2</v>
      </c>
      <c r="J242" s="22">
        <v>232</v>
      </c>
      <c r="K242" s="22">
        <v>0.63088999999999995</v>
      </c>
      <c r="L242">
        <f t="shared" si="36"/>
        <v>14.9597</v>
      </c>
      <c r="M242">
        <f t="shared" si="37"/>
        <v>9.4502519258</v>
      </c>
      <c r="N242" s="9"/>
      <c r="O242" s="22">
        <v>1.0682700000000001</v>
      </c>
      <c r="P242" s="22">
        <v>46.506</v>
      </c>
      <c r="Q242" s="22">
        <v>-1.4727799999999999E-2</v>
      </c>
      <c r="R242" s="22">
        <v>232</v>
      </c>
      <c r="S242" s="22">
        <v>1.0674999999999999</v>
      </c>
      <c r="T242">
        <f t="shared" si="38"/>
        <v>14.727799999999998</v>
      </c>
      <c r="U242">
        <f t="shared" si="39"/>
        <v>15.733266905999999</v>
      </c>
      <c r="X242" s="9"/>
      <c r="Y242" s="22">
        <v>0.631714</v>
      </c>
      <c r="Z242" s="22">
        <v>74.558999999999997</v>
      </c>
      <c r="AA242" s="22">
        <v>-1.5075699999999999E-2</v>
      </c>
      <c r="AB242" s="22">
        <v>232</v>
      </c>
      <c r="AC242" s="22">
        <v>0.63088999999999995</v>
      </c>
      <c r="AD242">
        <f t="shared" si="40"/>
        <v>15.075699999999999</v>
      </c>
      <c r="AE242">
        <f t="shared" si="41"/>
        <v>9.523530749799999</v>
      </c>
      <c r="AF242" s="9"/>
      <c r="AG242" s="22">
        <v>1.0682700000000001</v>
      </c>
      <c r="AH242" s="22">
        <v>109.274</v>
      </c>
      <c r="AI242" s="22">
        <v>-1.47552E-2</v>
      </c>
      <c r="AJ242" s="22">
        <v>232</v>
      </c>
      <c r="AK242" s="22">
        <v>1.0668899999999999</v>
      </c>
      <c r="AL242">
        <f t="shared" si="42"/>
        <v>14.7552</v>
      </c>
      <c r="AM242">
        <f t="shared" si="43"/>
        <v>15.762537504000001</v>
      </c>
      <c r="AP242" s="9"/>
      <c r="AQ242" s="22">
        <v>0.631714</v>
      </c>
      <c r="AR242" s="22">
        <v>137.755</v>
      </c>
      <c r="AS242" s="22">
        <v>-1.51062E-2</v>
      </c>
      <c r="AT242" s="22">
        <v>232</v>
      </c>
      <c r="AU242" s="22">
        <v>0.63098100000000001</v>
      </c>
      <c r="AV242">
        <f t="shared" si="44"/>
        <v>15.106199999999999</v>
      </c>
      <c r="AW242">
        <f t="shared" si="45"/>
        <v>9.5427980267999999</v>
      </c>
      <c r="AX242" s="9"/>
      <c r="AY242" s="22">
        <v>1.0682700000000001</v>
      </c>
      <c r="AZ242" s="22">
        <v>181.61</v>
      </c>
      <c r="BA242" s="22">
        <v>-1.4859000000000001E-2</v>
      </c>
      <c r="BB242" s="22">
        <v>232</v>
      </c>
      <c r="BC242" s="22">
        <v>1.0671999999999999</v>
      </c>
      <c r="BD242">
        <f t="shared" si="46"/>
        <v>14.859</v>
      </c>
      <c r="BE242">
        <f t="shared" si="47"/>
        <v>15.873423930000001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13.743</v>
      </c>
      <c r="I243" s="22">
        <v>-1.49567E-2</v>
      </c>
      <c r="J243" s="22">
        <v>233</v>
      </c>
      <c r="K243" s="22">
        <v>0.62582400000000005</v>
      </c>
      <c r="L243">
        <f t="shared" si="36"/>
        <v>14.9567</v>
      </c>
      <c r="M243">
        <f t="shared" si="37"/>
        <v>9.3730348425999992</v>
      </c>
      <c r="N243" s="9"/>
      <c r="O243" s="22">
        <v>1.0732999999999999</v>
      </c>
      <c r="P243" s="22">
        <v>46.516100000000002</v>
      </c>
      <c r="Q243" s="22">
        <v>-1.47247E-2</v>
      </c>
      <c r="R243" s="22">
        <v>233</v>
      </c>
      <c r="S243" s="22">
        <v>1.0726899999999999</v>
      </c>
      <c r="T243">
        <f t="shared" si="38"/>
        <v>14.7247</v>
      </c>
      <c r="U243">
        <f t="shared" si="39"/>
        <v>15.804020509999999</v>
      </c>
      <c r="X243" s="9"/>
      <c r="Y243" s="22">
        <v>0.62667799999999996</v>
      </c>
      <c r="Z243" s="22">
        <v>74.569100000000006</v>
      </c>
      <c r="AA243" s="22">
        <v>-1.50787E-2</v>
      </c>
      <c r="AB243" s="22">
        <v>233</v>
      </c>
      <c r="AC243" s="22">
        <v>0.62588500000000002</v>
      </c>
      <c r="AD243">
        <f t="shared" si="40"/>
        <v>15.078700000000001</v>
      </c>
      <c r="AE243">
        <f t="shared" si="41"/>
        <v>9.4494895585999998</v>
      </c>
      <c r="AF243" s="9"/>
      <c r="AG243" s="22">
        <v>1.0732999999999999</v>
      </c>
      <c r="AH243" s="22">
        <v>109.28400000000001</v>
      </c>
      <c r="AI243" s="22">
        <v>-1.47522E-2</v>
      </c>
      <c r="AJ243" s="22">
        <v>233</v>
      </c>
      <c r="AK243" s="22">
        <v>1.0720799999999999</v>
      </c>
      <c r="AL243">
        <f t="shared" si="42"/>
        <v>14.7522</v>
      </c>
      <c r="AM243">
        <f t="shared" si="43"/>
        <v>15.833536259999999</v>
      </c>
      <c r="AP243" s="9"/>
      <c r="AQ243" s="22">
        <v>0.62667799999999996</v>
      </c>
      <c r="AR243" s="22">
        <v>137.76499999999999</v>
      </c>
      <c r="AS243" s="22">
        <v>-1.51123E-2</v>
      </c>
      <c r="AT243" s="22">
        <v>233</v>
      </c>
      <c r="AU243" s="22">
        <v>0.62585400000000002</v>
      </c>
      <c r="AV243">
        <f t="shared" si="44"/>
        <v>15.112300000000001</v>
      </c>
      <c r="AW243">
        <f t="shared" si="45"/>
        <v>9.4705459394000009</v>
      </c>
      <c r="AX243" s="9"/>
      <c r="AY243" s="22">
        <v>1.0732999999999999</v>
      </c>
      <c r="AZ243" s="22">
        <v>181.62</v>
      </c>
      <c r="BA243" s="22">
        <v>-1.4855999999999999E-2</v>
      </c>
      <c r="BB243" s="22">
        <v>233</v>
      </c>
      <c r="BC243" s="22">
        <v>1.07178</v>
      </c>
      <c r="BD243">
        <f t="shared" si="46"/>
        <v>14.856</v>
      </c>
      <c r="BE243">
        <f t="shared" si="47"/>
        <v>15.944944799999998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13.7531</v>
      </c>
      <c r="I244" s="22">
        <v>-1.4959699999999999E-2</v>
      </c>
      <c r="J244" s="22">
        <v>234</v>
      </c>
      <c r="K244" s="22">
        <v>0.62078900000000004</v>
      </c>
      <c r="L244">
        <f t="shared" si="36"/>
        <v>14.9597</v>
      </c>
      <c r="M244">
        <f t="shared" si="37"/>
        <v>9.2995927870999999</v>
      </c>
      <c r="N244" s="9"/>
      <c r="O244" s="22">
        <v>1.0783400000000001</v>
      </c>
      <c r="P244" s="22">
        <v>46.526200000000003</v>
      </c>
      <c r="Q244" s="22">
        <v>-1.47186E-2</v>
      </c>
      <c r="R244" s="22">
        <v>234</v>
      </c>
      <c r="S244" s="22">
        <v>1.0772699999999999</v>
      </c>
      <c r="T244">
        <f t="shared" si="38"/>
        <v>14.7186</v>
      </c>
      <c r="U244">
        <f t="shared" si="39"/>
        <v>15.871655124000002</v>
      </c>
      <c r="X244" s="9"/>
      <c r="Y244" s="22">
        <v>0.62164299999999995</v>
      </c>
      <c r="Z244" s="22">
        <v>74.5792</v>
      </c>
      <c r="AA244" s="22">
        <v>-1.5084800000000001E-2</v>
      </c>
      <c r="AB244" s="22">
        <v>234</v>
      </c>
      <c r="AC244" s="22">
        <v>0.62078900000000004</v>
      </c>
      <c r="AD244">
        <f t="shared" si="40"/>
        <v>15.084800000000001</v>
      </c>
      <c r="AE244">
        <f t="shared" si="41"/>
        <v>9.3773603263999998</v>
      </c>
      <c r="AF244" s="9"/>
      <c r="AG244" s="22">
        <v>1.0783400000000001</v>
      </c>
      <c r="AH244" s="22">
        <v>109.294</v>
      </c>
      <c r="AI244" s="22">
        <v>-1.4749099999999999E-2</v>
      </c>
      <c r="AJ244" s="22">
        <v>234</v>
      </c>
      <c r="AK244" s="22">
        <v>1.07758</v>
      </c>
      <c r="AL244">
        <f t="shared" si="42"/>
        <v>14.749099999999999</v>
      </c>
      <c r="AM244">
        <f t="shared" si="43"/>
        <v>15.904544494</v>
      </c>
      <c r="AP244" s="9"/>
      <c r="AQ244" s="22">
        <v>0.62164299999999995</v>
      </c>
      <c r="AR244" s="22">
        <v>137.77500000000001</v>
      </c>
      <c r="AS244" s="22">
        <v>-1.5115399999999999E-2</v>
      </c>
      <c r="AT244" s="22">
        <v>234</v>
      </c>
      <c r="AU244" s="22">
        <v>0.62075800000000003</v>
      </c>
      <c r="AV244">
        <f t="shared" si="44"/>
        <v>15.115399999999999</v>
      </c>
      <c r="AW244">
        <f t="shared" si="45"/>
        <v>9.3963826021999992</v>
      </c>
      <c r="AX244" s="9"/>
      <c r="AY244" s="22">
        <v>1.0783400000000001</v>
      </c>
      <c r="AZ244" s="22">
        <v>181.63</v>
      </c>
      <c r="BA244" s="22">
        <v>-1.4855999999999999E-2</v>
      </c>
      <c r="BB244" s="22">
        <v>234</v>
      </c>
      <c r="BC244" s="22">
        <v>1.07758</v>
      </c>
      <c r="BD244">
        <f t="shared" si="46"/>
        <v>14.856</v>
      </c>
      <c r="BE244">
        <f t="shared" si="47"/>
        <v>16.019819040000002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13.7631</v>
      </c>
      <c r="I245" s="22">
        <v>-1.49628E-2</v>
      </c>
      <c r="J245" s="22">
        <v>235</v>
      </c>
      <c r="K245" s="22">
        <v>0.61581399999999997</v>
      </c>
      <c r="L245">
        <f t="shared" si="36"/>
        <v>14.9628</v>
      </c>
      <c r="M245">
        <f t="shared" si="37"/>
        <v>9.2261821824000005</v>
      </c>
      <c r="N245" s="9"/>
      <c r="O245" s="22">
        <v>1.0833699999999999</v>
      </c>
      <c r="P245" s="22">
        <v>46.536200000000001</v>
      </c>
      <c r="Q245" s="22">
        <v>-1.47186E-2</v>
      </c>
      <c r="R245" s="22">
        <v>235</v>
      </c>
      <c r="S245" s="22">
        <v>1.0821499999999999</v>
      </c>
      <c r="T245">
        <f t="shared" si="38"/>
        <v>14.7186</v>
      </c>
      <c r="U245">
        <f t="shared" si="39"/>
        <v>15.945689681999999</v>
      </c>
      <c r="X245" s="9"/>
      <c r="Y245" s="22">
        <v>0.61660800000000004</v>
      </c>
      <c r="Z245" s="22">
        <v>74.589299999999994</v>
      </c>
      <c r="AA245" s="22">
        <v>-1.50879E-2</v>
      </c>
      <c r="AB245" s="22">
        <v>235</v>
      </c>
      <c r="AC245" s="22">
        <v>0.61575299999999999</v>
      </c>
      <c r="AD245">
        <f t="shared" si="40"/>
        <v>15.087899999999999</v>
      </c>
      <c r="AE245">
        <f t="shared" si="41"/>
        <v>9.3033198432000006</v>
      </c>
      <c r="AF245" s="9"/>
      <c r="AG245" s="22">
        <v>1.0833699999999999</v>
      </c>
      <c r="AH245" s="22">
        <v>109.304</v>
      </c>
      <c r="AI245" s="22">
        <v>-1.4742999999999999E-2</v>
      </c>
      <c r="AJ245" s="22">
        <v>235</v>
      </c>
      <c r="AK245" s="22">
        <v>1.08185</v>
      </c>
      <c r="AL245">
        <f t="shared" si="42"/>
        <v>14.742999999999999</v>
      </c>
      <c r="AM245">
        <f t="shared" si="43"/>
        <v>15.972123909999997</v>
      </c>
      <c r="AP245" s="9"/>
      <c r="AQ245" s="22">
        <v>0.61660800000000004</v>
      </c>
      <c r="AR245" s="22">
        <v>137.785</v>
      </c>
      <c r="AS245" s="22">
        <v>-1.51215E-2</v>
      </c>
      <c r="AT245" s="22">
        <v>235</v>
      </c>
      <c r="AU245" s="22">
        <v>0.61581399999999997</v>
      </c>
      <c r="AV245">
        <f t="shared" si="44"/>
        <v>15.121499999999999</v>
      </c>
      <c r="AW245">
        <f t="shared" si="45"/>
        <v>9.3240378719999999</v>
      </c>
      <c r="AX245" s="9"/>
      <c r="AY245" s="22">
        <v>1.0833699999999999</v>
      </c>
      <c r="AZ245" s="22">
        <v>181.64</v>
      </c>
      <c r="BA245" s="22">
        <v>-1.4849899999999999E-2</v>
      </c>
      <c r="BB245" s="22">
        <v>235</v>
      </c>
      <c r="BC245" s="22">
        <v>1.08185</v>
      </c>
      <c r="BD245">
        <f t="shared" si="46"/>
        <v>14.8499</v>
      </c>
      <c r="BE245">
        <f t="shared" si="47"/>
        <v>16.087936162999998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13.773199999999999</v>
      </c>
      <c r="I246" s="22">
        <v>-1.49689E-2</v>
      </c>
      <c r="J246" s="22">
        <v>236</v>
      </c>
      <c r="K246" s="22">
        <v>0.61065700000000001</v>
      </c>
      <c r="L246">
        <f t="shared" si="36"/>
        <v>14.9689</v>
      </c>
      <c r="M246">
        <f t="shared" si="37"/>
        <v>9.1545601108000003</v>
      </c>
      <c r="N246" s="9"/>
      <c r="O246" s="22">
        <v>1.0884100000000001</v>
      </c>
      <c r="P246" s="22">
        <v>46.546300000000002</v>
      </c>
      <c r="Q246" s="22">
        <v>-1.47095E-2</v>
      </c>
      <c r="R246" s="22">
        <v>236</v>
      </c>
      <c r="S246" s="22">
        <v>1.08734</v>
      </c>
      <c r="T246">
        <f t="shared" si="38"/>
        <v>14.7095</v>
      </c>
      <c r="U246">
        <f t="shared" si="39"/>
        <v>16.009966895000002</v>
      </c>
      <c r="X246" s="9"/>
      <c r="Y246" s="22">
        <v>0.611572</v>
      </c>
      <c r="Z246" s="22">
        <v>74.599299999999999</v>
      </c>
      <c r="AA246" s="22">
        <v>-1.50879E-2</v>
      </c>
      <c r="AB246" s="22">
        <v>236</v>
      </c>
      <c r="AC246" s="22">
        <v>0.61074799999999996</v>
      </c>
      <c r="AD246">
        <f t="shared" si="40"/>
        <v>15.087899999999999</v>
      </c>
      <c r="AE246">
        <f t="shared" si="41"/>
        <v>9.2273371787999992</v>
      </c>
      <c r="AF246" s="9"/>
      <c r="AG246" s="22">
        <v>1.0884100000000001</v>
      </c>
      <c r="AH246" s="22">
        <v>109.31399999999999</v>
      </c>
      <c r="AI246" s="22">
        <v>-1.474E-2</v>
      </c>
      <c r="AJ246" s="22">
        <v>236</v>
      </c>
      <c r="AK246" s="22">
        <v>1.08734</v>
      </c>
      <c r="AL246">
        <f t="shared" si="42"/>
        <v>14.74</v>
      </c>
      <c r="AM246">
        <f t="shared" si="43"/>
        <v>16.043163400000001</v>
      </c>
      <c r="AP246" s="9"/>
      <c r="AQ246" s="22">
        <v>0.611572</v>
      </c>
      <c r="AR246" s="22">
        <v>137.79599999999999</v>
      </c>
      <c r="AS246" s="22">
        <v>-1.51215E-2</v>
      </c>
      <c r="AT246" s="22">
        <v>236</v>
      </c>
      <c r="AU246" s="22">
        <v>0.61056500000000002</v>
      </c>
      <c r="AV246">
        <f t="shared" si="44"/>
        <v>15.121499999999999</v>
      </c>
      <c r="AW246">
        <f t="shared" si="45"/>
        <v>9.2478859979999992</v>
      </c>
      <c r="AX246" s="9"/>
      <c r="AY246" s="22">
        <v>1.0884100000000001</v>
      </c>
      <c r="AZ246" s="22">
        <v>181.65</v>
      </c>
      <c r="BA246" s="22">
        <v>-1.4843800000000001E-2</v>
      </c>
      <c r="BB246" s="22">
        <v>236</v>
      </c>
      <c r="BC246" s="22">
        <v>1.08673</v>
      </c>
      <c r="BD246">
        <f t="shared" si="46"/>
        <v>14.8438</v>
      </c>
      <c r="BE246">
        <f t="shared" si="47"/>
        <v>16.156140358000002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13.783300000000001</v>
      </c>
      <c r="I247" s="22">
        <v>-1.49719E-2</v>
      </c>
      <c r="J247" s="22">
        <v>237</v>
      </c>
      <c r="K247" s="22">
        <v>0.60565199999999997</v>
      </c>
      <c r="L247">
        <f t="shared" si="36"/>
        <v>14.9719</v>
      </c>
      <c r="M247">
        <f t="shared" si="37"/>
        <v>9.0810113102999992</v>
      </c>
      <c r="N247" s="9"/>
      <c r="O247" s="22">
        <v>1.09344</v>
      </c>
      <c r="P247" s="22">
        <v>46.556399999999996</v>
      </c>
      <c r="Q247" s="22">
        <v>-1.47034E-2</v>
      </c>
      <c r="R247" s="22">
        <v>237</v>
      </c>
      <c r="S247" s="22">
        <v>1.09253</v>
      </c>
      <c r="T247">
        <f t="shared" si="38"/>
        <v>14.7034</v>
      </c>
      <c r="U247">
        <f t="shared" si="39"/>
        <v>16.077285696000001</v>
      </c>
      <c r="X247" s="9"/>
      <c r="Y247" s="22">
        <v>0.60653699999999999</v>
      </c>
      <c r="Z247" s="22">
        <v>74.609399999999994</v>
      </c>
      <c r="AA247" s="22">
        <v>-1.5090900000000001E-2</v>
      </c>
      <c r="AB247" s="22">
        <v>237</v>
      </c>
      <c r="AC247" s="22">
        <v>0.60571299999999995</v>
      </c>
      <c r="AD247">
        <f t="shared" si="40"/>
        <v>15.090900000000001</v>
      </c>
      <c r="AE247">
        <f t="shared" si="41"/>
        <v>9.153189213300001</v>
      </c>
      <c r="AF247" s="9"/>
      <c r="AG247" s="22">
        <v>1.09344</v>
      </c>
      <c r="AH247" s="22">
        <v>109.325</v>
      </c>
      <c r="AI247" s="22">
        <v>-1.4733899999999999E-2</v>
      </c>
      <c r="AJ247" s="22">
        <v>237</v>
      </c>
      <c r="AK247" s="22">
        <v>1.09222</v>
      </c>
      <c r="AL247">
        <f t="shared" si="42"/>
        <v>14.7339</v>
      </c>
      <c r="AM247">
        <f t="shared" si="43"/>
        <v>16.110635616</v>
      </c>
      <c r="AP247" s="9"/>
      <c r="AQ247" s="22">
        <v>0.60653699999999999</v>
      </c>
      <c r="AR247" s="22">
        <v>137.80600000000001</v>
      </c>
      <c r="AS247" s="22">
        <v>-1.5124500000000001E-2</v>
      </c>
      <c r="AT247" s="22">
        <v>237</v>
      </c>
      <c r="AU247" s="22">
        <v>0.60559099999999999</v>
      </c>
      <c r="AV247">
        <f t="shared" si="44"/>
        <v>15.124500000000001</v>
      </c>
      <c r="AW247">
        <f t="shared" si="45"/>
        <v>9.1735688565000011</v>
      </c>
      <c r="AX247" s="9"/>
      <c r="AY247" s="22">
        <v>1.09344</v>
      </c>
      <c r="AZ247" s="22">
        <v>181.66</v>
      </c>
      <c r="BA247" s="22">
        <v>-1.48407E-2</v>
      </c>
      <c r="BB247" s="22">
        <v>237</v>
      </c>
      <c r="BC247" s="22">
        <v>1.09222</v>
      </c>
      <c r="BD247">
        <f t="shared" si="46"/>
        <v>14.8407</v>
      </c>
      <c r="BE247">
        <f t="shared" si="47"/>
        <v>16.227415008000001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13.7933</v>
      </c>
      <c r="I248" s="22">
        <v>-1.4975E-2</v>
      </c>
      <c r="J248" s="22">
        <v>238</v>
      </c>
      <c r="K248" s="22">
        <v>0.60070800000000002</v>
      </c>
      <c r="L248">
        <f t="shared" si="36"/>
        <v>14.975</v>
      </c>
      <c r="M248">
        <f t="shared" si="37"/>
        <v>9.007477475</v>
      </c>
      <c r="N248" s="9"/>
      <c r="O248" s="22">
        <v>1.0984799999999999</v>
      </c>
      <c r="P248" s="22">
        <v>46.566499999999998</v>
      </c>
      <c r="Q248" s="22">
        <v>-1.46973E-2</v>
      </c>
      <c r="R248" s="22">
        <v>238</v>
      </c>
      <c r="S248" s="22">
        <v>1.09772</v>
      </c>
      <c r="T248">
        <f t="shared" si="38"/>
        <v>14.6973</v>
      </c>
      <c r="U248">
        <f t="shared" si="39"/>
        <v>16.144690103999999</v>
      </c>
      <c r="X248" s="9"/>
      <c r="Y248" s="22">
        <v>0.60150099999999995</v>
      </c>
      <c r="Z248" s="22">
        <v>74.619500000000002</v>
      </c>
      <c r="AA248" s="22">
        <v>-1.5094E-2</v>
      </c>
      <c r="AB248" s="22">
        <v>238</v>
      </c>
      <c r="AC248" s="22">
        <v>0.60067700000000002</v>
      </c>
      <c r="AD248">
        <f t="shared" si="40"/>
        <v>15.093999999999999</v>
      </c>
      <c r="AE248">
        <f t="shared" si="41"/>
        <v>9.0790560939999985</v>
      </c>
      <c r="AF248" s="9"/>
      <c r="AG248" s="22">
        <v>1.0984799999999999</v>
      </c>
      <c r="AH248" s="22">
        <v>109.33499999999999</v>
      </c>
      <c r="AI248" s="22">
        <v>-1.47308E-2</v>
      </c>
      <c r="AJ248" s="22">
        <v>238</v>
      </c>
      <c r="AK248" s="22">
        <v>1.0968</v>
      </c>
      <c r="AL248">
        <f t="shared" si="42"/>
        <v>14.7308</v>
      </c>
      <c r="AM248">
        <f t="shared" si="43"/>
        <v>16.181489184</v>
      </c>
      <c r="AP248" s="9"/>
      <c r="AQ248" s="22">
        <v>0.60150099999999995</v>
      </c>
      <c r="AR248" s="22">
        <v>137.816</v>
      </c>
      <c r="AS248" s="22">
        <v>-1.51276E-2</v>
      </c>
      <c r="AT248" s="22">
        <v>238</v>
      </c>
      <c r="AU248" s="22">
        <v>0.60061600000000004</v>
      </c>
      <c r="AV248">
        <f t="shared" si="44"/>
        <v>15.127599999999999</v>
      </c>
      <c r="AW248">
        <f t="shared" si="45"/>
        <v>9.0992665275999993</v>
      </c>
      <c r="AX248" s="9"/>
      <c r="AY248" s="22">
        <v>1.0984799999999999</v>
      </c>
      <c r="AZ248" s="22">
        <v>181.67</v>
      </c>
      <c r="BA248" s="22">
        <v>-1.4837599999999999E-2</v>
      </c>
      <c r="BB248" s="22">
        <v>238</v>
      </c>
      <c r="BC248" s="22">
        <v>1.09711</v>
      </c>
      <c r="BD248">
        <f t="shared" si="46"/>
        <v>14.8376</v>
      </c>
      <c r="BE248">
        <f t="shared" si="47"/>
        <v>16.298806847999998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13.8034</v>
      </c>
      <c r="I249" s="22">
        <v>-1.4978E-2</v>
      </c>
      <c r="J249" s="22">
        <v>239</v>
      </c>
      <c r="K249" s="22">
        <v>0.595642</v>
      </c>
      <c r="L249">
        <f t="shared" si="36"/>
        <v>14.978</v>
      </c>
      <c r="M249">
        <f t="shared" si="37"/>
        <v>8.9338677480000008</v>
      </c>
      <c r="N249" s="9"/>
      <c r="O249" s="22">
        <v>1.1035200000000001</v>
      </c>
      <c r="P249" s="22">
        <v>46.576500000000003</v>
      </c>
      <c r="Q249" s="22">
        <v>-1.4694199999999999E-2</v>
      </c>
      <c r="R249" s="22">
        <v>239</v>
      </c>
      <c r="S249" s="22">
        <v>1.10229</v>
      </c>
      <c r="T249">
        <f t="shared" si="38"/>
        <v>14.694199999999999</v>
      </c>
      <c r="U249">
        <f t="shared" si="39"/>
        <v>16.215343583999999</v>
      </c>
      <c r="X249" s="9"/>
      <c r="Y249" s="22">
        <v>0.59646600000000005</v>
      </c>
      <c r="Z249" s="22">
        <v>74.629499999999993</v>
      </c>
      <c r="AA249" s="22">
        <v>-1.5096999999999999E-2</v>
      </c>
      <c r="AB249" s="22">
        <v>239</v>
      </c>
      <c r="AC249" s="22">
        <v>0.59555100000000005</v>
      </c>
      <c r="AD249">
        <f t="shared" si="40"/>
        <v>15.097</v>
      </c>
      <c r="AE249">
        <f t="shared" si="41"/>
        <v>9.0048472020000006</v>
      </c>
      <c r="AF249" s="9"/>
      <c r="AG249" s="22">
        <v>1.1035200000000001</v>
      </c>
      <c r="AH249" s="22">
        <v>109.345</v>
      </c>
      <c r="AI249" s="22">
        <v>-1.4727799999999999E-2</v>
      </c>
      <c r="AJ249" s="22">
        <v>239</v>
      </c>
      <c r="AK249" s="22">
        <v>1.10229</v>
      </c>
      <c r="AL249">
        <f t="shared" si="42"/>
        <v>14.727799999999998</v>
      </c>
      <c r="AM249">
        <f t="shared" si="43"/>
        <v>16.252421855999998</v>
      </c>
      <c r="AP249" s="9"/>
      <c r="AQ249" s="22">
        <v>0.59646600000000005</v>
      </c>
      <c r="AR249" s="22">
        <v>137.82599999999999</v>
      </c>
      <c r="AS249" s="22">
        <v>-1.5130599999999999E-2</v>
      </c>
      <c r="AT249" s="22">
        <v>239</v>
      </c>
      <c r="AU249" s="22">
        <v>0.59561200000000003</v>
      </c>
      <c r="AV249">
        <f t="shared" si="44"/>
        <v>15.130599999999999</v>
      </c>
      <c r="AW249">
        <f t="shared" si="45"/>
        <v>9.0248884595999996</v>
      </c>
      <c r="AX249" s="9"/>
      <c r="AY249" s="22">
        <v>1.1035200000000001</v>
      </c>
      <c r="AZ249" s="22">
        <v>181.68</v>
      </c>
      <c r="BA249" s="22">
        <v>-1.4831499999999999E-2</v>
      </c>
      <c r="BB249" s="22">
        <v>239</v>
      </c>
      <c r="BC249" s="22">
        <v>1.10199</v>
      </c>
      <c r="BD249">
        <f t="shared" si="46"/>
        <v>14.831499999999998</v>
      </c>
      <c r="BE249">
        <f t="shared" si="47"/>
        <v>16.36685688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13.813499999999999</v>
      </c>
      <c r="I250" s="22">
        <v>-1.49841E-2</v>
      </c>
      <c r="J250" s="22">
        <v>240</v>
      </c>
      <c r="K250" s="22">
        <v>0.59054600000000002</v>
      </c>
      <c r="L250">
        <f t="shared" si="36"/>
        <v>14.9841</v>
      </c>
      <c r="M250">
        <f t="shared" si="37"/>
        <v>8.8620612470999998</v>
      </c>
      <c r="N250" s="9"/>
      <c r="O250" s="22">
        <v>1.1085499999999999</v>
      </c>
      <c r="P250" s="22">
        <v>46.586599999999997</v>
      </c>
      <c r="Q250" s="22">
        <v>-1.46912E-2</v>
      </c>
      <c r="R250" s="22">
        <v>240</v>
      </c>
      <c r="S250" s="22">
        <v>1.1071800000000001</v>
      </c>
      <c r="T250">
        <f t="shared" si="38"/>
        <v>14.6912</v>
      </c>
      <c r="U250">
        <f t="shared" si="39"/>
        <v>16.285929759999998</v>
      </c>
      <c r="X250" s="9"/>
      <c r="Y250" s="22">
        <v>0.59143100000000004</v>
      </c>
      <c r="Z250" s="22">
        <v>74.639600000000002</v>
      </c>
      <c r="AA250" s="22">
        <v>-1.51062E-2</v>
      </c>
      <c r="AB250" s="22">
        <v>240</v>
      </c>
      <c r="AC250" s="22">
        <v>0.59048500000000004</v>
      </c>
      <c r="AD250">
        <f t="shared" si="40"/>
        <v>15.106199999999999</v>
      </c>
      <c r="AE250">
        <f t="shared" si="41"/>
        <v>8.9342749722000008</v>
      </c>
      <c r="AF250" s="9"/>
      <c r="AG250" s="22">
        <v>1.1085499999999999</v>
      </c>
      <c r="AH250" s="22">
        <v>109.355</v>
      </c>
      <c r="AI250" s="22">
        <v>-1.4727799999999999E-2</v>
      </c>
      <c r="AJ250" s="22">
        <v>240</v>
      </c>
      <c r="AK250" s="22">
        <v>1.1077900000000001</v>
      </c>
      <c r="AL250">
        <f t="shared" si="42"/>
        <v>14.727799999999998</v>
      </c>
      <c r="AM250">
        <f t="shared" si="43"/>
        <v>16.326502689999998</v>
      </c>
      <c r="AP250" s="9"/>
      <c r="AQ250" s="22">
        <v>0.59143100000000004</v>
      </c>
      <c r="AR250" s="22">
        <v>137.83600000000001</v>
      </c>
      <c r="AS250" s="22">
        <v>-1.5130599999999999E-2</v>
      </c>
      <c r="AT250" s="22">
        <v>240</v>
      </c>
      <c r="AU250" s="22">
        <v>0.59057599999999999</v>
      </c>
      <c r="AV250">
        <f t="shared" si="44"/>
        <v>15.130599999999999</v>
      </c>
      <c r="AW250">
        <f t="shared" si="45"/>
        <v>8.948705888600001</v>
      </c>
      <c r="AX250" s="9"/>
      <c r="AY250" s="22">
        <v>1.1085499999999999</v>
      </c>
      <c r="AZ250" s="22">
        <v>181.69</v>
      </c>
      <c r="BA250" s="22">
        <v>-1.48285E-2</v>
      </c>
      <c r="BB250" s="22">
        <v>240</v>
      </c>
      <c r="BC250" s="22">
        <v>1.1077900000000001</v>
      </c>
      <c r="BD250">
        <f t="shared" si="46"/>
        <v>14.8285</v>
      </c>
      <c r="BE250">
        <f t="shared" si="47"/>
        <v>16.438133675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13.823499999999999</v>
      </c>
      <c r="I251" s="22">
        <v>-1.4987199999999999E-2</v>
      </c>
      <c r="J251" s="22">
        <v>241</v>
      </c>
      <c r="K251" s="22">
        <v>0.58557099999999995</v>
      </c>
      <c r="L251">
        <f t="shared" si="36"/>
        <v>14.9872</v>
      </c>
      <c r="M251">
        <f t="shared" si="37"/>
        <v>8.7884191440000006</v>
      </c>
      <c r="N251" s="9"/>
      <c r="O251" s="22">
        <v>1.1135900000000001</v>
      </c>
      <c r="P251" s="22">
        <v>46.596699999999998</v>
      </c>
      <c r="Q251" s="22">
        <v>-1.46912E-2</v>
      </c>
      <c r="R251" s="22">
        <v>241</v>
      </c>
      <c r="S251" s="22">
        <v>1.1129800000000001</v>
      </c>
      <c r="T251">
        <f t="shared" si="38"/>
        <v>14.6912</v>
      </c>
      <c r="U251">
        <f t="shared" si="39"/>
        <v>16.359973408000002</v>
      </c>
      <c r="X251" s="9"/>
      <c r="Y251" s="22">
        <v>0.586395</v>
      </c>
      <c r="Z251" s="22">
        <v>74.649699999999996</v>
      </c>
      <c r="AA251" s="22">
        <v>-1.51123E-2</v>
      </c>
      <c r="AB251" s="22">
        <v>241</v>
      </c>
      <c r="AC251" s="22">
        <v>0.58548</v>
      </c>
      <c r="AD251">
        <f t="shared" si="40"/>
        <v>15.112300000000001</v>
      </c>
      <c r="AE251">
        <f t="shared" si="41"/>
        <v>8.8617771585000007</v>
      </c>
      <c r="AF251" s="9"/>
      <c r="AG251" s="22">
        <v>1.1135900000000001</v>
      </c>
      <c r="AH251" s="22">
        <v>109.36499999999999</v>
      </c>
      <c r="AI251" s="22">
        <v>-1.47247E-2</v>
      </c>
      <c r="AJ251" s="22">
        <v>241</v>
      </c>
      <c r="AK251" s="22">
        <v>1.1123700000000001</v>
      </c>
      <c r="AL251">
        <f t="shared" si="42"/>
        <v>14.7247</v>
      </c>
      <c r="AM251">
        <f t="shared" si="43"/>
        <v>16.397278673000002</v>
      </c>
      <c r="AP251" s="9"/>
      <c r="AQ251" s="22">
        <v>0.586395</v>
      </c>
      <c r="AR251" s="22">
        <v>137.846</v>
      </c>
      <c r="AS251" s="22">
        <v>-1.51337E-2</v>
      </c>
      <c r="AT251" s="22">
        <v>241</v>
      </c>
      <c r="AU251" s="22">
        <v>0.58554099999999998</v>
      </c>
      <c r="AV251">
        <f t="shared" si="44"/>
        <v>15.133699999999999</v>
      </c>
      <c r="AW251">
        <f t="shared" si="45"/>
        <v>8.8743260114999991</v>
      </c>
      <c r="AX251" s="9"/>
      <c r="AY251" s="22">
        <v>1.1135900000000001</v>
      </c>
      <c r="AZ251" s="22">
        <v>181.7</v>
      </c>
      <c r="BA251" s="22">
        <v>-1.48285E-2</v>
      </c>
      <c r="BB251" s="22">
        <v>241</v>
      </c>
      <c r="BC251" s="22">
        <v>1.1123700000000001</v>
      </c>
      <c r="BD251">
        <f t="shared" si="46"/>
        <v>14.8285</v>
      </c>
      <c r="BE251">
        <f t="shared" si="47"/>
        <v>16.512869315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13.833600000000001</v>
      </c>
      <c r="I252" s="22">
        <v>-1.49902E-2</v>
      </c>
      <c r="J252" s="22">
        <v>242</v>
      </c>
      <c r="K252" s="22">
        <v>0.58047499999999996</v>
      </c>
      <c r="L252">
        <f t="shared" si="36"/>
        <v>14.9902</v>
      </c>
      <c r="M252">
        <f t="shared" si="37"/>
        <v>8.7147026719999996</v>
      </c>
      <c r="N252" s="9"/>
      <c r="O252" s="22">
        <v>1.1186199999999999</v>
      </c>
      <c r="P252" s="22">
        <v>46.606699999999996</v>
      </c>
      <c r="Q252" s="22">
        <v>-1.4688100000000001E-2</v>
      </c>
      <c r="R252" s="22">
        <v>242</v>
      </c>
      <c r="S252" s="22">
        <v>1.11755</v>
      </c>
      <c r="T252">
        <f t="shared" si="38"/>
        <v>14.6881</v>
      </c>
      <c r="U252">
        <f t="shared" si="39"/>
        <v>16.430402422</v>
      </c>
      <c r="X252" s="9"/>
      <c r="Y252" s="22">
        <v>0.58135999999999999</v>
      </c>
      <c r="Z252" s="22">
        <v>74.659800000000004</v>
      </c>
      <c r="AA252" s="22">
        <v>-1.5115399999999999E-2</v>
      </c>
      <c r="AB252" s="22">
        <v>242</v>
      </c>
      <c r="AC252" s="22">
        <v>0.58035300000000001</v>
      </c>
      <c r="AD252">
        <f t="shared" si="40"/>
        <v>15.115399999999999</v>
      </c>
      <c r="AE252">
        <f t="shared" si="41"/>
        <v>8.7874889439999997</v>
      </c>
      <c r="AF252" s="9"/>
      <c r="AG252" s="22">
        <v>1.1186199999999999</v>
      </c>
      <c r="AH252" s="22">
        <v>109.375</v>
      </c>
      <c r="AI252" s="22">
        <v>-1.47186E-2</v>
      </c>
      <c r="AJ252" s="22">
        <v>242</v>
      </c>
      <c r="AK252" s="22">
        <v>1.1172500000000001</v>
      </c>
      <c r="AL252">
        <f t="shared" si="42"/>
        <v>14.7186</v>
      </c>
      <c r="AM252">
        <f t="shared" si="43"/>
        <v>16.464520331999999</v>
      </c>
      <c r="AP252" s="9"/>
      <c r="AQ252" s="22">
        <v>0.58135999999999999</v>
      </c>
      <c r="AR252" s="22">
        <v>137.85599999999999</v>
      </c>
      <c r="AS252" s="22">
        <v>-1.51398E-2</v>
      </c>
      <c r="AT252" s="22">
        <v>242</v>
      </c>
      <c r="AU252" s="22">
        <v>0.58053600000000005</v>
      </c>
      <c r="AV252">
        <f t="shared" si="44"/>
        <v>15.139799999999999</v>
      </c>
      <c r="AW252">
        <f t="shared" si="45"/>
        <v>8.8016741280000002</v>
      </c>
      <c r="AX252" s="9"/>
      <c r="AY252" s="22">
        <v>1.1186199999999999</v>
      </c>
      <c r="AZ252" s="22">
        <v>181.71</v>
      </c>
      <c r="BA252" s="22">
        <v>-1.4825400000000001E-2</v>
      </c>
      <c r="BB252" s="22">
        <v>242</v>
      </c>
      <c r="BC252" s="22">
        <v>1.1166400000000001</v>
      </c>
      <c r="BD252">
        <f t="shared" si="46"/>
        <v>14.8254</v>
      </c>
      <c r="BE252">
        <f t="shared" si="47"/>
        <v>16.583988947999998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13.8437</v>
      </c>
      <c r="I253" s="22">
        <v>-1.4993299999999999E-2</v>
      </c>
      <c r="J253" s="22">
        <v>243</v>
      </c>
      <c r="K253" s="22">
        <v>0.57543900000000003</v>
      </c>
      <c r="L253">
        <f t="shared" si="36"/>
        <v>14.9933</v>
      </c>
      <c r="M253">
        <f t="shared" si="37"/>
        <v>8.6409986291999985</v>
      </c>
      <c r="N253" s="9"/>
      <c r="O253" s="22">
        <v>1.1236600000000001</v>
      </c>
      <c r="P253" s="22">
        <v>46.616799999999998</v>
      </c>
      <c r="Q253" s="22">
        <v>-1.4682000000000001E-2</v>
      </c>
      <c r="R253" s="22">
        <v>243</v>
      </c>
      <c r="S253" s="22">
        <v>1.1224400000000001</v>
      </c>
      <c r="T253">
        <f t="shared" si="38"/>
        <v>14.682</v>
      </c>
      <c r="U253">
        <f t="shared" si="39"/>
        <v>16.497576120000002</v>
      </c>
      <c r="X253" s="9"/>
      <c r="Y253" s="22">
        <v>0.57632399999999995</v>
      </c>
      <c r="Z253" s="22">
        <v>74.669799999999995</v>
      </c>
      <c r="AA253" s="22">
        <v>-1.5118400000000001E-2</v>
      </c>
      <c r="AB253" s="22">
        <v>243</v>
      </c>
      <c r="AC253" s="22">
        <v>0.57550000000000001</v>
      </c>
      <c r="AD253">
        <f t="shared" si="40"/>
        <v>15.118400000000001</v>
      </c>
      <c r="AE253">
        <f t="shared" si="41"/>
        <v>8.7130967615999992</v>
      </c>
      <c r="AF253" s="9"/>
      <c r="AG253" s="22">
        <v>1.1236600000000001</v>
      </c>
      <c r="AH253" s="22">
        <v>109.38500000000001</v>
      </c>
      <c r="AI253" s="22">
        <v>-1.4715600000000001E-2</v>
      </c>
      <c r="AJ253" s="22">
        <v>243</v>
      </c>
      <c r="AK253" s="22">
        <v>1.1224400000000001</v>
      </c>
      <c r="AL253">
        <f t="shared" si="42"/>
        <v>14.7156</v>
      </c>
      <c r="AM253">
        <f t="shared" si="43"/>
        <v>16.535331096</v>
      </c>
      <c r="AP253" s="9"/>
      <c r="AQ253" s="22">
        <v>0.57632399999999995</v>
      </c>
      <c r="AR253" s="22">
        <v>137.86600000000001</v>
      </c>
      <c r="AS253" s="22">
        <v>-1.51459E-2</v>
      </c>
      <c r="AT253" s="22">
        <v>243</v>
      </c>
      <c r="AU253" s="22">
        <v>0.57540899999999995</v>
      </c>
      <c r="AV253">
        <f t="shared" si="44"/>
        <v>15.145900000000001</v>
      </c>
      <c r="AW253">
        <f t="shared" si="45"/>
        <v>8.7289456716</v>
      </c>
      <c r="AX253" s="9"/>
      <c r="AY253" s="22">
        <v>1.1236600000000001</v>
      </c>
      <c r="AZ253" s="22">
        <v>181.72</v>
      </c>
      <c r="BA253" s="22">
        <v>-1.48285E-2</v>
      </c>
      <c r="BB253" s="22">
        <v>243</v>
      </c>
      <c r="BC253" s="22">
        <v>1.1224400000000001</v>
      </c>
      <c r="BD253">
        <f t="shared" si="46"/>
        <v>14.8285</v>
      </c>
      <c r="BE253">
        <f t="shared" si="47"/>
        <v>16.662192310000002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13.8538</v>
      </c>
      <c r="I254" s="22">
        <v>-1.4996300000000001E-2</v>
      </c>
      <c r="J254" s="22">
        <v>244</v>
      </c>
      <c r="K254" s="22">
        <v>0.57040400000000002</v>
      </c>
      <c r="L254">
        <f t="shared" si="36"/>
        <v>14.9963</v>
      </c>
      <c r="M254">
        <f t="shared" si="37"/>
        <v>8.5672212307000013</v>
      </c>
      <c r="N254" s="9"/>
      <c r="O254" s="22">
        <v>1.12869</v>
      </c>
      <c r="P254" s="22">
        <v>46.626899999999999</v>
      </c>
      <c r="Q254" s="22">
        <v>-1.4678999999999999E-2</v>
      </c>
      <c r="R254" s="22">
        <v>244</v>
      </c>
      <c r="S254" s="22">
        <v>1.1276200000000001</v>
      </c>
      <c r="T254">
        <f t="shared" si="38"/>
        <v>14.678999999999998</v>
      </c>
      <c r="U254">
        <f t="shared" si="39"/>
        <v>16.568040509999999</v>
      </c>
      <c r="X254" s="9"/>
      <c r="Y254" s="22">
        <v>0.57128900000000005</v>
      </c>
      <c r="Z254" s="22">
        <v>74.679900000000004</v>
      </c>
      <c r="AA254" s="22">
        <v>-1.51215E-2</v>
      </c>
      <c r="AB254" s="22">
        <v>244</v>
      </c>
      <c r="AC254" s="22">
        <v>0.57031299999999996</v>
      </c>
      <c r="AD254">
        <f t="shared" si="40"/>
        <v>15.121499999999999</v>
      </c>
      <c r="AE254">
        <f t="shared" si="41"/>
        <v>8.6387466135000004</v>
      </c>
      <c r="AF254" s="9"/>
      <c r="AG254" s="22">
        <v>1.12869</v>
      </c>
      <c r="AH254" s="22">
        <v>109.395</v>
      </c>
      <c r="AI254" s="22">
        <v>-1.47125E-2</v>
      </c>
      <c r="AJ254" s="22">
        <v>244</v>
      </c>
      <c r="AK254" s="22">
        <v>1.1273200000000001</v>
      </c>
      <c r="AL254">
        <f t="shared" si="42"/>
        <v>14.7125</v>
      </c>
      <c r="AM254">
        <f t="shared" si="43"/>
        <v>16.605851625</v>
      </c>
      <c r="AP254" s="9"/>
      <c r="AQ254" s="22">
        <v>0.57128900000000005</v>
      </c>
      <c r="AR254" s="22">
        <v>137.876</v>
      </c>
      <c r="AS254" s="22">
        <v>-1.51489E-2</v>
      </c>
      <c r="AT254" s="22">
        <v>244</v>
      </c>
      <c r="AU254" s="22">
        <v>0.57016</v>
      </c>
      <c r="AV254">
        <f t="shared" si="44"/>
        <v>15.148899999999999</v>
      </c>
      <c r="AW254">
        <f t="shared" si="45"/>
        <v>8.6543999321000005</v>
      </c>
      <c r="AX254" s="9"/>
      <c r="AY254" s="22">
        <v>1.12869</v>
      </c>
      <c r="AZ254" s="22">
        <v>181.73</v>
      </c>
      <c r="BA254" s="22">
        <v>-1.48285E-2</v>
      </c>
      <c r="BB254" s="22">
        <v>244</v>
      </c>
      <c r="BC254" s="22">
        <v>1.1279300000000001</v>
      </c>
      <c r="BD254">
        <f t="shared" si="46"/>
        <v>14.8285</v>
      </c>
      <c r="BE254">
        <f t="shared" si="47"/>
        <v>16.736779665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13.863799999999999</v>
      </c>
      <c r="I255" s="22">
        <v>-1.49994E-2</v>
      </c>
      <c r="J255" s="22">
        <v>245</v>
      </c>
      <c r="K255" s="22">
        <v>0.56542999999999999</v>
      </c>
      <c r="L255">
        <f t="shared" si="36"/>
        <v>14.9994</v>
      </c>
      <c r="M255">
        <f t="shared" si="37"/>
        <v>8.4934702475999995</v>
      </c>
      <c r="N255" s="9"/>
      <c r="O255" s="22">
        <v>1.1337299999999999</v>
      </c>
      <c r="P255" s="22">
        <v>46.636899999999997</v>
      </c>
      <c r="Q255" s="22">
        <v>-1.46759E-2</v>
      </c>
      <c r="R255" s="22">
        <v>245</v>
      </c>
      <c r="S255" s="22">
        <v>1.1322000000000001</v>
      </c>
      <c r="T255">
        <f t="shared" si="38"/>
        <v>14.6759</v>
      </c>
      <c r="U255">
        <f t="shared" si="39"/>
        <v>16.638508107</v>
      </c>
      <c r="X255" s="9"/>
      <c r="Y255" s="22">
        <v>0.56625400000000004</v>
      </c>
      <c r="Z255" s="22">
        <v>74.69</v>
      </c>
      <c r="AA255" s="22">
        <v>-1.51276E-2</v>
      </c>
      <c r="AB255" s="22">
        <v>245</v>
      </c>
      <c r="AC255" s="22">
        <v>0.56530800000000003</v>
      </c>
      <c r="AD255">
        <f t="shared" si="40"/>
        <v>15.127599999999999</v>
      </c>
      <c r="AE255">
        <f t="shared" si="41"/>
        <v>8.5660640103999999</v>
      </c>
      <c r="AF255" s="9"/>
      <c r="AG255" s="22">
        <v>1.1337299999999999</v>
      </c>
      <c r="AH255" s="22">
        <v>109.405</v>
      </c>
      <c r="AI255" s="22">
        <v>-1.47064E-2</v>
      </c>
      <c r="AJ255" s="22">
        <v>245</v>
      </c>
      <c r="AK255" s="22">
        <v>1.1325099999999999</v>
      </c>
      <c r="AL255">
        <f t="shared" si="42"/>
        <v>14.7064</v>
      </c>
      <c r="AM255">
        <f t="shared" si="43"/>
        <v>16.673086871999999</v>
      </c>
      <c r="AP255" s="9"/>
      <c r="AQ255" s="22">
        <v>0.56625400000000004</v>
      </c>
      <c r="AR255" s="22">
        <v>137.886</v>
      </c>
      <c r="AS255" s="22">
        <v>-1.5152000000000001E-2</v>
      </c>
      <c r="AT255" s="22">
        <v>245</v>
      </c>
      <c r="AU255" s="22">
        <v>0.56545999999999996</v>
      </c>
      <c r="AV255">
        <f t="shared" si="44"/>
        <v>15.152000000000001</v>
      </c>
      <c r="AW255">
        <f t="shared" si="45"/>
        <v>8.5798806080000016</v>
      </c>
      <c r="AX255" s="9"/>
      <c r="AY255" s="22">
        <v>1.1337299999999999</v>
      </c>
      <c r="AZ255" s="22">
        <v>181.74</v>
      </c>
      <c r="BA255" s="22">
        <v>-1.48285E-2</v>
      </c>
      <c r="BB255" s="22">
        <v>245</v>
      </c>
      <c r="BC255" s="22">
        <v>1.1328100000000001</v>
      </c>
      <c r="BD255">
        <f t="shared" si="46"/>
        <v>14.8285</v>
      </c>
      <c r="BE255">
        <f t="shared" si="47"/>
        <v>16.811515305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13.873900000000001</v>
      </c>
      <c r="I256" s="22">
        <v>-1.50055E-2</v>
      </c>
      <c r="J256" s="22">
        <v>246</v>
      </c>
      <c r="K256" s="22">
        <v>0.56042499999999995</v>
      </c>
      <c r="L256">
        <f t="shared" si="36"/>
        <v>15.0055</v>
      </c>
      <c r="M256">
        <f t="shared" si="37"/>
        <v>8.4213566990000004</v>
      </c>
      <c r="N256" s="9"/>
      <c r="O256" s="22">
        <v>1.13876</v>
      </c>
      <c r="P256" s="22">
        <v>46.646999999999998</v>
      </c>
      <c r="Q256" s="22">
        <v>-1.46759E-2</v>
      </c>
      <c r="R256" s="22">
        <v>246</v>
      </c>
      <c r="S256" s="22">
        <v>1.1376999999999999</v>
      </c>
      <c r="T256">
        <f t="shared" si="38"/>
        <v>14.6759</v>
      </c>
      <c r="U256">
        <f t="shared" si="39"/>
        <v>16.712327884</v>
      </c>
      <c r="X256" s="9"/>
      <c r="Y256" s="22">
        <v>0.56121799999999999</v>
      </c>
      <c r="Z256" s="22">
        <v>74.7</v>
      </c>
      <c r="AA256" s="22">
        <v>-1.5130599999999999E-2</v>
      </c>
      <c r="AB256" s="22">
        <v>246</v>
      </c>
      <c r="AC256" s="22">
        <v>0.56048600000000004</v>
      </c>
      <c r="AD256">
        <f t="shared" si="40"/>
        <v>15.130599999999999</v>
      </c>
      <c r="AE256">
        <f t="shared" si="41"/>
        <v>8.4915650708000001</v>
      </c>
      <c r="AF256" s="9"/>
      <c r="AG256" s="22">
        <v>1.13876</v>
      </c>
      <c r="AH256" s="22">
        <v>109.41500000000001</v>
      </c>
      <c r="AI256" s="22">
        <v>-1.47064E-2</v>
      </c>
      <c r="AJ256" s="22">
        <v>246</v>
      </c>
      <c r="AK256" s="22">
        <v>1.1373899999999999</v>
      </c>
      <c r="AL256">
        <f t="shared" si="42"/>
        <v>14.7064</v>
      </c>
      <c r="AM256">
        <f t="shared" si="43"/>
        <v>16.747060063999999</v>
      </c>
      <c r="AP256" s="9"/>
      <c r="AQ256" s="22">
        <v>0.56121799999999999</v>
      </c>
      <c r="AR256" s="22">
        <v>137.89599999999999</v>
      </c>
      <c r="AS256" s="22">
        <v>-1.5155E-2</v>
      </c>
      <c r="AT256" s="22">
        <v>246</v>
      </c>
      <c r="AU256" s="22">
        <v>0.56039399999999995</v>
      </c>
      <c r="AV256">
        <f t="shared" si="44"/>
        <v>15.154999999999999</v>
      </c>
      <c r="AW256">
        <f t="shared" si="45"/>
        <v>8.5052587899999992</v>
      </c>
      <c r="AX256" s="9"/>
      <c r="AY256" s="22">
        <v>1.13876</v>
      </c>
      <c r="AZ256" s="22">
        <v>181.751</v>
      </c>
      <c r="BA256" s="22">
        <v>-1.48285E-2</v>
      </c>
      <c r="BB256" s="22">
        <v>246</v>
      </c>
      <c r="BC256" s="22">
        <v>1.1376999999999999</v>
      </c>
      <c r="BD256">
        <f t="shared" si="46"/>
        <v>14.8285</v>
      </c>
      <c r="BE256">
        <f t="shared" si="47"/>
        <v>16.886102659999999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13.884</v>
      </c>
      <c r="I257" s="22">
        <v>-1.5008499999999999E-2</v>
      </c>
      <c r="J257" s="22">
        <v>247</v>
      </c>
      <c r="K257" s="22">
        <v>0.55529799999999996</v>
      </c>
      <c r="L257">
        <f t="shared" si="36"/>
        <v>15.0085</v>
      </c>
      <c r="M257">
        <f t="shared" si="37"/>
        <v>8.3474725554999996</v>
      </c>
      <c r="N257" s="9"/>
      <c r="O257" s="22">
        <v>1.1437999999999999</v>
      </c>
      <c r="P257" s="22">
        <v>46.6571</v>
      </c>
      <c r="Q257" s="22">
        <v>-1.4672899999999999E-2</v>
      </c>
      <c r="R257" s="22">
        <v>247</v>
      </c>
      <c r="S257" s="22">
        <v>1.1425799999999999</v>
      </c>
      <c r="T257">
        <f t="shared" si="38"/>
        <v>14.672899999999998</v>
      </c>
      <c r="U257">
        <f t="shared" si="39"/>
        <v>16.782863019999997</v>
      </c>
      <c r="X257" s="9"/>
      <c r="Y257" s="22">
        <v>0.55618299999999998</v>
      </c>
      <c r="Z257" s="22">
        <v>74.710099999999997</v>
      </c>
      <c r="AA257" s="22">
        <v>-1.51337E-2</v>
      </c>
      <c r="AB257" s="22">
        <v>247</v>
      </c>
      <c r="AC257" s="22">
        <v>0.55520599999999998</v>
      </c>
      <c r="AD257">
        <f t="shared" si="40"/>
        <v>15.133699999999999</v>
      </c>
      <c r="AE257">
        <f t="shared" si="41"/>
        <v>8.4171066670999988</v>
      </c>
      <c r="AF257" s="9"/>
      <c r="AG257" s="22">
        <v>1.1437999999999999</v>
      </c>
      <c r="AH257" s="22">
        <v>109.425</v>
      </c>
      <c r="AI257" s="22">
        <v>-1.47034E-2</v>
      </c>
      <c r="AJ257" s="22">
        <v>247</v>
      </c>
      <c r="AK257" s="22">
        <v>1.1425799999999999</v>
      </c>
      <c r="AL257">
        <f t="shared" si="42"/>
        <v>14.7034</v>
      </c>
      <c r="AM257">
        <f t="shared" si="43"/>
        <v>16.81774892</v>
      </c>
      <c r="AP257" s="9"/>
      <c r="AQ257" s="22">
        <v>0.55618299999999998</v>
      </c>
      <c r="AR257" s="22">
        <v>137.90600000000001</v>
      </c>
      <c r="AS257" s="22">
        <v>-1.51611E-2</v>
      </c>
      <c r="AT257" s="22">
        <v>247</v>
      </c>
      <c r="AU257" s="22">
        <v>0.55532800000000004</v>
      </c>
      <c r="AV257">
        <f t="shared" si="44"/>
        <v>15.161100000000001</v>
      </c>
      <c r="AW257">
        <f t="shared" si="45"/>
        <v>8.4323460813000004</v>
      </c>
      <c r="AX257" s="9"/>
      <c r="AY257" s="22">
        <v>1.1437999999999999</v>
      </c>
      <c r="AZ257" s="22">
        <v>181.761</v>
      </c>
      <c r="BA257" s="22">
        <v>-1.4822399999999999E-2</v>
      </c>
      <c r="BB257" s="22">
        <v>247</v>
      </c>
      <c r="BC257" s="22">
        <v>1.1428799999999999</v>
      </c>
      <c r="BD257">
        <f t="shared" si="46"/>
        <v>14.8224</v>
      </c>
      <c r="BE257">
        <f t="shared" si="47"/>
        <v>16.953861119999999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13.894</v>
      </c>
      <c r="I258" s="22">
        <v>-1.50116E-2</v>
      </c>
      <c r="J258" s="22">
        <v>248</v>
      </c>
      <c r="K258" s="22">
        <v>0.55035400000000001</v>
      </c>
      <c r="L258">
        <f t="shared" si="36"/>
        <v>15.0116</v>
      </c>
      <c r="M258">
        <f t="shared" si="37"/>
        <v>8.2735983052000002</v>
      </c>
      <c r="N258" s="9"/>
      <c r="O258" s="22">
        <v>1.14883</v>
      </c>
      <c r="P258" s="22">
        <v>46.667200000000001</v>
      </c>
      <c r="Q258" s="22">
        <v>-1.46698E-2</v>
      </c>
      <c r="R258" s="22">
        <v>248</v>
      </c>
      <c r="S258" s="22">
        <v>1.14838</v>
      </c>
      <c r="T258">
        <f t="shared" si="38"/>
        <v>14.6698</v>
      </c>
      <c r="U258">
        <f t="shared" si="39"/>
        <v>16.853106334</v>
      </c>
      <c r="X258" s="9"/>
      <c r="Y258" s="22">
        <v>0.55114700000000005</v>
      </c>
      <c r="Z258" s="22">
        <v>74.720200000000006</v>
      </c>
      <c r="AA258" s="22">
        <v>-1.51337E-2</v>
      </c>
      <c r="AB258" s="22">
        <v>248</v>
      </c>
      <c r="AC258" s="22">
        <v>0.55029300000000003</v>
      </c>
      <c r="AD258">
        <f t="shared" si="40"/>
        <v>15.133699999999999</v>
      </c>
      <c r="AE258">
        <f t="shared" si="41"/>
        <v>8.3408933539000003</v>
      </c>
      <c r="AF258" s="9"/>
      <c r="AG258" s="22">
        <v>1.14883</v>
      </c>
      <c r="AH258" s="22">
        <v>109.435</v>
      </c>
      <c r="AI258" s="22">
        <v>-1.4700299999999999E-2</v>
      </c>
      <c r="AJ258" s="22">
        <v>248</v>
      </c>
      <c r="AK258" s="22">
        <v>1.1480699999999999</v>
      </c>
      <c r="AL258">
        <f t="shared" si="42"/>
        <v>14.700299999999999</v>
      </c>
      <c r="AM258">
        <f t="shared" si="43"/>
        <v>16.888145648999998</v>
      </c>
      <c r="AP258" s="9"/>
      <c r="AQ258" s="22">
        <v>0.55114700000000005</v>
      </c>
      <c r="AR258" s="22">
        <v>137.916</v>
      </c>
      <c r="AS258" s="22">
        <v>-1.51611E-2</v>
      </c>
      <c r="AT258" s="22">
        <v>248</v>
      </c>
      <c r="AU258" s="22">
        <v>0.55038500000000001</v>
      </c>
      <c r="AV258">
        <f t="shared" si="44"/>
        <v>15.161100000000001</v>
      </c>
      <c r="AW258">
        <f t="shared" si="45"/>
        <v>8.3559947817000015</v>
      </c>
      <c r="AX258" s="9"/>
      <c r="AY258" s="22">
        <v>1.14883</v>
      </c>
      <c r="AZ258" s="22">
        <v>181.77099999999999</v>
      </c>
      <c r="BA258" s="22">
        <v>-1.48132E-2</v>
      </c>
      <c r="BB258" s="22">
        <v>248</v>
      </c>
      <c r="BC258" s="22">
        <v>1.1480699999999999</v>
      </c>
      <c r="BD258">
        <f t="shared" si="46"/>
        <v>14.8132</v>
      </c>
      <c r="BE258">
        <f t="shared" si="47"/>
        <v>17.017848556000001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13.9041</v>
      </c>
      <c r="I259" s="22">
        <v>-1.50177E-2</v>
      </c>
      <c r="J259" s="22">
        <v>249</v>
      </c>
      <c r="K259" s="22">
        <v>0.54522700000000002</v>
      </c>
      <c r="L259">
        <f t="shared" si="36"/>
        <v>15.0177</v>
      </c>
      <c r="M259">
        <f t="shared" si="37"/>
        <v>8.2013461824</v>
      </c>
      <c r="N259" s="9"/>
      <c r="O259" s="22">
        <v>1.15387</v>
      </c>
      <c r="P259" s="22">
        <v>46.677199999999999</v>
      </c>
      <c r="Q259" s="22">
        <v>-1.46667E-2</v>
      </c>
      <c r="R259" s="22">
        <v>249</v>
      </c>
      <c r="S259" s="22">
        <v>1.15204</v>
      </c>
      <c r="T259">
        <f t="shared" si="38"/>
        <v>14.666699999999999</v>
      </c>
      <c r="U259">
        <f t="shared" si="39"/>
        <v>16.923465128999997</v>
      </c>
      <c r="X259" s="9"/>
      <c r="Y259" s="22">
        <v>0.54611200000000004</v>
      </c>
      <c r="Z259" s="22">
        <v>74.7303</v>
      </c>
      <c r="AA259" s="22">
        <v>-1.5136699999999999E-2</v>
      </c>
      <c r="AB259" s="22">
        <v>249</v>
      </c>
      <c r="AC259" s="22">
        <v>0.54528799999999999</v>
      </c>
      <c r="AD259">
        <f t="shared" si="40"/>
        <v>15.136699999999999</v>
      </c>
      <c r="AE259">
        <f t="shared" si="41"/>
        <v>8.2663335104000009</v>
      </c>
      <c r="AF259" s="9"/>
      <c r="AG259" s="22">
        <v>1.15387</v>
      </c>
      <c r="AH259" s="22">
        <v>109.44499999999999</v>
      </c>
      <c r="AI259" s="22">
        <v>-1.46973E-2</v>
      </c>
      <c r="AJ259" s="22">
        <v>249</v>
      </c>
      <c r="AK259" s="22">
        <v>1.15265</v>
      </c>
      <c r="AL259">
        <f t="shared" si="42"/>
        <v>14.6973</v>
      </c>
      <c r="AM259">
        <f t="shared" si="43"/>
        <v>16.958773551</v>
      </c>
      <c r="AP259" s="9"/>
      <c r="AQ259" s="22">
        <v>0.54611200000000004</v>
      </c>
      <c r="AR259" s="22">
        <v>137.92599999999999</v>
      </c>
      <c r="AS259" s="22">
        <v>-1.51611E-2</v>
      </c>
      <c r="AT259" s="22">
        <v>249</v>
      </c>
      <c r="AU259" s="22">
        <v>0.54525800000000002</v>
      </c>
      <c r="AV259">
        <f t="shared" si="44"/>
        <v>15.161100000000001</v>
      </c>
      <c r="AW259">
        <f t="shared" si="45"/>
        <v>8.2796586432000012</v>
      </c>
      <c r="AX259" s="9"/>
      <c r="AY259" s="22">
        <v>1.15387</v>
      </c>
      <c r="AZ259" s="22">
        <v>181.78100000000001</v>
      </c>
      <c r="BA259" s="22">
        <v>-1.4804100000000001E-2</v>
      </c>
      <c r="BB259" s="22">
        <v>249</v>
      </c>
      <c r="BC259" s="22">
        <v>1.1529499999999999</v>
      </c>
      <c r="BD259">
        <f t="shared" si="46"/>
        <v>14.8041</v>
      </c>
      <c r="BE259">
        <f t="shared" si="47"/>
        <v>17.082006867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13.914199999999999</v>
      </c>
      <c r="I260" s="22">
        <v>-1.5020800000000001E-2</v>
      </c>
      <c r="J260" s="22">
        <v>250</v>
      </c>
      <c r="K260" s="22">
        <v>0.54025299999999998</v>
      </c>
      <c r="L260">
        <f t="shared" si="36"/>
        <v>15.020800000000001</v>
      </c>
      <c r="M260">
        <f t="shared" si="37"/>
        <v>8.1274094016000014</v>
      </c>
      <c r="N260" s="9"/>
      <c r="O260" s="22">
        <v>1.1589100000000001</v>
      </c>
      <c r="P260" s="22">
        <v>46.6873</v>
      </c>
      <c r="Q260" s="22">
        <v>-1.4660599999999999E-2</v>
      </c>
      <c r="R260" s="22">
        <v>250</v>
      </c>
      <c r="S260" s="22">
        <v>1.15784</v>
      </c>
      <c r="T260">
        <f t="shared" si="38"/>
        <v>14.660599999999999</v>
      </c>
      <c r="U260">
        <f t="shared" si="39"/>
        <v>16.990315945999999</v>
      </c>
      <c r="X260" s="9"/>
      <c r="Y260" s="22">
        <v>0.54107700000000003</v>
      </c>
      <c r="Z260" s="22">
        <v>74.740300000000005</v>
      </c>
      <c r="AA260" s="22">
        <v>-1.5136699999999999E-2</v>
      </c>
      <c r="AB260" s="22">
        <v>250</v>
      </c>
      <c r="AC260" s="22">
        <v>0.54010000000000002</v>
      </c>
      <c r="AD260">
        <f t="shared" si="40"/>
        <v>15.136699999999999</v>
      </c>
      <c r="AE260">
        <f t="shared" si="41"/>
        <v>8.1901202258999994</v>
      </c>
      <c r="AF260" s="9"/>
      <c r="AG260" s="22">
        <v>1.1589100000000001</v>
      </c>
      <c r="AH260" s="22">
        <v>109.455</v>
      </c>
      <c r="AI260" s="22">
        <v>-1.46973E-2</v>
      </c>
      <c r="AJ260" s="22">
        <v>250</v>
      </c>
      <c r="AK260" s="22">
        <v>1.1575299999999999</v>
      </c>
      <c r="AL260">
        <f t="shared" si="42"/>
        <v>14.6973</v>
      </c>
      <c r="AM260">
        <f t="shared" si="43"/>
        <v>17.032847943</v>
      </c>
      <c r="AP260" s="9"/>
      <c r="AQ260" s="22">
        <v>0.54107700000000003</v>
      </c>
      <c r="AR260" s="22">
        <v>137.93700000000001</v>
      </c>
      <c r="AS260" s="22">
        <v>-1.5164199999999999E-2</v>
      </c>
      <c r="AT260" s="22">
        <v>250</v>
      </c>
      <c r="AU260" s="22">
        <v>0.540161</v>
      </c>
      <c r="AV260">
        <f t="shared" si="44"/>
        <v>15.164199999999999</v>
      </c>
      <c r="AW260">
        <f t="shared" si="45"/>
        <v>8.2049998433999995</v>
      </c>
      <c r="AX260" s="9"/>
      <c r="AY260" s="22">
        <v>1.1589100000000001</v>
      </c>
      <c r="AZ260" s="22">
        <v>181.791</v>
      </c>
      <c r="BA260" s="22">
        <v>-1.4798E-2</v>
      </c>
      <c r="BB260" s="22">
        <v>250</v>
      </c>
      <c r="BC260" s="22">
        <v>1.15784</v>
      </c>
      <c r="BD260">
        <f t="shared" si="46"/>
        <v>14.798</v>
      </c>
      <c r="BE260">
        <f t="shared" si="47"/>
        <v>17.149550180000002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13.924300000000001</v>
      </c>
      <c r="I261" s="22">
        <v>-1.5026899999999999E-2</v>
      </c>
      <c r="J261" s="22">
        <v>251</v>
      </c>
      <c r="K261" s="22">
        <v>0.53521700000000005</v>
      </c>
      <c r="L261">
        <f t="shared" si="36"/>
        <v>15.026899999999999</v>
      </c>
      <c r="M261">
        <f t="shared" si="37"/>
        <v>8.0550345028999999</v>
      </c>
      <c r="N261" s="9"/>
      <c r="O261" s="22">
        <v>1.16394</v>
      </c>
      <c r="P261" s="22">
        <v>46.697400000000002</v>
      </c>
      <c r="Q261" s="22">
        <v>-1.46576E-2</v>
      </c>
      <c r="R261" s="22">
        <v>251</v>
      </c>
      <c r="S261" s="22">
        <v>1.1624099999999999</v>
      </c>
      <c r="T261">
        <f t="shared" si="38"/>
        <v>14.6576</v>
      </c>
      <c r="U261">
        <f t="shared" si="39"/>
        <v>17.060566944000001</v>
      </c>
      <c r="X261" s="9"/>
      <c r="Y261" s="22">
        <v>0.53604099999999999</v>
      </c>
      <c r="Z261" s="22">
        <v>74.750399999999999</v>
      </c>
      <c r="AA261" s="22">
        <v>-1.51428E-2</v>
      </c>
      <c r="AB261" s="22">
        <v>251</v>
      </c>
      <c r="AC261" s="22">
        <v>0.53518699999999997</v>
      </c>
      <c r="AD261">
        <f t="shared" si="40"/>
        <v>15.142799999999999</v>
      </c>
      <c r="AE261">
        <f t="shared" si="41"/>
        <v>8.1171616548000003</v>
      </c>
      <c r="AF261" s="9"/>
      <c r="AG261" s="22">
        <v>1.16394</v>
      </c>
      <c r="AH261" s="22">
        <v>109.46599999999999</v>
      </c>
      <c r="AI261" s="22">
        <v>-1.46973E-2</v>
      </c>
      <c r="AJ261" s="22">
        <v>251</v>
      </c>
      <c r="AK261" s="22">
        <v>1.1630199999999999</v>
      </c>
      <c r="AL261">
        <f t="shared" si="42"/>
        <v>14.6973</v>
      </c>
      <c r="AM261">
        <f t="shared" si="43"/>
        <v>17.106775362</v>
      </c>
      <c r="AP261" s="9"/>
      <c r="AQ261" s="22">
        <v>0.53604099999999999</v>
      </c>
      <c r="AR261" s="22">
        <v>137.947</v>
      </c>
      <c r="AS261" s="22">
        <v>-1.51672E-2</v>
      </c>
      <c r="AT261" s="22">
        <v>251</v>
      </c>
      <c r="AU261" s="22">
        <v>0.53521700000000005</v>
      </c>
      <c r="AV261">
        <f t="shared" si="44"/>
        <v>15.167200000000001</v>
      </c>
      <c r="AW261">
        <f t="shared" si="45"/>
        <v>8.1302410552000008</v>
      </c>
      <c r="AX261" s="9"/>
      <c r="AY261" s="22">
        <v>1.16394</v>
      </c>
      <c r="AZ261" s="22">
        <v>181.80099999999999</v>
      </c>
      <c r="BA261" s="22">
        <v>-1.4798E-2</v>
      </c>
      <c r="BB261" s="22">
        <v>251</v>
      </c>
      <c r="BC261" s="22">
        <v>1.1630199999999999</v>
      </c>
      <c r="BD261">
        <f t="shared" si="46"/>
        <v>14.798</v>
      </c>
      <c r="BE261">
        <f t="shared" si="47"/>
        <v>17.223984120000001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13.9343</v>
      </c>
      <c r="I262" s="22">
        <v>-1.5026899999999999E-2</v>
      </c>
      <c r="J262" s="22">
        <v>252</v>
      </c>
      <c r="K262" s="22">
        <v>0.53021200000000002</v>
      </c>
      <c r="L262">
        <f t="shared" si="36"/>
        <v>15.026899999999999</v>
      </c>
      <c r="M262">
        <f t="shared" si="37"/>
        <v>7.9793740613999997</v>
      </c>
      <c r="N262" s="9"/>
      <c r="O262" s="22">
        <v>1.1689799999999999</v>
      </c>
      <c r="P262" s="22">
        <v>46.7074</v>
      </c>
      <c r="Q262" s="22">
        <v>-1.4654500000000001E-2</v>
      </c>
      <c r="R262" s="22">
        <v>252</v>
      </c>
      <c r="S262" s="22">
        <v>1.1676</v>
      </c>
      <c r="T262">
        <f t="shared" si="38"/>
        <v>14.654500000000001</v>
      </c>
      <c r="U262">
        <f t="shared" si="39"/>
        <v>17.130817409999999</v>
      </c>
      <c r="X262" s="9"/>
      <c r="Y262" s="22">
        <v>0.53100599999999998</v>
      </c>
      <c r="Z262" s="22">
        <v>74.760499999999993</v>
      </c>
      <c r="AA262" s="22">
        <v>-1.51489E-2</v>
      </c>
      <c r="AB262" s="22">
        <v>252</v>
      </c>
      <c r="AC262" s="22">
        <v>0.53012099999999995</v>
      </c>
      <c r="AD262">
        <f t="shared" si="40"/>
        <v>15.148899999999999</v>
      </c>
      <c r="AE262">
        <f t="shared" si="41"/>
        <v>8.0441567933999991</v>
      </c>
      <c r="AF262" s="9"/>
      <c r="AG262" s="22">
        <v>1.1689799999999999</v>
      </c>
      <c r="AH262" s="22">
        <v>109.476</v>
      </c>
      <c r="AI262" s="22">
        <v>-1.46912E-2</v>
      </c>
      <c r="AJ262" s="22">
        <v>252</v>
      </c>
      <c r="AK262" s="22">
        <v>1.1676</v>
      </c>
      <c r="AL262">
        <f t="shared" si="42"/>
        <v>14.6912</v>
      </c>
      <c r="AM262">
        <f t="shared" si="43"/>
        <v>17.173718976</v>
      </c>
      <c r="AP262" s="9"/>
      <c r="AQ262" s="22">
        <v>0.53100599999999998</v>
      </c>
      <c r="AR262" s="22">
        <v>137.95699999999999</v>
      </c>
      <c r="AS262" s="22">
        <v>-1.5173300000000001E-2</v>
      </c>
      <c r="AT262" s="22">
        <v>252</v>
      </c>
      <c r="AU262" s="22">
        <v>0.53018200000000004</v>
      </c>
      <c r="AV262">
        <f t="shared" si="44"/>
        <v>15.173300000000001</v>
      </c>
      <c r="AW262">
        <f t="shared" si="45"/>
        <v>8.0571133398000008</v>
      </c>
      <c r="AX262" s="9"/>
      <c r="AY262" s="22">
        <v>1.1689799999999999</v>
      </c>
      <c r="AZ262" s="22">
        <v>181.81100000000001</v>
      </c>
      <c r="BA262" s="22">
        <v>-1.47919E-2</v>
      </c>
      <c r="BB262" s="22">
        <v>252</v>
      </c>
      <c r="BC262" s="22">
        <v>1.16791</v>
      </c>
      <c r="BD262">
        <f t="shared" si="46"/>
        <v>14.7919</v>
      </c>
      <c r="BE262">
        <f t="shared" si="47"/>
        <v>17.291435262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13.9444</v>
      </c>
      <c r="I263" s="22">
        <v>-1.5032999999999999E-2</v>
      </c>
      <c r="J263" s="22">
        <v>253</v>
      </c>
      <c r="K263" s="22">
        <v>0.525177</v>
      </c>
      <c r="L263">
        <f t="shared" si="36"/>
        <v>15.032999999999999</v>
      </c>
      <c r="M263">
        <f t="shared" si="37"/>
        <v>7.9069070100000003</v>
      </c>
      <c r="N263" s="9"/>
      <c r="O263" s="22">
        <v>1.17401</v>
      </c>
      <c r="P263" s="22">
        <v>46.717500000000001</v>
      </c>
      <c r="Q263" s="22">
        <v>-1.4654500000000001E-2</v>
      </c>
      <c r="R263" s="22">
        <v>253</v>
      </c>
      <c r="S263" s="22">
        <v>1.17279</v>
      </c>
      <c r="T263">
        <f t="shared" si="38"/>
        <v>14.654500000000001</v>
      </c>
      <c r="U263">
        <f t="shared" si="39"/>
        <v>17.204529545</v>
      </c>
      <c r="X263" s="9"/>
      <c r="Y263" s="22">
        <v>0.52597000000000005</v>
      </c>
      <c r="Z263" s="22">
        <v>74.770499999999998</v>
      </c>
      <c r="AA263" s="22">
        <v>-1.5155E-2</v>
      </c>
      <c r="AB263" s="22">
        <v>253</v>
      </c>
      <c r="AC263" s="22">
        <v>0.52505500000000005</v>
      </c>
      <c r="AD263">
        <f t="shared" si="40"/>
        <v>15.154999999999999</v>
      </c>
      <c r="AE263">
        <f t="shared" si="41"/>
        <v>7.9710753500000004</v>
      </c>
      <c r="AF263" s="9"/>
      <c r="AG263" s="22">
        <v>1.17401</v>
      </c>
      <c r="AH263" s="22">
        <v>109.486</v>
      </c>
      <c r="AI263" s="22">
        <v>-1.46912E-2</v>
      </c>
      <c r="AJ263" s="22">
        <v>253</v>
      </c>
      <c r="AK263" s="22">
        <v>1.17279</v>
      </c>
      <c r="AL263">
        <f t="shared" si="42"/>
        <v>14.6912</v>
      </c>
      <c r="AM263">
        <f t="shared" si="43"/>
        <v>17.247615712000002</v>
      </c>
      <c r="AP263" s="9"/>
      <c r="AQ263" s="22">
        <v>0.52597000000000005</v>
      </c>
      <c r="AR263" s="22">
        <v>137.96700000000001</v>
      </c>
      <c r="AS263" s="22">
        <v>-1.51764E-2</v>
      </c>
      <c r="AT263" s="22">
        <v>253</v>
      </c>
      <c r="AU263" s="22">
        <v>0.52505500000000005</v>
      </c>
      <c r="AV263">
        <f t="shared" si="44"/>
        <v>15.176399999999999</v>
      </c>
      <c r="AW263">
        <f t="shared" si="45"/>
        <v>7.9823311080000003</v>
      </c>
      <c r="AX263" s="9"/>
      <c r="AY263" s="22">
        <v>1.17401</v>
      </c>
      <c r="AZ263" s="22">
        <v>181.821</v>
      </c>
      <c r="BA263" s="22">
        <v>-1.47888E-2</v>
      </c>
      <c r="BB263" s="22">
        <v>253</v>
      </c>
      <c r="BC263" s="22">
        <v>1.17279</v>
      </c>
      <c r="BD263">
        <f t="shared" si="46"/>
        <v>14.7888</v>
      </c>
      <c r="BE263">
        <f t="shared" si="47"/>
        <v>17.362199088000001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13.954499999999999</v>
      </c>
      <c r="I264" s="22">
        <v>-1.5036000000000001E-2</v>
      </c>
      <c r="J264" s="22">
        <v>254</v>
      </c>
      <c r="K264" s="22">
        <v>0.52011099999999999</v>
      </c>
      <c r="L264">
        <f t="shared" si="36"/>
        <v>15.036000000000001</v>
      </c>
      <c r="M264">
        <f t="shared" si="37"/>
        <v>7.8327786600000016</v>
      </c>
      <c r="N264" s="9"/>
      <c r="O264" s="22">
        <v>1.1790499999999999</v>
      </c>
      <c r="P264" s="22">
        <v>46.727600000000002</v>
      </c>
      <c r="Q264" s="22">
        <v>-1.46515E-2</v>
      </c>
      <c r="R264" s="22">
        <v>254</v>
      </c>
      <c r="S264" s="22">
        <v>1.17767</v>
      </c>
      <c r="T264">
        <f t="shared" si="38"/>
        <v>14.6515</v>
      </c>
      <c r="U264">
        <f t="shared" si="39"/>
        <v>17.274851075000001</v>
      </c>
      <c r="X264" s="9"/>
      <c r="Y264" s="22">
        <v>0.52093500000000004</v>
      </c>
      <c r="Z264" s="22">
        <v>74.780600000000007</v>
      </c>
      <c r="AA264" s="22">
        <v>-1.51611E-2</v>
      </c>
      <c r="AB264" s="22">
        <v>254</v>
      </c>
      <c r="AC264" s="22">
        <v>0.52008100000000002</v>
      </c>
      <c r="AD264">
        <f t="shared" si="40"/>
        <v>15.161100000000001</v>
      </c>
      <c r="AE264">
        <f t="shared" si="41"/>
        <v>7.8979476285000008</v>
      </c>
      <c r="AF264" s="9"/>
      <c r="AG264" s="22">
        <v>1.1790499999999999</v>
      </c>
      <c r="AH264" s="22">
        <v>109.496</v>
      </c>
      <c r="AI264" s="22">
        <v>-1.4688100000000001E-2</v>
      </c>
      <c r="AJ264" s="22">
        <v>254</v>
      </c>
      <c r="AK264" s="22">
        <v>1.17767</v>
      </c>
      <c r="AL264">
        <f t="shared" si="42"/>
        <v>14.6881</v>
      </c>
      <c r="AM264">
        <f t="shared" si="43"/>
        <v>17.318004304999999</v>
      </c>
      <c r="AP264" s="9"/>
      <c r="AQ264" s="22">
        <v>0.52093500000000004</v>
      </c>
      <c r="AR264" s="22">
        <v>137.977</v>
      </c>
      <c r="AS264" s="22">
        <v>-1.5179399999999999E-2</v>
      </c>
      <c r="AT264" s="22">
        <v>254</v>
      </c>
      <c r="AU264" s="22">
        <v>0.52008100000000002</v>
      </c>
      <c r="AV264">
        <f t="shared" si="44"/>
        <v>15.179399999999999</v>
      </c>
      <c r="AW264">
        <f t="shared" si="45"/>
        <v>7.9074807390000004</v>
      </c>
      <c r="AX264" s="9"/>
      <c r="AY264" s="22">
        <v>1.1790499999999999</v>
      </c>
      <c r="AZ264" s="22">
        <v>181.83099999999999</v>
      </c>
      <c r="BA264" s="22">
        <v>-1.47858E-2</v>
      </c>
      <c r="BB264" s="22">
        <v>254</v>
      </c>
      <c r="BC264" s="22">
        <v>1.17859</v>
      </c>
      <c r="BD264">
        <f t="shared" si="46"/>
        <v>14.7858</v>
      </c>
      <c r="BE264">
        <f t="shared" si="47"/>
        <v>17.433197489999998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13.964499999999999</v>
      </c>
      <c r="I265" s="22">
        <v>-1.50391E-2</v>
      </c>
      <c r="J265" s="22">
        <v>255</v>
      </c>
      <c r="K265" s="22">
        <v>0.51504499999999998</v>
      </c>
      <c r="L265">
        <f t="shared" si="36"/>
        <v>15.039099999999999</v>
      </c>
      <c r="M265">
        <f t="shared" si="37"/>
        <v>7.7586716899999999</v>
      </c>
      <c r="N265" s="9"/>
      <c r="O265" s="22">
        <v>1.18408</v>
      </c>
      <c r="P265" s="22">
        <v>46.737699999999997</v>
      </c>
      <c r="Q265" s="22">
        <v>-1.4648400000000001E-2</v>
      </c>
      <c r="R265" s="22">
        <v>255</v>
      </c>
      <c r="S265" s="22">
        <v>1.1831700000000001</v>
      </c>
      <c r="T265">
        <f t="shared" si="38"/>
        <v>14.648400000000001</v>
      </c>
      <c r="U265">
        <f t="shared" si="39"/>
        <v>17.344877472</v>
      </c>
      <c r="X265" s="9"/>
      <c r="Y265" s="22">
        <v>0.51590000000000003</v>
      </c>
      <c r="Z265" s="22">
        <v>74.790700000000001</v>
      </c>
      <c r="AA265" s="22">
        <v>-1.51611E-2</v>
      </c>
      <c r="AB265" s="22">
        <v>255</v>
      </c>
      <c r="AC265" s="22">
        <v>0.51495400000000002</v>
      </c>
      <c r="AD265">
        <f t="shared" si="40"/>
        <v>15.161100000000001</v>
      </c>
      <c r="AE265">
        <f t="shared" si="41"/>
        <v>7.8216114900000013</v>
      </c>
      <c r="AF265" s="9"/>
      <c r="AG265" s="22">
        <v>1.18408</v>
      </c>
      <c r="AH265" s="22">
        <v>109.506</v>
      </c>
      <c r="AI265" s="22">
        <v>-1.46851E-2</v>
      </c>
      <c r="AJ265" s="22">
        <v>255</v>
      </c>
      <c r="AK265" s="22">
        <v>1.1837800000000001</v>
      </c>
      <c r="AL265">
        <f t="shared" si="42"/>
        <v>14.6851</v>
      </c>
      <c r="AM265">
        <f t="shared" si="43"/>
        <v>17.388333208000002</v>
      </c>
      <c r="AP265" s="9"/>
      <c r="AQ265" s="22">
        <v>0.51590000000000003</v>
      </c>
      <c r="AR265" s="22">
        <v>137.98699999999999</v>
      </c>
      <c r="AS265" s="22">
        <v>-1.51825E-2</v>
      </c>
      <c r="AT265" s="22">
        <v>255</v>
      </c>
      <c r="AU265" s="22">
        <v>0.515015</v>
      </c>
      <c r="AV265">
        <f t="shared" si="44"/>
        <v>15.182499999999999</v>
      </c>
      <c r="AW265">
        <f t="shared" si="45"/>
        <v>7.8326517500000001</v>
      </c>
      <c r="AX265" s="9"/>
      <c r="AY265" s="22">
        <v>1.18408</v>
      </c>
      <c r="AZ265" s="22">
        <v>181.84100000000001</v>
      </c>
      <c r="BA265" s="22">
        <v>-1.47797E-2</v>
      </c>
      <c r="BB265" s="22">
        <v>255</v>
      </c>
      <c r="BC265" s="22">
        <v>1.18347</v>
      </c>
      <c r="BD265">
        <f t="shared" si="46"/>
        <v>14.7797</v>
      </c>
      <c r="BE265">
        <f t="shared" si="47"/>
        <v>17.500347176000002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13.974600000000001</v>
      </c>
      <c r="I266" s="22">
        <v>-1.5042099999999999E-2</v>
      </c>
      <c r="J266" s="22">
        <v>256</v>
      </c>
      <c r="K266" s="22">
        <v>0.51000999999999996</v>
      </c>
      <c r="L266">
        <f t="shared" si="36"/>
        <v>15.0421</v>
      </c>
      <c r="M266">
        <f t="shared" si="37"/>
        <v>7.6844673743999996</v>
      </c>
      <c r="N266" s="9"/>
      <c r="O266" s="22">
        <v>1.18912</v>
      </c>
      <c r="P266" s="22">
        <v>46.747700000000002</v>
      </c>
      <c r="Q266" s="22">
        <v>-1.4645399999999999E-2</v>
      </c>
      <c r="R266" s="22">
        <v>256</v>
      </c>
      <c r="S266" s="22">
        <v>1.18774</v>
      </c>
      <c r="T266">
        <f t="shared" si="38"/>
        <v>14.645399999999999</v>
      </c>
      <c r="U266">
        <f t="shared" si="39"/>
        <v>17.415138047999999</v>
      </c>
      <c r="X266" s="9"/>
      <c r="Y266" s="22">
        <v>0.51086399999999998</v>
      </c>
      <c r="Z266" s="22">
        <v>74.800700000000006</v>
      </c>
      <c r="AA266" s="22">
        <v>-1.51672E-2</v>
      </c>
      <c r="AB266" s="22">
        <v>256</v>
      </c>
      <c r="AC266" s="22">
        <v>0.51010100000000003</v>
      </c>
      <c r="AD266">
        <f t="shared" si="40"/>
        <v>15.167200000000001</v>
      </c>
      <c r="AE266">
        <f t="shared" si="41"/>
        <v>7.7483764608000003</v>
      </c>
      <c r="AF266" s="9"/>
      <c r="AG266" s="22">
        <v>1.18912</v>
      </c>
      <c r="AH266" s="22">
        <v>109.51600000000001</v>
      </c>
      <c r="AI266" s="22">
        <v>-1.4678999999999999E-2</v>
      </c>
      <c r="AJ266" s="22">
        <v>256</v>
      </c>
      <c r="AK266" s="22">
        <v>1.18774</v>
      </c>
      <c r="AL266">
        <f t="shared" si="42"/>
        <v>14.678999999999998</v>
      </c>
      <c r="AM266">
        <f t="shared" si="43"/>
        <v>17.455092479999998</v>
      </c>
      <c r="AP266" s="9"/>
      <c r="AQ266" s="22">
        <v>0.51086399999999998</v>
      </c>
      <c r="AR266" s="22">
        <v>137.99700000000001</v>
      </c>
      <c r="AS266" s="22">
        <v>-1.5185499999999999E-2</v>
      </c>
      <c r="AT266" s="22">
        <v>256</v>
      </c>
      <c r="AU266" s="22">
        <v>0.51004000000000005</v>
      </c>
      <c r="AV266">
        <f t="shared" si="44"/>
        <v>15.185499999999999</v>
      </c>
      <c r="AW266">
        <f t="shared" si="45"/>
        <v>7.7577252719999992</v>
      </c>
      <c r="AX266" s="9"/>
      <c r="AY266" s="22">
        <v>1.18912</v>
      </c>
      <c r="AZ266" s="22">
        <v>181.851</v>
      </c>
      <c r="BA266" s="22">
        <v>-1.47736E-2</v>
      </c>
      <c r="BB266" s="22">
        <v>256</v>
      </c>
      <c r="BC266" s="22">
        <v>1.18774</v>
      </c>
      <c r="BD266">
        <f t="shared" si="46"/>
        <v>14.7736</v>
      </c>
      <c r="BE266">
        <f t="shared" si="47"/>
        <v>17.567583232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13.9847</v>
      </c>
      <c r="I267" s="22">
        <v>-1.5048199999999999E-2</v>
      </c>
      <c r="J267" s="22">
        <v>257</v>
      </c>
      <c r="K267" s="22">
        <v>0.50497400000000003</v>
      </c>
      <c r="L267">
        <f t="shared" si="36"/>
        <v>15.0482</v>
      </c>
      <c r="M267">
        <f t="shared" si="37"/>
        <v>7.6118159577999993</v>
      </c>
      <c r="N267" s="9"/>
      <c r="O267" s="22">
        <v>1.19415</v>
      </c>
      <c r="P267" s="22">
        <v>46.757800000000003</v>
      </c>
      <c r="Q267" s="22">
        <v>-1.4639299999999999E-2</v>
      </c>
      <c r="R267" s="22">
        <v>257</v>
      </c>
      <c r="S267" s="22">
        <v>1.19293</v>
      </c>
      <c r="T267">
        <f t="shared" si="38"/>
        <v>14.639299999999999</v>
      </c>
      <c r="U267">
        <f t="shared" si="39"/>
        <v>17.481520095</v>
      </c>
      <c r="X267" s="9"/>
      <c r="Y267" s="22">
        <v>0.50582899999999997</v>
      </c>
      <c r="Z267" s="22">
        <v>74.8108</v>
      </c>
      <c r="AA267" s="22">
        <v>-1.5170299999999999E-2</v>
      </c>
      <c r="AB267" s="22">
        <v>257</v>
      </c>
      <c r="AC267" s="22">
        <v>0.50503500000000001</v>
      </c>
      <c r="AD267">
        <f t="shared" si="40"/>
        <v>15.170299999999999</v>
      </c>
      <c r="AE267">
        <f t="shared" si="41"/>
        <v>7.6735776786999992</v>
      </c>
      <c r="AF267" s="9"/>
      <c r="AG267" s="22">
        <v>1.19415</v>
      </c>
      <c r="AH267" s="22">
        <v>109.526</v>
      </c>
      <c r="AI267" s="22">
        <v>-1.46759E-2</v>
      </c>
      <c r="AJ267" s="22">
        <v>257</v>
      </c>
      <c r="AK267" s="22">
        <v>1.1926300000000001</v>
      </c>
      <c r="AL267">
        <f t="shared" si="42"/>
        <v>14.6759</v>
      </c>
      <c r="AM267">
        <f t="shared" si="43"/>
        <v>17.525225985000002</v>
      </c>
      <c r="AP267" s="9"/>
      <c r="AQ267" s="22">
        <v>0.50582899999999997</v>
      </c>
      <c r="AR267" s="22">
        <v>138.00700000000001</v>
      </c>
      <c r="AS267" s="22">
        <v>-1.51886E-2</v>
      </c>
      <c r="AT267" s="22">
        <v>257</v>
      </c>
      <c r="AU267" s="22">
        <v>0.50488299999999997</v>
      </c>
      <c r="AV267">
        <f t="shared" si="44"/>
        <v>15.188599999999999</v>
      </c>
      <c r="AW267">
        <f t="shared" si="45"/>
        <v>7.6828343493999993</v>
      </c>
      <c r="AX267" s="9"/>
      <c r="AY267" s="22">
        <v>1.19415</v>
      </c>
      <c r="AZ267" s="22">
        <v>181.86099999999999</v>
      </c>
      <c r="BA267" s="22">
        <v>-1.4767499999999999E-2</v>
      </c>
      <c r="BB267" s="22">
        <v>257</v>
      </c>
      <c r="BC267" s="22">
        <v>1.1926300000000001</v>
      </c>
      <c r="BD267">
        <f t="shared" si="46"/>
        <v>14.7675</v>
      </c>
      <c r="BE267">
        <f t="shared" si="47"/>
        <v>17.634610125000002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13.9948</v>
      </c>
      <c r="I268" s="22">
        <v>-1.50513E-2</v>
      </c>
      <c r="J268" s="22">
        <v>258</v>
      </c>
      <c r="K268" s="22">
        <v>0.5</v>
      </c>
      <c r="L268">
        <f t="shared" ref="L268:L331" si="48">-I268/$F$2*1000</f>
        <v>15.051299999999999</v>
      </c>
      <c r="M268">
        <f t="shared" ref="M268:M331" si="49">L268*G268</f>
        <v>7.5375856809000004</v>
      </c>
      <c r="N268" s="9"/>
      <c r="O268" s="22">
        <v>1.19919</v>
      </c>
      <c r="P268" s="22">
        <v>46.767899999999997</v>
      </c>
      <c r="Q268" s="22">
        <v>-1.4633200000000001E-2</v>
      </c>
      <c r="R268" s="22">
        <v>258</v>
      </c>
      <c r="S268" s="22">
        <v>1.1975100000000001</v>
      </c>
      <c r="T268">
        <f t="shared" ref="T268:T331" si="50">-Q268/$F$2*1000</f>
        <v>14.6332</v>
      </c>
      <c r="U268">
        <f t="shared" ref="U268:U331" si="51">T268*O268</f>
        <v>17.547987108000001</v>
      </c>
      <c r="X268" s="9"/>
      <c r="Y268" s="22">
        <v>0.50079300000000004</v>
      </c>
      <c r="Z268" s="22">
        <v>74.820899999999995</v>
      </c>
      <c r="AA268" s="22">
        <v>-1.5173300000000001E-2</v>
      </c>
      <c r="AB268" s="22">
        <v>258</v>
      </c>
      <c r="AC268" s="22">
        <v>0.5</v>
      </c>
      <c r="AD268">
        <f t="shared" ref="AD268:AD331" si="52">-AA268/$F$2*1000</f>
        <v>15.173300000000001</v>
      </c>
      <c r="AE268">
        <f t="shared" ref="AE268:AE331" si="53">AD268*Y268</f>
        <v>7.5986824269000008</v>
      </c>
      <c r="AF268" s="9"/>
      <c r="AG268" s="22">
        <v>1.19919</v>
      </c>
      <c r="AH268" s="22">
        <v>109.536</v>
      </c>
      <c r="AI268" s="22">
        <v>-1.46698E-2</v>
      </c>
      <c r="AJ268" s="22">
        <v>258</v>
      </c>
      <c r="AK268" s="22">
        <v>1.1984300000000001</v>
      </c>
      <c r="AL268">
        <f t="shared" ref="AL268:AL331" si="54">-AI268/$F$2*1000</f>
        <v>14.6698</v>
      </c>
      <c r="AM268">
        <f t="shared" ref="AM268:AM331" si="55">AL268*AG268</f>
        <v>17.591877461999999</v>
      </c>
      <c r="AP268" s="9"/>
      <c r="AQ268" s="22">
        <v>0.50079300000000004</v>
      </c>
      <c r="AR268" s="22">
        <v>138.017</v>
      </c>
      <c r="AS268" s="22">
        <v>-1.51947E-2</v>
      </c>
      <c r="AT268" s="22">
        <v>258</v>
      </c>
      <c r="AU268" s="22">
        <v>0.49990800000000002</v>
      </c>
      <c r="AV268">
        <f t="shared" ref="AV268:AV331" si="56">-AS268/$F$2*1000</f>
        <v>15.194700000000001</v>
      </c>
      <c r="AW268">
        <f t="shared" ref="AW268:AW331" si="57">AV268*AQ268</f>
        <v>7.6093993971000016</v>
      </c>
      <c r="AX268" s="9"/>
      <c r="AY268" s="22">
        <v>1.19919</v>
      </c>
      <c r="AZ268" s="22">
        <v>181.87100000000001</v>
      </c>
      <c r="BA268" s="22">
        <v>-1.47644E-2</v>
      </c>
      <c r="BB268" s="22">
        <v>258</v>
      </c>
      <c r="BC268" s="22">
        <v>1.19781</v>
      </c>
      <c r="BD268">
        <f t="shared" ref="BD268:BD331" si="58">-BA268/$F$2*1000</f>
        <v>14.7644</v>
      </c>
      <c r="BE268">
        <f t="shared" ref="BE268:BE331" si="59">BD268*AY268</f>
        <v>17.705320835999999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14.004799999999999</v>
      </c>
      <c r="I269" s="22">
        <v>-1.50574E-2</v>
      </c>
      <c r="J269" s="22">
        <v>259</v>
      </c>
      <c r="K269" s="22">
        <v>0.49493399999999999</v>
      </c>
      <c r="L269">
        <f t="shared" si="48"/>
        <v>15.057399999999999</v>
      </c>
      <c r="M269">
        <f t="shared" si="49"/>
        <v>7.464826509199999</v>
      </c>
      <c r="N269" s="9"/>
      <c r="O269" s="22">
        <v>1.2042200000000001</v>
      </c>
      <c r="P269" s="22">
        <v>46.777900000000002</v>
      </c>
      <c r="Q269" s="22">
        <v>-1.4627100000000001E-2</v>
      </c>
      <c r="R269" s="22">
        <v>259</v>
      </c>
      <c r="S269" s="22">
        <v>1.2036100000000001</v>
      </c>
      <c r="T269">
        <f t="shared" si="50"/>
        <v>14.6271</v>
      </c>
      <c r="U269">
        <f t="shared" si="51"/>
        <v>17.614246362000003</v>
      </c>
      <c r="X269" s="9"/>
      <c r="Y269" s="22">
        <v>0.49575799999999998</v>
      </c>
      <c r="Z269" s="22">
        <v>74.831000000000003</v>
      </c>
      <c r="AA269" s="22">
        <v>-1.51764E-2</v>
      </c>
      <c r="AB269" s="22">
        <v>259</v>
      </c>
      <c r="AC269" s="22">
        <v>0.49496499999999999</v>
      </c>
      <c r="AD269">
        <f t="shared" si="52"/>
        <v>15.176399999999999</v>
      </c>
      <c r="AE269">
        <f t="shared" si="53"/>
        <v>7.5238217111999992</v>
      </c>
      <c r="AF269" s="9"/>
      <c r="AG269" s="22">
        <v>1.2042200000000001</v>
      </c>
      <c r="AH269" s="22">
        <v>109.54600000000001</v>
      </c>
      <c r="AI269" s="22">
        <v>-1.46637E-2</v>
      </c>
      <c r="AJ269" s="22">
        <v>259</v>
      </c>
      <c r="AK269" s="22">
        <v>1.2033100000000001</v>
      </c>
      <c r="AL269">
        <f t="shared" si="54"/>
        <v>14.6637</v>
      </c>
      <c r="AM269">
        <f t="shared" si="55"/>
        <v>17.658320814000003</v>
      </c>
      <c r="AP269" s="9"/>
      <c r="AQ269" s="22">
        <v>0.49575799999999998</v>
      </c>
      <c r="AR269" s="22">
        <v>138.02699999999999</v>
      </c>
      <c r="AS269" s="22">
        <v>-1.5197799999999999E-2</v>
      </c>
      <c r="AT269" s="22">
        <v>259</v>
      </c>
      <c r="AU269" s="22">
        <v>0.49493399999999999</v>
      </c>
      <c r="AV269">
        <f t="shared" si="56"/>
        <v>15.197799999999999</v>
      </c>
      <c r="AW269">
        <f t="shared" si="57"/>
        <v>7.5344309323999994</v>
      </c>
      <c r="AX269" s="9"/>
      <c r="AY269" s="22">
        <v>1.2042200000000001</v>
      </c>
      <c r="AZ269" s="22">
        <v>181.881</v>
      </c>
      <c r="BA269" s="22">
        <v>-1.4761399999999999E-2</v>
      </c>
      <c r="BB269" s="22">
        <v>259</v>
      </c>
      <c r="BC269" s="22">
        <v>1.2033100000000001</v>
      </c>
      <c r="BD269">
        <f t="shared" si="58"/>
        <v>14.761399999999998</v>
      </c>
      <c r="BE269">
        <f t="shared" si="59"/>
        <v>17.775973107999999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14.014900000000001</v>
      </c>
      <c r="I270" s="22">
        <v>-1.5063500000000001E-2</v>
      </c>
      <c r="J270" s="22">
        <v>260</v>
      </c>
      <c r="K270" s="22">
        <v>0.48989899999999997</v>
      </c>
      <c r="L270">
        <f t="shared" si="48"/>
        <v>15.063500000000001</v>
      </c>
      <c r="M270">
        <f t="shared" si="49"/>
        <v>7.3920059105000009</v>
      </c>
      <c r="N270" s="9"/>
      <c r="O270" s="22">
        <v>1.20926</v>
      </c>
      <c r="P270" s="22">
        <v>46.787999999999997</v>
      </c>
      <c r="Q270" s="22">
        <v>-1.4624E-2</v>
      </c>
      <c r="R270" s="22">
        <v>260</v>
      </c>
      <c r="S270" s="22">
        <v>1.2078899999999999</v>
      </c>
      <c r="T270">
        <f t="shared" si="50"/>
        <v>14.624000000000001</v>
      </c>
      <c r="U270">
        <f t="shared" si="51"/>
        <v>17.68421824</v>
      </c>
      <c r="X270" s="9"/>
      <c r="Y270" s="22">
        <v>0.49072300000000002</v>
      </c>
      <c r="Z270" s="22">
        <v>74.840999999999994</v>
      </c>
      <c r="AA270" s="22">
        <v>-1.5179399999999999E-2</v>
      </c>
      <c r="AB270" s="22">
        <v>260</v>
      </c>
      <c r="AC270" s="22">
        <v>0.49005100000000001</v>
      </c>
      <c r="AD270">
        <f t="shared" si="52"/>
        <v>15.179399999999999</v>
      </c>
      <c r="AE270">
        <f t="shared" si="53"/>
        <v>7.4488807061999998</v>
      </c>
      <c r="AF270" s="9"/>
      <c r="AG270" s="22">
        <v>1.20926</v>
      </c>
      <c r="AH270" s="22">
        <v>109.556</v>
      </c>
      <c r="AI270" s="22">
        <v>-1.4660599999999999E-2</v>
      </c>
      <c r="AJ270" s="22">
        <v>260</v>
      </c>
      <c r="AK270" s="22">
        <v>1.2081900000000001</v>
      </c>
      <c r="AL270">
        <f t="shared" si="54"/>
        <v>14.660599999999999</v>
      </c>
      <c r="AM270">
        <f t="shared" si="55"/>
        <v>17.728477155999997</v>
      </c>
      <c r="AP270" s="9"/>
      <c r="AQ270" s="22">
        <v>0.49072300000000002</v>
      </c>
      <c r="AR270" s="22">
        <v>138.03700000000001</v>
      </c>
      <c r="AS270" s="22">
        <v>-1.52008E-2</v>
      </c>
      <c r="AT270" s="22">
        <v>260</v>
      </c>
      <c r="AU270" s="22">
        <v>0.48974600000000001</v>
      </c>
      <c r="AV270">
        <f t="shared" si="56"/>
        <v>15.200800000000001</v>
      </c>
      <c r="AW270">
        <f t="shared" si="57"/>
        <v>7.4593821784000012</v>
      </c>
      <c r="AX270" s="9"/>
      <c r="AY270" s="22">
        <v>1.20926</v>
      </c>
      <c r="AZ270" s="22">
        <v>181.892</v>
      </c>
      <c r="BA270" s="22">
        <v>-1.4761399999999999E-2</v>
      </c>
      <c r="BB270" s="22">
        <v>260</v>
      </c>
      <c r="BC270" s="22">
        <v>1.2088000000000001</v>
      </c>
      <c r="BD270">
        <f t="shared" si="58"/>
        <v>14.761399999999998</v>
      </c>
      <c r="BE270">
        <f t="shared" si="59"/>
        <v>17.850370563999999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14.025</v>
      </c>
      <c r="I271" s="22">
        <v>-1.5069600000000001E-2</v>
      </c>
      <c r="J271" s="22">
        <v>261</v>
      </c>
      <c r="K271" s="22">
        <v>0.48483300000000001</v>
      </c>
      <c r="L271">
        <f t="shared" si="48"/>
        <v>15.069600000000001</v>
      </c>
      <c r="M271">
        <f t="shared" si="49"/>
        <v>7.3191088151999999</v>
      </c>
      <c r="N271" s="9"/>
      <c r="O271" s="22">
        <v>1.2142900000000001</v>
      </c>
      <c r="P271" s="22">
        <v>46.798099999999998</v>
      </c>
      <c r="Q271" s="22">
        <v>-1.4621E-2</v>
      </c>
      <c r="R271" s="22">
        <v>261</v>
      </c>
      <c r="S271" s="22">
        <v>1.2127699999999999</v>
      </c>
      <c r="T271">
        <f t="shared" si="50"/>
        <v>14.621</v>
      </c>
      <c r="U271">
        <f t="shared" si="51"/>
        <v>17.754134090000001</v>
      </c>
      <c r="X271" s="9"/>
      <c r="Y271" s="22">
        <v>0.48568699999999998</v>
      </c>
      <c r="Z271" s="22">
        <v>74.851100000000002</v>
      </c>
      <c r="AA271" s="22">
        <v>-1.51825E-2</v>
      </c>
      <c r="AB271" s="22">
        <v>261</v>
      </c>
      <c r="AC271" s="22">
        <v>0.48486299999999999</v>
      </c>
      <c r="AD271">
        <f t="shared" si="52"/>
        <v>15.182499999999999</v>
      </c>
      <c r="AE271">
        <f t="shared" si="53"/>
        <v>7.3739428774999993</v>
      </c>
      <c r="AF271" s="9"/>
      <c r="AG271" s="22">
        <v>1.2142900000000001</v>
      </c>
      <c r="AH271" s="22">
        <v>109.566</v>
      </c>
      <c r="AI271" s="22">
        <v>-1.4654500000000001E-2</v>
      </c>
      <c r="AJ271" s="22">
        <v>261</v>
      </c>
      <c r="AK271" s="22">
        <v>1.2130700000000001</v>
      </c>
      <c r="AL271">
        <f t="shared" si="54"/>
        <v>14.654500000000001</v>
      </c>
      <c r="AM271">
        <f t="shared" si="55"/>
        <v>17.794812805000003</v>
      </c>
      <c r="AP271" s="9"/>
      <c r="AQ271" s="22">
        <v>0.48568699999999998</v>
      </c>
      <c r="AR271" s="22">
        <v>138.047</v>
      </c>
      <c r="AS271" s="22">
        <v>-1.5203899999999999E-2</v>
      </c>
      <c r="AT271" s="22">
        <v>261</v>
      </c>
      <c r="AU271" s="22">
        <v>0.48483300000000001</v>
      </c>
      <c r="AV271">
        <f t="shared" si="56"/>
        <v>15.203899999999999</v>
      </c>
      <c r="AW271">
        <f t="shared" si="57"/>
        <v>7.3843365792999993</v>
      </c>
      <c r="AX271" s="9"/>
      <c r="AY271" s="22">
        <v>1.2142900000000001</v>
      </c>
      <c r="AZ271" s="22">
        <v>181.90199999999999</v>
      </c>
      <c r="BA271" s="22">
        <v>-1.47552E-2</v>
      </c>
      <c r="BB271" s="22">
        <v>261</v>
      </c>
      <c r="BC271" s="22">
        <v>1.2136800000000001</v>
      </c>
      <c r="BD271">
        <f t="shared" si="58"/>
        <v>14.7552</v>
      </c>
      <c r="BE271">
        <f t="shared" si="59"/>
        <v>17.917091808000002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14.035</v>
      </c>
      <c r="I272" s="22">
        <v>-1.50726E-2</v>
      </c>
      <c r="J272" s="22">
        <v>262</v>
      </c>
      <c r="K272" s="22">
        <v>0.47985800000000001</v>
      </c>
      <c r="L272">
        <f t="shared" si="48"/>
        <v>15.0726</v>
      </c>
      <c r="M272">
        <f t="shared" si="49"/>
        <v>7.2446753352000002</v>
      </c>
      <c r="N272" s="9"/>
      <c r="O272" s="22">
        <v>1.21933</v>
      </c>
      <c r="P272" s="22">
        <v>46.808199999999999</v>
      </c>
      <c r="Q272" s="22">
        <v>-1.4611799999999999E-2</v>
      </c>
      <c r="R272" s="22">
        <v>262</v>
      </c>
      <c r="S272" s="22">
        <v>1.2185699999999999</v>
      </c>
      <c r="T272">
        <f t="shared" si="50"/>
        <v>14.611799999999999</v>
      </c>
      <c r="U272">
        <f t="shared" si="51"/>
        <v>17.816606093999997</v>
      </c>
      <c r="X272" s="9"/>
      <c r="Y272" s="22">
        <v>0.48065200000000002</v>
      </c>
      <c r="Z272" s="22">
        <v>74.861199999999997</v>
      </c>
      <c r="AA272" s="22">
        <v>-1.5185499999999999E-2</v>
      </c>
      <c r="AB272" s="22">
        <v>262</v>
      </c>
      <c r="AC272" s="22">
        <v>0.479736</v>
      </c>
      <c r="AD272">
        <f t="shared" si="52"/>
        <v>15.185499999999999</v>
      </c>
      <c r="AE272">
        <f t="shared" si="53"/>
        <v>7.2989409460000001</v>
      </c>
      <c r="AF272" s="9"/>
      <c r="AG272" s="22">
        <v>1.21933</v>
      </c>
      <c r="AH272" s="22">
        <v>109.57599999999999</v>
      </c>
      <c r="AI272" s="22">
        <v>-1.4648400000000001E-2</v>
      </c>
      <c r="AJ272" s="22">
        <v>262</v>
      </c>
      <c r="AK272" s="22">
        <v>1.2185699999999999</v>
      </c>
      <c r="AL272">
        <f t="shared" si="54"/>
        <v>14.648400000000001</v>
      </c>
      <c r="AM272">
        <f t="shared" si="55"/>
        <v>17.861233572</v>
      </c>
      <c r="AP272" s="9"/>
      <c r="AQ272" s="22">
        <v>0.48065200000000002</v>
      </c>
      <c r="AR272" s="22">
        <v>138.05699999999999</v>
      </c>
      <c r="AS272" s="22">
        <v>-1.5203899999999999E-2</v>
      </c>
      <c r="AT272" s="22">
        <v>262</v>
      </c>
      <c r="AU272" s="22">
        <v>0.47979699999999997</v>
      </c>
      <c r="AV272">
        <f t="shared" si="56"/>
        <v>15.203899999999999</v>
      </c>
      <c r="AW272">
        <f t="shared" si="57"/>
        <v>7.3077849427999997</v>
      </c>
      <c r="AX272" s="9"/>
      <c r="AY272" s="22">
        <v>1.21933</v>
      </c>
      <c r="AZ272" s="22">
        <v>181.91200000000001</v>
      </c>
      <c r="BA272" s="22">
        <v>-1.4749099999999999E-2</v>
      </c>
      <c r="BB272" s="22">
        <v>262</v>
      </c>
      <c r="BC272" s="22">
        <v>1.2179599999999999</v>
      </c>
      <c r="BD272">
        <f t="shared" si="58"/>
        <v>14.749099999999999</v>
      </c>
      <c r="BE272">
        <f t="shared" si="59"/>
        <v>17.984020102999999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14.0451</v>
      </c>
      <c r="I273" s="22">
        <v>-1.5075699999999999E-2</v>
      </c>
      <c r="J273" s="22">
        <v>263</v>
      </c>
      <c r="K273" s="22">
        <v>0.474823</v>
      </c>
      <c r="L273">
        <f t="shared" si="48"/>
        <v>15.075699999999999</v>
      </c>
      <c r="M273">
        <f t="shared" si="49"/>
        <v>7.1702441311999996</v>
      </c>
      <c r="N273" s="9"/>
      <c r="O273" s="22">
        <v>1.22437</v>
      </c>
      <c r="P273" s="22">
        <v>46.818199999999997</v>
      </c>
      <c r="Q273" s="22">
        <v>-1.46088E-2</v>
      </c>
      <c r="R273" s="22">
        <v>263</v>
      </c>
      <c r="S273" s="22">
        <v>1.2234499999999999</v>
      </c>
      <c r="T273">
        <f t="shared" si="50"/>
        <v>14.6088</v>
      </c>
      <c r="U273">
        <f t="shared" si="51"/>
        <v>17.886576456</v>
      </c>
      <c r="X273" s="9"/>
      <c r="Y273" s="22">
        <v>0.47561599999999998</v>
      </c>
      <c r="Z273" s="22">
        <v>74.871200000000002</v>
      </c>
      <c r="AA273" s="22">
        <v>-1.51886E-2</v>
      </c>
      <c r="AB273" s="22">
        <v>263</v>
      </c>
      <c r="AC273" s="22">
        <v>0.47476200000000002</v>
      </c>
      <c r="AD273">
        <f t="shared" si="52"/>
        <v>15.188599999999999</v>
      </c>
      <c r="AE273">
        <f t="shared" si="53"/>
        <v>7.2239411775999995</v>
      </c>
      <c r="AF273" s="9"/>
      <c r="AG273" s="22">
        <v>1.22437</v>
      </c>
      <c r="AH273" s="22">
        <v>109.586</v>
      </c>
      <c r="AI273" s="22">
        <v>-1.4645399999999999E-2</v>
      </c>
      <c r="AJ273" s="22">
        <v>263</v>
      </c>
      <c r="AK273" s="22">
        <v>1.2228399999999999</v>
      </c>
      <c r="AL273">
        <f t="shared" si="54"/>
        <v>14.645399999999999</v>
      </c>
      <c r="AM273">
        <f t="shared" si="55"/>
        <v>17.931388397999999</v>
      </c>
      <c r="AP273" s="9"/>
      <c r="AQ273" s="22">
        <v>0.47561599999999998</v>
      </c>
      <c r="AR273" s="22">
        <v>138.06700000000001</v>
      </c>
      <c r="AS273" s="22">
        <v>-1.5203899999999999E-2</v>
      </c>
      <c r="AT273" s="22">
        <v>263</v>
      </c>
      <c r="AU273" s="22">
        <v>0.474823</v>
      </c>
      <c r="AV273">
        <f t="shared" si="56"/>
        <v>15.203899999999999</v>
      </c>
      <c r="AW273">
        <f t="shared" si="57"/>
        <v>7.2312181023999997</v>
      </c>
      <c r="AX273" s="9"/>
      <c r="AY273" s="22">
        <v>1.22437</v>
      </c>
      <c r="AZ273" s="22">
        <v>181.922</v>
      </c>
      <c r="BA273" s="22">
        <v>-1.4749099999999999E-2</v>
      </c>
      <c r="BB273" s="22">
        <v>263</v>
      </c>
      <c r="BC273" s="22">
        <v>1.2234499999999999</v>
      </c>
      <c r="BD273">
        <f t="shared" si="58"/>
        <v>14.749099999999999</v>
      </c>
      <c r="BE273">
        <f t="shared" si="59"/>
        <v>18.058355566999996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14.055199999999999</v>
      </c>
      <c r="I274" s="22">
        <v>-1.5081799999999999E-2</v>
      </c>
      <c r="J274" s="22">
        <v>264</v>
      </c>
      <c r="K274" s="22">
        <v>0.46978799999999998</v>
      </c>
      <c r="L274">
        <f t="shared" si="48"/>
        <v>15.081799999999999</v>
      </c>
      <c r="M274">
        <f t="shared" si="49"/>
        <v>7.0972085258000002</v>
      </c>
      <c r="N274" s="9"/>
      <c r="O274" s="22">
        <v>1.2294</v>
      </c>
      <c r="P274" s="22">
        <v>46.828299999999999</v>
      </c>
      <c r="Q274" s="22">
        <v>-1.4605699999999999E-2</v>
      </c>
      <c r="R274" s="22">
        <v>264</v>
      </c>
      <c r="S274" s="22">
        <v>1.2283299999999999</v>
      </c>
      <c r="T274">
        <f t="shared" si="50"/>
        <v>14.605699999999999</v>
      </c>
      <c r="U274">
        <f t="shared" si="51"/>
        <v>17.956247579999999</v>
      </c>
      <c r="X274" s="9"/>
      <c r="Y274" s="22">
        <v>0.47058100000000003</v>
      </c>
      <c r="Z274" s="22">
        <v>74.881299999999996</v>
      </c>
      <c r="AA274" s="22">
        <v>-1.5191700000000001E-2</v>
      </c>
      <c r="AB274" s="22">
        <v>264</v>
      </c>
      <c r="AC274" s="22">
        <v>0.46966599999999997</v>
      </c>
      <c r="AD274">
        <f t="shared" si="52"/>
        <v>15.191700000000001</v>
      </c>
      <c r="AE274">
        <f t="shared" si="53"/>
        <v>7.1489253777000012</v>
      </c>
      <c r="AF274" s="9"/>
      <c r="AG274" s="22">
        <v>1.2294</v>
      </c>
      <c r="AH274" s="22">
        <v>109.596</v>
      </c>
      <c r="AI274" s="22">
        <v>-1.4639299999999999E-2</v>
      </c>
      <c r="AJ274" s="22">
        <v>264</v>
      </c>
      <c r="AK274" s="22">
        <v>1.2283299999999999</v>
      </c>
      <c r="AL274">
        <f t="shared" si="54"/>
        <v>14.639299999999999</v>
      </c>
      <c r="AM274">
        <f t="shared" si="55"/>
        <v>17.997555419999998</v>
      </c>
      <c r="AP274" s="9"/>
      <c r="AQ274" s="22">
        <v>0.47058100000000003</v>
      </c>
      <c r="AR274" s="22">
        <v>138.078</v>
      </c>
      <c r="AS274" s="22">
        <v>-1.521E-2</v>
      </c>
      <c r="AT274" s="22">
        <v>264</v>
      </c>
      <c r="AU274" s="22">
        <v>0.46975699999999998</v>
      </c>
      <c r="AV274">
        <f t="shared" si="56"/>
        <v>15.209999999999999</v>
      </c>
      <c r="AW274">
        <f t="shared" si="57"/>
        <v>7.1575370099999995</v>
      </c>
      <c r="AX274" s="9"/>
      <c r="AY274" s="22">
        <v>1.2294</v>
      </c>
      <c r="AZ274" s="22">
        <v>181.93199999999999</v>
      </c>
      <c r="BA274" s="22">
        <v>-1.47461E-2</v>
      </c>
      <c r="BB274" s="22">
        <v>264</v>
      </c>
      <c r="BC274" s="22">
        <v>1.2283299999999999</v>
      </c>
      <c r="BD274">
        <f t="shared" si="58"/>
        <v>14.7461</v>
      </c>
      <c r="BE274">
        <f t="shared" si="59"/>
        <v>18.128855340000001</v>
      </c>
    </row>
    <row r="275" spans="6:101">
      <c r="F275" s="9"/>
      <c r="G275" s="22">
        <v>0.46554600000000002</v>
      </c>
      <c r="H275" s="22">
        <v>14.065300000000001</v>
      </c>
      <c r="I275" s="22">
        <v>-1.5084800000000001E-2</v>
      </c>
      <c r="J275" s="22">
        <v>265</v>
      </c>
      <c r="K275" s="22">
        <v>0.46472200000000002</v>
      </c>
      <c r="L275">
        <f t="shared" si="48"/>
        <v>15.084800000000001</v>
      </c>
      <c r="M275">
        <f t="shared" si="49"/>
        <v>7.0226683008000013</v>
      </c>
      <c r="N275" s="9"/>
      <c r="O275" s="22">
        <v>1.23444</v>
      </c>
      <c r="P275" s="22">
        <v>46.8384</v>
      </c>
      <c r="Q275" s="22">
        <v>-1.4599600000000001E-2</v>
      </c>
      <c r="R275" s="22">
        <v>265</v>
      </c>
      <c r="S275" s="22">
        <v>1.23291</v>
      </c>
      <c r="T275">
        <f t="shared" si="50"/>
        <v>14.599600000000001</v>
      </c>
      <c r="U275">
        <f t="shared" si="51"/>
        <v>18.022330224000001</v>
      </c>
      <c r="X275" s="9"/>
      <c r="Y275" s="22">
        <v>0.46554600000000002</v>
      </c>
      <c r="Z275" s="22">
        <v>74.891400000000004</v>
      </c>
      <c r="AA275" s="22">
        <v>-1.51947E-2</v>
      </c>
      <c r="AB275" s="22">
        <v>265</v>
      </c>
      <c r="AC275" s="22">
        <v>0.464752</v>
      </c>
      <c r="AD275">
        <f t="shared" si="52"/>
        <v>15.194700000000001</v>
      </c>
      <c r="AE275">
        <f t="shared" si="53"/>
        <v>7.0738318062000003</v>
      </c>
      <c r="AF275" s="9"/>
      <c r="AG275" s="22">
        <v>1.23444</v>
      </c>
      <c r="AH275" s="22">
        <v>109.607</v>
      </c>
      <c r="AI275" s="22">
        <v>-1.4633200000000001E-2</v>
      </c>
      <c r="AJ275" s="22">
        <v>265</v>
      </c>
      <c r="AK275" s="22">
        <v>1.23291</v>
      </c>
      <c r="AL275">
        <f t="shared" si="54"/>
        <v>14.6332</v>
      </c>
      <c r="AM275">
        <f t="shared" si="55"/>
        <v>18.063807407999999</v>
      </c>
      <c r="AP275" s="9"/>
      <c r="AQ275" s="22">
        <v>0.46554600000000002</v>
      </c>
      <c r="AR275" s="22">
        <v>138.08799999999999</v>
      </c>
      <c r="AS275" s="22">
        <v>-1.5213000000000001E-2</v>
      </c>
      <c r="AT275" s="22">
        <v>265</v>
      </c>
      <c r="AU275" s="22">
        <v>0.464783</v>
      </c>
      <c r="AV275">
        <f t="shared" si="56"/>
        <v>15.213000000000001</v>
      </c>
      <c r="AW275">
        <f t="shared" si="57"/>
        <v>7.0823512980000007</v>
      </c>
      <c r="AX275" s="9"/>
      <c r="AY275" s="22">
        <v>1.23444</v>
      </c>
      <c r="AZ275" s="22">
        <v>181.94200000000001</v>
      </c>
      <c r="BA275" s="22">
        <v>-1.4742999999999999E-2</v>
      </c>
      <c r="BB275" s="22">
        <v>265</v>
      </c>
      <c r="BC275" s="22">
        <v>1.23322</v>
      </c>
      <c r="BD275">
        <f t="shared" si="58"/>
        <v>14.742999999999999</v>
      </c>
      <c r="BE275">
        <f t="shared" si="59"/>
        <v>18.199348919999998</v>
      </c>
    </row>
    <row r="276" spans="6:101">
      <c r="F276" s="9"/>
      <c r="G276" s="22">
        <v>0.46050999999999997</v>
      </c>
      <c r="H276" s="22">
        <v>14.0753</v>
      </c>
      <c r="I276" s="22">
        <v>-1.50879E-2</v>
      </c>
      <c r="J276" s="22">
        <v>266</v>
      </c>
      <c r="K276" s="22">
        <v>0.45977800000000002</v>
      </c>
      <c r="L276">
        <f t="shared" si="48"/>
        <v>15.087899999999999</v>
      </c>
      <c r="M276">
        <f t="shared" si="49"/>
        <v>6.948128828999999</v>
      </c>
      <c r="N276" s="9"/>
      <c r="O276" s="22">
        <v>1.2394700000000001</v>
      </c>
      <c r="P276" s="22">
        <v>46.848399999999998</v>
      </c>
      <c r="Q276" s="22">
        <v>-1.4593500000000001E-2</v>
      </c>
      <c r="R276" s="22">
        <v>266</v>
      </c>
      <c r="S276" s="22">
        <v>1.2381</v>
      </c>
      <c r="T276">
        <f t="shared" si="50"/>
        <v>14.593500000000001</v>
      </c>
      <c r="U276">
        <f t="shared" si="51"/>
        <v>18.088205445000003</v>
      </c>
      <c r="X276" s="9"/>
      <c r="Y276" s="22">
        <v>0.46050999999999997</v>
      </c>
      <c r="Z276" s="22">
        <v>74.901499999999999</v>
      </c>
      <c r="AA276" s="22">
        <v>-1.51947E-2</v>
      </c>
      <c r="AB276" s="22">
        <v>266</v>
      </c>
      <c r="AC276" s="22">
        <v>0.45974700000000002</v>
      </c>
      <c r="AD276">
        <f t="shared" si="52"/>
        <v>15.194700000000001</v>
      </c>
      <c r="AE276">
        <f t="shared" si="53"/>
        <v>6.9973112970000004</v>
      </c>
      <c r="AF276" s="9"/>
      <c r="AG276" s="22">
        <v>1.2394700000000001</v>
      </c>
      <c r="AH276" s="22">
        <v>109.617</v>
      </c>
      <c r="AI276" s="22">
        <v>-1.46301E-2</v>
      </c>
      <c r="AJ276" s="22">
        <v>266</v>
      </c>
      <c r="AK276" s="22">
        <v>1.2383999999999999</v>
      </c>
      <c r="AL276">
        <f t="shared" si="54"/>
        <v>14.630100000000001</v>
      </c>
      <c r="AM276">
        <f t="shared" si="55"/>
        <v>18.133570047000003</v>
      </c>
      <c r="AP276" s="9"/>
      <c r="AQ276" s="22">
        <v>0.46050999999999997</v>
      </c>
      <c r="AR276" s="22">
        <v>138.09800000000001</v>
      </c>
      <c r="AS276" s="22">
        <v>-1.5213000000000001E-2</v>
      </c>
      <c r="AT276" s="22">
        <v>266</v>
      </c>
      <c r="AU276" s="22">
        <v>0.45962500000000001</v>
      </c>
      <c r="AV276">
        <f t="shared" si="56"/>
        <v>15.213000000000001</v>
      </c>
      <c r="AW276">
        <f t="shared" si="57"/>
        <v>7.0057386299999997</v>
      </c>
      <c r="AX276" s="9"/>
      <c r="AY276" s="22">
        <v>1.2394700000000001</v>
      </c>
      <c r="AZ276" s="22">
        <v>181.952</v>
      </c>
      <c r="BA276" s="22">
        <v>-1.474E-2</v>
      </c>
      <c r="BB276" s="22">
        <v>266</v>
      </c>
      <c r="BC276" s="22">
        <v>1.23871</v>
      </c>
      <c r="BD276">
        <f t="shared" si="58"/>
        <v>14.74</v>
      </c>
      <c r="BE276">
        <f t="shared" si="59"/>
        <v>18.2697878</v>
      </c>
    </row>
    <row r="277" spans="6:101">
      <c r="F277" s="9"/>
      <c r="G277" s="22">
        <v>0.45547500000000002</v>
      </c>
      <c r="H277" s="22">
        <v>14.0854</v>
      </c>
      <c r="I277" s="22">
        <v>-1.5090900000000001E-2</v>
      </c>
      <c r="J277" s="22">
        <v>267</v>
      </c>
      <c r="K277" s="22">
        <v>0.45455899999999999</v>
      </c>
      <c r="L277">
        <f t="shared" si="48"/>
        <v>15.090900000000001</v>
      </c>
      <c r="M277">
        <f t="shared" si="49"/>
        <v>6.8735276775000012</v>
      </c>
      <c r="N277" s="9"/>
      <c r="O277" s="22">
        <v>1.24451</v>
      </c>
      <c r="P277" s="22">
        <v>46.858499999999999</v>
      </c>
      <c r="Q277" s="22">
        <v>-1.4584400000000001E-2</v>
      </c>
      <c r="R277" s="22">
        <v>267</v>
      </c>
      <c r="S277" s="22">
        <v>1.2442</v>
      </c>
      <c r="T277">
        <f t="shared" si="50"/>
        <v>14.5844</v>
      </c>
      <c r="U277">
        <f t="shared" si="51"/>
        <v>18.150431644000001</v>
      </c>
      <c r="X277" s="9"/>
      <c r="Y277" s="22">
        <v>0.45547500000000002</v>
      </c>
      <c r="Z277" s="22">
        <v>74.911500000000004</v>
      </c>
      <c r="AA277" s="22">
        <v>-1.51947E-2</v>
      </c>
      <c r="AB277" s="22">
        <v>267</v>
      </c>
      <c r="AC277" s="22">
        <v>0.45458999999999999</v>
      </c>
      <c r="AD277">
        <f t="shared" si="52"/>
        <v>15.194700000000001</v>
      </c>
      <c r="AE277">
        <f t="shared" si="53"/>
        <v>6.920805982500001</v>
      </c>
      <c r="AF277" s="9"/>
      <c r="AG277" s="22">
        <v>1.24451</v>
      </c>
      <c r="AH277" s="22">
        <v>109.627</v>
      </c>
      <c r="AI277" s="22">
        <v>-1.4624E-2</v>
      </c>
      <c r="AJ277" s="22">
        <v>267</v>
      </c>
      <c r="AK277" s="22">
        <v>1.2439</v>
      </c>
      <c r="AL277">
        <f t="shared" si="54"/>
        <v>14.624000000000001</v>
      </c>
      <c r="AM277">
        <f t="shared" si="55"/>
        <v>18.199714240000002</v>
      </c>
      <c r="AP277" s="9"/>
      <c r="AQ277" s="22">
        <v>0.45547500000000002</v>
      </c>
      <c r="AR277" s="22">
        <v>138.108</v>
      </c>
      <c r="AS277" s="22">
        <v>-1.52161E-2</v>
      </c>
      <c r="AT277" s="22">
        <v>267</v>
      </c>
      <c r="AU277" s="22">
        <v>0.45458999999999999</v>
      </c>
      <c r="AV277">
        <f t="shared" si="56"/>
        <v>15.216099999999999</v>
      </c>
      <c r="AW277">
        <f t="shared" si="57"/>
        <v>6.9305531474999995</v>
      </c>
      <c r="AX277" s="9"/>
      <c r="AY277" s="22">
        <v>1.24451</v>
      </c>
      <c r="AZ277" s="22">
        <v>181.96199999999999</v>
      </c>
      <c r="BA277" s="22">
        <v>-1.4736900000000001E-2</v>
      </c>
      <c r="BB277" s="22">
        <v>267</v>
      </c>
      <c r="BC277" s="22">
        <v>1.2439</v>
      </c>
      <c r="BD277">
        <f t="shared" si="58"/>
        <v>14.7369</v>
      </c>
      <c r="BE277">
        <f t="shared" si="59"/>
        <v>18.340219419</v>
      </c>
    </row>
    <row r="278" spans="6:101">
      <c r="F278" s="9"/>
      <c r="G278" s="22">
        <v>0.45043899999999998</v>
      </c>
      <c r="H278" s="22">
        <v>14.095499999999999</v>
      </c>
      <c r="I278" s="22">
        <v>-1.5096999999999999E-2</v>
      </c>
      <c r="J278" s="22">
        <v>268</v>
      </c>
      <c r="K278" s="22">
        <v>0.44961499999999999</v>
      </c>
      <c r="L278">
        <f t="shared" si="48"/>
        <v>15.097</v>
      </c>
      <c r="M278">
        <f t="shared" si="49"/>
        <v>6.8002775829999997</v>
      </c>
      <c r="N278" s="9"/>
      <c r="O278" s="22">
        <v>1.2495400000000001</v>
      </c>
      <c r="P278" s="22">
        <v>46.868600000000001</v>
      </c>
      <c r="Q278" s="22">
        <v>-1.4578199999999999E-2</v>
      </c>
      <c r="R278" s="22">
        <v>268</v>
      </c>
      <c r="S278" s="22">
        <v>1.24817</v>
      </c>
      <c r="T278">
        <f t="shared" si="50"/>
        <v>14.578199999999999</v>
      </c>
      <c r="U278">
        <f t="shared" si="51"/>
        <v>18.216044027999999</v>
      </c>
      <c r="X278" s="9"/>
      <c r="Y278" s="22">
        <v>0.45043899999999998</v>
      </c>
      <c r="Z278" s="22">
        <v>74.921599999999998</v>
      </c>
      <c r="AA278" s="22">
        <v>-1.52008E-2</v>
      </c>
      <c r="AB278" s="22">
        <v>268</v>
      </c>
      <c r="AC278" s="22">
        <v>0.44952399999999998</v>
      </c>
      <c r="AD278">
        <f t="shared" si="52"/>
        <v>15.200800000000001</v>
      </c>
      <c r="AE278">
        <f t="shared" si="53"/>
        <v>6.8470331511999998</v>
      </c>
      <c r="AF278" s="9"/>
      <c r="AG278" s="22">
        <v>1.2495400000000001</v>
      </c>
      <c r="AH278" s="22">
        <v>109.637</v>
      </c>
      <c r="AI278" s="22">
        <v>-1.46179E-2</v>
      </c>
      <c r="AJ278" s="22">
        <v>268</v>
      </c>
      <c r="AK278" s="22">
        <v>1.24786</v>
      </c>
      <c r="AL278">
        <f t="shared" si="54"/>
        <v>14.617899999999999</v>
      </c>
      <c r="AM278">
        <f t="shared" si="55"/>
        <v>18.265650766</v>
      </c>
      <c r="AP278" s="9"/>
      <c r="AQ278" s="22">
        <v>0.45043899999999998</v>
      </c>
      <c r="AR278" s="22">
        <v>138.11799999999999</v>
      </c>
      <c r="AS278" s="22">
        <v>-1.52222E-2</v>
      </c>
      <c r="AT278" s="22">
        <v>268</v>
      </c>
      <c r="AU278" s="22">
        <v>0.44952399999999998</v>
      </c>
      <c r="AV278">
        <f t="shared" si="56"/>
        <v>15.222200000000001</v>
      </c>
      <c r="AW278">
        <f t="shared" si="57"/>
        <v>6.8566725458000004</v>
      </c>
      <c r="AX278" s="9"/>
      <c r="AY278" s="22">
        <v>1.2495400000000001</v>
      </c>
      <c r="AZ278" s="22">
        <v>181.97200000000001</v>
      </c>
      <c r="BA278" s="22">
        <v>-1.4733899999999999E-2</v>
      </c>
      <c r="BB278" s="22">
        <v>268</v>
      </c>
      <c r="BC278" s="22">
        <v>1.24786</v>
      </c>
      <c r="BD278">
        <f t="shared" si="58"/>
        <v>14.7339</v>
      </c>
      <c r="BE278">
        <f t="shared" si="59"/>
        <v>18.410597406000001</v>
      </c>
    </row>
    <row r="279" spans="6:101">
      <c r="F279" s="9"/>
      <c r="G279" s="22">
        <v>0.44540400000000002</v>
      </c>
      <c r="H279" s="22">
        <v>14.105499999999999</v>
      </c>
      <c r="I279" s="22">
        <v>-1.51001E-2</v>
      </c>
      <c r="J279" s="22">
        <v>269</v>
      </c>
      <c r="K279" s="22">
        <v>0.44448900000000002</v>
      </c>
      <c r="L279">
        <f t="shared" si="48"/>
        <v>15.100099999999999</v>
      </c>
      <c r="M279">
        <f t="shared" si="49"/>
        <v>6.7256449404000005</v>
      </c>
      <c r="N279" s="9"/>
      <c r="O279" s="22">
        <v>1.25458</v>
      </c>
      <c r="P279" s="22">
        <v>46.878700000000002</v>
      </c>
      <c r="Q279" s="22">
        <v>-1.4572099999999999E-2</v>
      </c>
      <c r="R279" s="22">
        <v>269</v>
      </c>
      <c r="S279" s="22">
        <v>1.25397</v>
      </c>
      <c r="T279">
        <f t="shared" si="50"/>
        <v>14.572099999999999</v>
      </c>
      <c r="U279">
        <f t="shared" si="51"/>
        <v>18.281865218</v>
      </c>
      <c r="X279" s="9"/>
      <c r="Y279" s="22">
        <v>0.44540400000000002</v>
      </c>
      <c r="Z279" s="22">
        <v>74.931700000000006</v>
      </c>
      <c r="AA279" s="22">
        <v>-1.5203899999999999E-2</v>
      </c>
      <c r="AB279" s="22">
        <v>269</v>
      </c>
      <c r="AC279" s="22">
        <v>0.44455</v>
      </c>
      <c r="AD279">
        <f t="shared" si="52"/>
        <v>15.203899999999999</v>
      </c>
      <c r="AE279">
        <f t="shared" si="53"/>
        <v>6.7718778755999995</v>
      </c>
      <c r="AF279" s="9"/>
      <c r="AG279" s="22">
        <v>1.25458</v>
      </c>
      <c r="AH279" s="22">
        <v>109.64700000000001</v>
      </c>
      <c r="AI279" s="22">
        <v>-1.46149E-2</v>
      </c>
      <c r="AJ279" s="22">
        <v>269</v>
      </c>
      <c r="AK279" s="22">
        <v>1.25366</v>
      </c>
      <c r="AL279">
        <f t="shared" si="54"/>
        <v>14.6149</v>
      </c>
      <c r="AM279">
        <f t="shared" si="55"/>
        <v>18.335561242000001</v>
      </c>
      <c r="AP279" s="9"/>
      <c r="AQ279" s="22">
        <v>0.44540400000000002</v>
      </c>
      <c r="AR279" s="22">
        <v>138.12799999999999</v>
      </c>
      <c r="AS279" s="22">
        <v>-1.52283E-2</v>
      </c>
      <c r="AT279" s="22">
        <v>269</v>
      </c>
      <c r="AU279" s="22">
        <v>0.444519</v>
      </c>
      <c r="AV279">
        <f t="shared" si="56"/>
        <v>15.228300000000001</v>
      </c>
      <c r="AW279">
        <f t="shared" si="57"/>
        <v>6.7827457332000005</v>
      </c>
      <c r="AX279" s="9"/>
      <c r="AY279" s="22">
        <v>1.25458</v>
      </c>
      <c r="AZ279" s="22">
        <v>181.982</v>
      </c>
      <c r="BA279" s="22">
        <v>-1.47308E-2</v>
      </c>
      <c r="BB279" s="22">
        <v>269</v>
      </c>
      <c r="BC279" s="22">
        <v>1.25366</v>
      </c>
      <c r="BD279">
        <f t="shared" si="58"/>
        <v>14.7308</v>
      </c>
      <c r="BE279">
        <f t="shared" si="59"/>
        <v>18.480967064000001</v>
      </c>
    </row>
    <row r="280" spans="6:101">
      <c r="F280" s="9"/>
      <c r="G280" s="22">
        <v>0.44036900000000001</v>
      </c>
      <c r="H280" s="22">
        <v>14.115600000000001</v>
      </c>
      <c r="I280" s="22">
        <v>-1.51062E-2</v>
      </c>
      <c r="J280" s="22">
        <v>270</v>
      </c>
      <c r="K280" s="22">
        <v>0.43954500000000002</v>
      </c>
      <c r="L280">
        <f t="shared" si="48"/>
        <v>15.106199999999999</v>
      </c>
      <c r="M280">
        <f t="shared" si="49"/>
        <v>6.6523021878000002</v>
      </c>
      <c r="N280" s="9"/>
      <c r="O280" s="22">
        <v>1.2596099999999999</v>
      </c>
      <c r="P280" s="22">
        <v>46.8887</v>
      </c>
      <c r="Q280" s="22">
        <v>-1.4566000000000001E-2</v>
      </c>
      <c r="R280" s="22">
        <v>270</v>
      </c>
      <c r="S280" s="22">
        <v>1.25824</v>
      </c>
      <c r="T280">
        <f t="shared" si="50"/>
        <v>14.566000000000001</v>
      </c>
      <c r="U280">
        <f t="shared" si="51"/>
        <v>18.34747926</v>
      </c>
      <c r="X280" s="9"/>
      <c r="Y280" s="22">
        <v>0.44036900000000001</v>
      </c>
      <c r="Z280" s="22">
        <v>74.941699999999997</v>
      </c>
      <c r="AA280" s="22">
        <v>-1.521E-2</v>
      </c>
      <c r="AB280" s="22">
        <v>270</v>
      </c>
      <c r="AC280" s="22">
        <v>0.43957499999999999</v>
      </c>
      <c r="AD280">
        <f t="shared" si="52"/>
        <v>15.209999999999999</v>
      </c>
      <c r="AE280">
        <f t="shared" si="53"/>
        <v>6.69801249</v>
      </c>
      <c r="AF280" s="9"/>
      <c r="AG280" s="22">
        <v>1.2596099999999999</v>
      </c>
      <c r="AH280" s="22">
        <v>109.657</v>
      </c>
      <c r="AI280" s="22">
        <v>-1.46088E-2</v>
      </c>
      <c r="AJ280" s="22">
        <v>270</v>
      </c>
      <c r="AK280" s="22">
        <v>1.25854</v>
      </c>
      <c r="AL280">
        <f t="shared" si="54"/>
        <v>14.6088</v>
      </c>
      <c r="AM280">
        <f t="shared" si="55"/>
        <v>18.401390568</v>
      </c>
      <c r="AP280" s="9"/>
      <c r="AQ280" s="22">
        <v>0.44036900000000001</v>
      </c>
      <c r="AR280" s="22">
        <v>138.13800000000001</v>
      </c>
      <c r="AS280" s="22">
        <v>-1.52344E-2</v>
      </c>
      <c r="AT280" s="22">
        <v>270</v>
      </c>
      <c r="AU280" s="22">
        <v>0.43948399999999999</v>
      </c>
      <c r="AV280">
        <f t="shared" si="56"/>
        <v>15.234400000000001</v>
      </c>
      <c r="AW280">
        <f t="shared" si="57"/>
        <v>6.7087574936000003</v>
      </c>
      <c r="AX280" s="9"/>
      <c r="AY280" s="22">
        <v>1.2596099999999999</v>
      </c>
      <c r="AZ280" s="22">
        <v>181.99199999999999</v>
      </c>
      <c r="BA280" s="22">
        <v>-1.47308E-2</v>
      </c>
      <c r="BB280" s="22">
        <v>270</v>
      </c>
      <c r="BC280" s="22">
        <v>1.25824</v>
      </c>
      <c r="BD280">
        <f t="shared" si="58"/>
        <v>14.7308</v>
      </c>
      <c r="BE280">
        <f t="shared" si="59"/>
        <v>18.555062988</v>
      </c>
    </row>
    <row r="281" spans="6:101">
      <c r="F281" s="9"/>
      <c r="G281" s="22">
        <v>0.43533300000000003</v>
      </c>
      <c r="H281" s="22">
        <v>14.1257</v>
      </c>
      <c r="I281" s="22">
        <v>-1.5109300000000001E-2</v>
      </c>
      <c r="J281" s="22">
        <v>271</v>
      </c>
      <c r="K281" s="22">
        <v>0.43457000000000001</v>
      </c>
      <c r="L281">
        <f t="shared" si="48"/>
        <v>15.109300000000001</v>
      </c>
      <c r="M281">
        <f t="shared" si="49"/>
        <v>6.577576896900001</v>
      </c>
      <c r="N281" s="9"/>
      <c r="O281" s="22">
        <v>1.2646500000000001</v>
      </c>
      <c r="P281" s="22">
        <v>46.898800000000001</v>
      </c>
      <c r="Q281" s="22">
        <v>-1.4563E-2</v>
      </c>
      <c r="R281" s="22">
        <v>271</v>
      </c>
      <c r="S281" s="22">
        <v>1.2634300000000001</v>
      </c>
      <c r="T281">
        <f t="shared" si="50"/>
        <v>14.562999999999999</v>
      </c>
      <c r="U281">
        <f t="shared" si="51"/>
        <v>18.417097949999999</v>
      </c>
      <c r="X281" s="9"/>
      <c r="Y281" s="22">
        <v>0.43533300000000003</v>
      </c>
      <c r="Z281" s="22">
        <v>74.951800000000006</v>
      </c>
      <c r="AA281" s="22">
        <v>-1.5213000000000001E-2</v>
      </c>
      <c r="AB281" s="22">
        <v>271</v>
      </c>
      <c r="AC281" s="22">
        <v>0.43463099999999999</v>
      </c>
      <c r="AD281">
        <f t="shared" si="52"/>
        <v>15.213000000000001</v>
      </c>
      <c r="AE281">
        <f t="shared" si="53"/>
        <v>6.6227209290000006</v>
      </c>
      <c r="AF281" s="9"/>
      <c r="AG281" s="22">
        <v>1.2646500000000001</v>
      </c>
      <c r="AH281" s="22">
        <v>109.667</v>
      </c>
      <c r="AI281" s="22">
        <v>-1.46027E-2</v>
      </c>
      <c r="AJ281" s="22">
        <v>271</v>
      </c>
      <c r="AK281" s="22">
        <v>1.2634300000000001</v>
      </c>
      <c r="AL281">
        <f t="shared" si="54"/>
        <v>14.6027</v>
      </c>
      <c r="AM281">
        <f t="shared" si="55"/>
        <v>18.467304555000002</v>
      </c>
      <c r="AP281" s="9"/>
      <c r="AQ281" s="22">
        <v>0.43533300000000003</v>
      </c>
      <c r="AR281" s="22">
        <v>138.148</v>
      </c>
      <c r="AS281" s="22">
        <v>-1.5240500000000001E-2</v>
      </c>
      <c r="AT281" s="22">
        <v>271</v>
      </c>
      <c r="AU281" s="22">
        <v>0.43450899999999998</v>
      </c>
      <c r="AV281">
        <f t="shared" si="56"/>
        <v>15.240500000000001</v>
      </c>
      <c r="AW281">
        <f t="shared" si="57"/>
        <v>6.6346925865000008</v>
      </c>
      <c r="AX281" s="9"/>
      <c r="AY281" s="22">
        <v>1.2646500000000001</v>
      </c>
      <c r="AZ281" s="22">
        <v>182.00200000000001</v>
      </c>
      <c r="BA281" s="22">
        <v>-1.4727799999999999E-2</v>
      </c>
      <c r="BB281" s="22">
        <v>271</v>
      </c>
      <c r="BC281" s="22">
        <v>1.2634300000000001</v>
      </c>
      <c r="BD281">
        <f t="shared" si="58"/>
        <v>14.727799999999998</v>
      </c>
      <c r="BE281">
        <f t="shared" si="59"/>
        <v>18.625512269999998</v>
      </c>
    </row>
    <row r="282" spans="6:101">
      <c r="F282" s="9"/>
      <c r="G282" s="22">
        <v>0.43029800000000001</v>
      </c>
      <c r="H282" s="22">
        <v>14.1357</v>
      </c>
      <c r="I282" s="22">
        <v>-1.51123E-2</v>
      </c>
      <c r="J282" s="22">
        <v>272</v>
      </c>
      <c r="K282" s="22">
        <v>0.429535</v>
      </c>
      <c r="L282">
        <f t="shared" si="48"/>
        <v>15.112300000000001</v>
      </c>
      <c r="M282">
        <f t="shared" si="49"/>
        <v>6.5027924654000007</v>
      </c>
      <c r="N282" s="9"/>
      <c r="O282" s="22">
        <v>1.2696799999999999</v>
      </c>
      <c r="P282" s="22">
        <v>46.908900000000003</v>
      </c>
      <c r="Q282" s="22">
        <v>-1.4556899999999999E-2</v>
      </c>
      <c r="R282" s="22">
        <v>272</v>
      </c>
      <c r="S282" s="22">
        <v>1.2680100000000001</v>
      </c>
      <c r="T282">
        <f t="shared" si="50"/>
        <v>14.556899999999999</v>
      </c>
      <c r="U282">
        <f t="shared" si="51"/>
        <v>18.482604791999997</v>
      </c>
      <c r="X282" s="9"/>
      <c r="Y282" s="22">
        <v>0.43029800000000001</v>
      </c>
      <c r="Z282" s="22">
        <v>74.9619</v>
      </c>
      <c r="AA282" s="22">
        <v>-1.5219099999999999E-2</v>
      </c>
      <c r="AB282" s="22">
        <v>272</v>
      </c>
      <c r="AC282" s="22">
        <v>0.42938199999999999</v>
      </c>
      <c r="AD282">
        <f t="shared" si="52"/>
        <v>15.219099999999999</v>
      </c>
      <c r="AE282">
        <f t="shared" si="53"/>
        <v>6.5487482918</v>
      </c>
      <c r="AF282" s="9"/>
      <c r="AG282" s="22">
        <v>1.2696799999999999</v>
      </c>
      <c r="AH282" s="22">
        <v>109.67700000000001</v>
      </c>
      <c r="AI282" s="22">
        <v>-1.4599600000000001E-2</v>
      </c>
      <c r="AJ282" s="22">
        <v>272</v>
      </c>
      <c r="AK282" s="22">
        <v>1.2686200000000001</v>
      </c>
      <c r="AL282">
        <f t="shared" si="54"/>
        <v>14.599600000000001</v>
      </c>
      <c r="AM282">
        <f t="shared" si="55"/>
        <v>18.536820127999999</v>
      </c>
      <c r="AP282" s="9"/>
      <c r="AQ282" s="22">
        <v>0.43029800000000001</v>
      </c>
      <c r="AR282" s="22">
        <v>138.15799999999999</v>
      </c>
      <c r="AS282" s="22">
        <v>-1.52435E-2</v>
      </c>
      <c r="AT282" s="22">
        <v>272</v>
      </c>
      <c r="AU282" s="22">
        <v>0.429504</v>
      </c>
      <c r="AV282">
        <f t="shared" si="56"/>
        <v>15.243500000000001</v>
      </c>
      <c r="AW282">
        <f t="shared" si="57"/>
        <v>6.5592475630000004</v>
      </c>
      <c r="AX282" s="9"/>
      <c r="AY282" s="22">
        <v>1.2696799999999999</v>
      </c>
      <c r="AZ282" s="22">
        <v>182.012</v>
      </c>
      <c r="BA282" s="22">
        <v>-1.4721700000000001E-2</v>
      </c>
      <c r="BB282" s="22">
        <v>272</v>
      </c>
      <c r="BC282" s="22">
        <v>1.26831</v>
      </c>
      <c r="BD282">
        <f t="shared" si="58"/>
        <v>14.7217</v>
      </c>
      <c r="BE282">
        <f t="shared" si="59"/>
        <v>18.691848055999998</v>
      </c>
    </row>
    <row r="283" spans="6:101">
      <c r="F283" s="9"/>
      <c r="G283" s="22">
        <v>0.42526199999999997</v>
      </c>
      <c r="H283" s="22">
        <v>14.145799999999999</v>
      </c>
      <c r="I283" s="22">
        <v>-1.51123E-2</v>
      </c>
      <c r="J283" s="22">
        <v>273</v>
      </c>
      <c r="K283" s="22">
        <v>0.42449999999999999</v>
      </c>
      <c r="L283">
        <f t="shared" si="48"/>
        <v>15.112300000000001</v>
      </c>
      <c r="M283">
        <f t="shared" si="49"/>
        <v>6.4266869226000001</v>
      </c>
      <c r="N283" s="9"/>
      <c r="O283" s="22">
        <v>1.2747200000000001</v>
      </c>
      <c r="P283" s="22">
        <v>46.918900000000001</v>
      </c>
      <c r="Q283" s="22">
        <v>-1.45538E-2</v>
      </c>
      <c r="R283" s="22">
        <v>273</v>
      </c>
      <c r="S283" s="22">
        <v>1.2738</v>
      </c>
      <c r="T283">
        <f t="shared" si="50"/>
        <v>14.553800000000001</v>
      </c>
      <c r="U283">
        <f t="shared" si="51"/>
        <v>18.552019936000001</v>
      </c>
      <c r="X283" s="9"/>
      <c r="Y283" s="22">
        <v>0.42526199999999997</v>
      </c>
      <c r="Z283" s="22">
        <v>74.971999999999994</v>
      </c>
      <c r="AA283" s="22">
        <v>-1.5225199999999999E-2</v>
      </c>
      <c r="AB283" s="22">
        <v>273</v>
      </c>
      <c r="AC283" s="22">
        <v>0.42443799999999998</v>
      </c>
      <c r="AD283">
        <f t="shared" si="52"/>
        <v>15.225199999999999</v>
      </c>
      <c r="AE283">
        <f t="shared" si="53"/>
        <v>6.4746990023999995</v>
      </c>
      <c r="AF283" s="9"/>
      <c r="AG283" s="22">
        <v>1.2747200000000001</v>
      </c>
      <c r="AH283" s="22">
        <v>109.687</v>
      </c>
      <c r="AI283" s="22">
        <v>-1.4593500000000001E-2</v>
      </c>
      <c r="AJ283" s="22">
        <v>273</v>
      </c>
      <c r="AK283" s="22">
        <v>1.27319</v>
      </c>
      <c r="AL283">
        <f t="shared" si="54"/>
        <v>14.593500000000001</v>
      </c>
      <c r="AM283">
        <f t="shared" si="55"/>
        <v>18.602626320000002</v>
      </c>
      <c r="AP283" s="9"/>
      <c r="AQ283" s="22">
        <v>0.42526199999999997</v>
      </c>
      <c r="AR283" s="22">
        <v>138.16800000000001</v>
      </c>
      <c r="AS283" s="22">
        <v>-1.52496E-2</v>
      </c>
      <c r="AT283" s="22">
        <v>273</v>
      </c>
      <c r="AU283" s="22">
        <v>0.42453000000000002</v>
      </c>
      <c r="AV283">
        <f t="shared" si="56"/>
        <v>15.249600000000001</v>
      </c>
      <c r="AW283">
        <f t="shared" si="57"/>
        <v>6.4850753952</v>
      </c>
      <c r="AX283" s="9"/>
      <c r="AY283" s="22">
        <v>1.2747200000000001</v>
      </c>
      <c r="AZ283" s="22">
        <v>182.02199999999999</v>
      </c>
      <c r="BA283" s="22">
        <v>-1.47125E-2</v>
      </c>
      <c r="BB283" s="22">
        <v>273</v>
      </c>
      <c r="BC283" s="22">
        <v>1.2735000000000001</v>
      </c>
      <c r="BD283">
        <f t="shared" si="58"/>
        <v>14.7125</v>
      </c>
      <c r="BE283">
        <f t="shared" si="59"/>
        <v>18.754318000000001</v>
      </c>
    </row>
    <row r="284" spans="6:101">
      <c r="F284" s="9"/>
      <c r="G284" s="22">
        <v>0.42022700000000002</v>
      </c>
      <c r="H284" s="22">
        <v>14.155900000000001</v>
      </c>
      <c r="I284" s="22">
        <v>-1.51123E-2</v>
      </c>
      <c r="J284" s="22">
        <v>274</v>
      </c>
      <c r="K284" s="22">
        <v>0.41940300000000003</v>
      </c>
      <c r="L284">
        <f t="shared" si="48"/>
        <v>15.112300000000001</v>
      </c>
      <c r="M284">
        <f t="shared" si="49"/>
        <v>6.3505964921000011</v>
      </c>
      <c r="N284" s="9"/>
      <c r="O284" s="22">
        <v>1.2797499999999999</v>
      </c>
      <c r="P284" s="22">
        <v>46.929000000000002</v>
      </c>
      <c r="Q284" s="22">
        <v>-1.4544700000000001E-2</v>
      </c>
      <c r="R284" s="22">
        <v>274</v>
      </c>
      <c r="S284" s="22">
        <v>1.2786900000000001</v>
      </c>
      <c r="T284">
        <f t="shared" si="50"/>
        <v>14.544700000000001</v>
      </c>
      <c r="U284">
        <f t="shared" si="51"/>
        <v>18.613579824999999</v>
      </c>
      <c r="X284" s="9"/>
      <c r="Y284" s="22">
        <v>0.42022700000000002</v>
      </c>
      <c r="Z284" s="22">
        <v>74.981999999999999</v>
      </c>
      <c r="AA284" s="22">
        <v>-1.52313E-2</v>
      </c>
      <c r="AB284" s="22">
        <v>274</v>
      </c>
      <c r="AC284" s="22">
        <v>0.41940300000000003</v>
      </c>
      <c r="AD284">
        <f t="shared" si="52"/>
        <v>15.231299999999999</v>
      </c>
      <c r="AE284">
        <f t="shared" si="53"/>
        <v>6.4006035051000003</v>
      </c>
      <c r="AF284" s="9"/>
      <c r="AG284" s="22">
        <v>1.2797499999999999</v>
      </c>
      <c r="AH284" s="22">
        <v>109.697</v>
      </c>
      <c r="AI284" s="22">
        <v>-1.45813E-2</v>
      </c>
      <c r="AJ284" s="22">
        <v>274</v>
      </c>
      <c r="AK284" s="22">
        <v>1.2786900000000001</v>
      </c>
      <c r="AL284">
        <f t="shared" si="54"/>
        <v>14.581300000000001</v>
      </c>
      <c r="AM284">
        <f t="shared" si="55"/>
        <v>18.660418674999999</v>
      </c>
      <c r="AP284" s="9"/>
      <c r="AQ284" s="22">
        <v>0.42022700000000002</v>
      </c>
      <c r="AR284" s="22">
        <v>138.178</v>
      </c>
      <c r="AS284" s="22">
        <v>-1.5255700000000001E-2</v>
      </c>
      <c r="AT284" s="22">
        <v>274</v>
      </c>
      <c r="AU284" s="22">
        <v>0.419159</v>
      </c>
      <c r="AV284">
        <f t="shared" si="56"/>
        <v>15.255700000000001</v>
      </c>
      <c r="AW284">
        <f t="shared" si="57"/>
        <v>6.410857043900001</v>
      </c>
      <c r="AX284" s="9"/>
      <c r="AY284" s="22">
        <v>1.2797499999999999</v>
      </c>
      <c r="AZ284" s="22">
        <v>182.03299999999999</v>
      </c>
      <c r="BA284" s="22">
        <v>-1.47064E-2</v>
      </c>
      <c r="BB284" s="22">
        <v>274</v>
      </c>
      <c r="BC284" s="22">
        <v>1.2789900000000001</v>
      </c>
      <c r="BD284">
        <f t="shared" si="58"/>
        <v>14.7064</v>
      </c>
      <c r="BE284">
        <f t="shared" si="59"/>
        <v>18.820515399999998</v>
      </c>
    </row>
    <row r="285" spans="6:101">
      <c r="F285" s="9"/>
      <c r="G285" s="22">
        <v>0.41519200000000001</v>
      </c>
      <c r="H285" s="22">
        <v>14.166</v>
      </c>
      <c r="I285" s="22">
        <v>-1.5115399999999999E-2</v>
      </c>
      <c r="J285" s="22">
        <v>275</v>
      </c>
      <c r="K285" s="22">
        <v>0.41430699999999998</v>
      </c>
      <c r="L285">
        <f t="shared" si="48"/>
        <v>15.115399999999999</v>
      </c>
      <c r="M285">
        <f t="shared" si="49"/>
        <v>6.2757931567999998</v>
      </c>
      <c r="N285" s="9"/>
      <c r="O285" s="22">
        <v>1.2847900000000001</v>
      </c>
      <c r="P285" s="22">
        <v>46.939100000000003</v>
      </c>
      <c r="Q285" s="22">
        <v>-1.4544700000000001E-2</v>
      </c>
      <c r="R285" s="22">
        <v>275</v>
      </c>
      <c r="S285" s="22">
        <v>1.2838700000000001</v>
      </c>
      <c r="T285">
        <f t="shared" si="50"/>
        <v>14.544700000000001</v>
      </c>
      <c r="U285">
        <f t="shared" si="51"/>
        <v>18.686885113000002</v>
      </c>
      <c r="X285" s="9"/>
      <c r="Y285" s="22">
        <v>0.41519200000000001</v>
      </c>
      <c r="Z285" s="22">
        <v>74.992099999999994</v>
      </c>
      <c r="AA285" s="22">
        <v>-1.52344E-2</v>
      </c>
      <c r="AB285" s="22">
        <v>275</v>
      </c>
      <c r="AC285" s="22">
        <v>0.41436800000000001</v>
      </c>
      <c r="AD285">
        <f t="shared" si="52"/>
        <v>15.234400000000001</v>
      </c>
      <c r="AE285">
        <f t="shared" si="53"/>
        <v>6.3252010048000002</v>
      </c>
      <c r="AF285" s="9"/>
      <c r="AG285" s="22">
        <v>1.2847900000000001</v>
      </c>
      <c r="AH285" s="22">
        <v>109.70699999999999</v>
      </c>
      <c r="AI285" s="22">
        <v>-1.45752E-2</v>
      </c>
      <c r="AJ285" s="22">
        <v>275</v>
      </c>
      <c r="AK285" s="22">
        <v>1.2838700000000001</v>
      </c>
      <c r="AL285">
        <f t="shared" si="54"/>
        <v>14.575200000000001</v>
      </c>
      <c r="AM285">
        <f t="shared" si="55"/>
        <v>18.726071208</v>
      </c>
      <c r="AP285" s="9"/>
      <c r="AQ285" s="22">
        <v>0.41519200000000001</v>
      </c>
      <c r="AR285" s="22">
        <v>138.18799999999999</v>
      </c>
      <c r="AS285" s="22">
        <v>-1.5258799999999999E-2</v>
      </c>
      <c r="AT285" s="22">
        <v>275</v>
      </c>
      <c r="AU285" s="22">
        <v>0.41436800000000001</v>
      </c>
      <c r="AV285">
        <f t="shared" si="56"/>
        <v>15.258799999999999</v>
      </c>
      <c r="AW285">
        <f t="shared" si="57"/>
        <v>6.3353316895999994</v>
      </c>
      <c r="AX285" s="9"/>
      <c r="AY285" s="22">
        <v>1.2847900000000001</v>
      </c>
      <c r="AZ285" s="22">
        <v>182.04300000000001</v>
      </c>
      <c r="BA285" s="22">
        <v>-1.47064E-2</v>
      </c>
      <c r="BB285" s="22">
        <v>275</v>
      </c>
      <c r="BC285" s="22">
        <v>1.2829600000000001</v>
      </c>
      <c r="BD285">
        <f t="shared" si="58"/>
        <v>14.7064</v>
      </c>
      <c r="BE285">
        <f t="shared" si="59"/>
        <v>18.894635656000002</v>
      </c>
    </row>
    <row r="286" spans="6:101">
      <c r="F286" s="9"/>
      <c r="G286" s="22">
        <v>0.41015600000000002</v>
      </c>
      <c r="H286" s="22">
        <v>14.176</v>
      </c>
      <c r="I286" s="22">
        <v>-1.5115399999999999E-2</v>
      </c>
      <c r="J286" s="22">
        <v>276</v>
      </c>
      <c r="K286" s="22">
        <v>0.409271</v>
      </c>
      <c r="L286">
        <f t="shared" si="48"/>
        <v>15.115399999999999</v>
      </c>
      <c r="M286">
        <f t="shared" si="49"/>
        <v>6.1996720023999998</v>
      </c>
      <c r="N286" s="9"/>
      <c r="O286" s="22">
        <v>1.28983</v>
      </c>
      <c r="P286" s="22">
        <v>46.949199999999998</v>
      </c>
      <c r="Q286" s="22">
        <v>-1.45416E-2</v>
      </c>
      <c r="R286" s="22">
        <v>276</v>
      </c>
      <c r="S286" s="22">
        <v>1.2884500000000001</v>
      </c>
      <c r="T286">
        <f t="shared" si="50"/>
        <v>14.541600000000001</v>
      </c>
      <c r="U286">
        <f t="shared" si="51"/>
        <v>18.756191928</v>
      </c>
      <c r="X286" s="9"/>
      <c r="Y286" s="22">
        <v>0.41015600000000002</v>
      </c>
      <c r="Z286" s="22">
        <v>75.002200000000002</v>
      </c>
      <c r="AA286" s="22">
        <v>-1.52344E-2</v>
      </c>
      <c r="AB286" s="22">
        <v>276</v>
      </c>
      <c r="AC286" s="22">
        <v>0.40933199999999997</v>
      </c>
      <c r="AD286">
        <f t="shared" si="52"/>
        <v>15.234400000000001</v>
      </c>
      <c r="AE286">
        <f t="shared" si="53"/>
        <v>6.2484805664000005</v>
      </c>
      <c r="AF286" s="9"/>
      <c r="AG286" s="22">
        <v>1.28983</v>
      </c>
      <c r="AH286" s="22">
        <v>109.717</v>
      </c>
      <c r="AI286" s="22">
        <v>-1.45691E-2</v>
      </c>
      <c r="AJ286" s="22">
        <v>276</v>
      </c>
      <c r="AK286" s="22">
        <v>1.2887599999999999</v>
      </c>
      <c r="AL286">
        <f t="shared" si="54"/>
        <v>14.569100000000001</v>
      </c>
      <c r="AM286">
        <f t="shared" si="55"/>
        <v>18.791662253000002</v>
      </c>
      <c r="AP286" s="9"/>
      <c r="AQ286" s="22">
        <v>0.41015600000000002</v>
      </c>
      <c r="AR286" s="22">
        <v>138.19800000000001</v>
      </c>
      <c r="AS286" s="22">
        <v>-1.5261800000000001E-2</v>
      </c>
      <c r="AT286" s="22">
        <v>276</v>
      </c>
      <c r="AU286" s="22">
        <v>0.40933199999999997</v>
      </c>
      <c r="AV286">
        <f t="shared" si="56"/>
        <v>15.261800000000001</v>
      </c>
      <c r="AW286">
        <f t="shared" si="57"/>
        <v>6.2597188408000006</v>
      </c>
      <c r="AX286" s="9"/>
      <c r="AY286" s="22">
        <v>1.28983</v>
      </c>
      <c r="AZ286" s="22">
        <v>182.053</v>
      </c>
      <c r="BA286" s="22">
        <v>-1.47034E-2</v>
      </c>
      <c r="BB286" s="22">
        <v>276</v>
      </c>
      <c r="BC286" s="22">
        <v>1.2881499999999999</v>
      </c>
      <c r="BD286">
        <f t="shared" si="58"/>
        <v>14.7034</v>
      </c>
      <c r="BE286">
        <f t="shared" si="59"/>
        <v>18.964886421999999</v>
      </c>
    </row>
    <row r="287" spans="6:101">
      <c r="F287" s="9"/>
      <c r="G287" s="22">
        <v>0.40512100000000001</v>
      </c>
      <c r="H287" s="22">
        <v>14.1861</v>
      </c>
      <c r="I287" s="22">
        <v>-1.5118400000000001E-2</v>
      </c>
      <c r="J287" s="22">
        <v>277</v>
      </c>
      <c r="K287" s="22">
        <v>0.40438800000000003</v>
      </c>
      <c r="L287">
        <f t="shared" si="48"/>
        <v>15.118400000000001</v>
      </c>
      <c r="M287">
        <f t="shared" si="49"/>
        <v>6.1247813264000008</v>
      </c>
      <c r="N287" s="9"/>
      <c r="O287" s="22">
        <v>1.2948599999999999</v>
      </c>
      <c r="P287" s="22">
        <v>46.959200000000003</v>
      </c>
      <c r="Q287" s="22">
        <v>-1.45355E-2</v>
      </c>
      <c r="R287" s="22">
        <v>277</v>
      </c>
      <c r="S287" s="22">
        <v>1.2936399999999999</v>
      </c>
      <c r="T287">
        <f t="shared" si="50"/>
        <v>14.535499999999999</v>
      </c>
      <c r="U287">
        <f t="shared" si="51"/>
        <v>18.821437529999997</v>
      </c>
      <c r="X287" s="9"/>
      <c r="Y287" s="22">
        <v>0.40512100000000001</v>
      </c>
      <c r="Z287" s="22">
        <v>75.012200000000007</v>
      </c>
      <c r="AA287" s="22">
        <v>-1.5240500000000001E-2</v>
      </c>
      <c r="AB287" s="22">
        <v>277</v>
      </c>
      <c r="AC287" s="22">
        <v>0.40438800000000003</v>
      </c>
      <c r="AD287">
        <f t="shared" si="52"/>
        <v>15.240500000000001</v>
      </c>
      <c r="AE287">
        <f t="shared" si="53"/>
        <v>6.1742466005000001</v>
      </c>
      <c r="AF287" s="9"/>
      <c r="AG287" s="22">
        <v>1.2948599999999999</v>
      </c>
      <c r="AH287" s="22">
        <v>109.727</v>
      </c>
      <c r="AI287" s="22">
        <v>-1.4563E-2</v>
      </c>
      <c r="AJ287" s="22">
        <v>277</v>
      </c>
      <c r="AK287" s="22">
        <v>1.2939499999999999</v>
      </c>
      <c r="AL287">
        <f t="shared" si="54"/>
        <v>14.562999999999999</v>
      </c>
      <c r="AM287">
        <f t="shared" si="55"/>
        <v>18.857046179999998</v>
      </c>
      <c r="AP287" s="9"/>
      <c r="AQ287" s="22">
        <v>0.40512100000000001</v>
      </c>
      <c r="AR287" s="22">
        <v>138.208</v>
      </c>
      <c r="AS287" s="22">
        <v>-1.5261800000000001E-2</v>
      </c>
      <c r="AT287" s="22">
        <v>277</v>
      </c>
      <c r="AU287" s="22">
        <v>0.40441899999999997</v>
      </c>
      <c r="AV287">
        <f t="shared" si="56"/>
        <v>15.261800000000001</v>
      </c>
      <c r="AW287">
        <f t="shared" si="57"/>
        <v>6.1828756778000002</v>
      </c>
      <c r="AX287" s="9"/>
      <c r="AY287" s="22">
        <v>1.2948599999999999</v>
      </c>
      <c r="AZ287" s="22">
        <v>182.06299999999999</v>
      </c>
      <c r="BA287" s="22">
        <v>-1.4700299999999999E-2</v>
      </c>
      <c r="BB287" s="22">
        <v>277</v>
      </c>
      <c r="BC287" s="22">
        <v>1.2933300000000001</v>
      </c>
      <c r="BD287">
        <f t="shared" si="58"/>
        <v>14.700299999999999</v>
      </c>
      <c r="BE287">
        <f t="shared" si="59"/>
        <v>19.034830457999998</v>
      </c>
    </row>
    <row r="288" spans="6:101">
      <c r="F288" s="9"/>
      <c r="G288" s="22">
        <v>0.40008500000000002</v>
      </c>
      <c r="H288" s="22">
        <v>14.196199999999999</v>
      </c>
      <c r="I288" s="22">
        <v>-1.51215E-2</v>
      </c>
      <c r="J288" s="22">
        <v>278</v>
      </c>
      <c r="K288" s="22">
        <v>0.39932299999999998</v>
      </c>
      <c r="L288">
        <f t="shared" si="48"/>
        <v>15.121499999999999</v>
      </c>
      <c r="M288">
        <f t="shared" si="49"/>
        <v>6.0498853275000002</v>
      </c>
      <c r="N288" s="9"/>
      <c r="O288" s="22">
        <v>1.2999000000000001</v>
      </c>
      <c r="P288" s="22">
        <v>46.969299999999997</v>
      </c>
      <c r="Q288" s="22">
        <v>-1.45355E-2</v>
      </c>
      <c r="R288" s="22">
        <v>278</v>
      </c>
      <c r="S288" s="22">
        <v>1.2985199999999999</v>
      </c>
      <c r="T288">
        <f t="shared" si="50"/>
        <v>14.535499999999999</v>
      </c>
      <c r="U288">
        <f t="shared" si="51"/>
        <v>18.894696449999998</v>
      </c>
      <c r="X288" s="9"/>
      <c r="Y288" s="22">
        <v>0.40008500000000002</v>
      </c>
      <c r="Z288" s="22">
        <v>75.022300000000001</v>
      </c>
      <c r="AA288" s="22">
        <v>-1.5246600000000001E-2</v>
      </c>
      <c r="AB288" s="22">
        <v>278</v>
      </c>
      <c r="AC288" s="22">
        <v>0.399231</v>
      </c>
      <c r="AD288">
        <f t="shared" si="52"/>
        <v>15.246600000000001</v>
      </c>
      <c r="AE288">
        <f t="shared" si="53"/>
        <v>6.0999359610000008</v>
      </c>
      <c r="AF288" s="9"/>
      <c r="AG288" s="22">
        <v>1.2999000000000001</v>
      </c>
      <c r="AH288" s="22">
        <v>109.73699999999999</v>
      </c>
      <c r="AI288" s="22">
        <v>-1.4556899999999999E-2</v>
      </c>
      <c r="AJ288" s="22">
        <v>278</v>
      </c>
      <c r="AK288" s="22">
        <v>1.2991299999999999</v>
      </c>
      <c r="AL288">
        <f t="shared" si="54"/>
        <v>14.556899999999999</v>
      </c>
      <c r="AM288">
        <f t="shared" si="55"/>
        <v>18.92251431</v>
      </c>
      <c r="AP288" s="9"/>
      <c r="AQ288" s="22">
        <v>0.40008500000000002</v>
      </c>
      <c r="AR288" s="22">
        <v>138.21899999999999</v>
      </c>
      <c r="AS288" s="22">
        <v>-1.52649E-2</v>
      </c>
      <c r="AT288" s="22">
        <v>278</v>
      </c>
      <c r="AU288" s="22">
        <v>0.39929199999999998</v>
      </c>
      <c r="AV288">
        <f t="shared" si="56"/>
        <v>15.264899999999999</v>
      </c>
      <c r="AW288">
        <f t="shared" si="57"/>
        <v>6.1072575164999998</v>
      </c>
      <c r="AX288" s="9"/>
      <c r="AY288" s="22">
        <v>1.2999000000000001</v>
      </c>
      <c r="AZ288" s="22">
        <v>182.07300000000001</v>
      </c>
      <c r="BA288" s="22">
        <v>-1.46973E-2</v>
      </c>
      <c r="BB288" s="22">
        <v>278</v>
      </c>
      <c r="BC288" s="22">
        <v>1.2991299999999999</v>
      </c>
      <c r="BD288">
        <f t="shared" si="58"/>
        <v>14.6973</v>
      </c>
      <c r="BE288">
        <f t="shared" si="59"/>
        <v>19.105020270000001</v>
      </c>
    </row>
    <row r="289" spans="6:57">
      <c r="F289" s="9"/>
      <c r="G289" s="22">
        <v>0.39505000000000001</v>
      </c>
      <c r="H289" s="22">
        <v>14.206200000000001</v>
      </c>
      <c r="I289" s="22">
        <v>-1.51276E-2</v>
      </c>
      <c r="J289" s="22">
        <v>279</v>
      </c>
      <c r="K289" s="22">
        <v>0.394287</v>
      </c>
      <c r="L289">
        <f t="shared" si="48"/>
        <v>15.127599999999999</v>
      </c>
      <c r="M289">
        <f t="shared" si="49"/>
        <v>5.9761583800000002</v>
      </c>
      <c r="N289" s="9"/>
      <c r="O289" s="22">
        <v>1.3049299999999999</v>
      </c>
      <c r="P289" s="22">
        <v>46.979399999999998</v>
      </c>
      <c r="Q289" s="22">
        <v>-1.45264E-2</v>
      </c>
      <c r="R289" s="22">
        <v>279</v>
      </c>
      <c r="S289" s="22">
        <v>1.30402</v>
      </c>
      <c r="T289">
        <f t="shared" si="50"/>
        <v>14.526400000000001</v>
      </c>
      <c r="U289">
        <f t="shared" si="51"/>
        <v>18.955935151999999</v>
      </c>
      <c r="X289" s="9"/>
      <c r="Y289" s="22">
        <v>0.39505000000000001</v>
      </c>
      <c r="Z289" s="22">
        <v>75.032399999999996</v>
      </c>
      <c r="AA289" s="22">
        <v>-1.5252699999999999E-2</v>
      </c>
      <c r="AB289" s="22">
        <v>279</v>
      </c>
      <c r="AC289" s="22">
        <v>0.394287</v>
      </c>
      <c r="AD289">
        <f t="shared" si="52"/>
        <v>15.252699999999999</v>
      </c>
      <c r="AE289">
        <f t="shared" si="53"/>
        <v>6.0255791350000001</v>
      </c>
      <c r="AF289" s="9"/>
      <c r="AG289" s="22">
        <v>1.3049299999999999</v>
      </c>
      <c r="AH289" s="22">
        <v>109.748</v>
      </c>
      <c r="AI289" s="22">
        <v>-1.45538E-2</v>
      </c>
      <c r="AJ289" s="22">
        <v>279</v>
      </c>
      <c r="AK289" s="22">
        <v>1.30402</v>
      </c>
      <c r="AL289">
        <f t="shared" si="54"/>
        <v>14.553800000000001</v>
      </c>
      <c r="AM289">
        <f t="shared" si="55"/>
        <v>18.991690234</v>
      </c>
      <c r="AP289" s="9"/>
      <c r="AQ289" s="22">
        <v>0.39505000000000001</v>
      </c>
      <c r="AR289" s="22">
        <v>138.22900000000001</v>
      </c>
      <c r="AS289" s="22">
        <v>-1.5267899999999999E-2</v>
      </c>
      <c r="AT289" s="22">
        <v>279</v>
      </c>
      <c r="AU289" s="22">
        <v>0.39425700000000002</v>
      </c>
      <c r="AV289">
        <f t="shared" si="56"/>
        <v>15.267899999999999</v>
      </c>
      <c r="AW289">
        <f t="shared" si="57"/>
        <v>6.0315838949999998</v>
      </c>
      <c r="AX289" s="9"/>
      <c r="AY289" s="22">
        <v>1.3049299999999999</v>
      </c>
      <c r="AZ289" s="22">
        <v>182.083</v>
      </c>
      <c r="BA289" s="22">
        <v>-1.46912E-2</v>
      </c>
      <c r="BB289" s="22">
        <v>279</v>
      </c>
      <c r="BC289" s="22">
        <v>1.3043199999999999</v>
      </c>
      <c r="BD289">
        <f t="shared" si="58"/>
        <v>14.6912</v>
      </c>
      <c r="BE289">
        <f t="shared" si="59"/>
        <v>19.170987615999998</v>
      </c>
    </row>
    <row r="290" spans="6:57">
      <c r="F290" s="9"/>
      <c r="G290" s="22">
        <v>0.390015</v>
      </c>
      <c r="H290" s="22">
        <v>14.2163</v>
      </c>
      <c r="I290" s="22">
        <v>-1.5130599999999999E-2</v>
      </c>
      <c r="J290" s="22">
        <v>280</v>
      </c>
      <c r="K290" s="22">
        <v>0.38922099999999998</v>
      </c>
      <c r="L290">
        <f t="shared" si="48"/>
        <v>15.130599999999999</v>
      </c>
      <c r="M290">
        <f t="shared" si="49"/>
        <v>5.9011609589999994</v>
      </c>
      <c r="N290" s="9"/>
      <c r="O290" s="22">
        <v>1.3099700000000001</v>
      </c>
      <c r="P290" s="22">
        <v>46.989400000000003</v>
      </c>
      <c r="Q290" s="22">
        <v>-1.4523299999999999E-2</v>
      </c>
      <c r="R290" s="22">
        <v>280</v>
      </c>
      <c r="S290" s="22">
        <v>1.3089</v>
      </c>
      <c r="T290">
        <f t="shared" si="50"/>
        <v>14.523299999999999</v>
      </c>
      <c r="U290">
        <f t="shared" si="51"/>
        <v>19.025087300999999</v>
      </c>
      <c r="X290" s="9"/>
      <c r="Y290" s="22">
        <v>0.390015</v>
      </c>
      <c r="Z290" s="22">
        <v>75.042500000000004</v>
      </c>
      <c r="AA290" s="22">
        <v>-1.5258799999999999E-2</v>
      </c>
      <c r="AB290" s="22">
        <v>280</v>
      </c>
      <c r="AC290" s="22">
        <v>0.38919100000000001</v>
      </c>
      <c r="AD290">
        <f t="shared" si="52"/>
        <v>15.258799999999999</v>
      </c>
      <c r="AE290">
        <f t="shared" si="53"/>
        <v>5.9511608819999999</v>
      </c>
      <c r="AF290" s="9"/>
      <c r="AG290" s="22">
        <v>1.3099700000000001</v>
      </c>
      <c r="AH290" s="22">
        <v>109.758</v>
      </c>
      <c r="AI290" s="22">
        <v>-1.4550799999999999E-2</v>
      </c>
      <c r="AJ290" s="22">
        <v>280</v>
      </c>
      <c r="AK290" s="22">
        <v>1.3091999999999999</v>
      </c>
      <c r="AL290">
        <f t="shared" si="54"/>
        <v>14.550799999999999</v>
      </c>
      <c r="AM290">
        <f t="shared" si="55"/>
        <v>19.061111476000001</v>
      </c>
      <c r="AP290" s="9"/>
      <c r="AQ290" s="22">
        <v>0.390015</v>
      </c>
      <c r="AR290" s="22">
        <v>138.239</v>
      </c>
      <c r="AS290" s="22">
        <v>-1.5273999999999999E-2</v>
      </c>
      <c r="AT290" s="22">
        <v>280</v>
      </c>
      <c r="AU290" s="22">
        <v>0.389374</v>
      </c>
      <c r="AV290">
        <f t="shared" si="56"/>
        <v>15.273999999999999</v>
      </c>
      <c r="AW290">
        <f t="shared" si="57"/>
        <v>5.9570891100000001</v>
      </c>
      <c r="AX290" s="9"/>
      <c r="AY290" s="22">
        <v>1.3099700000000001</v>
      </c>
      <c r="AZ290" s="22">
        <v>182.09299999999999</v>
      </c>
      <c r="BA290" s="22">
        <v>-1.46851E-2</v>
      </c>
      <c r="BB290" s="22">
        <v>280</v>
      </c>
      <c r="BC290" s="22">
        <v>1.3089</v>
      </c>
      <c r="BD290">
        <f t="shared" si="58"/>
        <v>14.6851</v>
      </c>
      <c r="BE290">
        <f t="shared" si="59"/>
        <v>19.237040447000002</v>
      </c>
    </row>
    <row r="291" spans="6:57">
      <c r="F291" s="9"/>
      <c r="G291" s="22">
        <v>0.38497900000000002</v>
      </c>
      <c r="H291" s="22">
        <v>14.2264</v>
      </c>
      <c r="I291" s="22">
        <v>-1.5130599999999999E-2</v>
      </c>
      <c r="J291" s="22">
        <v>281</v>
      </c>
      <c r="K291" s="22">
        <v>0.38418600000000003</v>
      </c>
      <c r="L291">
        <f t="shared" si="48"/>
        <v>15.130599999999999</v>
      </c>
      <c r="M291">
        <f t="shared" si="49"/>
        <v>5.8249632574000003</v>
      </c>
      <c r="N291" s="9"/>
      <c r="O291" s="22">
        <v>1.3149999999999999</v>
      </c>
      <c r="P291" s="22">
        <v>46.999499999999998</v>
      </c>
      <c r="Q291" s="22">
        <v>-1.45142E-2</v>
      </c>
      <c r="R291" s="22">
        <v>281</v>
      </c>
      <c r="S291" s="22">
        <v>1.3137799999999999</v>
      </c>
      <c r="T291">
        <f t="shared" si="50"/>
        <v>14.514199999999999</v>
      </c>
      <c r="U291">
        <f t="shared" si="51"/>
        <v>19.086172999999999</v>
      </c>
      <c r="X291" s="9"/>
      <c r="Y291" s="22">
        <v>0.38497900000000002</v>
      </c>
      <c r="Z291" s="22">
        <v>75.052499999999995</v>
      </c>
      <c r="AA291" s="22">
        <v>-1.52649E-2</v>
      </c>
      <c r="AB291" s="22">
        <v>281</v>
      </c>
      <c r="AC291" s="22">
        <v>0.38418600000000003</v>
      </c>
      <c r="AD291">
        <f t="shared" si="52"/>
        <v>15.264899999999999</v>
      </c>
      <c r="AE291">
        <f t="shared" si="53"/>
        <v>5.8766659371000003</v>
      </c>
      <c r="AF291" s="9"/>
      <c r="AG291" s="22">
        <v>1.3149999999999999</v>
      </c>
      <c r="AH291" s="22">
        <v>109.768</v>
      </c>
      <c r="AI291" s="22">
        <v>-1.45416E-2</v>
      </c>
      <c r="AJ291" s="22">
        <v>281</v>
      </c>
      <c r="AK291" s="22">
        <v>1.3137799999999999</v>
      </c>
      <c r="AL291">
        <f t="shared" si="54"/>
        <v>14.541600000000001</v>
      </c>
      <c r="AM291">
        <f t="shared" si="55"/>
        <v>19.122204</v>
      </c>
      <c r="AP291" s="9"/>
      <c r="AQ291" s="22">
        <v>0.38497900000000002</v>
      </c>
      <c r="AR291" s="22">
        <v>138.249</v>
      </c>
      <c r="AS291" s="22">
        <v>-1.5280200000000001E-2</v>
      </c>
      <c r="AT291" s="22">
        <v>281</v>
      </c>
      <c r="AU291" s="22">
        <v>0.38412499999999999</v>
      </c>
      <c r="AV291">
        <f t="shared" si="56"/>
        <v>15.280200000000001</v>
      </c>
      <c r="AW291">
        <f t="shared" si="57"/>
        <v>5.8825561158000008</v>
      </c>
      <c r="AX291" s="9"/>
      <c r="AY291" s="22">
        <v>1.3149999999999999</v>
      </c>
      <c r="AZ291" s="22">
        <v>182.10300000000001</v>
      </c>
      <c r="BA291" s="22">
        <v>-1.46759E-2</v>
      </c>
      <c r="BB291" s="22">
        <v>281</v>
      </c>
      <c r="BC291" s="22">
        <v>1.31409</v>
      </c>
      <c r="BD291">
        <f t="shared" si="58"/>
        <v>14.6759</v>
      </c>
      <c r="BE291">
        <f t="shared" si="59"/>
        <v>19.2988085</v>
      </c>
    </row>
    <row r="292" spans="6:57">
      <c r="F292" s="9"/>
      <c r="G292" s="22">
        <v>0.379944</v>
      </c>
      <c r="H292" s="22">
        <v>14.236499999999999</v>
      </c>
      <c r="I292" s="22">
        <v>-1.5136699999999999E-2</v>
      </c>
      <c r="J292" s="22">
        <v>282</v>
      </c>
      <c r="K292" s="22">
        <v>0.379272</v>
      </c>
      <c r="L292">
        <f t="shared" si="48"/>
        <v>15.136699999999999</v>
      </c>
      <c r="M292">
        <f t="shared" si="49"/>
        <v>5.7510983447999999</v>
      </c>
      <c r="N292" s="9"/>
      <c r="O292" s="22">
        <v>1.3200400000000001</v>
      </c>
      <c r="P292" s="22">
        <v>47.009599999999999</v>
      </c>
      <c r="Q292" s="22">
        <v>-1.4511100000000001E-2</v>
      </c>
      <c r="R292" s="22">
        <v>282</v>
      </c>
      <c r="S292" s="22">
        <v>1.31958</v>
      </c>
      <c r="T292">
        <f t="shared" si="50"/>
        <v>14.511100000000001</v>
      </c>
      <c r="U292">
        <f t="shared" si="51"/>
        <v>19.155232444000003</v>
      </c>
      <c r="X292" s="9"/>
      <c r="Y292" s="22">
        <v>0.379944</v>
      </c>
      <c r="Z292" s="22">
        <v>75.062600000000003</v>
      </c>
      <c r="AA292" s="22">
        <v>-1.52649E-2</v>
      </c>
      <c r="AB292" s="22">
        <v>282</v>
      </c>
      <c r="AC292" s="22">
        <v>0.37914999999999999</v>
      </c>
      <c r="AD292">
        <f t="shared" si="52"/>
        <v>15.264899999999999</v>
      </c>
      <c r="AE292">
        <f t="shared" si="53"/>
        <v>5.7998071655999999</v>
      </c>
      <c r="AF292" s="9"/>
      <c r="AG292" s="22">
        <v>1.3200400000000001</v>
      </c>
      <c r="AH292" s="22">
        <v>109.77800000000001</v>
      </c>
      <c r="AI292" s="22">
        <v>-1.45355E-2</v>
      </c>
      <c r="AJ292" s="22">
        <v>282</v>
      </c>
      <c r="AK292" s="22">
        <v>1.3192699999999999</v>
      </c>
      <c r="AL292">
        <f t="shared" si="54"/>
        <v>14.535499999999999</v>
      </c>
      <c r="AM292">
        <f t="shared" si="55"/>
        <v>19.187441419999999</v>
      </c>
      <c r="AP292" s="9"/>
      <c r="AQ292" s="22">
        <v>0.379944</v>
      </c>
      <c r="AR292" s="22">
        <v>138.25899999999999</v>
      </c>
      <c r="AS292" s="22">
        <v>-1.5286299999999999E-2</v>
      </c>
      <c r="AT292" s="22">
        <v>282</v>
      </c>
      <c r="AU292" s="22">
        <v>0.37918099999999999</v>
      </c>
      <c r="AV292">
        <f t="shared" si="56"/>
        <v>15.286299999999999</v>
      </c>
      <c r="AW292">
        <f t="shared" si="57"/>
        <v>5.8079379672</v>
      </c>
      <c r="AX292" s="9"/>
      <c r="AY292" s="22">
        <v>1.3200400000000001</v>
      </c>
      <c r="AZ292" s="22">
        <v>182.113</v>
      </c>
      <c r="BA292" s="22">
        <v>-1.46759E-2</v>
      </c>
      <c r="BB292" s="22">
        <v>282</v>
      </c>
      <c r="BC292" s="22">
        <v>1.3192699999999999</v>
      </c>
      <c r="BD292">
        <f t="shared" si="58"/>
        <v>14.6759</v>
      </c>
      <c r="BE292">
        <f t="shared" si="59"/>
        <v>19.372775036000004</v>
      </c>
    </row>
    <row r="293" spans="6:57">
      <c r="F293" s="9"/>
      <c r="G293" s="22">
        <v>0.37490800000000002</v>
      </c>
      <c r="H293" s="22">
        <v>14.246499999999999</v>
      </c>
      <c r="I293" s="22">
        <v>-1.51459E-2</v>
      </c>
      <c r="J293" s="22">
        <v>283</v>
      </c>
      <c r="K293" s="22">
        <v>0.37414599999999998</v>
      </c>
      <c r="L293">
        <f t="shared" si="48"/>
        <v>15.145900000000001</v>
      </c>
      <c r="M293">
        <f t="shared" si="49"/>
        <v>5.6783190772000003</v>
      </c>
      <c r="N293" s="9"/>
      <c r="O293" s="22">
        <v>1.32507</v>
      </c>
      <c r="P293" s="22">
        <v>47.019599999999997</v>
      </c>
      <c r="Q293" s="22">
        <v>-1.4501999999999999E-2</v>
      </c>
      <c r="R293" s="22">
        <v>283</v>
      </c>
      <c r="S293" s="22">
        <v>1.32385</v>
      </c>
      <c r="T293">
        <f t="shared" si="50"/>
        <v>14.501999999999999</v>
      </c>
      <c r="U293">
        <f t="shared" si="51"/>
        <v>19.216165139999998</v>
      </c>
      <c r="X293" s="9"/>
      <c r="Y293" s="22">
        <v>0.37490800000000002</v>
      </c>
      <c r="Z293" s="22">
        <v>75.072699999999998</v>
      </c>
      <c r="AA293" s="22">
        <v>-1.5267899999999999E-2</v>
      </c>
      <c r="AB293" s="22">
        <v>283</v>
      </c>
      <c r="AC293" s="22">
        <v>0.37402299999999999</v>
      </c>
      <c r="AD293">
        <f t="shared" si="52"/>
        <v>15.267899999999999</v>
      </c>
      <c r="AE293">
        <f t="shared" si="53"/>
        <v>5.7240578531999997</v>
      </c>
      <c r="AF293" s="9"/>
      <c r="AG293" s="22">
        <v>1.32507</v>
      </c>
      <c r="AH293" s="22">
        <v>109.788</v>
      </c>
      <c r="AI293" s="22">
        <v>-1.45264E-2</v>
      </c>
      <c r="AJ293" s="22">
        <v>283</v>
      </c>
      <c r="AK293" s="22">
        <v>1.32446</v>
      </c>
      <c r="AL293">
        <f t="shared" si="54"/>
        <v>14.526400000000001</v>
      </c>
      <c r="AM293">
        <f t="shared" si="55"/>
        <v>19.248496848000002</v>
      </c>
      <c r="AP293" s="9"/>
      <c r="AQ293" s="22">
        <v>0.37490800000000002</v>
      </c>
      <c r="AR293" s="22">
        <v>138.26900000000001</v>
      </c>
      <c r="AS293" s="22">
        <v>-1.5286299999999999E-2</v>
      </c>
      <c r="AT293" s="22">
        <v>283</v>
      </c>
      <c r="AU293" s="22">
        <v>0.37414599999999998</v>
      </c>
      <c r="AV293">
        <f t="shared" si="56"/>
        <v>15.286299999999999</v>
      </c>
      <c r="AW293">
        <f t="shared" si="57"/>
        <v>5.7309561603999999</v>
      </c>
      <c r="AX293" s="9"/>
      <c r="AY293" s="22">
        <v>1.32507</v>
      </c>
      <c r="AZ293" s="22">
        <v>182.12299999999999</v>
      </c>
      <c r="BA293" s="22">
        <v>-1.46698E-2</v>
      </c>
      <c r="BB293" s="22">
        <v>283</v>
      </c>
      <c r="BC293" s="22">
        <v>1.32416</v>
      </c>
      <c r="BD293">
        <f t="shared" si="58"/>
        <v>14.6698</v>
      </c>
      <c r="BE293">
        <f t="shared" si="59"/>
        <v>19.438511886000001</v>
      </c>
    </row>
    <row r="294" spans="6:57">
      <c r="F294" s="9"/>
      <c r="G294" s="22">
        <v>0.36987300000000001</v>
      </c>
      <c r="H294" s="22">
        <v>14.256600000000001</v>
      </c>
      <c r="I294" s="22">
        <v>-1.51489E-2</v>
      </c>
      <c r="J294" s="22">
        <v>284</v>
      </c>
      <c r="K294" s="22">
        <v>0.36901899999999999</v>
      </c>
      <c r="L294">
        <f t="shared" si="48"/>
        <v>15.148899999999999</v>
      </c>
      <c r="M294">
        <f t="shared" si="49"/>
        <v>5.6031690896999997</v>
      </c>
      <c r="N294" s="9"/>
      <c r="O294" s="22">
        <v>1.3301099999999999</v>
      </c>
      <c r="P294" s="22">
        <v>47.029699999999998</v>
      </c>
      <c r="Q294" s="22">
        <v>-1.44928E-2</v>
      </c>
      <c r="R294" s="22">
        <v>284</v>
      </c>
      <c r="S294" s="22">
        <v>1.32904</v>
      </c>
      <c r="T294">
        <f t="shared" si="50"/>
        <v>14.492800000000001</v>
      </c>
      <c r="U294">
        <f t="shared" si="51"/>
        <v>19.277018208000001</v>
      </c>
      <c r="X294" s="9"/>
      <c r="Y294" s="22">
        <v>0.36987300000000001</v>
      </c>
      <c r="Z294" s="22">
        <v>75.082700000000003</v>
      </c>
      <c r="AA294" s="22">
        <v>-1.5271E-2</v>
      </c>
      <c r="AB294" s="22">
        <v>284</v>
      </c>
      <c r="AC294" s="22">
        <v>0.369141</v>
      </c>
      <c r="AD294">
        <f t="shared" si="52"/>
        <v>15.270999999999999</v>
      </c>
      <c r="AE294">
        <f t="shared" si="53"/>
        <v>5.6483305829999999</v>
      </c>
      <c r="AF294" s="9"/>
      <c r="AG294" s="22">
        <v>1.3301099999999999</v>
      </c>
      <c r="AH294" s="22">
        <v>109.798</v>
      </c>
      <c r="AI294" s="22">
        <v>-1.45203E-2</v>
      </c>
      <c r="AJ294" s="22">
        <v>284</v>
      </c>
      <c r="AK294" s="22">
        <v>1.32904</v>
      </c>
      <c r="AL294">
        <f t="shared" si="54"/>
        <v>14.520300000000001</v>
      </c>
      <c r="AM294">
        <f t="shared" si="55"/>
        <v>19.313596232999998</v>
      </c>
      <c r="AP294" s="9"/>
      <c r="AQ294" s="22">
        <v>0.36987300000000001</v>
      </c>
      <c r="AR294" s="22">
        <v>138.279</v>
      </c>
      <c r="AS294" s="22">
        <v>-1.52893E-2</v>
      </c>
      <c r="AT294" s="22">
        <v>284</v>
      </c>
      <c r="AU294" s="22">
        <v>0.36901899999999999</v>
      </c>
      <c r="AV294">
        <f t="shared" si="56"/>
        <v>15.289300000000001</v>
      </c>
      <c r="AW294">
        <f t="shared" si="57"/>
        <v>5.6550992589</v>
      </c>
      <c r="AX294" s="9"/>
      <c r="AY294" s="22">
        <v>1.3301099999999999</v>
      </c>
      <c r="AZ294" s="22">
        <v>182.13300000000001</v>
      </c>
      <c r="BA294" s="22">
        <v>-1.46667E-2</v>
      </c>
      <c r="BB294" s="22">
        <v>284</v>
      </c>
      <c r="BC294" s="22">
        <v>1.32904</v>
      </c>
      <c r="BD294">
        <f t="shared" si="58"/>
        <v>14.666699999999999</v>
      </c>
      <c r="BE294">
        <f t="shared" si="59"/>
        <v>19.508324336999998</v>
      </c>
    </row>
    <row r="295" spans="6:57">
      <c r="F295" s="9"/>
      <c r="G295" s="22">
        <v>0.364838</v>
      </c>
      <c r="H295" s="22">
        <v>14.2667</v>
      </c>
      <c r="I295" s="22">
        <v>-1.5158100000000001E-2</v>
      </c>
      <c r="J295" s="22">
        <v>285</v>
      </c>
      <c r="K295" s="22">
        <v>0.36407499999999998</v>
      </c>
      <c r="L295">
        <f t="shared" si="48"/>
        <v>15.158100000000001</v>
      </c>
      <c r="M295">
        <f t="shared" si="49"/>
        <v>5.5302508878000003</v>
      </c>
      <c r="N295" s="9"/>
      <c r="O295" s="22">
        <v>1.33514</v>
      </c>
      <c r="P295" s="22">
        <v>47.0398</v>
      </c>
      <c r="Q295" s="22">
        <v>-1.4489699999999999E-2</v>
      </c>
      <c r="R295" s="22">
        <v>285</v>
      </c>
      <c r="S295" s="22">
        <v>1.33423</v>
      </c>
      <c r="T295">
        <f t="shared" si="50"/>
        <v>14.489699999999999</v>
      </c>
      <c r="U295">
        <f t="shared" si="51"/>
        <v>19.345778058</v>
      </c>
      <c r="X295" s="9"/>
      <c r="Y295" s="22">
        <v>0.364838</v>
      </c>
      <c r="Z295" s="22">
        <v>75.092799999999997</v>
      </c>
      <c r="AA295" s="22">
        <v>-1.52771E-2</v>
      </c>
      <c r="AB295" s="22">
        <v>285</v>
      </c>
      <c r="AC295" s="22">
        <v>0.36419699999999999</v>
      </c>
      <c r="AD295">
        <f t="shared" si="52"/>
        <v>15.277100000000001</v>
      </c>
      <c r="AE295">
        <f t="shared" si="53"/>
        <v>5.5736666098000001</v>
      </c>
      <c r="AF295" s="9"/>
      <c r="AG295" s="22">
        <v>1.33514</v>
      </c>
      <c r="AH295" s="22">
        <v>109.80800000000001</v>
      </c>
      <c r="AI295" s="22">
        <v>-1.45142E-2</v>
      </c>
      <c r="AJ295" s="22">
        <v>285</v>
      </c>
      <c r="AK295" s="22">
        <v>1.33423</v>
      </c>
      <c r="AL295">
        <f t="shared" si="54"/>
        <v>14.514199999999999</v>
      </c>
      <c r="AM295">
        <f t="shared" si="55"/>
        <v>19.378488987999997</v>
      </c>
      <c r="AP295" s="9"/>
      <c r="AQ295" s="22">
        <v>0.364838</v>
      </c>
      <c r="AR295" s="22">
        <v>138.28899999999999</v>
      </c>
      <c r="AS295" s="22">
        <v>-1.52985E-2</v>
      </c>
      <c r="AT295" s="22">
        <v>285</v>
      </c>
      <c r="AU295" s="22">
        <v>0.36404399999999998</v>
      </c>
      <c r="AV295">
        <f t="shared" si="56"/>
        <v>15.298499999999999</v>
      </c>
      <c r="AW295">
        <f t="shared" si="57"/>
        <v>5.5814741429999994</v>
      </c>
      <c r="AX295" s="9"/>
      <c r="AY295" s="22">
        <v>1.33514</v>
      </c>
      <c r="AZ295" s="22">
        <v>182.143</v>
      </c>
      <c r="BA295" s="22">
        <v>-1.46576E-2</v>
      </c>
      <c r="BB295" s="22">
        <v>285</v>
      </c>
      <c r="BC295" s="22">
        <v>1.33423</v>
      </c>
      <c r="BD295">
        <f t="shared" si="58"/>
        <v>14.6576</v>
      </c>
      <c r="BE295">
        <f t="shared" si="59"/>
        <v>19.569948064000002</v>
      </c>
    </row>
    <row r="296" spans="6:57">
      <c r="F296" s="9"/>
      <c r="G296" s="22">
        <v>0.35980200000000001</v>
      </c>
      <c r="H296" s="22">
        <v>14.2767</v>
      </c>
      <c r="I296" s="22">
        <v>-1.5164199999999999E-2</v>
      </c>
      <c r="J296" s="22">
        <v>286</v>
      </c>
      <c r="K296" s="22">
        <v>0.35907</v>
      </c>
      <c r="L296">
        <f t="shared" si="48"/>
        <v>15.164199999999999</v>
      </c>
      <c r="M296">
        <f t="shared" si="49"/>
        <v>5.4561094884000001</v>
      </c>
      <c r="N296" s="9"/>
      <c r="O296" s="22">
        <v>1.3401799999999999</v>
      </c>
      <c r="P296" s="22">
        <v>47.049900000000001</v>
      </c>
      <c r="Q296" s="22">
        <v>-1.44806E-2</v>
      </c>
      <c r="R296" s="22">
        <v>286</v>
      </c>
      <c r="S296" s="22">
        <v>1.33911</v>
      </c>
      <c r="T296">
        <f t="shared" si="50"/>
        <v>14.480599999999999</v>
      </c>
      <c r="U296">
        <f t="shared" si="51"/>
        <v>19.406610507999996</v>
      </c>
      <c r="X296" s="9"/>
      <c r="Y296" s="22">
        <v>0.35980200000000001</v>
      </c>
      <c r="Z296" s="22">
        <v>75.102900000000005</v>
      </c>
      <c r="AA296" s="22">
        <v>-1.52832E-2</v>
      </c>
      <c r="AB296" s="22">
        <v>286</v>
      </c>
      <c r="AC296" s="22">
        <v>0.35891699999999999</v>
      </c>
      <c r="AD296">
        <f t="shared" si="52"/>
        <v>15.283200000000001</v>
      </c>
      <c r="AE296">
        <f t="shared" si="53"/>
        <v>5.4989259264000001</v>
      </c>
      <c r="AF296" s="9"/>
      <c r="AG296" s="22">
        <v>1.3401799999999999</v>
      </c>
      <c r="AH296" s="22">
        <v>109.818</v>
      </c>
      <c r="AI296" s="22">
        <v>-1.4508099999999999E-2</v>
      </c>
      <c r="AJ296" s="22">
        <v>286</v>
      </c>
      <c r="AK296" s="22">
        <v>1.33911</v>
      </c>
      <c r="AL296">
        <f t="shared" si="54"/>
        <v>14.508099999999999</v>
      </c>
      <c r="AM296">
        <f t="shared" si="55"/>
        <v>19.443465457999999</v>
      </c>
      <c r="AP296" s="9"/>
      <c r="AQ296" s="22">
        <v>0.35980200000000001</v>
      </c>
      <c r="AR296" s="22">
        <v>138.29900000000001</v>
      </c>
      <c r="AS296" s="22">
        <v>-1.53046E-2</v>
      </c>
      <c r="AT296" s="22">
        <v>286</v>
      </c>
      <c r="AU296" s="22">
        <v>0.359039</v>
      </c>
      <c r="AV296">
        <f t="shared" si="56"/>
        <v>15.304600000000001</v>
      </c>
      <c r="AW296">
        <f t="shared" si="57"/>
        <v>5.5066256892000007</v>
      </c>
      <c r="AX296" s="9"/>
      <c r="AY296" s="22">
        <v>1.3401799999999999</v>
      </c>
      <c r="AZ296" s="22">
        <v>182.15299999999999</v>
      </c>
      <c r="BA296" s="22">
        <v>-1.46515E-2</v>
      </c>
      <c r="BB296" s="22">
        <v>286</v>
      </c>
      <c r="BC296" s="22">
        <v>1.3385</v>
      </c>
      <c r="BD296">
        <f t="shared" si="58"/>
        <v>14.6515</v>
      </c>
      <c r="BE296">
        <f t="shared" si="59"/>
        <v>19.63564727</v>
      </c>
    </row>
    <row r="297" spans="6:57">
      <c r="F297" s="9"/>
      <c r="G297" s="22">
        <v>0.354767</v>
      </c>
      <c r="H297" s="22">
        <v>14.286799999999999</v>
      </c>
      <c r="I297" s="22">
        <v>-1.5170299999999999E-2</v>
      </c>
      <c r="J297" s="22">
        <v>287</v>
      </c>
      <c r="K297" s="22">
        <v>0.35406500000000002</v>
      </c>
      <c r="L297">
        <f t="shared" si="48"/>
        <v>15.170299999999999</v>
      </c>
      <c r="M297">
        <f t="shared" si="49"/>
        <v>5.3819218200999996</v>
      </c>
      <c r="N297" s="9"/>
      <c r="O297" s="22">
        <v>1.34521</v>
      </c>
      <c r="P297" s="22">
        <v>47.059899999999999</v>
      </c>
      <c r="Q297" s="22">
        <v>-1.4477500000000001E-2</v>
      </c>
      <c r="R297" s="22">
        <v>287</v>
      </c>
      <c r="S297" s="22">
        <v>1.3443000000000001</v>
      </c>
      <c r="T297">
        <f t="shared" si="50"/>
        <v>14.477500000000001</v>
      </c>
      <c r="U297">
        <f t="shared" si="51"/>
        <v>19.475277775000002</v>
      </c>
      <c r="X297" s="9"/>
      <c r="Y297" s="22">
        <v>0.354767</v>
      </c>
      <c r="Z297" s="22">
        <v>75.112899999999996</v>
      </c>
      <c r="AA297" s="22">
        <v>-1.52893E-2</v>
      </c>
      <c r="AB297" s="22">
        <v>287</v>
      </c>
      <c r="AC297" s="22">
        <v>0.353912</v>
      </c>
      <c r="AD297">
        <f t="shared" si="52"/>
        <v>15.289300000000001</v>
      </c>
      <c r="AE297">
        <f t="shared" si="53"/>
        <v>5.4241390931</v>
      </c>
      <c r="AF297" s="9"/>
      <c r="AG297" s="22">
        <v>1.34521</v>
      </c>
      <c r="AH297" s="22">
        <v>109.828</v>
      </c>
      <c r="AI297" s="22">
        <v>-1.4501999999999999E-2</v>
      </c>
      <c r="AJ297" s="22">
        <v>287</v>
      </c>
      <c r="AK297" s="22">
        <v>1.34399</v>
      </c>
      <c r="AL297">
        <f t="shared" si="54"/>
        <v>14.501999999999999</v>
      </c>
      <c r="AM297">
        <f t="shared" si="55"/>
        <v>19.508235419999998</v>
      </c>
      <c r="AP297" s="9"/>
      <c r="AQ297" s="22">
        <v>0.354767</v>
      </c>
      <c r="AR297" s="22">
        <v>138.309</v>
      </c>
      <c r="AS297" s="22">
        <v>-1.53107E-2</v>
      </c>
      <c r="AT297" s="22">
        <v>287</v>
      </c>
      <c r="AU297" s="22">
        <v>0.35385100000000003</v>
      </c>
      <c r="AV297">
        <f t="shared" si="56"/>
        <v>15.310700000000001</v>
      </c>
      <c r="AW297">
        <f t="shared" si="57"/>
        <v>5.4317311069000001</v>
      </c>
      <c r="AX297" s="9"/>
      <c r="AY297" s="22">
        <v>1.34521</v>
      </c>
      <c r="AZ297" s="22">
        <v>182.16300000000001</v>
      </c>
      <c r="BA297" s="22">
        <v>-1.4648400000000001E-2</v>
      </c>
      <c r="BB297" s="22">
        <v>287</v>
      </c>
      <c r="BC297" s="22">
        <v>1.34338</v>
      </c>
      <c r="BD297">
        <f t="shared" si="58"/>
        <v>14.648400000000001</v>
      </c>
      <c r="BE297">
        <f t="shared" si="59"/>
        <v>19.705174164000002</v>
      </c>
    </row>
    <row r="298" spans="6:57">
      <c r="F298" s="9"/>
      <c r="G298" s="22">
        <v>0.34973100000000001</v>
      </c>
      <c r="H298" s="22">
        <v>14.296900000000001</v>
      </c>
      <c r="I298" s="22">
        <v>-1.5173300000000001E-2</v>
      </c>
      <c r="J298" s="22">
        <v>288</v>
      </c>
      <c r="K298" s="22">
        <v>0.34896899999999997</v>
      </c>
      <c r="L298">
        <f t="shared" si="48"/>
        <v>15.173300000000001</v>
      </c>
      <c r="M298">
        <f t="shared" si="49"/>
        <v>5.3065733823000008</v>
      </c>
      <c r="N298" s="9"/>
      <c r="O298" s="22">
        <v>1.35025</v>
      </c>
      <c r="P298" s="22">
        <v>47.07</v>
      </c>
      <c r="Q298" s="22">
        <v>-1.4468399999999999E-2</v>
      </c>
      <c r="R298" s="22">
        <v>288</v>
      </c>
      <c r="S298" s="22">
        <v>1.3494900000000001</v>
      </c>
      <c r="T298">
        <f t="shared" si="50"/>
        <v>14.468399999999999</v>
      </c>
      <c r="U298">
        <f t="shared" si="51"/>
        <v>19.535957099999997</v>
      </c>
      <c r="X298" s="9"/>
      <c r="Y298" s="22">
        <v>0.34973100000000001</v>
      </c>
      <c r="Z298" s="22">
        <v>75.123000000000005</v>
      </c>
      <c r="AA298" s="22">
        <v>-1.5292399999999999E-2</v>
      </c>
      <c r="AB298" s="22">
        <v>288</v>
      </c>
      <c r="AC298" s="22">
        <v>0.34893800000000003</v>
      </c>
      <c r="AD298">
        <f t="shared" si="52"/>
        <v>15.292399999999999</v>
      </c>
      <c r="AE298">
        <f t="shared" si="53"/>
        <v>5.3482263443999996</v>
      </c>
      <c r="AF298" s="9"/>
      <c r="AG298" s="22">
        <v>1.35025</v>
      </c>
      <c r="AH298" s="22">
        <v>109.83799999999999</v>
      </c>
      <c r="AI298" s="22">
        <v>-1.44928E-2</v>
      </c>
      <c r="AJ298" s="22">
        <v>288</v>
      </c>
      <c r="AK298" s="22">
        <v>1.3494900000000001</v>
      </c>
      <c r="AL298">
        <f t="shared" si="54"/>
        <v>14.492800000000001</v>
      </c>
      <c r="AM298">
        <f t="shared" si="55"/>
        <v>19.568903200000001</v>
      </c>
      <c r="AP298" s="9"/>
      <c r="AQ298" s="22">
        <v>0.34973100000000001</v>
      </c>
      <c r="AR298" s="22">
        <v>138.31899999999999</v>
      </c>
      <c r="AS298" s="22">
        <v>-1.53137E-2</v>
      </c>
      <c r="AT298" s="22">
        <v>288</v>
      </c>
      <c r="AU298" s="22">
        <v>0.34896899999999997</v>
      </c>
      <c r="AV298">
        <f t="shared" si="56"/>
        <v>15.313699999999999</v>
      </c>
      <c r="AW298">
        <f t="shared" si="57"/>
        <v>5.3556756147</v>
      </c>
      <c r="AX298" s="9"/>
      <c r="AY298" s="22">
        <v>1.35025</v>
      </c>
      <c r="AZ298" s="22">
        <v>182.17400000000001</v>
      </c>
      <c r="BA298" s="22">
        <v>-1.46423E-2</v>
      </c>
      <c r="BB298" s="22">
        <v>288</v>
      </c>
      <c r="BC298" s="22">
        <v>1.3488800000000001</v>
      </c>
      <c r="BD298">
        <f t="shared" si="58"/>
        <v>14.642300000000001</v>
      </c>
      <c r="BE298">
        <f t="shared" si="59"/>
        <v>19.770765574999999</v>
      </c>
    </row>
    <row r="299" spans="6:57">
      <c r="F299" s="9"/>
      <c r="G299" s="22">
        <v>0.344696</v>
      </c>
      <c r="H299" s="22">
        <v>14.307</v>
      </c>
      <c r="I299" s="22">
        <v>-1.5179399999999999E-2</v>
      </c>
      <c r="J299" s="22">
        <v>289</v>
      </c>
      <c r="K299" s="22">
        <v>0.34390300000000001</v>
      </c>
      <c r="L299">
        <f t="shared" si="48"/>
        <v>15.179399999999999</v>
      </c>
      <c r="M299">
        <f t="shared" si="49"/>
        <v>5.2322784624000001</v>
      </c>
      <c r="N299" s="9"/>
      <c r="O299" s="22">
        <v>1.3552900000000001</v>
      </c>
      <c r="P299" s="22">
        <v>47.080100000000002</v>
      </c>
      <c r="Q299" s="22">
        <v>-1.44653E-2</v>
      </c>
      <c r="R299" s="22">
        <v>289</v>
      </c>
      <c r="S299" s="22">
        <v>1.3543700000000001</v>
      </c>
      <c r="T299">
        <f t="shared" si="50"/>
        <v>14.465300000000001</v>
      </c>
      <c r="U299">
        <f t="shared" si="51"/>
        <v>19.604676437000002</v>
      </c>
      <c r="X299" s="9"/>
      <c r="Y299" s="22">
        <v>0.344696</v>
      </c>
      <c r="Z299" s="22">
        <v>75.133099999999999</v>
      </c>
      <c r="AA299" s="22">
        <v>-1.52985E-2</v>
      </c>
      <c r="AB299" s="22">
        <v>289</v>
      </c>
      <c r="AC299" s="22">
        <v>0.34381099999999998</v>
      </c>
      <c r="AD299">
        <f t="shared" si="52"/>
        <v>15.298499999999999</v>
      </c>
      <c r="AE299">
        <f t="shared" si="53"/>
        <v>5.2733317559999993</v>
      </c>
      <c r="AF299" s="9"/>
      <c r="AG299" s="22">
        <v>1.3552900000000001</v>
      </c>
      <c r="AH299" s="22">
        <v>109.848</v>
      </c>
      <c r="AI299" s="22">
        <v>-1.44867E-2</v>
      </c>
      <c r="AJ299" s="22">
        <v>289</v>
      </c>
      <c r="AK299" s="22">
        <v>1.3546800000000001</v>
      </c>
      <c r="AL299">
        <f t="shared" si="54"/>
        <v>14.486700000000001</v>
      </c>
      <c r="AM299">
        <f t="shared" si="55"/>
        <v>19.633679643000004</v>
      </c>
      <c r="AP299" s="9"/>
      <c r="AQ299" s="22">
        <v>0.344696</v>
      </c>
      <c r="AR299" s="22">
        <v>138.32900000000001</v>
      </c>
      <c r="AS299" s="22">
        <v>-1.53168E-2</v>
      </c>
      <c r="AT299" s="22">
        <v>289</v>
      </c>
      <c r="AU299" s="22">
        <v>0.34393299999999999</v>
      </c>
      <c r="AV299">
        <f t="shared" si="56"/>
        <v>15.316800000000001</v>
      </c>
      <c r="AW299">
        <f t="shared" si="57"/>
        <v>5.2796396928</v>
      </c>
      <c r="AX299" s="9"/>
      <c r="AY299" s="22">
        <v>1.3552900000000001</v>
      </c>
      <c r="AZ299" s="22">
        <v>182.184</v>
      </c>
      <c r="BA299" s="22">
        <v>-1.4639299999999999E-2</v>
      </c>
      <c r="BB299" s="22">
        <v>289</v>
      </c>
      <c r="BC299" s="22">
        <v>1.35406</v>
      </c>
      <c r="BD299">
        <f t="shared" si="58"/>
        <v>14.639299999999999</v>
      </c>
      <c r="BE299">
        <f t="shared" si="59"/>
        <v>19.840496897000001</v>
      </c>
    </row>
    <row r="300" spans="6:57">
      <c r="F300" s="9"/>
      <c r="G300" s="22">
        <v>0.33966099999999999</v>
      </c>
      <c r="H300" s="22">
        <v>14.317</v>
      </c>
      <c r="I300" s="22">
        <v>-1.5185499999999999E-2</v>
      </c>
      <c r="J300" s="22">
        <v>290</v>
      </c>
      <c r="K300" s="22">
        <v>0.33895900000000001</v>
      </c>
      <c r="L300">
        <f t="shared" si="48"/>
        <v>15.185499999999999</v>
      </c>
      <c r="M300">
        <f t="shared" si="49"/>
        <v>5.1579221154999999</v>
      </c>
      <c r="N300" s="9"/>
      <c r="O300" s="22">
        <v>1.36032</v>
      </c>
      <c r="P300" s="22">
        <v>47.0901</v>
      </c>
      <c r="Q300" s="22">
        <v>-1.44592E-2</v>
      </c>
      <c r="R300" s="22">
        <v>290</v>
      </c>
      <c r="S300" s="22">
        <v>1.3589500000000001</v>
      </c>
      <c r="T300">
        <f t="shared" si="50"/>
        <v>14.459200000000001</v>
      </c>
      <c r="U300">
        <f t="shared" si="51"/>
        <v>19.669138944</v>
      </c>
      <c r="X300" s="9"/>
      <c r="Y300" s="22">
        <v>0.33966099999999999</v>
      </c>
      <c r="Z300" s="22">
        <v>75.143199999999993</v>
      </c>
      <c r="AA300" s="22">
        <v>-1.52985E-2</v>
      </c>
      <c r="AB300" s="22">
        <v>290</v>
      </c>
      <c r="AC300" s="22">
        <v>0.33905000000000002</v>
      </c>
      <c r="AD300">
        <f t="shared" si="52"/>
        <v>15.298499999999999</v>
      </c>
      <c r="AE300">
        <f t="shared" si="53"/>
        <v>5.1963038084999997</v>
      </c>
      <c r="AF300" s="9"/>
      <c r="AG300" s="22">
        <v>1.36032</v>
      </c>
      <c r="AH300" s="22">
        <v>109.858</v>
      </c>
      <c r="AI300" s="22">
        <v>-1.4477500000000001E-2</v>
      </c>
      <c r="AJ300" s="22">
        <v>290</v>
      </c>
      <c r="AK300" s="22">
        <v>1.3589500000000001</v>
      </c>
      <c r="AL300">
        <f t="shared" si="54"/>
        <v>14.477500000000001</v>
      </c>
      <c r="AM300">
        <f t="shared" si="55"/>
        <v>19.694032800000002</v>
      </c>
      <c r="AP300" s="9"/>
      <c r="AQ300" s="22">
        <v>0.33966099999999999</v>
      </c>
      <c r="AR300" s="22">
        <v>138.339</v>
      </c>
      <c r="AS300" s="22">
        <v>-1.53229E-2</v>
      </c>
      <c r="AT300" s="22">
        <v>290</v>
      </c>
      <c r="AU300" s="22">
        <v>0.33886699999999997</v>
      </c>
      <c r="AV300">
        <f t="shared" si="56"/>
        <v>15.322900000000001</v>
      </c>
      <c r="AW300">
        <f t="shared" si="57"/>
        <v>5.2045915368999998</v>
      </c>
      <c r="AX300" s="9"/>
      <c r="AY300" s="22">
        <v>1.36032</v>
      </c>
      <c r="AZ300" s="22">
        <v>182.19399999999999</v>
      </c>
      <c r="BA300" s="22">
        <v>-1.46362E-2</v>
      </c>
      <c r="BB300" s="22">
        <v>290</v>
      </c>
      <c r="BC300" s="22">
        <v>1.3589500000000001</v>
      </c>
      <c r="BD300">
        <f t="shared" si="58"/>
        <v>14.636200000000001</v>
      </c>
      <c r="BE300">
        <f t="shared" si="59"/>
        <v>19.909915584</v>
      </c>
    </row>
    <row r="301" spans="6:57">
      <c r="F301" s="9"/>
      <c r="G301" s="22">
        <v>0.33462500000000001</v>
      </c>
      <c r="H301" s="22">
        <v>14.3271</v>
      </c>
      <c r="I301" s="22">
        <v>-1.51886E-2</v>
      </c>
      <c r="J301" s="22">
        <v>291</v>
      </c>
      <c r="K301" s="22">
        <v>0.33383200000000002</v>
      </c>
      <c r="L301">
        <f t="shared" si="48"/>
        <v>15.188599999999999</v>
      </c>
      <c r="M301">
        <f t="shared" si="49"/>
        <v>5.0824852749999998</v>
      </c>
      <c r="N301" s="9"/>
      <c r="O301" s="22">
        <v>1.3653599999999999</v>
      </c>
      <c r="P301" s="22">
        <v>47.100200000000001</v>
      </c>
      <c r="Q301" s="22">
        <v>-1.44531E-2</v>
      </c>
      <c r="R301" s="22">
        <v>291</v>
      </c>
      <c r="S301" s="22">
        <v>1.3641399999999999</v>
      </c>
      <c r="T301">
        <f t="shared" si="50"/>
        <v>14.453099999999999</v>
      </c>
      <c r="U301">
        <f t="shared" si="51"/>
        <v>19.733684615999998</v>
      </c>
      <c r="X301" s="9"/>
      <c r="Y301" s="22">
        <v>0.33462500000000001</v>
      </c>
      <c r="Z301" s="22">
        <v>75.153199999999998</v>
      </c>
      <c r="AA301" s="22">
        <v>-1.53046E-2</v>
      </c>
      <c r="AB301" s="22">
        <v>291</v>
      </c>
      <c r="AC301" s="22">
        <v>0.33383200000000002</v>
      </c>
      <c r="AD301">
        <f t="shared" si="52"/>
        <v>15.304600000000001</v>
      </c>
      <c r="AE301">
        <f t="shared" si="53"/>
        <v>5.1213017750000001</v>
      </c>
      <c r="AF301" s="9"/>
      <c r="AG301" s="22">
        <v>1.3653599999999999</v>
      </c>
      <c r="AH301" s="22">
        <v>109.86799999999999</v>
      </c>
      <c r="AI301" s="22">
        <v>-1.4471400000000001E-2</v>
      </c>
      <c r="AJ301" s="22">
        <v>291</v>
      </c>
      <c r="AK301" s="22">
        <v>1.3644400000000001</v>
      </c>
      <c r="AL301">
        <f t="shared" si="54"/>
        <v>14.471400000000001</v>
      </c>
      <c r="AM301">
        <f t="shared" si="55"/>
        <v>19.758670704</v>
      </c>
      <c r="AP301" s="9"/>
      <c r="AQ301" s="22">
        <v>0.33462500000000001</v>
      </c>
      <c r="AR301" s="22">
        <v>138.34899999999999</v>
      </c>
      <c r="AS301" s="22">
        <v>-1.53229E-2</v>
      </c>
      <c r="AT301" s="22">
        <v>291</v>
      </c>
      <c r="AU301" s="22">
        <v>0.33380100000000001</v>
      </c>
      <c r="AV301">
        <f t="shared" si="56"/>
        <v>15.322900000000001</v>
      </c>
      <c r="AW301">
        <f t="shared" si="57"/>
        <v>5.1274254125000001</v>
      </c>
      <c r="AX301" s="9"/>
      <c r="AY301" s="22">
        <v>1.3653599999999999</v>
      </c>
      <c r="AZ301" s="22">
        <v>182.20400000000001</v>
      </c>
      <c r="BA301" s="22">
        <v>-1.4633200000000001E-2</v>
      </c>
      <c r="BB301" s="22">
        <v>291</v>
      </c>
      <c r="BC301" s="22">
        <v>1.3644400000000001</v>
      </c>
      <c r="BD301">
        <f t="shared" si="58"/>
        <v>14.6332</v>
      </c>
      <c r="BE301">
        <f t="shared" si="59"/>
        <v>19.979585952000001</v>
      </c>
    </row>
    <row r="302" spans="6:57">
      <c r="F302" s="9"/>
      <c r="G302" s="22">
        <v>0.32958999999999999</v>
      </c>
      <c r="H302" s="22">
        <v>14.337199999999999</v>
      </c>
      <c r="I302" s="22">
        <v>-1.5191700000000001E-2</v>
      </c>
      <c r="J302" s="22">
        <v>292</v>
      </c>
      <c r="K302" s="22">
        <v>0.32891799999999999</v>
      </c>
      <c r="L302">
        <f t="shared" si="48"/>
        <v>15.191700000000001</v>
      </c>
      <c r="M302">
        <f t="shared" si="49"/>
        <v>5.0070324030000002</v>
      </c>
      <c r="N302" s="9"/>
      <c r="O302" s="22">
        <v>1.37039</v>
      </c>
      <c r="P302" s="22">
        <v>47.110300000000002</v>
      </c>
      <c r="Q302" s="22">
        <v>-1.4444E-2</v>
      </c>
      <c r="R302" s="22">
        <v>292</v>
      </c>
      <c r="S302" s="22">
        <v>1.3696299999999999</v>
      </c>
      <c r="T302">
        <f t="shared" si="50"/>
        <v>14.444000000000001</v>
      </c>
      <c r="U302">
        <f t="shared" si="51"/>
        <v>19.793913160000002</v>
      </c>
      <c r="X302" s="9"/>
      <c r="Y302" s="22">
        <v>0.32958999999999999</v>
      </c>
      <c r="Z302" s="22">
        <v>75.163300000000007</v>
      </c>
      <c r="AA302" s="22">
        <v>-1.53107E-2</v>
      </c>
      <c r="AB302" s="22">
        <v>292</v>
      </c>
      <c r="AC302" s="22">
        <v>0.328735</v>
      </c>
      <c r="AD302">
        <f t="shared" si="52"/>
        <v>15.310700000000001</v>
      </c>
      <c r="AE302">
        <f t="shared" si="53"/>
        <v>5.0462536130000002</v>
      </c>
      <c r="AF302" s="9"/>
      <c r="AG302" s="22">
        <v>1.37039</v>
      </c>
      <c r="AH302" s="22">
        <v>109.878</v>
      </c>
      <c r="AI302" s="22">
        <v>-1.44592E-2</v>
      </c>
      <c r="AJ302" s="22">
        <v>292</v>
      </c>
      <c r="AK302" s="22">
        <v>1.3696299999999999</v>
      </c>
      <c r="AL302">
        <f t="shared" si="54"/>
        <v>14.459200000000001</v>
      </c>
      <c r="AM302">
        <f t="shared" si="55"/>
        <v>19.814743088</v>
      </c>
      <c r="AP302" s="9"/>
      <c r="AQ302" s="22">
        <v>0.32958999999999999</v>
      </c>
      <c r="AR302" s="22">
        <v>138.35900000000001</v>
      </c>
      <c r="AS302" s="22">
        <v>-1.5329000000000001E-2</v>
      </c>
      <c r="AT302" s="22">
        <v>292</v>
      </c>
      <c r="AU302" s="22">
        <v>0.32885700000000001</v>
      </c>
      <c r="AV302">
        <f t="shared" si="56"/>
        <v>15.329000000000001</v>
      </c>
      <c r="AW302">
        <f t="shared" si="57"/>
        <v>5.0522851099999997</v>
      </c>
      <c r="AX302" s="9"/>
      <c r="AY302" s="22">
        <v>1.37039</v>
      </c>
      <c r="AZ302" s="22">
        <v>182.214</v>
      </c>
      <c r="BA302" s="22">
        <v>-1.46301E-2</v>
      </c>
      <c r="BB302" s="22">
        <v>292</v>
      </c>
      <c r="BC302" s="22">
        <v>1.3699300000000001</v>
      </c>
      <c r="BD302">
        <f t="shared" si="58"/>
        <v>14.630100000000001</v>
      </c>
      <c r="BE302">
        <f t="shared" si="59"/>
        <v>20.048942739000001</v>
      </c>
    </row>
    <row r="303" spans="6:57">
      <c r="F303" s="9"/>
      <c r="G303" s="22">
        <v>0.32455400000000001</v>
      </c>
      <c r="H303" s="22">
        <v>14.347200000000001</v>
      </c>
      <c r="I303" s="22">
        <v>-1.51947E-2</v>
      </c>
      <c r="J303" s="22">
        <v>293</v>
      </c>
      <c r="K303" s="22">
        <v>0.32379200000000002</v>
      </c>
      <c r="L303">
        <f t="shared" si="48"/>
        <v>15.194700000000001</v>
      </c>
      <c r="M303">
        <f t="shared" si="49"/>
        <v>4.9315006638000005</v>
      </c>
      <c r="N303" s="9"/>
      <c r="O303" s="22">
        <v>1.3754299999999999</v>
      </c>
      <c r="P303" s="22">
        <v>47.120399999999997</v>
      </c>
      <c r="Q303" s="22">
        <v>-1.44379E-2</v>
      </c>
      <c r="R303" s="22">
        <v>293</v>
      </c>
      <c r="S303" s="22">
        <v>1.3745099999999999</v>
      </c>
      <c r="T303">
        <f t="shared" si="50"/>
        <v>14.437900000000001</v>
      </c>
      <c r="U303">
        <f t="shared" si="51"/>
        <v>19.858320797000001</v>
      </c>
      <c r="X303" s="9"/>
      <c r="Y303" s="22">
        <v>0.32455400000000001</v>
      </c>
      <c r="Z303" s="22">
        <v>75.173400000000001</v>
      </c>
      <c r="AA303" s="22">
        <v>-1.53137E-2</v>
      </c>
      <c r="AB303" s="22">
        <v>293</v>
      </c>
      <c r="AC303" s="22">
        <v>0.32379200000000002</v>
      </c>
      <c r="AD303">
        <f t="shared" si="52"/>
        <v>15.313699999999999</v>
      </c>
      <c r="AE303">
        <f t="shared" si="53"/>
        <v>4.9701225897999999</v>
      </c>
      <c r="AF303" s="9"/>
      <c r="AG303" s="22">
        <v>1.3754299999999999</v>
      </c>
      <c r="AH303" s="22">
        <v>109.889</v>
      </c>
      <c r="AI303" s="22">
        <v>-1.44501E-2</v>
      </c>
      <c r="AJ303" s="22">
        <v>293</v>
      </c>
      <c r="AK303" s="22">
        <v>1.3748199999999999</v>
      </c>
      <c r="AL303">
        <f t="shared" si="54"/>
        <v>14.450100000000001</v>
      </c>
      <c r="AM303">
        <f t="shared" si="55"/>
        <v>19.875101043000001</v>
      </c>
      <c r="AP303" s="9"/>
      <c r="AQ303" s="22">
        <v>0.32455400000000001</v>
      </c>
      <c r="AR303" s="22">
        <v>138.37</v>
      </c>
      <c r="AS303" s="22">
        <v>-1.5335100000000001E-2</v>
      </c>
      <c r="AT303" s="22">
        <v>293</v>
      </c>
      <c r="AU303" s="22">
        <v>0.323853</v>
      </c>
      <c r="AV303">
        <f t="shared" si="56"/>
        <v>15.335100000000001</v>
      </c>
      <c r="AW303">
        <f t="shared" si="57"/>
        <v>4.9770680454000003</v>
      </c>
      <c r="AX303" s="9"/>
      <c r="AY303" s="22">
        <v>1.3754299999999999</v>
      </c>
      <c r="AZ303" s="22">
        <v>182.22399999999999</v>
      </c>
      <c r="BA303" s="22">
        <v>-1.4627100000000001E-2</v>
      </c>
      <c r="BB303" s="22">
        <v>293</v>
      </c>
      <c r="BC303" s="22">
        <v>1.3742099999999999</v>
      </c>
      <c r="BD303">
        <f t="shared" si="58"/>
        <v>14.6271</v>
      </c>
      <c r="BE303">
        <f t="shared" si="59"/>
        <v>20.118552153</v>
      </c>
    </row>
    <row r="304" spans="6:57">
      <c r="F304" s="9"/>
      <c r="G304" s="22">
        <v>0.319519</v>
      </c>
      <c r="H304" s="22">
        <v>14.3573</v>
      </c>
      <c r="I304" s="22">
        <v>-1.5197799999999999E-2</v>
      </c>
      <c r="J304" s="22">
        <v>294</v>
      </c>
      <c r="K304" s="22">
        <v>0.31875599999999998</v>
      </c>
      <c r="L304">
        <f t="shared" si="48"/>
        <v>15.197799999999999</v>
      </c>
      <c r="M304">
        <f t="shared" si="49"/>
        <v>4.8559858581999995</v>
      </c>
      <c r="N304" s="9"/>
      <c r="O304" s="22">
        <v>1.38046</v>
      </c>
      <c r="P304" s="22">
        <v>47.130400000000002</v>
      </c>
      <c r="Q304" s="22">
        <v>-1.44257E-2</v>
      </c>
      <c r="R304" s="22">
        <v>294</v>
      </c>
      <c r="S304" s="22">
        <v>1.3790899999999999</v>
      </c>
      <c r="T304">
        <f t="shared" si="50"/>
        <v>14.425699999999999</v>
      </c>
      <c r="U304">
        <f t="shared" si="51"/>
        <v>19.914101821999999</v>
      </c>
      <c r="X304" s="9"/>
      <c r="Y304" s="22">
        <v>0.319519</v>
      </c>
      <c r="Z304" s="22">
        <v>75.183400000000006</v>
      </c>
      <c r="AA304" s="22">
        <v>-1.53198E-2</v>
      </c>
      <c r="AB304" s="22">
        <v>294</v>
      </c>
      <c r="AC304" s="22">
        <v>0.31872600000000001</v>
      </c>
      <c r="AD304">
        <f t="shared" si="52"/>
        <v>15.319799999999999</v>
      </c>
      <c r="AE304">
        <f t="shared" si="53"/>
        <v>4.8949671761999998</v>
      </c>
      <c r="AF304" s="9"/>
      <c r="AG304" s="22">
        <v>1.38046</v>
      </c>
      <c r="AH304" s="22">
        <v>109.899</v>
      </c>
      <c r="AI304" s="22">
        <v>-1.4444E-2</v>
      </c>
      <c r="AJ304" s="22">
        <v>294</v>
      </c>
      <c r="AK304" s="22">
        <v>1.3793899999999999</v>
      </c>
      <c r="AL304">
        <f t="shared" si="54"/>
        <v>14.444000000000001</v>
      </c>
      <c r="AM304">
        <f t="shared" si="55"/>
        <v>19.93936424</v>
      </c>
      <c r="AP304" s="9"/>
      <c r="AQ304" s="22">
        <v>0.319519</v>
      </c>
      <c r="AR304" s="22">
        <v>138.38</v>
      </c>
      <c r="AS304" s="22">
        <v>-1.53381E-2</v>
      </c>
      <c r="AT304" s="22">
        <v>294</v>
      </c>
      <c r="AU304" s="22">
        <v>0.318604</v>
      </c>
      <c r="AV304">
        <f t="shared" si="56"/>
        <v>15.338100000000001</v>
      </c>
      <c r="AW304">
        <f t="shared" si="57"/>
        <v>4.9008143739000003</v>
      </c>
      <c r="AX304" s="9"/>
      <c r="AY304" s="22">
        <v>1.38046</v>
      </c>
      <c r="AZ304" s="22">
        <v>182.23400000000001</v>
      </c>
      <c r="BA304" s="22">
        <v>-1.4624E-2</v>
      </c>
      <c r="BB304" s="22">
        <v>294</v>
      </c>
      <c r="BC304" s="22">
        <v>1.3790899999999999</v>
      </c>
      <c r="BD304">
        <f t="shared" si="58"/>
        <v>14.624000000000001</v>
      </c>
      <c r="BE304">
        <f t="shared" si="59"/>
        <v>20.187847040000001</v>
      </c>
    </row>
    <row r="305" spans="6:57">
      <c r="F305" s="9"/>
      <c r="G305" s="22">
        <v>0.31448399999999999</v>
      </c>
      <c r="H305" s="22">
        <v>14.3674</v>
      </c>
      <c r="I305" s="22">
        <v>-1.52008E-2</v>
      </c>
      <c r="J305" s="22">
        <v>295</v>
      </c>
      <c r="K305" s="22">
        <v>0.31372100000000003</v>
      </c>
      <c r="L305">
        <f t="shared" si="48"/>
        <v>15.200800000000001</v>
      </c>
      <c r="M305">
        <f t="shared" si="49"/>
        <v>4.7804083872000005</v>
      </c>
      <c r="N305" s="9"/>
      <c r="O305" s="22">
        <v>1.3855</v>
      </c>
      <c r="P305" s="22">
        <v>47.140500000000003</v>
      </c>
      <c r="Q305" s="22">
        <v>-1.44165E-2</v>
      </c>
      <c r="R305" s="22">
        <v>295</v>
      </c>
      <c r="S305" s="22">
        <v>1.3845799999999999</v>
      </c>
      <c r="T305">
        <f t="shared" si="50"/>
        <v>14.416500000000001</v>
      </c>
      <c r="U305">
        <f t="shared" si="51"/>
        <v>19.97406075</v>
      </c>
      <c r="X305" s="9"/>
      <c r="Y305" s="22">
        <v>0.31448399999999999</v>
      </c>
      <c r="Z305" s="22">
        <v>75.1935</v>
      </c>
      <c r="AA305" s="22">
        <v>-1.53229E-2</v>
      </c>
      <c r="AB305" s="22">
        <v>295</v>
      </c>
      <c r="AC305" s="22">
        <v>0.31369000000000002</v>
      </c>
      <c r="AD305">
        <f t="shared" si="52"/>
        <v>15.322900000000001</v>
      </c>
      <c r="AE305">
        <f t="shared" si="53"/>
        <v>4.8188068835999998</v>
      </c>
      <c r="AF305" s="9"/>
      <c r="AG305" s="22">
        <v>1.3855</v>
      </c>
      <c r="AH305" s="22">
        <v>109.90900000000001</v>
      </c>
      <c r="AI305" s="22">
        <v>-1.44379E-2</v>
      </c>
      <c r="AJ305" s="22">
        <v>295</v>
      </c>
      <c r="AK305" s="22">
        <v>1.38428</v>
      </c>
      <c r="AL305">
        <f t="shared" si="54"/>
        <v>14.437900000000001</v>
      </c>
      <c r="AM305">
        <f t="shared" si="55"/>
        <v>20.00371045</v>
      </c>
      <c r="AP305" s="9"/>
      <c r="AQ305" s="22">
        <v>0.31448399999999999</v>
      </c>
      <c r="AR305" s="22">
        <v>138.38999999999999</v>
      </c>
      <c r="AS305" s="22">
        <v>-1.5344200000000001E-2</v>
      </c>
      <c r="AT305" s="22">
        <v>295</v>
      </c>
      <c r="AU305" s="22">
        <v>0.31362899999999999</v>
      </c>
      <c r="AV305">
        <f t="shared" si="56"/>
        <v>15.344200000000001</v>
      </c>
      <c r="AW305">
        <f t="shared" si="57"/>
        <v>4.8255053928000002</v>
      </c>
      <c r="AX305" s="9"/>
      <c r="AY305" s="22">
        <v>1.3855</v>
      </c>
      <c r="AZ305" s="22">
        <v>182.244</v>
      </c>
      <c r="BA305" s="22">
        <v>-1.46179E-2</v>
      </c>
      <c r="BB305" s="22">
        <v>295</v>
      </c>
      <c r="BC305" s="22">
        <v>1.3845799999999999</v>
      </c>
      <c r="BD305">
        <f t="shared" si="58"/>
        <v>14.617899999999999</v>
      </c>
      <c r="BE305">
        <f t="shared" si="59"/>
        <v>20.253100449999998</v>
      </c>
    </row>
    <row r="306" spans="6:57">
      <c r="F306" s="9"/>
      <c r="G306" s="22">
        <v>0.309448</v>
      </c>
      <c r="H306" s="22">
        <v>14.3775</v>
      </c>
      <c r="I306" s="22">
        <v>-1.5203899999999999E-2</v>
      </c>
      <c r="J306" s="22">
        <v>296</v>
      </c>
      <c r="K306" s="22">
        <v>0.30862400000000001</v>
      </c>
      <c r="L306">
        <f t="shared" si="48"/>
        <v>15.203899999999999</v>
      </c>
      <c r="M306">
        <f t="shared" si="49"/>
        <v>4.7048164471999998</v>
      </c>
      <c r="N306" s="9"/>
      <c r="O306" s="22">
        <v>1.39053</v>
      </c>
      <c r="P306" s="22">
        <v>47.150599999999997</v>
      </c>
      <c r="Q306" s="22">
        <v>-1.44043E-2</v>
      </c>
      <c r="R306" s="22">
        <v>296</v>
      </c>
      <c r="S306" s="22">
        <v>1.3897699999999999</v>
      </c>
      <c r="T306">
        <f t="shared" si="50"/>
        <v>14.404299999999999</v>
      </c>
      <c r="U306">
        <f t="shared" si="51"/>
        <v>20.029611279000001</v>
      </c>
      <c r="X306" s="9"/>
      <c r="Y306" s="22">
        <v>0.309448</v>
      </c>
      <c r="Z306" s="22">
        <v>75.203599999999994</v>
      </c>
      <c r="AA306" s="22">
        <v>-1.53229E-2</v>
      </c>
      <c r="AB306" s="22">
        <v>296</v>
      </c>
      <c r="AC306" s="22">
        <v>0.30868499999999999</v>
      </c>
      <c r="AD306">
        <f t="shared" si="52"/>
        <v>15.322900000000001</v>
      </c>
      <c r="AE306">
        <f t="shared" si="53"/>
        <v>4.7416407592000001</v>
      </c>
      <c r="AF306" s="9"/>
      <c r="AG306" s="22">
        <v>1.39053</v>
      </c>
      <c r="AH306" s="22">
        <v>109.919</v>
      </c>
      <c r="AI306" s="22">
        <v>-1.44257E-2</v>
      </c>
      <c r="AJ306" s="22">
        <v>296</v>
      </c>
      <c r="AK306" s="22">
        <v>1.38947</v>
      </c>
      <c r="AL306">
        <f t="shared" si="54"/>
        <v>14.425699999999999</v>
      </c>
      <c r="AM306">
        <f t="shared" si="55"/>
        <v>20.059368621000001</v>
      </c>
      <c r="AP306" s="9"/>
      <c r="AQ306" s="22">
        <v>0.309448</v>
      </c>
      <c r="AR306" s="22">
        <v>138.4</v>
      </c>
      <c r="AS306" s="22">
        <v>-1.5350300000000001E-2</v>
      </c>
      <c r="AT306" s="22">
        <v>296</v>
      </c>
      <c r="AU306" s="22">
        <v>0.30859399999999998</v>
      </c>
      <c r="AV306">
        <f t="shared" si="56"/>
        <v>15.350300000000001</v>
      </c>
      <c r="AW306">
        <f t="shared" si="57"/>
        <v>4.7501196343999998</v>
      </c>
      <c r="AX306" s="9"/>
      <c r="AY306" s="22">
        <v>1.39053</v>
      </c>
      <c r="AZ306" s="22">
        <v>182.25399999999999</v>
      </c>
      <c r="BA306" s="22">
        <v>-1.4611799999999999E-2</v>
      </c>
      <c r="BB306" s="22">
        <v>296</v>
      </c>
      <c r="BC306" s="22">
        <v>1.38947</v>
      </c>
      <c r="BD306">
        <f t="shared" si="58"/>
        <v>14.611799999999999</v>
      </c>
      <c r="BE306">
        <f t="shared" si="59"/>
        <v>20.318146253999998</v>
      </c>
    </row>
    <row r="307" spans="6:57">
      <c r="F307" s="9"/>
      <c r="G307" s="22">
        <v>0.30441299999999999</v>
      </c>
      <c r="H307" s="22">
        <v>14.387499999999999</v>
      </c>
      <c r="I307" s="22">
        <v>-1.5206900000000001E-2</v>
      </c>
      <c r="J307" s="22">
        <v>297</v>
      </c>
      <c r="K307" s="22">
        <v>0.30361900000000003</v>
      </c>
      <c r="L307">
        <f t="shared" si="48"/>
        <v>15.206900000000001</v>
      </c>
      <c r="M307">
        <f t="shared" si="49"/>
        <v>4.6291780497000001</v>
      </c>
      <c r="N307" s="9"/>
      <c r="O307" s="22">
        <v>1.39557</v>
      </c>
      <c r="P307" s="22">
        <v>47.160600000000002</v>
      </c>
      <c r="Q307" s="22">
        <v>-1.43921E-2</v>
      </c>
      <c r="R307" s="22">
        <v>297</v>
      </c>
      <c r="S307" s="22">
        <v>1.3952599999999999</v>
      </c>
      <c r="T307">
        <f t="shared" si="50"/>
        <v>14.392099999999999</v>
      </c>
      <c r="U307">
        <f t="shared" si="51"/>
        <v>20.085182996999997</v>
      </c>
      <c r="X307" s="9"/>
      <c r="Y307" s="22">
        <v>0.30441299999999999</v>
      </c>
      <c r="Z307" s="22">
        <v>75.213700000000003</v>
      </c>
      <c r="AA307" s="22">
        <v>-1.53259E-2</v>
      </c>
      <c r="AB307" s="22">
        <v>297</v>
      </c>
      <c r="AC307" s="22">
        <v>0.30355799999999999</v>
      </c>
      <c r="AD307">
        <f t="shared" si="52"/>
        <v>15.325900000000001</v>
      </c>
      <c r="AE307">
        <f t="shared" si="53"/>
        <v>4.6654031966999998</v>
      </c>
      <c r="AF307" s="9"/>
      <c r="AG307" s="22">
        <v>1.39557</v>
      </c>
      <c r="AH307" s="22">
        <v>109.929</v>
      </c>
      <c r="AI307" s="22">
        <v>-1.44165E-2</v>
      </c>
      <c r="AJ307" s="22">
        <v>297</v>
      </c>
      <c r="AK307" s="22">
        <v>1.3946499999999999</v>
      </c>
      <c r="AL307">
        <f t="shared" si="54"/>
        <v>14.416500000000001</v>
      </c>
      <c r="AM307">
        <f t="shared" si="55"/>
        <v>20.119234905000003</v>
      </c>
      <c r="AP307" s="9"/>
      <c r="AQ307" s="22">
        <v>0.30441299999999999</v>
      </c>
      <c r="AR307" s="22">
        <v>138.41</v>
      </c>
      <c r="AS307" s="22">
        <v>-1.5356399999999999E-2</v>
      </c>
      <c r="AT307" s="22">
        <v>297</v>
      </c>
      <c r="AU307" s="22">
        <v>0.30364999999999998</v>
      </c>
      <c r="AV307">
        <f t="shared" si="56"/>
        <v>15.356399999999999</v>
      </c>
      <c r="AW307">
        <f t="shared" si="57"/>
        <v>4.6746877931999995</v>
      </c>
      <c r="AX307" s="9"/>
      <c r="AY307" s="22">
        <v>1.39557</v>
      </c>
      <c r="AZ307" s="22">
        <v>182.26400000000001</v>
      </c>
      <c r="BA307" s="22">
        <v>-1.46027E-2</v>
      </c>
      <c r="BB307" s="22">
        <v>297</v>
      </c>
      <c r="BC307" s="22">
        <v>1.3940399999999999</v>
      </c>
      <c r="BD307">
        <f t="shared" si="58"/>
        <v>14.6027</v>
      </c>
      <c r="BE307">
        <f t="shared" si="59"/>
        <v>20.379090039000001</v>
      </c>
    </row>
    <row r="308" spans="6:57">
      <c r="F308" s="9"/>
      <c r="G308" s="22">
        <v>0.299377</v>
      </c>
      <c r="H308" s="22">
        <v>14.397600000000001</v>
      </c>
      <c r="I308" s="22">
        <v>-1.5206900000000001E-2</v>
      </c>
      <c r="J308" s="22">
        <v>298</v>
      </c>
      <c r="K308" s="22">
        <v>0.29864499999999999</v>
      </c>
      <c r="L308">
        <f t="shared" si="48"/>
        <v>15.206900000000001</v>
      </c>
      <c r="M308">
        <f t="shared" si="49"/>
        <v>4.5525961013000007</v>
      </c>
      <c r="N308" s="9"/>
      <c r="O308" s="22">
        <v>1.4006000000000001</v>
      </c>
      <c r="P308" s="22">
        <v>47.170699999999997</v>
      </c>
      <c r="Q308" s="22">
        <v>-1.4379899999999999E-2</v>
      </c>
      <c r="R308" s="22">
        <v>298</v>
      </c>
      <c r="S308" s="22">
        <v>1.39893</v>
      </c>
      <c r="T308">
        <f t="shared" si="50"/>
        <v>14.379899999999999</v>
      </c>
      <c r="U308">
        <f t="shared" si="51"/>
        <v>20.14048794</v>
      </c>
      <c r="X308" s="9"/>
      <c r="Y308" s="22">
        <v>0.299377</v>
      </c>
      <c r="Z308" s="22">
        <v>75.223699999999994</v>
      </c>
      <c r="AA308" s="22">
        <v>-1.5329000000000001E-2</v>
      </c>
      <c r="AB308" s="22">
        <v>298</v>
      </c>
      <c r="AC308" s="22">
        <v>0.29846200000000001</v>
      </c>
      <c r="AD308">
        <f t="shared" si="52"/>
        <v>15.329000000000001</v>
      </c>
      <c r="AE308">
        <f t="shared" si="53"/>
        <v>4.5891500330000001</v>
      </c>
      <c r="AF308" s="9"/>
      <c r="AG308" s="22">
        <v>1.4006000000000001</v>
      </c>
      <c r="AH308" s="22">
        <v>109.93899999999999</v>
      </c>
      <c r="AI308" s="22">
        <v>-1.44104E-2</v>
      </c>
      <c r="AJ308" s="22">
        <v>298</v>
      </c>
      <c r="AK308" s="22">
        <v>1.39984</v>
      </c>
      <c r="AL308">
        <f t="shared" si="54"/>
        <v>14.410400000000001</v>
      </c>
      <c r="AM308">
        <f t="shared" si="55"/>
        <v>20.183206240000004</v>
      </c>
      <c r="AP308" s="9"/>
      <c r="AQ308" s="22">
        <v>0.299377</v>
      </c>
      <c r="AR308" s="22">
        <v>138.41999999999999</v>
      </c>
      <c r="AS308" s="22">
        <v>-1.53595E-2</v>
      </c>
      <c r="AT308" s="22">
        <v>298</v>
      </c>
      <c r="AU308" s="22">
        <v>0.29861500000000002</v>
      </c>
      <c r="AV308">
        <f t="shared" si="56"/>
        <v>15.359500000000001</v>
      </c>
      <c r="AW308">
        <f t="shared" si="57"/>
        <v>4.5982810315</v>
      </c>
      <c r="AX308" s="9"/>
      <c r="AY308" s="22">
        <v>1.4006000000000001</v>
      </c>
      <c r="AZ308" s="22">
        <v>182.274</v>
      </c>
      <c r="BA308" s="22">
        <v>-1.45966E-2</v>
      </c>
      <c r="BB308" s="22">
        <v>298</v>
      </c>
      <c r="BC308" s="22">
        <v>1.39923</v>
      </c>
      <c r="BD308">
        <f t="shared" si="58"/>
        <v>14.596599999999999</v>
      </c>
      <c r="BE308">
        <f t="shared" si="59"/>
        <v>20.443997960000001</v>
      </c>
    </row>
    <row r="309" spans="6:57">
      <c r="F309" s="9"/>
      <c r="G309" s="22">
        <v>0.29434199999999999</v>
      </c>
      <c r="H309" s="22">
        <v>14.4077</v>
      </c>
      <c r="I309" s="22">
        <v>-1.5213000000000001E-2</v>
      </c>
      <c r="J309" s="22">
        <v>299</v>
      </c>
      <c r="K309" s="22">
        <v>0.29373199999999999</v>
      </c>
      <c r="L309">
        <f t="shared" si="48"/>
        <v>15.213000000000001</v>
      </c>
      <c r="M309">
        <f t="shared" si="49"/>
        <v>4.4778248459999999</v>
      </c>
      <c r="N309" s="9"/>
      <c r="O309" s="22">
        <v>1.40564</v>
      </c>
      <c r="P309" s="22">
        <v>47.180799999999998</v>
      </c>
      <c r="Q309" s="22">
        <v>-1.4367700000000001E-2</v>
      </c>
      <c r="R309" s="22">
        <v>299</v>
      </c>
      <c r="S309" s="22">
        <v>1.40472</v>
      </c>
      <c r="T309">
        <f t="shared" si="50"/>
        <v>14.367700000000001</v>
      </c>
      <c r="U309">
        <f t="shared" si="51"/>
        <v>20.195813828000002</v>
      </c>
      <c r="X309" s="9"/>
      <c r="Y309" s="22">
        <v>0.29434199999999999</v>
      </c>
      <c r="Z309" s="22">
        <v>75.233800000000002</v>
      </c>
      <c r="AA309" s="22">
        <v>-1.5332E-2</v>
      </c>
      <c r="AB309" s="22">
        <v>299</v>
      </c>
      <c r="AC309" s="22">
        <v>0.29360999999999998</v>
      </c>
      <c r="AD309">
        <f t="shared" si="52"/>
        <v>15.332000000000001</v>
      </c>
      <c r="AE309">
        <f t="shared" si="53"/>
        <v>4.5128515440000001</v>
      </c>
      <c r="AF309" s="9"/>
      <c r="AG309" s="22">
        <v>1.40564</v>
      </c>
      <c r="AH309" s="22">
        <v>109.949</v>
      </c>
      <c r="AI309" s="22">
        <v>-1.44043E-2</v>
      </c>
      <c r="AJ309" s="22">
        <v>299</v>
      </c>
      <c r="AK309" s="22">
        <v>1.40472</v>
      </c>
      <c r="AL309">
        <f t="shared" si="54"/>
        <v>14.404299999999999</v>
      </c>
      <c r="AM309">
        <f t="shared" si="55"/>
        <v>20.247260252</v>
      </c>
      <c r="AP309" s="9"/>
      <c r="AQ309" s="22">
        <v>0.29434199999999999</v>
      </c>
      <c r="AR309" s="22">
        <v>138.43</v>
      </c>
      <c r="AS309" s="22">
        <v>-1.5362499999999999E-2</v>
      </c>
      <c r="AT309" s="22">
        <v>299</v>
      </c>
      <c r="AU309" s="22">
        <v>0.29342699999999999</v>
      </c>
      <c r="AV309">
        <f t="shared" si="56"/>
        <v>15.362499999999999</v>
      </c>
      <c r="AW309">
        <f t="shared" si="57"/>
        <v>4.5218289749999991</v>
      </c>
      <c r="AX309" s="9"/>
      <c r="AY309" s="22">
        <v>1.40564</v>
      </c>
      <c r="AZ309" s="22">
        <v>182.28399999999999</v>
      </c>
      <c r="BA309" s="22">
        <v>-1.4593500000000001E-2</v>
      </c>
      <c r="BB309" s="22">
        <v>299</v>
      </c>
      <c r="BC309" s="22">
        <v>1.40472</v>
      </c>
      <c r="BD309">
        <f t="shared" si="58"/>
        <v>14.593500000000001</v>
      </c>
      <c r="BE309">
        <f t="shared" si="59"/>
        <v>20.513207340000001</v>
      </c>
    </row>
    <row r="310" spans="6:57">
      <c r="F310" s="9"/>
      <c r="G310" s="22">
        <v>0.28930699999999998</v>
      </c>
      <c r="H310" s="22">
        <v>14.4177</v>
      </c>
      <c r="I310" s="22">
        <v>-1.5219099999999999E-2</v>
      </c>
      <c r="J310" s="22">
        <v>300</v>
      </c>
      <c r="K310" s="22">
        <v>0.28842200000000001</v>
      </c>
      <c r="L310">
        <f t="shared" si="48"/>
        <v>15.219099999999999</v>
      </c>
      <c r="M310">
        <f t="shared" si="49"/>
        <v>4.4029921636999996</v>
      </c>
      <c r="N310" s="9"/>
      <c r="O310" s="22">
        <v>1.4106799999999999</v>
      </c>
      <c r="P310" s="22">
        <v>47.190899999999999</v>
      </c>
      <c r="Q310" s="22">
        <v>-1.43585E-2</v>
      </c>
      <c r="R310" s="22">
        <v>300</v>
      </c>
      <c r="S310" s="22">
        <v>1.41022</v>
      </c>
      <c r="T310">
        <f t="shared" si="50"/>
        <v>14.358499999999999</v>
      </c>
      <c r="U310">
        <f t="shared" si="51"/>
        <v>20.255248779999999</v>
      </c>
      <c r="X310" s="9"/>
      <c r="Y310" s="22">
        <v>0.28930699999999998</v>
      </c>
      <c r="Z310" s="22">
        <v>75.243899999999996</v>
      </c>
      <c r="AA310" s="22">
        <v>-1.5335100000000001E-2</v>
      </c>
      <c r="AB310" s="22">
        <v>300</v>
      </c>
      <c r="AC310" s="22">
        <v>0.28845199999999999</v>
      </c>
      <c r="AD310">
        <f t="shared" si="52"/>
        <v>15.335100000000001</v>
      </c>
      <c r="AE310">
        <f t="shared" si="53"/>
        <v>4.4365517756999999</v>
      </c>
      <c r="AF310" s="9"/>
      <c r="AG310" s="22">
        <v>1.4106799999999999</v>
      </c>
      <c r="AH310" s="22">
        <v>109.959</v>
      </c>
      <c r="AI310" s="22">
        <v>-1.43921E-2</v>
      </c>
      <c r="AJ310" s="22">
        <v>300</v>
      </c>
      <c r="AK310" s="22">
        <v>1.40961</v>
      </c>
      <c r="AL310">
        <f t="shared" si="54"/>
        <v>14.392099999999999</v>
      </c>
      <c r="AM310">
        <f t="shared" si="55"/>
        <v>20.302647627999999</v>
      </c>
      <c r="AP310" s="9"/>
      <c r="AQ310" s="22">
        <v>0.28930699999999998</v>
      </c>
      <c r="AR310" s="22">
        <v>138.44</v>
      </c>
      <c r="AS310" s="22">
        <v>-1.5368700000000001E-2</v>
      </c>
      <c r="AT310" s="22">
        <v>300</v>
      </c>
      <c r="AU310" s="22">
        <v>0.28854400000000002</v>
      </c>
      <c r="AV310">
        <f t="shared" si="56"/>
        <v>15.3687</v>
      </c>
      <c r="AW310">
        <f t="shared" si="57"/>
        <v>4.4462724909000002</v>
      </c>
      <c r="AX310" s="9"/>
      <c r="AY310" s="22">
        <v>1.4106799999999999</v>
      </c>
      <c r="AZ310" s="22">
        <v>182.29400000000001</v>
      </c>
      <c r="BA310" s="22">
        <v>-1.4590499999999999E-2</v>
      </c>
      <c r="BB310" s="22">
        <v>300</v>
      </c>
      <c r="BC310" s="22">
        <v>1.409</v>
      </c>
      <c r="BD310">
        <f t="shared" si="58"/>
        <v>14.590499999999999</v>
      </c>
      <c r="BE310">
        <f t="shared" si="59"/>
        <v>20.582526539999996</v>
      </c>
    </row>
    <row r="311" spans="6:57">
      <c r="F311" s="9"/>
      <c r="G311" s="22">
        <v>0.284271</v>
      </c>
      <c r="H311" s="22">
        <v>14.4278</v>
      </c>
      <c r="I311" s="22">
        <v>-1.52283E-2</v>
      </c>
      <c r="J311" s="22">
        <v>301</v>
      </c>
      <c r="K311" s="22">
        <v>0.283661</v>
      </c>
      <c r="L311">
        <f t="shared" si="48"/>
        <v>15.228300000000001</v>
      </c>
      <c r="M311">
        <f t="shared" si="49"/>
        <v>4.3289640693000004</v>
      </c>
      <c r="N311" s="9"/>
      <c r="O311" s="22">
        <v>1.41571</v>
      </c>
      <c r="P311" s="22">
        <v>47.200899999999997</v>
      </c>
      <c r="Q311" s="22">
        <v>-1.43555E-2</v>
      </c>
      <c r="R311" s="22">
        <v>301</v>
      </c>
      <c r="S311" s="22">
        <v>1.4151</v>
      </c>
      <c r="T311">
        <f t="shared" si="50"/>
        <v>14.355500000000001</v>
      </c>
      <c r="U311">
        <f t="shared" si="51"/>
        <v>20.323224905000004</v>
      </c>
      <c r="X311" s="9"/>
      <c r="Y311" s="22">
        <v>0.284271</v>
      </c>
      <c r="Z311" s="22">
        <v>75.253900000000002</v>
      </c>
      <c r="AA311" s="22">
        <v>-1.53381E-2</v>
      </c>
      <c r="AB311" s="22">
        <v>301</v>
      </c>
      <c r="AC311" s="22">
        <v>0.28356900000000002</v>
      </c>
      <c r="AD311">
        <f t="shared" si="52"/>
        <v>15.338100000000001</v>
      </c>
      <c r="AE311">
        <f t="shared" si="53"/>
        <v>4.3601770251000005</v>
      </c>
      <c r="AF311" s="9"/>
      <c r="AG311" s="22">
        <v>1.41571</v>
      </c>
      <c r="AH311" s="22">
        <v>109.96899999999999</v>
      </c>
      <c r="AI311" s="22">
        <v>-1.4382900000000001E-2</v>
      </c>
      <c r="AJ311" s="22">
        <v>301</v>
      </c>
      <c r="AK311" s="22">
        <v>1.41449</v>
      </c>
      <c r="AL311">
        <f t="shared" si="54"/>
        <v>14.382900000000001</v>
      </c>
      <c r="AM311">
        <f t="shared" si="55"/>
        <v>20.362015359000001</v>
      </c>
      <c r="AP311" s="9"/>
      <c r="AQ311" s="22">
        <v>0.284271</v>
      </c>
      <c r="AR311" s="22">
        <v>138.44999999999999</v>
      </c>
      <c r="AS311" s="22">
        <v>-1.5368700000000001E-2</v>
      </c>
      <c r="AT311" s="22">
        <v>301</v>
      </c>
      <c r="AU311" s="22">
        <v>0.28326400000000002</v>
      </c>
      <c r="AV311">
        <f t="shared" si="56"/>
        <v>15.3687</v>
      </c>
      <c r="AW311">
        <f t="shared" si="57"/>
        <v>4.3688757176999999</v>
      </c>
      <c r="AX311" s="9"/>
      <c r="AY311" s="22">
        <v>1.41571</v>
      </c>
      <c r="AZ311" s="22">
        <v>182.304</v>
      </c>
      <c r="BA311" s="22">
        <v>-1.45813E-2</v>
      </c>
      <c r="BB311" s="22">
        <v>301</v>
      </c>
      <c r="BC311" s="22">
        <v>1.41449</v>
      </c>
      <c r="BD311">
        <f t="shared" si="58"/>
        <v>14.581300000000001</v>
      </c>
      <c r="BE311">
        <f t="shared" si="59"/>
        <v>20.642892223</v>
      </c>
    </row>
    <row r="312" spans="6:57">
      <c r="F312" s="9"/>
      <c r="G312" s="22">
        <v>0.27923599999999998</v>
      </c>
      <c r="H312" s="22">
        <v>14.437900000000001</v>
      </c>
      <c r="I312" s="22">
        <v>-1.52344E-2</v>
      </c>
      <c r="J312" s="22">
        <v>302</v>
      </c>
      <c r="K312" s="22">
        <v>0.27856399999999998</v>
      </c>
      <c r="L312">
        <f t="shared" si="48"/>
        <v>15.234400000000001</v>
      </c>
      <c r="M312">
        <f t="shared" si="49"/>
        <v>4.2539929183999998</v>
      </c>
      <c r="N312" s="9"/>
      <c r="O312" s="22">
        <v>1.42075</v>
      </c>
      <c r="P312" s="22">
        <v>47.210999999999999</v>
      </c>
      <c r="Q312" s="22">
        <v>-1.43433E-2</v>
      </c>
      <c r="R312" s="22">
        <v>302</v>
      </c>
      <c r="S312" s="22">
        <v>1.4196800000000001</v>
      </c>
      <c r="T312">
        <f t="shared" si="50"/>
        <v>14.343299999999999</v>
      </c>
      <c r="U312">
        <f t="shared" si="51"/>
        <v>20.378243474999998</v>
      </c>
      <c r="X312" s="9"/>
      <c r="Y312" s="22">
        <v>0.27923599999999998</v>
      </c>
      <c r="Z312" s="22">
        <v>75.263999999999996</v>
      </c>
      <c r="AA312" s="22">
        <v>-1.5344200000000001E-2</v>
      </c>
      <c r="AB312" s="22">
        <v>302</v>
      </c>
      <c r="AC312" s="22">
        <v>0.278503</v>
      </c>
      <c r="AD312">
        <f t="shared" si="52"/>
        <v>15.344200000000001</v>
      </c>
      <c r="AE312">
        <f t="shared" si="53"/>
        <v>4.2846530311999995</v>
      </c>
      <c r="AF312" s="9"/>
      <c r="AG312" s="22">
        <v>1.42075</v>
      </c>
      <c r="AH312" s="22">
        <v>109.979</v>
      </c>
      <c r="AI312" s="22">
        <v>-1.4367700000000001E-2</v>
      </c>
      <c r="AJ312" s="22">
        <v>302</v>
      </c>
      <c r="AK312" s="22">
        <v>1.41998</v>
      </c>
      <c r="AL312">
        <f t="shared" si="54"/>
        <v>14.367700000000001</v>
      </c>
      <c r="AM312">
        <f t="shared" si="55"/>
        <v>20.412909774999999</v>
      </c>
      <c r="AP312" s="9"/>
      <c r="AQ312" s="22">
        <v>0.27923599999999998</v>
      </c>
      <c r="AR312" s="22">
        <v>138.46</v>
      </c>
      <c r="AS312" s="22">
        <v>-1.5374799999999999E-2</v>
      </c>
      <c r="AT312" s="22">
        <v>302</v>
      </c>
      <c r="AU312" s="22">
        <v>0.27847300000000003</v>
      </c>
      <c r="AV312">
        <f t="shared" si="56"/>
        <v>15.374799999999999</v>
      </c>
      <c r="AW312">
        <f t="shared" si="57"/>
        <v>4.2931976527999991</v>
      </c>
      <c r="AX312" s="9"/>
      <c r="AY312" s="22">
        <v>1.42075</v>
      </c>
      <c r="AZ312" s="22">
        <v>182.315</v>
      </c>
      <c r="BA312" s="22">
        <v>-1.4572099999999999E-2</v>
      </c>
      <c r="BB312" s="22">
        <v>302</v>
      </c>
      <c r="BC312" s="22">
        <v>1.41937</v>
      </c>
      <c r="BD312">
        <f t="shared" si="58"/>
        <v>14.572099999999999</v>
      </c>
      <c r="BE312">
        <f t="shared" si="59"/>
        <v>20.703311074999998</v>
      </c>
    </row>
    <row r="313" spans="6:57">
      <c r="F313" s="9"/>
      <c r="G313" s="22">
        <v>0.2742</v>
      </c>
      <c r="H313" s="22">
        <v>14.447900000000001</v>
      </c>
      <c r="I313" s="22">
        <v>-1.5240500000000001E-2</v>
      </c>
      <c r="J313" s="22">
        <v>303</v>
      </c>
      <c r="K313" s="22">
        <v>0.27365099999999998</v>
      </c>
      <c r="L313">
        <f t="shared" si="48"/>
        <v>15.240500000000001</v>
      </c>
      <c r="M313">
        <f t="shared" si="49"/>
        <v>4.1789451</v>
      </c>
      <c r="N313" s="9"/>
      <c r="O313" s="22">
        <v>1.42578</v>
      </c>
      <c r="P313" s="22">
        <v>47.2211</v>
      </c>
      <c r="Q313" s="22">
        <v>-1.4334100000000001E-2</v>
      </c>
      <c r="R313" s="22">
        <v>303</v>
      </c>
      <c r="S313" s="22">
        <v>1.4248700000000001</v>
      </c>
      <c r="T313">
        <f t="shared" si="50"/>
        <v>14.334100000000001</v>
      </c>
      <c r="U313">
        <f t="shared" si="51"/>
        <v>20.437273098000002</v>
      </c>
      <c r="X313" s="9"/>
      <c r="Y313" s="22">
        <v>0.2742</v>
      </c>
      <c r="Z313" s="22">
        <v>75.274100000000004</v>
      </c>
      <c r="AA313" s="22">
        <v>-1.5347299999999999E-2</v>
      </c>
      <c r="AB313" s="22">
        <v>303</v>
      </c>
      <c r="AC313" s="22">
        <v>0.27346799999999999</v>
      </c>
      <c r="AD313">
        <f t="shared" si="52"/>
        <v>15.347299999999999</v>
      </c>
      <c r="AE313">
        <f t="shared" si="53"/>
        <v>4.2082296599999998</v>
      </c>
      <c r="AF313" s="9"/>
      <c r="AG313" s="22">
        <v>1.42578</v>
      </c>
      <c r="AH313" s="22">
        <v>109.989</v>
      </c>
      <c r="AI313" s="22">
        <v>-1.43585E-2</v>
      </c>
      <c r="AJ313" s="22">
        <v>303</v>
      </c>
      <c r="AK313" s="22">
        <v>1.4248700000000001</v>
      </c>
      <c r="AL313">
        <f t="shared" si="54"/>
        <v>14.358499999999999</v>
      </c>
      <c r="AM313">
        <f t="shared" si="55"/>
        <v>20.472062130000001</v>
      </c>
      <c r="AP313" s="9"/>
      <c r="AQ313" s="22">
        <v>0.2742</v>
      </c>
      <c r="AR313" s="22">
        <v>138.47</v>
      </c>
      <c r="AS313" s="22">
        <v>-1.5380899999999999E-2</v>
      </c>
      <c r="AT313" s="22">
        <v>303</v>
      </c>
      <c r="AU313" s="22">
        <v>0.27346799999999999</v>
      </c>
      <c r="AV313">
        <f t="shared" si="56"/>
        <v>15.380899999999999</v>
      </c>
      <c r="AW313">
        <f t="shared" si="57"/>
        <v>4.2174427799999998</v>
      </c>
      <c r="AX313" s="9"/>
      <c r="AY313" s="22">
        <v>1.42578</v>
      </c>
      <c r="AZ313" s="22">
        <v>182.32499999999999</v>
      </c>
      <c r="BA313" s="22">
        <v>-1.4563E-2</v>
      </c>
      <c r="BB313" s="22">
        <v>303</v>
      </c>
      <c r="BC313" s="22">
        <v>1.4248700000000001</v>
      </c>
      <c r="BD313">
        <f t="shared" si="58"/>
        <v>14.562999999999999</v>
      </c>
      <c r="BE313">
        <f t="shared" si="59"/>
        <v>20.763634140000001</v>
      </c>
    </row>
    <row r="314" spans="6:57">
      <c r="F314" s="9"/>
      <c r="G314" s="22">
        <v>0.26916499999999999</v>
      </c>
      <c r="H314" s="22">
        <v>14.458</v>
      </c>
      <c r="I314" s="22">
        <v>-1.52496E-2</v>
      </c>
      <c r="J314" s="22">
        <v>304</v>
      </c>
      <c r="K314" s="22">
        <v>0.268341</v>
      </c>
      <c r="L314">
        <f t="shared" si="48"/>
        <v>15.249600000000001</v>
      </c>
      <c r="M314">
        <f t="shared" si="49"/>
        <v>4.1046585840000001</v>
      </c>
      <c r="N314" s="9"/>
      <c r="O314" s="22">
        <v>1.43082</v>
      </c>
      <c r="P314" s="22">
        <v>47.231099999999998</v>
      </c>
      <c r="Q314" s="22">
        <v>-1.43219E-2</v>
      </c>
      <c r="R314" s="22">
        <v>304</v>
      </c>
      <c r="S314" s="22">
        <v>1.42944</v>
      </c>
      <c r="T314">
        <f t="shared" si="50"/>
        <v>14.321899999999999</v>
      </c>
      <c r="U314">
        <f t="shared" si="51"/>
        <v>20.492060958</v>
      </c>
      <c r="X314" s="9"/>
      <c r="Y314" s="22">
        <v>0.26916499999999999</v>
      </c>
      <c r="Z314" s="22">
        <v>75.284199999999998</v>
      </c>
      <c r="AA314" s="22">
        <v>-1.53534E-2</v>
      </c>
      <c r="AB314" s="22">
        <v>304</v>
      </c>
      <c r="AC314" s="22">
        <v>0.268341</v>
      </c>
      <c r="AD314">
        <f t="shared" si="52"/>
        <v>15.353399999999999</v>
      </c>
      <c r="AE314">
        <f t="shared" si="53"/>
        <v>4.1325979109999995</v>
      </c>
      <c r="AF314" s="9"/>
      <c r="AG314" s="22">
        <v>1.43082</v>
      </c>
      <c r="AH314" s="22">
        <v>109.999</v>
      </c>
      <c r="AI314" s="22">
        <v>-1.43433E-2</v>
      </c>
      <c r="AJ314" s="22">
        <v>304</v>
      </c>
      <c r="AK314" s="22">
        <v>1.4297500000000001</v>
      </c>
      <c r="AL314">
        <f t="shared" si="54"/>
        <v>14.343299999999999</v>
      </c>
      <c r="AM314">
        <f t="shared" si="55"/>
        <v>20.522680506</v>
      </c>
      <c r="AP314" s="9"/>
      <c r="AQ314" s="22">
        <v>0.26916499999999999</v>
      </c>
      <c r="AR314" s="22">
        <v>138.47999999999999</v>
      </c>
      <c r="AS314" s="22">
        <v>-1.5387E-2</v>
      </c>
      <c r="AT314" s="22">
        <v>304</v>
      </c>
      <c r="AU314" s="22">
        <v>0.26843299999999998</v>
      </c>
      <c r="AV314">
        <f t="shared" si="56"/>
        <v>15.387</v>
      </c>
      <c r="AW314">
        <f t="shared" si="57"/>
        <v>4.1416418549999996</v>
      </c>
      <c r="AX314" s="9"/>
      <c r="AY314" s="22">
        <v>1.43082</v>
      </c>
      <c r="AZ314" s="22">
        <v>182.33500000000001</v>
      </c>
      <c r="BA314" s="22">
        <v>-1.4556899999999999E-2</v>
      </c>
      <c r="BB314" s="22">
        <v>304</v>
      </c>
      <c r="BC314" s="22">
        <v>1.4297500000000001</v>
      </c>
      <c r="BD314">
        <f t="shared" si="58"/>
        <v>14.556899999999999</v>
      </c>
      <c r="BE314">
        <f t="shared" si="59"/>
        <v>20.828303657999999</v>
      </c>
    </row>
    <row r="315" spans="6:57">
      <c r="F315" s="9"/>
      <c r="G315" s="22">
        <v>0.26412999999999998</v>
      </c>
      <c r="H315" s="22">
        <v>14.4681</v>
      </c>
      <c r="I315" s="22">
        <v>-1.5258799999999999E-2</v>
      </c>
      <c r="J315" s="22">
        <v>305</v>
      </c>
      <c r="K315" s="22">
        <v>0.26324500000000001</v>
      </c>
      <c r="L315">
        <f t="shared" si="48"/>
        <v>15.258799999999999</v>
      </c>
      <c r="M315">
        <f t="shared" si="49"/>
        <v>4.0303068439999992</v>
      </c>
      <c r="N315" s="9"/>
      <c r="O315" s="22">
        <v>1.4358500000000001</v>
      </c>
      <c r="P315" s="22">
        <v>47.241199999999999</v>
      </c>
      <c r="Q315" s="22">
        <v>-1.43097E-2</v>
      </c>
      <c r="R315" s="22">
        <v>305</v>
      </c>
      <c r="S315" s="22">
        <v>1.4349400000000001</v>
      </c>
      <c r="T315">
        <f t="shared" si="50"/>
        <v>14.309699999999999</v>
      </c>
      <c r="U315">
        <f t="shared" si="51"/>
        <v>20.546582744999998</v>
      </c>
      <c r="X315" s="9"/>
      <c r="Y315" s="22">
        <v>0.26412999999999998</v>
      </c>
      <c r="Z315" s="22">
        <v>75.294200000000004</v>
      </c>
      <c r="AA315" s="22">
        <v>-1.53534E-2</v>
      </c>
      <c r="AB315" s="22">
        <v>305</v>
      </c>
      <c r="AC315" s="22">
        <v>0.26330599999999998</v>
      </c>
      <c r="AD315">
        <f t="shared" si="52"/>
        <v>15.353399999999999</v>
      </c>
      <c r="AE315">
        <f t="shared" si="53"/>
        <v>4.0552935419999994</v>
      </c>
      <c r="AF315" s="9"/>
      <c r="AG315" s="22">
        <v>1.4358500000000001</v>
      </c>
      <c r="AH315" s="22">
        <v>110.009</v>
      </c>
      <c r="AI315" s="22">
        <v>-1.4328E-2</v>
      </c>
      <c r="AJ315" s="22">
        <v>305</v>
      </c>
      <c r="AK315" s="22">
        <v>1.4349400000000001</v>
      </c>
      <c r="AL315">
        <f t="shared" si="54"/>
        <v>14.328000000000001</v>
      </c>
      <c r="AM315">
        <f t="shared" si="55"/>
        <v>20.572858800000002</v>
      </c>
      <c r="AP315" s="9"/>
      <c r="AQ315" s="22">
        <v>0.26412999999999998</v>
      </c>
      <c r="AR315" s="22">
        <v>138.49</v>
      </c>
      <c r="AS315" s="22">
        <v>-1.5389999999999999E-2</v>
      </c>
      <c r="AT315" s="22">
        <v>305</v>
      </c>
      <c r="AU315" s="22">
        <v>0.26333600000000001</v>
      </c>
      <c r="AV315">
        <f t="shared" si="56"/>
        <v>15.389999999999999</v>
      </c>
      <c r="AW315">
        <f t="shared" si="57"/>
        <v>4.0649606999999994</v>
      </c>
      <c r="AX315" s="9"/>
      <c r="AY315" s="22">
        <v>1.4358500000000001</v>
      </c>
      <c r="AZ315" s="22">
        <v>182.345</v>
      </c>
      <c r="BA315" s="22">
        <v>-1.4544700000000001E-2</v>
      </c>
      <c r="BB315" s="22">
        <v>305</v>
      </c>
      <c r="BC315" s="22">
        <v>1.4343300000000001</v>
      </c>
      <c r="BD315">
        <f t="shared" si="58"/>
        <v>14.544700000000001</v>
      </c>
      <c r="BE315">
        <f t="shared" si="59"/>
        <v>20.884007495000002</v>
      </c>
    </row>
    <row r="316" spans="6:57">
      <c r="F316" s="9"/>
      <c r="G316" s="22">
        <v>0.25909399999999999</v>
      </c>
      <c r="H316" s="22">
        <v>14.478199999999999</v>
      </c>
      <c r="I316" s="22">
        <v>-1.52649E-2</v>
      </c>
      <c r="J316" s="22">
        <v>306</v>
      </c>
      <c r="K316" s="22">
        <v>0.25845299999999999</v>
      </c>
      <c r="L316">
        <f t="shared" si="48"/>
        <v>15.264899999999999</v>
      </c>
      <c r="M316">
        <f t="shared" si="49"/>
        <v>3.9550440005999996</v>
      </c>
      <c r="N316" s="9"/>
      <c r="O316" s="22">
        <v>1.44089</v>
      </c>
      <c r="P316" s="22">
        <v>47.251300000000001</v>
      </c>
      <c r="Q316" s="22">
        <v>-1.4300500000000001E-2</v>
      </c>
      <c r="R316" s="22">
        <v>306</v>
      </c>
      <c r="S316" s="22">
        <v>1.4398200000000001</v>
      </c>
      <c r="T316">
        <f t="shared" si="50"/>
        <v>14.300500000000001</v>
      </c>
      <c r="U316">
        <f t="shared" si="51"/>
        <v>20.605447445000003</v>
      </c>
      <c r="X316" s="9"/>
      <c r="Y316" s="22">
        <v>0.25909399999999999</v>
      </c>
      <c r="Z316" s="22">
        <v>75.304299999999998</v>
      </c>
      <c r="AA316" s="22">
        <v>-1.53595E-2</v>
      </c>
      <c r="AB316" s="22">
        <v>306</v>
      </c>
      <c r="AC316" s="22">
        <v>0.25839200000000001</v>
      </c>
      <c r="AD316">
        <f t="shared" si="52"/>
        <v>15.359500000000001</v>
      </c>
      <c r="AE316">
        <f t="shared" si="53"/>
        <v>3.9795542930000001</v>
      </c>
      <c r="AF316" s="9"/>
      <c r="AG316" s="22">
        <v>1.44089</v>
      </c>
      <c r="AH316" s="22">
        <v>110.01900000000001</v>
      </c>
      <c r="AI316" s="22">
        <v>-1.4312699999999999E-2</v>
      </c>
      <c r="AJ316" s="22">
        <v>306</v>
      </c>
      <c r="AK316" s="22">
        <v>1.4395100000000001</v>
      </c>
      <c r="AL316">
        <f t="shared" si="54"/>
        <v>14.3127</v>
      </c>
      <c r="AM316">
        <f t="shared" si="55"/>
        <v>20.623026303</v>
      </c>
      <c r="AP316" s="9"/>
      <c r="AQ316" s="22">
        <v>0.25909399999999999</v>
      </c>
      <c r="AR316" s="22">
        <v>138.5</v>
      </c>
      <c r="AS316" s="22">
        <v>-1.53992E-2</v>
      </c>
      <c r="AT316" s="22">
        <v>306</v>
      </c>
      <c r="AU316" s="22">
        <v>0.25827</v>
      </c>
      <c r="AV316">
        <f t="shared" si="56"/>
        <v>15.3992</v>
      </c>
      <c r="AW316">
        <f t="shared" si="57"/>
        <v>3.9898403247999998</v>
      </c>
      <c r="AX316" s="9"/>
      <c r="AY316" s="22">
        <v>1.44089</v>
      </c>
      <c r="AZ316" s="22">
        <v>182.35499999999999</v>
      </c>
      <c r="BA316" s="22">
        <v>-1.45355E-2</v>
      </c>
      <c r="BB316" s="22">
        <v>306</v>
      </c>
      <c r="BC316" s="22">
        <v>1.4395100000000001</v>
      </c>
      <c r="BD316">
        <f t="shared" si="58"/>
        <v>14.535499999999999</v>
      </c>
      <c r="BE316">
        <f t="shared" si="59"/>
        <v>20.944056594999999</v>
      </c>
    </row>
    <row r="317" spans="6:57">
      <c r="F317" s="9"/>
      <c r="G317" s="22">
        <v>0.25405899999999998</v>
      </c>
      <c r="H317" s="22">
        <v>14.488200000000001</v>
      </c>
      <c r="I317" s="22">
        <v>-1.52649E-2</v>
      </c>
      <c r="J317" s="22">
        <v>307</v>
      </c>
      <c r="K317" s="22">
        <v>0.253357</v>
      </c>
      <c r="L317">
        <f t="shared" si="48"/>
        <v>15.264899999999999</v>
      </c>
      <c r="M317">
        <f t="shared" si="49"/>
        <v>3.8781852290999996</v>
      </c>
      <c r="N317" s="9"/>
      <c r="O317" s="22">
        <v>1.4459200000000001</v>
      </c>
      <c r="P317" s="22">
        <v>47.261400000000002</v>
      </c>
      <c r="Q317" s="22">
        <v>-1.4285300000000001E-2</v>
      </c>
      <c r="R317" s="22">
        <v>307</v>
      </c>
      <c r="S317" s="22">
        <v>1.4450099999999999</v>
      </c>
      <c r="T317">
        <f t="shared" si="50"/>
        <v>14.285300000000001</v>
      </c>
      <c r="U317">
        <f t="shared" si="51"/>
        <v>20.655400976000003</v>
      </c>
      <c r="X317" s="9"/>
      <c r="Y317" s="22">
        <v>0.25405899999999998</v>
      </c>
      <c r="Z317" s="22">
        <v>75.314400000000006</v>
      </c>
      <c r="AA317" s="22">
        <v>-1.53656E-2</v>
      </c>
      <c r="AB317" s="22">
        <v>307</v>
      </c>
      <c r="AC317" s="22">
        <v>0.253326</v>
      </c>
      <c r="AD317">
        <f t="shared" si="52"/>
        <v>15.365600000000001</v>
      </c>
      <c r="AE317">
        <f t="shared" si="53"/>
        <v>3.9037689703999998</v>
      </c>
      <c r="AF317" s="9"/>
      <c r="AG317" s="22">
        <v>1.4459200000000001</v>
      </c>
      <c r="AH317" s="22">
        <v>110.03</v>
      </c>
      <c r="AI317" s="22">
        <v>-1.4294400000000001E-2</v>
      </c>
      <c r="AJ317" s="22">
        <v>307</v>
      </c>
      <c r="AK317" s="22">
        <v>1.4450099999999999</v>
      </c>
      <c r="AL317">
        <f t="shared" si="54"/>
        <v>14.294400000000001</v>
      </c>
      <c r="AM317">
        <f t="shared" si="55"/>
        <v>20.668558848000004</v>
      </c>
      <c r="AP317" s="9"/>
      <c r="AQ317" s="22">
        <v>0.25405899999999998</v>
      </c>
      <c r="AR317" s="22">
        <v>138.511</v>
      </c>
      <c r="AS317" s="22">
        <v>-1.54022E-2</v>
      </c>
      <c r="AT317" s="22">
        <v>307</v>
      </c>
      <c r="AU317" s="22">
        <v>0.25317400000000001</v>
      </c>
      <c r="AV317">
        <f t="shared" si="56"/>
        <v>15.402199999999999</v>
      </c>
      <c r="AW317">
        <f t="shared" si="57"/>
        <v>3.9130675297999993</v>
      </c>
      <c r="AX317" s="9"/>
      <c r="AY317" s="22">
        <v>1.4459200000000001</v>
      </c>
      <c r="AZ317" s="22">
        <v>182.36500000000001</v>
      </c>
      <c r="BA317" s="22">
        <v>-1.45264E-2</v>
      </c>
      <c r="BB317" s="22">
        <v>307</v>
      </c>
      <c r="BC317" s="22">
        <v>1.4453100000000001</v>
      </c>
      <c r="BD317">
        <f t="shared" si="58"/>
        <v>14.526400000000001</v>
      </c>
      <c r="BE317">
        <f t="shared" si="59"/>
        <v>21.004012288000002</v>
      </c>
    </row>
    <row r="318" spans="6:57">
      <c r="F318" s="9"/>
      <c r="G318" s="22">
        <v>0.24902299999999999</v>
      </c>
      <c r="H318" s="22">
        <v>14.4983</v>
      </c>
      <c r="I318" s="22">
        <v>-1.52649E-2</v>
      </c>
      <c r="J318" s="22">
        <v>308</v>
      </c>
      <c r="K318" s="22">
        <v>0.248444</v>
      </c>
      <c r="L318">
        <f t="shared" si="48"/>
        <v>15.264899999999999</v>
      </c>
      <c r="M318">
        <f t="shared" si="49"/>
        <v>3.8013111926999996</v>
      </c>
      <c r="N318" s="9"/>
      <c r="O318" s="22">
        <v>1.45096</v>
      </c>
      <c r="P318" s="22">
        <v>47.2714</v>
      </c>
      <c r="Q318" s="22">
        <v>-1.42761E-2</v>
      </c>
      <c r="R318" s="22">
        <v>308</v>
      </c>
      <c r="S318" s="22">
        <v>1.4501999999999999</v>
      </c>
      <c r="T318">
        <f t="shared" si="50"/>
        <v>14.2761</v>
      </c>
      <c r="U318">
        <f t="shared" si="51"/>
        <v>20.714050056000001</v>
      </c>
      <c r="X318" s="9"/>
      <c r="Y318" s="22">
        <v>0.24902299999999999</v>
      </c>
      <c r="Z318" s="22">
        <v>75.324399999999997</v>
      </c>
      <c r="AA318" s="22">
        <v>-1.5368700000000001E-2</v>
      </c>
      <c r="AB318" s="22">
        <v>308</v>
      </c>
      <c r="AC318" s="22">
        <v>0.24826000000000001</v>
      </c>
      <c r="AD318">
        <f t="shared" si="52"/>
        <v>15.3687</v>
      </c>
      <c r="AE318">
        <f t="shared" si="53"/>
        <v>3.8271597801000001</v>
      </c>
      <c r="AF318" s="9"/>
      <c r="AG318" s="22">
        <v>1.45096</v>
      </c>
      <c r="AH318" s="22">
        <v>110.04</v>
      </c>
      <c r="AI318" s="22">
        <v>-1.42822E-2</v>
      </c>
      <c r="AJ318" s="22">
        <v>308</v>
      </c>
      <c r="AK318" s="22">
        <v>1.4501999999999999</v>
      </c>
      <c r="AL318">
        <f t="shared" si="54"/>
        <v>14.2822</v>
      </c>
      <c r="AM318">
        <f t="shared" si="55"/>
        <v>20.722900912</v>
      </c>
      <c r="AP318" s="9"/>
      <c r="AQ318" s="22">
        <v>0.24902299999999999</v>
      </c>
      <c r="AR318" s="22">
        <v>138.52099999999999</v>
      </c>
      <c r="AS318" s="22">
        <v>-1.54053E-2</v>
      </c>
      <c r="AT318" s="22">
        <v>308</v>
      </c>
      <c r="AU318" s="22">
        <v>0.24823000000000001</v>
      </c>
      <c r="AV318">
        <f t="shared" si="56"/>
        <v>15.4053</v>
      </c>
      <c r="AW318">
        <f t="shared" si="57"/>
        <v>3.8362740219</v>
      </c>
      <c r="AX318" s="9"/>
      <c r="AY318" s="22">
        <v>1.45096</v>
      </c>
      <c r="AZ318" s="22">
        <v>182.375</v>
      </c>
      <c r="BA318" s="22">
        <v>-1.4517199999999999E-2</v>
      </c>
      <c r="BB318" s="22">
        <v>308</v>
      </c>
      <c r="BC318" s="22">
        <v>1.4495800000000001</v>
      </c>
      <c r="BD318">
        <f t="shared" si="58"/>
        <v>14.517199999999999</v>
      </c>
      <c r="BE318">
        <f t="shared" si="59"/>
        <v>21.063876512</v>
      </c>
    </row>
    <row r="319" spans="6:57">
      <c r="F319" s="9"/>
      <c r="G319" s="22">
        <v>0.24398800000000001</v>
      </c>
      <c r="H319" s="22">
        <v>14.5084</v>
      </c>
      <c r="I319" s="22">
        <v>-1.5267899999999999E-2</v>
      </c>
      <c r="J319" s="22">
        <v>309</v>
      </c>
      <c r="K319" s="22">
        <v>0.24310300000000001</v>
      </c>
      <c r="L319">
        <f t="shared" si="48"/>
        <v>15.267899999999999</v>
      </c>
      <c r="M319">
        <f t="shared" si="49"/>
        <v>3.7251843851999999</v>
      </c>
      <c r="N319" s="9"/>
      <c r="O319" s="22">
        <v>1.4559899999999999</v>
      </c>
      <c r="P319" s="22">
        <v>47.281500000000001</v>
      </c>
      <c r="Q319" s="22">
        <v>-1.4263899999999999E-2</v>
      </c>
      <c r="R319" s="22">
        <v>309</v>
      </c>
      <c r="S319" s="22">
        <v>1.4544699999999999</v>
      </c>
      <c r="T319">
        <f t="shared" si="50"/>
        <v>14.2639</v>
      </c>
      <c r="U319">
        <f t="shared" si="51"/>
        <v>20.768095760999998</v>
      </c>
      <c r="X319" s="9"/>
      <c r="Y319" s="22">
        <v>0.24398800000000001</v>
      </c>
      <c r="Z319" s="22">
        <v>75.334500000000006</v>
      </c>
      <c r="AA319" s="22">
        <v>-1.53717E-2</v>
      </c>
      <c r="AB319" s="22">
        <v>309</v>
      </c>
      <c r="AC319" s="22">
        <v>0.243256</v>
      </c>
      <c r="AD319">
        <f t="shared" si="52"/>
        <v>15.371700000000001</v>
      </c>
      <c r="AE319">
        <f t="shared" si="53"/>
        <v>3.7505103396000004</v>
      </c>
      <c r="AF319" s="9"/>
      <c r="AG319" s="22">
        <v>1.4559899999999999</v>
      </c>
      <c r="AH319" s="22">
        <v>110.05</v>
      </c>
      <c r="AI319" s="22">
        <v>-1.4263899999999999E-2</v>
      </c>
      <c r="AJ319" s="22">
        <v>309</v>
      </c>
      <c r="AK319" s="22">
        <v>1.4553799999999999</v>
      </c>
      <c r="AL319">
        <f t="shared" si="54"/>
        <v>14.2639</v>
      </c>
      <c r="AM319">
        <f t="shared" si="55"/>
        <v>20.768095760999998</v>
      </c>
      <c r="AP319" s="9"/>
      <c r="AQ319" s="22">
        <v>0.24398800000000001</v>
      </c>
      <c r="AR319" s="22">
        <v>138.53100000000001</v>
      </c>
      <c r="AS319" s="22">
        <v>-1.54083E-2</v>
      </c>
      <c r="AT319" s="22">
        <v>309</v>
      </c>
      <c r="AU319" s="22">
        <v>0.243256</v>
      </c>
      <c r="AV319">
        <f t="shared" si="56"/>
        <v>15.408300000000001</v>
      </c>
      <c r="AW319">
        <f t="shared" si="57"/>
        <v>3.7594403004000001</v>
      </c>
      <c r="AX319" s="9"/>
      <c r="AY319" s="22">
        <v>1.4559899999999999</v>
      </c>
      <c r="AZ319" s="22">
        <v>182.38499999999999</v>
      </c>
      <c r="BA319" s="22">
        <v>-1.4508099999999999E-2</v>
      </c>
      <c r="BB319" s="22">
        <v>309</v>
      </c>
      <c r="BC319" s="22">
        <v>1.4550799999999999</v>
      </c>
      <c r="BD319">
        <f t="shared" si="58"/>
        <v>14.508099999999999</v>
      </c>
      <c r="BE319">
        <f t="shared" si="59"/>
        <v>21.123648518999996</v>
      </c>
    </row>
    <row r="320" spans="6:57">
      <c r="F320" s="9"/>
      <c r="G320" s="22">
        <v>0.238953</v>
      </c>
      <c r="H320" s="22">
        <v>14.5184</v>
      </c>
      <c r="I320" s="22">
        <v>-1.5271E-2</v>
      </c>
      <c r="J320" s="22">
        <v>310</v>
      </c>
      <c r="K320" s="22">
        <v>0.23815900000000001</v>
      </c>
      <c r="L320">
        <f t="shared" si="48"/>
        <v>15.270999999999999</v>
      </c>
      <c r="M320">
        <f t="shared" si="49"/>
        <v>3.6490512629999996</v>
      </c>
      <c r="N320" s="9"/>
      <c r="O320" s="22">
        <v>1.4610300000000001</v>
      </c>
      <c r="P320" s="22">
        <v>47.291600000000003</v>
      </c>
      <c r="Q320" s="22">
        <v>-1.4245600000000001E-2</v>
      </c>
      <c r="R320" s="22">
        <v>310</v>
      </c>
      <c r="S320" s="22">
        <v>1.4599599999999999</v>
      </c>
      <c r="T320">
        <f t="shared" si="50"/>
        <v>14.245600000000001</v>
      </c>
      <c r="U320">
        <f t="shared" si="51"/>
        <v>20.813248968000003</v>
      </c>
      <c r="X320" s="9"/>
      <c r="Y320" s="22">
        <v>0.238953</v>
      </c>
      <c r="Z320" s="22">
        <v>75.3446</v>
      </c>
      <c r="AA320" s="22">
        <v>-1.53717E-2</v>
      </c>
      <c r="AB320" s="22">
        <v>310</v>
      </c>
      <c r="AC320" s="22">
        <v>0.23812900000000001</v>
      </c>
      <c r="AD320">
        <f t="shared" si="52"/>
        <v>15.371700000000001</v>
      </c>
      <c r="AE320">
        <f t="shared" si="53"/>
        <v>3.6731138301000001</v>
      </c>
      <c r="AF320" s="9"/>
      <c r="AG320" s="22">
        <v>1.4610300000000001</v>
      </c>
      <c r="AH320" s="22">
        <v>110.06</v>
      </c>
      <c r="AI320" s="22">
        <v>-1.4245600000000001E-2</v>
      </c>
      <c r="AJ320" s="22">
        <v>310</v>
      </c>
      <c r="AK320" s="22">
        <v>1.46027</v>
      </c>
      <c r="AL320">
        <f t="shared" si="54"/>
        <v>14.245600000000001</v>
      </c>
      <c r="AM320">
        <f t="shared" si="55"/>
        <v>20.813248968000003</v>
      </c>
      <c r="AP320" s="9"/>
      <c r="AQ320" s="22">
        <v>0.238953</v>
      </c>
      <c r="AR320" s="22">
        <v>138.541</v>
      </c>
      <c r="AS320" s="22">
        <v>-1.54114E-2</v>
      </c>
      <c r="AT320" s="22">
        <v>310</v>
      </c>
      <c r="AU320" s="22">
        <v>0.23812900000000001</v>
      </c>
      <c r="AV320">
        <f t="shared" si="56"/>
        <v>15.4114</v>
      </c>
      <c r="AW320">
        <f t="shared" si="57"/>
        <v>3.6826002642</v>
      </c>
      <c r="AX320" s="9"/>
      <c r="AY320" s="22">
        <v>1.4610300000000001</v>
      </c>
      <c r="AZ320" s="22">
        <v>182.39500000000001</v>
      </c>
      <c r="BA320" s="22">
        <v>-1.44958E-2</v>
      </c>
      <c r="BB320" s="22">
        <v>310</v>
      </c>
      <c r="BC320" s="22">
        <v>1.4605699999999999</v>
      </c>
      <c r="BD320">
        <f t="shared" si="58"/>
        <v>14.495799999999999</v>
      </c>
      <c r="BE320">
        <f t="shared" si="59"/>
        <v>21.178798673999999</v>
      </c>
    </row>
    <row r="321" spans="6:57">
      <c r="F321" s="9"/>
      <c r="G321" s="22">
        <v>0.23391700000000001</v>
      </c>
      <c r="H321" s="22">
        <v>14.528499999999999</v>
      </c>
      <c r="I321" s="22">
        <v>-1.5273999999999999E-2</v>
      </c>
      <c r="J321" s="22">
        <v>311</v>
      </c>
      <c r="K321" s="22">
        <v>0.233185</v>
      </c>
      <c r="L321">
        <f t="shared" si="48"/>
        <v>15.273999999999999</v>
      </c>
      <c r="M321">
        <f t="shared" si="49"/>
        <v>3.5728482580000001</v>
      </c>
      <c r="N321" s="9"/>
      <c r="O321" s="22">
        <v>1.4660599999999999</v>
      </c>
      <c r="P321" s="22">
        <v>47.301600000000001</v>
      </c>
      <c r="Q321" s="22">
        <v>-1.42273E-2</v>
      </c>
      <c r="R321" s="22">
        <v>311</v>
      </c>
      <c r="S321" s="22">
        <v>1.4648399999999999</v>
      </c>
      <c r="T321">
        <f t="shared" si="50"/>
        <v>14.2273</v>
      </c>
      <c r="U321">
        <f t="shared" si="51"/>
        <v>20.858075437999997</v>
      </c>
      <c r="X321" s="9"/>
      <c r="Y321" s="22">
        <v>0.23391700000000001</v>
      </c>
      <c r="Z321" s="22">
        <v>75.354699999999994</v>
      </c>
      <c r="AA321" s="22">
        <v>-1.53778E-2</v>
      </c>
      <c r="AB321" s="22">
        <v>311</v>
      </c>
      <c r="AC321" s="22">
        <v>0.23327600000000001</v>
      </c>
      <c r="AD321">
        <f t="shared" si="52"/>
        <v>15.377800000000001</v>
      </c>
      <c r="AE321">
        <f t="shared" si="53"/>
        <v>3.5971288426000005</v>
      </c>
      <c r="AF321" s="9"/>
      <c r="AG321" s="22">
        <v>1.4660599999999999</v>
      </c>
      <c r="AH321" s="22">
        <v>110.07</v>
      </c>
      <c r="AI321" s="22">
        <v>-1.4224199999999999E-2</v>
      </c>
      <c r="AJ321" s="22">
        <v>311</v>
      </c>
      <c r="AK321" s="22">
        <v>1.4654499999999999</v>
      </c>
      <c r="AL321">
        <f t="shared" si="54"/>
        <v>14.2242</v>
      </c>
      <c r="AM321">
        <f t="shared" si="55"/>
        <v>20.853530652</v>
      </c>
      <c r="AP321" s="9"/>
      <c r="AQ321" s="22">
        <v>0.23391700000000001</v>
      </c>
      <c r="AR321" s="22">
        <v>138.55099999999999</v>
      </c>
      <c r="AS321" s="22">
        <v>-1.5417500000000001E-2</v>
      </c>
      <c r="AT321" s="22">
        <v>311</v>
      </c>
      <c r="AU321" s="22">
        <v>0.233124</v>
      </c>
      <c r="AV321">
        <f t="shared" si="56"/>
        <v>15.4175</v>
      </c>
      <c r="AW321">
        <f t="shared" si="57"/>
        <v>3.6064153475000005</v>
      </c>
      <c r="AX321" s="9"/>
      <c r="AY321" s="22">
        <v>1.4660599999999999</v>
      </c>
      <c r="AZ321" s="22">
        <v>182.405</v>
      </c>
      <c r="BA321" s="22">
        <v>-1.4483599999999999E-2</v>
      </c>
      <c r="BB321" s="22">
        <v>311</v>
      </c>
      <c r="BC321" s="22">
        <v>1.46515</v>
      </c>
      <c r="BD321">
        <f t="shared" si="58"/>
        <v>14.483599999999999</v>
      </c>
      <c r="BE321">
        <f t="shared" si="59"/>
        <v>21.233826615999998</v>
      </c>
    </row>
    <row r="322" spans="6:57">
      <c r="F322" s="9"/>
      <c r="G322" s="22">
        <v>0.228882</v>
      </c>
      <c r="H322" s="22">
        <v>14.538600000000001</v>
      </c>
      <c r="I322" s="22">
        <v>-1.52771E-2</v>
      </c>
      <c r="J322" s="22">
        <v>312</v>
      </c>
      <c r="K322" s="22">
        <v>0.22817999999999999</v>
      </c>
      <c r="L322">
        <f t="shared" si="48"/>
        <v>15.277100000000001</v>
      </c>
      <c r="M322">
        <f t="shared" si="49"/>
        <v>3.4966532022000001</v>
      </c>
      <c r="N322" s="9"/>
      <c r="O322" s="22">
        <v>1.4711000000000001</v>
      </c>
      <c r="P322" s="22">
        <v>47.311700000000002</v>
      </c>
      <c r="Q322" s="22">
        <v>-1.42059E-2</v>
      </c>
      <c r="R322" s="22">
        <v>312</v>
      </c>
      <c r="S322" s="22">
        <v>1.46973</v>
      </c>
      <c r="T322">
        <f t="shared" si="50"/>
        <v>14.2059</v>
      </c>
      <c r="U322">
        <f t="shared" si="51"/>
        <v>20.898299489999999</v>
      </c>
      <c r="X322" s="9"/>
      <c r="Y322" s="22">
        <v>0.228882</v>
      </c>
      <c r="Z322" s="22">
        <v>75.364699999999999</v>
      </c>
      <c r="AA322" s="22">
        <v>-1.5383900000000001E-2</v>
      </c>
      <c r="AB322" s="22">
        <v>312</v>
      </c>
      <c r="AC322" s="22">
        <v>0.22808800000000001</v>
      </c>
      <c r="AD322">
        <f t="shared" si="52"/>
        <v>15.383900000000001</v>
      </c>
      <c r="AE322">
        <f t="shared" si="53"/>
        <v>3.5210977998000001</v>
      </c>
      <c r="AF322" s="9"/>
      <c r="AG322" s="22">
        <v>1.4711000000000001</v>
      </c>
      <c r="AH322" s="22">
        <v>110.08</v>
      </c>
      <c r="AI322" s="22">
        <v>-1.42059E-2</v>
      </c>
      <c r="AJ322" s="22">
        <v>312</v>
      </c>
      <c r="AK322" s="22">
        <v>1.4700299999999999</v>
      </c>
      <c r="AL322">
        <f t="shared" si="54"/>
        <v>14.2059</v>
      </c>
      <c r="AM322">
        <f t="shared" si="55"/>
        <v>20.898299489999999</v>
      </c>
      <c r="AP322" s="9"/>
      <c r="AQ322" s="22">
        <v>0.228882</v>
      </c>
      <c r="AR322" s="22">
        <v>138.56100000000001</v>
      </c>
      <c r="AS322" s="22">
        <v>-1.5423600000000001E-2</v>
      </c>
      <c r="AT322" s="22">
        <v>312</v>
      </c>
      <c r="AU322" s="22">
        <v>0.22814899999999999</v>
      </c>
      <c r="AV322">
        <f t="shared" si="56"/>
        <v>15.4236</v>
      </c>
      <c r="AW322">
        <f t="shared" si="57"/>
        <v>3.5301844151999999</v>
      </c>
      <c r="AX322" s="9"/>
      <c r="AY322" s="22">
        <v>1.4711000000000001</v>
      </c>
      <c r="AZ322" s="22">
        <v>182.41499999999999</v>
      </c>
      <c r="BA322" s="22">
        <v>-1.4471400000000001E-2</v>
      </c>
      <c r="BB322" s="22">
        <v>312</v>
      </c>
      <c r="BC322" s="22">
        <v>1.4700299999999999</v>
      </c>
      <c r="BD322">
        <f t="shared" si="58"/>
        <v>14.471400000000001</v>
      </c>
      <c r="BE322">
        <f t="shared" si="59"/>
        <v>21.288876540000004</v>
      </c>
    </row>
    <row r="323" spans="6:57">
      <c r="F323" s="9"/>
      <c r="G323" s="22">
        <v>0.22384599999999999</v>
      </c>
      <c r="H323" s="22">
        <v>14.5487</v>
      </c>
      <c r="I323" s="22">
        <v>-1.52832E-2</v>
      </c>
      <c r="J323" s="22">
        <v>313</v>
      </c>
      <c r="K323" s="22">
        <v>0.22293099999999999</v>
      </c>
      <c r="L323">
        <f t="shared" si="48"/>
        <v>15.283200000000001</v>
      </c>
      <c r="M323">
        <f t="shared" si="49"/>
        <v>3.4210831871999998</v>
      </c>
      <c r="N323" s="9"/>
      <c r="O323" s="22">
        <v>1.47614</v>
      </c>
      <c r="P323" s="22">
        <v>47.321800000000003</v>
      </c>
      <c r="Q323" s="22">
        <v>-1.41876E-2</v>
      </c>
      <c r="R323" s="22">
        <v>313</v>
      </c>
      <c r="S323" s="22">
        <v>1.4749099999999999</v>
      </c>
      <c r="T323">
        <f t="shared" si="50"/>
        <v>14.1876</v>
      </c>
      <c r="U323">
        <f t="shared" si="51"/>
        <v>20.942883863999999</v>
      </c>
      <c r="X323" s="9"/>
      <c r="Y323" s="22">
        <v>0.22384599999999999</v>
      </c>
      <c r="Z323" s="22">
        <v>75.374799999999993</v>
      </c>
      <c r="AA323" s="22">
        <v>-1.5389999999999999E-2</v>
      </c>
      <c r="AB323" s="22">
        <v>313</v>
      </c>
      <c r="AC323" s="22">
        <v>0.22326699999999999</v>
      </c>
      <c r="AD323">
        <f t="shared" si="52"/>
        <v>15.389999999999999</v>
      </c>
      <c r="AE323">
        <f t="shared" si="53"/>
        <v>3.4449899399999997</v>
      </c>
      <c r="AF323" s="9"/>
      <c r="AG323" s="22">
        <v>1.47614</v>
      </c>
      <c r="AH323" s="22">
        <v>110.09</v>
      </c>
      <c r="AI323" s="22">
        <v>-1.41785E-2</v>
      </c>
      <c r="AJ323" s="22">
        <v>313</v>
      </c>
      <c r="AK323" s="22">
        <v>1.47522</v>
      </c>
      <c r="AL323">
        <f t="shared" si="54"/>
        <v>14.1785</v>
      </c>
      <c r="AM323">
        <f t="shared" si="55"/>
        <v>20.929450989999999</v>
      </c>
      <c r="AP323" s="9"/>
      <c r="AQ323" s="22">
        <v>0.22384599999999999</v>
      </c>
      <c r="AR323" s="22">
        <v>138.571</v>
      </c>
      <c r="AS323" s="22">
        <v>-1.54266E-2</v>
      </c>
      <c r="AT323" s="22">
        <v>313</v>
      </c>
      <c r="AU323" s="22">
        <v>0.223083</v>
      </c>
      <c r="AV323">
        <f t="shared" si="56"/>
        <v>15.426600000000001</v>
      </c>
      <c r="AW323">
        <f t="shared" si="57"/>
        <v>3.4531827036</v>
      </c>
      <c r="AX323" s="9"/>
      <c r="AY323" s="22">
        <v>1.47614</v>
      </c>
      <c r="AZ323" s="22">
        <v>182.42500000000001</v>
      </c>
      <c r="BA323" s="22">
        <v>-1.4456200000000001E-2</v>
      </c>
      <c r="BB323" s="22">
        <v>313</v>
      </c>
      <c r="BC323" s="22">
        <v>1.4755199999999999</v>
      </c>
      <c r="BD323">
        <f t="shared" si="58"/>
        <v>14.456200000000001</v>
      </c>
      <c r="BE323">
        <f t="shared" si="59"/>
        <v>21.339375068000002</v>
      </c>
    </row>
    <row r="324" spans="6:57">
      <c r="F324" s="9"/>
      <c r="G324" s="22">
        <v>0.21881100000000001</v>
      </c>
      <c r="H324" s="22">
        <v>14.5587</v>
      </c>
      <c r="I324" s="22">
        <v>-1.5292399999999999E-2</v>
      </c>
      <c r="J324" s="22">
        <v>314</v>
      </c>
      <c r="K324" s="22">
        <v>0.21798699999999999</v>
      </c>
      <c r="L324">
        <f t="shared" si="48"/>
        <v>15.292399999999999</v>
      </c>
      <c r="M324">
        <f t="shared" si="49"/>
        <v>3.3461453363999998</v>
      </c>
      <c r="N324" s="9"/>
      <c r="O324" s="22">
        <v>1.4811700000000001</v>
      </c>
      <c r="P324" s="22">
        <v>47.331800000000001</v>
      </c>
      <c r="Q324" s="22">
        <v>-1.4163200000000001E-2</v>
      </c>
      <c r="R324" s="22">
        <v>314</v>
      </c>
      <c r="S324" s="22">
        <v>1.48041</v>
      </c>
      <c r="T324">
        <f t="shared" si="50"/>
        <v>14.163200000000002</v>
      </c>
      <c r="U324">
        <f t="shared" si="51"/>
        <v>20.978106944000004</v>
      </c>
      <c r="X324" s="9"/>
      <c r="Y324" s="22">
        <v>0.21881100000000001</v>
      </c>
      <c r="Z324" s="22">
        <v>75.384900000000002</v>
      </c>
      <c r="AA324" s="22">
        <v>-1.5396099999999999E-2</v>
      </c>
      <c r="AB324" s="22">
        <v>314</v>
      </c>
      <c r="AC324" s="22">
        <v>0.218079</v>
      </c>
      <c r="AD324">
        <f t="shared" si="52"/>
        <v>15.396099999999999</v>
      </c>
      <c r="AE324">
        <f t="shared" si="53"/>
        <v>3.3688360370999999</v>
      </c>
      <c r="AF324" s="9"/>
      <c r="AG324" s="22">
        <v>1.4811700000000001</v>
      </c>
      <c r="AH324" s="22">
        <v>110.1</v>
      </c>
      <c r="AI324" s="22">
        <v>-1.41479E-2</v>
      </c>
      <c r="AJ324" s="22">
        <v>314</v>
      </c>
      <c r="AK324" s="22">
        <v>1.48102</v>
      </c>
      <c r="AL324">
        <f t="shared" si="54"/>
        <v>14.1479</v>
      </c>
      <c r="AM324">
        <f t="shared" si="55"/>
        <v>20.955445043000001</v>
      </c>
      <c r="AP324" s="9"/>
      <c r="AQ324" s="22">
        <v>0.21881100000000001</v>
      </c>
      <c r="AR324" s="22">
        <v>138.58099999999999</v>
      </c>
      <c r="AS324" s="22">
        <v>-1.5432700000000001E-2</v>
      </c>
      <c r="AT324" s="22">
        <v>314</v>
      </c>
      <c r="AU324" s="22">
        <v>0.218079</v>
      </c>
      <c r="AV324">
        <f t="shared" si="56"/>
        <v>15.432700000000001</v>
      </c>
      <c r="AW324">
        <f t="shared" si="57"/>
        <v>3.3768445197000001</v>
      </c>
      <c r="AX324" s="9"/>
      <c r="AY324" s="22">
        <v>1.4811700000000001</v>
      </c>
      <c r="AZ324" s="22">
        <v>182.435</v>
      </c>
      <c r="BA324" s="22">
        <v>-1.44379E-2</v>
      </c>
      <c r="BB324" s="22">
        <v>314</v>
      </c>
      <c r="BC324" s="22">
        <v>1.4798</v>
      </c>
      <c r="BD324">
        <f t="shared" si="58"/>
        <v>14.437900000000001</v>
      </c>
      <c r="BE324">
        <f t="shared" si="59"/>
        <v>21.384984343000003</v>
      </c>
    </row>
    <row r="325" spans="6:57">
      <c r="F325" s="9"/>
      <c r="G325" s="22">
        <v>0.21377599999999999</v>
      </c>
      <c r="H325" s="22">
        <v>14.5688</v>
      </c>
      <c r="I325" s="22">
        <v>-1.5292399999999999E-2</v>
      </c>
      <c r="J325" s="22">
        <v>315</v>
      </c>
      <c r="K325" s="22">
        <v>0.21304300000000001</v>
      </c>
      <c r="L325">
        <f t="shared" si="48"/>
        <v>15.292399999999999</v>
      </c>
      <c r="M325">
        <f t="shared" si="49"/>
        <v>3.2691481023999995</v>
      </c>
      <c r="N325" s="9"/>
      <c r="O325" s="22">
        <v>1.48621</v>
      </c>
      <c r="P325" s="22">
        <v>47.341900000000003</v>
      </c>
      <c r="Q325" s="22">
        <v>-1.41388E-2</v>
      </c>
      <c r="R325" s="22">
        <v>315</v>
      </c>
      <c r="S325" s="22">
        <v>1.48529</v>
      </c>
      <c r="T325">
        <f t="shared" si="50"/>
        <v>14.1388</v>
      </c>
      <c r="U325">
        <f t="shared" si="51"/>
        <v>21.013225947999999</v>
      </c>
      <c r="X325" s="9"/>
      <c r="Y325" s="22">
        <v>0.21377599999999999</v>
      </c>
      <c r="Z325" s="22">
        <v>75.394900000000007</v>
      </c>
      <c r="AA325" s="22">
        <v>-1.54022E-2</v>
      </c>
      <c r="AB325" s="22">
        <v>315</v>
      </c>
      <c r="AC325" s="22">
        <v>0.21304300000000001</v>
      </c>
      <c r="AD325">
        <f t="shared" si="52"/>
        <v>15.402199999999999</v>
      </c>
      <c r="AE325">
        <f t="shared" si="53"/>
        <v>3.2926207071999998</v>
      </c>
      <c r="AF325" s="9"/>
      <c r="AG325" s="22">
        <v>1.48621</v>
      </c>
      <c r="AH325" s="22">
        <v>110.11</v>
      </c>
      <c r="AI325" s="22">
        <v>-1.41174E-2</v>
      </c>
      <c r="AJ325" s="22">
        <v>315</v>
      </c>
      <c r="AK325" s="22">
        <v>1.4856</v>
      </c>
      <c r="AL325">
        <f t="shared" si="54"/>
        <v>14.1174</v>
      </c>
      <c r="AM325">
        <f t="shared" si="55"/>
        <v>20.981421054000002</v>
      </c>
      <c r="AP325" s="9"/>
      <c r="AQ325" s="22">
        <v>0.21377599999999999</v>
      </c>
      <c r="AR325" s="22">
        <v>138.59100000000001</v>
      </c>
      <c r="AS325" s="22">
        <v>-1.54358E-2</v>
      </c>
      <c r="AT325" s="22">
        <v>315</v>
      </c>
      <c r="AU325" s="22">
        <v>0.21310399999999999</v>
      </c>
      <c r="AV325">
        <f t="shared" si="56"/>
        <v>15.4358</v>
      </c>
      <c r="AW325">
        <f t="shared" si="57"/>
        <v>3.2998035807999999</v>
      </c>
      <c r="AX325" s="9"/>
      <c r="AY325" s="22">
        <v>1.48621</v>
      </c>
      <c r="AZ325" s="22">
        <v>182.44499999999999</v>
      </c>
      <c r="BA325" s="22">
        <v>-1.4413499999999999E-2</v>
      </c>
      <c r="BB325" s="22">
        <v>315</v>
      </c>
      <c r="BC325" s="22">
        <v>1.48499</v>
      </c>
      <c r="BD325">
        <f t="shared" si="58"/>
        <v>14.413499999999999</v>
      </c>
      <c r="BE325">
        <f t="shared" si="59"/>
        <v>21.421487835000001</v>
      </c>
    </row>
    <row r="326" spans="6:57">
      <c r="F326" s="9"/>
      <c r="G326" s="22">
        <v>0.20874000000000001</v>
      </c>
      <c r="H326" s="22">
        <v>14.578900000000001</v>
      </c>
      <c r="I326" s="22">
        <v>-1.5295400000000001E-2</v>
      </c>
      <c r="J326" s="22">
        <v>316</v>
      </c>
      <c r="K326" s="22">
        <v>0.208038</v>
      </c>
      <c r="L326">
        <f t="shared" si="48"/>
        <v>15.295400000000001</v>
      </c>
      <c r="M326">
        <f t="shared" si="49"/>
        <v>3.1927617960000001</v>
      </c>
      <c r="N326" s="9"/>
      <c r="O326" s="22">
        <v>1.4912399999999999</v>
      </c>
      <c r="P326" s="22">
        <v>47.351999999999997</v>
      </c>
      <c r="Q326" s="22">
        <v>-1.4120499999999999E-2</v>
      </c>
      <c r="R326" s="22">
        <v>316</v>
      </c>
      <c r="S326" s="22">
        <v>1.48987</v>
      </c>
      <c r="T326">
        <f t="shared" si="50"/>
        <v>14.1205</v>
      </c>
      <c r="U326">
        <f t="shared" si="51"/>
        <v>21.05705442</v>
      </c>
      <c r="X326" s="9"/>
      <c r="Y326" s="22">
        <v>0.20874000000000001</v>
      </c>
      <c r="Z326" s="22">
        <v>75.405000000000001</v>
      </c>
      <c r="AA326" s="22">
        <v>-1.54053E-2</v>
      </c>
      <c r="AB326" s="22">
        <v>316</v>
      </c>
      <c r="AC326" s="22">
        <v>0.20794699999999999</v>
      </c>
      <c r="AD326">
        <f t="shared" si="52"/>
        <v>15.4053</v>
      </c>
      <c r="AE326">
        <f t="shared" si="53"/>
        <v>3.2157023220000003</v>
      </c>
      <c r="AF326" s="9"/>
      <c r="AG326" s="22">
        <v>1.4912399999999999</v>
      </c>
      <c r="AH326" s="22">
        <v>110.12</v>
      </c>
      <c r="AI326" s="22">
        <v>-1.4080799999999999E-2</v>
      </c>
      <c r="AJ326" s="22">
        <v>316</v>
      </c>
      <c r="AK326" s="22">
        <v>1.48987</v>
      </c>
      <c r="AL326">
        <f t="shared" si="54"/>
        <v>14.0808</v>
      </c>
      <c r="AM326">
        <f t="shared" si="55"/>
        <v>20.997852192</v>
      </c>
      <c r="AP326" s="9"/>
      <c r="AQ326" s="22">
        <v>0.20874000000000001</v>
      </c>
      <c r="AR326" s="22">
        <v>138.601</v>
      </c>
      <c r="AS326" s="22">
        <v>-1.54419E-2</v>
      </c>
      <c r="AT326" s="22">
        <v>316</v>
      </c>
      <c r="AU326" s="22">
        <v>0.20822099999999999</v>
      </c>
      <c r="AV326">
        <f t="shared" si="56"/>
        <v>15.4419</v>
      </c>
      <c r="AW326">
        <f t="shared" si="57"/>
        <v>3.2233422060000003</v>
      </c>
      <c r="AX326" s="9"/>
      <c r="AY326" s="22">
        <v>1.4912399999999999</v>
      </c>
      <c r="AZ326" s="22">
        <v>182.45599999999999</v>
      </c>
      <c r="BA326" s="22">
        <v>-1.4395099999999999E-2</v>
      </c>
      <c r="BB326" s="22">
        <v>316</v>
      </c>
      <c r="BC326" s="22">
        <v>1.48987</v>
      </c>
      <c r="BD326">
        <f t="shared" si="58"/>
        <v>14.395099999999999</v>
      </c>
      <c r="BE326">
        <f t="shared" si="59"/>
        <v>21.466548923999998</v>
      </c>
    </row>
    <row r="327" spans="6:57">
      <c r="F327" s="9"/>
      <c r="G327" s="22">
        <v>0.203705</v>
      </c>
      <c r="H327" s="22">
        <v>14.588900000000001</v>
      </c>
      <c r="I327" s="22">
        <v>-1.52985E-2</v>
      </c>
      <c r="J327" s="22">
        <v>317</v>
      </c>
      <c r="K327" s="22">
        <v>0.20291100000000001</v>
      </c>
      <c r="L327">
        <f t="shared" si="48"/>
        <v>15.298499999999999</v>
      </c>
      <c r="M327">
        <f t="shared" si="49"/>
        <v>3.1163809424999998</v>
      </c>
      <c r="N327" s="9"/>
      <c r="O327" s="22">
        <v>1.4962800000000001</v>
      </c>
      <c r="P327" s="22">
        <v>47.362099999999998</v>
      </c>
      <c r="Q327" s="22">
        <v>-1.40961E-2</v>
      </c>
      <c r="R327" s="22">
        <v>317</v>
      </c>
      <c r="S327" s="22">
        <v>1.49475</v>
      </c>
      <c r="T327">
        <f t="shared" si="50"/>
        <v>14.0961</v>
      </c>
      <c r="U327">
        <f t="shared" si="51"/>
        <v>21.091712508000001</v>
      </c>
      <c r="X327" s="9"/>
      <c r="Y327" s="22">
        <v>0.203705</v>
      </c>
      <c r="Z327" s="22">
        <v>75.415099999999995</v>
      </c>
      <c r="AA327" s="22">
        <v>-1.54114E-2</v>
      </c>
      <c r="AB327" s="22">
        <v>317</v>
      </c>
      <c r="AC327" s="22">
        <v>0.20297200000000001</v>
      </c>
      <c r="AD327">
        <f t="shared" si="52"/>
        <v>15.4114</v>
      </c>
      <c r="AE327">
        <f t="shared" si="53"/>
        <v>3.139379237</v>
      </c>
      <c r="AF327" s="9"/>
      <c r="AG327" s="22">
        <v>1.4962800000000001</v>
      </c>
      <c r="AH327" s="22">
        <v>110.13</v>
      </c>
      <c r="AI327" s="22">
        <v>-1.40381E-2</v>
      </c>
      <c r="AJ327" s="22">
        <v>317</v>
      </c>
      <c r="AK327" s="22">
        <v>1.49475</v>
      </c>
      <c r="AL327">
        <f t="shared" si="54"/>
        <v>14.0381</v>
      </c>
      <c r="AM327">
        <f t="shared" si="55"/>
        <v>21.004928268</v>
      </c>
      <c r="AP327" s="9"/>
      <c r="AQ327" s="22">
        <v>0.203705</v>
      </c>
      <c r="AR327" s="22">
        <v>138.61099999999999</v>
      </c>
      <c r="AS327" s="22">
        <v>-1.5444899999999999E-2</v>
      </c>
      <c r="AT327" s="22">
        <v>317</v>
      </c>
      <c r="AU327" s="22">
        <v>0.20294200000000001</v>
      </c>
      <c r="AV327">
        <f t="shared" si="56"/>
        <v>15.444899999999999</v>
      </c>
      <c r="AW327">
        <f t="shared" si="57"/>
        <v>3.1462033544999999</v>
      </c>
      <c r="AX327" s="9"/>
      <c r="AY327" s="22">
        <v>1.4962800000000001</v>
      </c>
      <c r="AZ327" s="22">
        <v>182.46600000000001</v>
      </c>
      <c r="BA327" s="22">
        <v>-1.43707E-2</v>
      </c>
      <c r="BB327" s="22">
        <v>317</v>
      </c>
      <c r="BC327" s="22">
        <v>1.4950600000000001</v>
      </c>
      <c r="BD327">
        <f t="shared" si="58"/>
        <v>14.370699999999999</v>
      </c>
      <c r="BE327">
        <f t="shared" si="59"/>
        <v>21.502590995999999</v>
      </c>
    </row>
    <row r="328" spans="6:57">
      <c r="F328" s="9"/>
      <c r="G328" s="22">
        <v>0.19866900000000001</v>
      </c>
      <c r="H328" s="22">
        <v>14.599</v>
      </c>
      <c r="I328" s="22">
        <v>-1.52985E-2</v>
      </c>
      <c r="J328" s="22">
        <v>318</v>
      </c>
      <c r="K328" s="22">
        <v>0.19784499999999999</v>
      </c>
      <c r="L328">
        <f t="shared" si="48"/>
        <v>15.298499999999999</v>
      </c>
      <c r="M328">
        <f t="shared" si="49"/>
        <v>3.0393376965000001</v>
      </c>
      <c r="N328" s="9"/>
      <c r="O328" s="22">
        <v>1.5013099999999999</v>
      </c>
      <c r="P328" s="22">
        <v>47.372100000000003</v>
      </c>
      <c r="Q328" s="22">
        <v>-1.4068600000000001E-2</v>
      </c>
      <c r="R328" s="22">
        <v>318</v>
      </c>
      <c r="S328" s="22">
        <v>1.4999400000000001</v>
      </c>
      <c r="T328">
        <f t="shared" si="50"/>
        <v>14.0686</v>
      </c>
      <c r="U328">
        <f t="shared" si="51"/>
        <v>21.121329866</v>
      </c>
      <c r="X328" s="9"/>
      <c r="Y328" s="22">
        <v>0.19866900000000001</v>
      </c>
      <c r="Z328" s="22">
        <v>75.425200000000004</v>
      </c>
      <c r="AA328" s="22">
        <v>-1.5417500000000001E-2</v>
      </c>
      <c r="AB328" s="22">
        <v>318</v>
      </c>
      <c r="AC328" s="22">
        <v>0.197937</v>
      </c>
      <c r="AD328">
        <f t="shared" si="52"/>
        <v>15.4175</v>
      </c>
      <c r="AE328">
        <f t="shared" si="53"/>
        <v>3.0629793075000005</v>
      </c>
      <c r="AF328" s="9"/>
      <c r="AG328" s="22">
        <v>1.5013099999999999</v>
      </c>
      <c r="AH328" s="22">
        <v>110.14</v>
      </c>
      <c r="AI328" s="22">
        <v>-1.39954E-2</v>
      </c>
      <c r="AJ328" s="22">
        <v>318</v>
      </c>
      <c r="AK328" s="22">
        <v>1.50024</v>
      </c>
      <c r="AL328">
        <f t="shared" si="54"/>
        <v>13.9954</v>
      </c>
      <c r="AM328">
        <f t="shared" si="55"/>
        <v>21.011433973999999</v>
      </c>
      <c r="AP328" s="9"/>
      <c r="AQ328" s="22">
        <v>0.19866900000000001</v>
      </c>
      <c r="AR328" s="22">
        <v>138.62100000000001</v>
      </c>
      <c r="AS328" s="22">
        <v>-1.5448E-2</v>
      </c>
      <c r="AT328" s="22">
        <v>318</v>
      </c>
      <c r="AU328" s="22">
        <v>0.197906</v>
      </c>
      <c r="AV328">
        <f t="shared" si="56"/>
        <v>15.448</v>
      </c>
      <c r="AW328">
        <f t="shared" si="57"/>
        <v>3.0690387120000002</v>
      </c>
      <c r="AX328" s="9"/>
      <c r="AY328" s="22">
        <v>1.5013099999999999</v>
      </c>
      <c r="AZ328" s="22">
        <v>182.476</v>
      </c>
      <c r="BA328" s="22">
        <v>-1.43494E-2</v>
      </c>
      <c r="BB328" s="22">
        <v>318</v>
      </c>
      <c r="BC328" s="22">
        <v>1.4999400000000001</v>
      </c>
      <c r="BD328">
        <f t="shared" si="58"/>
        <v>14.349399999999999</v>
      </c>
      <c r="BE328">
        <f t="shared" si="59"/>
        <v>21.542897713999999</v>
      </c>
    </row>
    <row r="329" spans="6:57">
      <c r="F329" s="9"/>
      <c r="G329" s="22">
        <v>0.193634</v>
      </c>
      <c r="H329" s="22">
        <v>14.6091</v>
      </c>
      <c r="I329" s="22">
        <v>-1.5301500000000001E-2</v>
      </c>
      <c r="J329" s="22">
        <v>319</v>
      </c>
      <c r="K329" s="22">
        <v>0.19293199999999999</v>
      </c>
      <c r="L329">
        <f t="shared" si="48"/>
        <v>15.301500000000001</v>
      </c>
      <c r="M329">
        <f t="shared" si="49"/>
        <v>2.9628906510000004</v>
      </c>
      <c r="N329" s="9"/>
      <c r="O329" s="22">
        <v>1.5063500000000001</v>
      </c>
      <c r="P329" s="22">
        <v>47.382199999999997</v>
      </c>
      <c r="Q329" s="22">
        <v>-1.4035000000000001E-2</v>
      </c>
      <c r="R329" s="22">
        <v>319</v>
      </c>
      <c r="S329" s="22">
        <v>1.5057400000000001</v>
      </c>
      <c r="T329">
        <f t="shared" si="50"/>
        <v>14.035</v>
      </c>
      <c r="U329">
        <f t="shared" si="51"/>
        <v>21.141622250000001</v>
      </c>
      <c r="X329" s="9"/>
      <c r="Y329" s="22">
        <v>0.193634</v>
      </c>
      <c r="Z329" s="22">
        <v>75.435199999999995</v>
      </c>
      <c r="AA329" s="22">
        <v>-1.54205E-2</v>
      </c>
      <c r="AB329" s="22">
        <v>319</v>
      </c>
      <c r="AC329" s="22">
        <v>0.19278000000000001</v>
      </c>
      <c r="AD329">
        <f t="shared" si="52"/>
        <v>15.420500000000001</v>
      </c>
      <c r="AE329">
        <f t="shared" si="53"/>
        <v>2.9859330970000002</v>
      </c>
      <c r="AF329" s="9"/>
      <c r="AG329" s="22">
        <v>1.5063500000000001</v>
      </c>
      <c r="AH329" s="22">
        <v>110.15</v>
      </c>
      <c r="AI329" s="22">
        <v>-1.39496E-2</v>
      </c>
      <c r="AJ329" s="22">
        <v>319</v>
      </c>
      <c r="AK329" s="22">
        <v>1.5057400000000001</v>
      </c>
      <c r="AL329">
        <f t="shared" si="54"/>
        <v>13.9496</v>
      </c>
      <c r="AM329">
        <f t="shared" si="55"/>
        <v>21.012979960000003</v>
      </c>
      <c r="AP329" s="9"/>
      <c r="AQ329" s="22">
        <v>0.193634</v>
      </c>
      <c r="AR329" s="22">
        <v>138.631</v>
      </c>
      <c r="AS329" s="22">
        <v>-1.54541E-2</v>
      </c>
      <c r="AT329" s="22">
        <v>319</v>
      </c>
      <c r="AU329" s="22">
        <v>0.19284100000000001</v>
      </c>
      <c r="AV329">
        <f t="shared" si="56"/>
        <v>15.4541</v>
      </c>
      <c r="AW329">
        <f t="shared" si="57"/>
        <v>2.9924391994000001</v>
      </c>
      <c r="AX329" s="9"/>
      <c r="AY329" s="22">
        <v>1.5063500000000001</v>
      </c>
      <c r="AZ329" s="22">
        <v>182.48599999999999</v>
      </c>
      <c r="BA329" s="22">
        <v>-1.43219E-2</v>
      </c>
      <c r="BB329" s="22">
        <v>319</v>
      </c>
      <c r="BC329" s="22">
        <v>1.50543</v>
      </c>
      <c r="BD329">
        <f t="shared" si="58"/>
        <v>14.321899999999999</v>
      </c>
      <c r="BE329">
        <f t="shared" si="59"/>
        <v>21.573794065000001</v>
      </c>
    </row>
    <row r="330" spans="6:57">
      <c r="F330" s="9"/>
      <c r="G330" s="22">
        <v>0.18859899999999999</v>
      </c>
      <c r="H330" s="22">
        <v>14.619199999999999</v>
      </c>
      <c r="I330" s="22">
        <v>-1.5307599999999999E-2</v>
      </c>
      <c r="J330" s="22">
        <v>320</v>
      </c>
      <c r="K330" s="22">
        <v>0.187805</v>
      </c>
      <c r="L330">
        <f t="shared" si="48"/>
        <v>15.307599999999999</v>
      </c>
      <c r="M330">
        <f t="shared" si="49"/>
        <v>2.8869980523999996</v>
      </c>
      <c r="N330" s="9"/>
      <c r="O330" s="22">
        <v>1.5113799999999999</v>
      </c>
      <c r="P330" s="22">
        <v>47.392299999999999</v>
      </c>
      <c r="Q330" s="22">
        <v>-1.3998399999999999E-2</v>
      </c>
      <c r="R330" s="22">
        <v>320</v>
      </c>
      <c r="S330" s="22">
        <v>1.5097</v>
      </c>
      <c r="T330">
        <f t="shared" si="50"/>
        <v>13.9984</v>
      </c>
      <c r="U330">
        <f t="shared" si="51"/>
        <v>21.156901791999999</v>
      </c>
      <c r="X330" s="9"/>
      <c r="Y330" s="22">
        <v>0.18859899999999999</v>
      </c>
      <c r="Z330" s="22">
        <v>75.445300000000003</v>
      </c>
      <c r="AA330" s="22">
        <v>-1.5423600000000001E-2</v>
      </c>
      <c r="AB330" s="22">
        <v>320</v>
      </c>
      <c r="AC330" s="22">
        <v>0.18789700000000001</v>
      </c>
      <c r="AD330">
        <f t="shared" si="52"/>
        <v>15.4236</v>
      </c>
      <c r="AE330">
        <f t="shared" si="53"/>
        <v>2.9088755364000001</v>
      </c>
      <c r="AF330" s="9"/>
      <c r="AG330" s="22">
        <v>1.5113799999999999</v>
      </c>
      <c r="AH330" s="22">
        <v>110.16</v>
      </c>
      <c r="AI330" s="22">
        <v>-1.3903799999999999E-2</v>
      </c>
      <c r="AJ330" s="22">
        <v>320</v>
      </c>
      <c r="AK330" s="22">
        <v>1.5106200000000001</v>
      </c>
      <c r="AL330">
        <f t="shared" si="54"/>
        <v>13.903799999999999</v>
      </c>
      <c r="AM330">
        <f t="shared" si="55"/>
        <v>21.013925243999996</v>
      </c>
      <c r="AP330" s="9"/>
      <c r="AQ330" s="22">
        <v>0.18859899999999999</v>
      </c>
      <c r="AR330" s="22">
        <v>138.64099999999999</v>
      </c>
      <c r="AS330" s="22">
        <v>-1.54602E-2</v>
      </c>
      <c r="AT330" s="22">
        <v>320</v>
      </c>
      <c r="AU330" s="22">
        <v>0.18786600000000001</v>
      </c>
      <c r="AV330">
        <f t="shared" si="56"/>
        <v>15.4602</v>
      </c>
      <c r="AW330">
        <f t="shared" si="57"/>
        <v>2.9157782597999997</v>
      </c>
      <c r="AX330" s="9"/>
      <c r="AY330" s="22">
        <v>1.5113799999999999</v>
      </c>
      <c r="AZ330" s="22">
        <v>182.49600000000001</v>
      </c>
      <c r="BA330" s="22">
        <v>-1.4294400000000001E-2</v>
      </c>
      <c r="BB330" s="22">
        <v>320</v>
      </c>
      <c r="BC330" s="22">
        <v>1.5100100000000001</v>
      </c>
      <c r="BD330">
        <f t="shared" si="58"/>
        <v>14.294400000000001</v>
      </c>
      <c r="BE330">
        <f t="shared" si="59"/>
        <v>21.604270272000001</v>
      </c>
    </row>
    <row r="331" spans="6:57">
      <c r="F331" s="9"/>
      <c r="G331" s="22">
        <v>0.183563</v>
      </c>
      <c r="H331" s="22">
        <v>14.629200000000001</v>
      </c>
      <c r="I331" s="22">
        <v>-1.53107E-2</v>
      </c>
      <c r="J331" s="22">
        <v>321</v>
      </c>
      <c r="K331" s="22">
        <v>0.18279999999999999</v>
      </c>
      <c r="L331">
        <f t="shared" si="48"/>
        <v>15.310700000000001</v>
      </c>
      <c r="M331">
        <f t="shared" si="49"/>
        <v>2.8104780241</v>
      </c>
      <c r="N331" s="9"/>
      <c r="O331" s="22">
        <v>1.5164200000000001</v>
      </c>
      <c r="P331" s="22">
        <v>47.402299999999997</v>
      </c>
      <c r="Q331" s="22">
        <v>-1.3958699999999999E-2</v>
      </c>
      <c r="R331" s="22">
        <v>321</v>
      </c>
      <c r="S331" s="22">
        <v>1.5155000000000001</v>
      </c>
      <c r="T331">
        <f t="shared" si="50"/>
        <v>13.958699999999999</v>
      </c>
      <c r="U331">
        <f t="shared" si="51"/>
        <v>21.167251854</v>
      </c>
      <c r="X331" s="9"/>
      <c r="Y331" s="22">
        <v>0.183563</v>
      </c>
      <c r="Z331" s="22">
        <v>75.455399999999997</v>
      </c>
      <c r="AA331" s="22">
        <v>-1.54266E-2</v>
      </c>
      <c r="AB331" s="22">
        <v>321</v>
      </c>
      <c r="AC331" s="22">
        <v>0.182861</v>
      </c>
      <c r="AD331">
        <f t="shared" si="52"/>
        <v>15.426600000000001</v>
      </c>
      <c r="AE331">
        <f t="shared" si="53"/>
        <v>2.8317529758000002</v>
      </c>
      <c r="AF331" s="9"/>
      <c r="AG331" s="22">
        <v>1.5164200000000001</v>
      </c>
      <c r="AH331" s="22">
        <v>110.17100000000001</v>
      </c>
      <c r="AI331" s="22">
        <v>-1.3858000000000001E-2</v>
      </c>
      <c r="AJ331" s="22">
        <v>321</v>
      </c>
      <c r="AK331" s="22">
        <v>1.5158100000000001</v>
      </c>
      <c r="AL331">
        <f t="shared" si="54"/>
        <v>13.858000000000001</v>
      </c>
      <c r="AM331">
        <f t="shared" si="55"/>
        <v>21.014548360000003</v>
      </c>
      <c r="AP331" s="9"/>
      <c r="AQ331" s="22">
        <v>0.183563</v>
      </c>
      <c r="AR331" s="22">
        <v>138.65199999999999</v>
      </c>
      <c r="AS331" s="22">
        <v>-1.5466300000000001E-2</v>
      </c>
      <c r="AT331" s="22">
        <v>321</v>
      </c>
      <c r="AU331" s="22">
        <v>0.18273900000000001</v>
      </c>
      <c r="AV331">
        <f t="shared" si="56"/>
        <v>15.4663</v>
      </c>
      <c r="AW331">
        <f t="shared" si="57"/>
        <v>2.8390404269</v>
      </c>
      <c r="AX331" s="9"/>
      <c r="AY331" s="22">
        <v>1.5164200000000001</v>
      </c>
      <c r="AZ331" s="22">
        <v>182.506</v>
      </c>
      <c r="BA331" s="22">
        <v>-1.4263899999999999E-2</v>
      </c>
      <c r="BB331" s="22">
        <v>321</v>
      </c>
      <c r="BC331" s="22">
        <v>1.5155000000000001</v>
      </c>
      <c r="BD331">
        <f t="shared" si="58"/>
        <v>14.2639</v>
      </c>
      <c r="BE331">
        <f t="shared" si="59"/>
        <v>21.630063238000002</v>
      </c>
    </row>
    <row r="332" spans="6:57">
      <c r="F332" s="9"/>
      <c r="G332" s="22">
        <v>0.17852799999999999</v>
      </c>
      <c r="H332" s="22">
        <v>14.6393</v>
      </c>
      <c r="I332" s="22">
        <v>-1.53168E-2</v>
      </c>
      <c r="J332" s="22">
        <v>322</v>
      </c>
      <c r="K332" s="22">
        <v>0.17779500000000001</v>
      </c>
      <c r="L332">
        <f t="shared" ref="L332:L388" si="60">-I332/$F$2*1000</f>
        <v>15.316800000000001</v>
      </c>
      <c r="M332">
        <f t="shared" ref="M332:M388" si="61">L332*G332</f>
        <v>2.7344776704</v>
      </c>
      <c r="N332" s="9"/>
      <c r="O332" s="22">
        <v>1.52145</v>
      </c>
      <c r="P332" s="22">
        <v>47.412399999999998</v>
      </c>
      <c r="Q332" s="22">
        <v>-1.39221E-2</v>
      </c>
      <c r="R332" s="22">
        <v>322</v>
      </c>
      <c r="S332" s="22">
        <v>1.5209999999999999</v>
      </c>
      <c r="T332">
        <f t="shared" ref="T332:T388" si="62">-Q332/$F$2*1000</f>
        <v>13.9221</v>
      </c>
      <c r="U332">
        <f t="shared" ref="U332:U388" si="63">T332*O332</f>
        <v>21.181779044999999</v>
      </c>
      <c r="X332" s="9"/>
      <c r="Y332" s="22">
        <v>0.17852799999999999</v>
      </c>
      <c r="Z332" s="22">
        <v>75.465400000000002</v>
      </c>
      <c r="AA332" s="22">
        <v>-1.5429699999999999E-2</v>
      </c>
      <c r="AB332" s="22">
        <v>322</v>
      </c>
      <c r="AC332" s="22">
        <v>0.17779500000000001</v>
      </c>
      <c r="AD332">
        <f t="shared" ref="AD332:AD388" si="64">-AA332/$F$2*1000</f>
        <v>15.429699999999999</v>
      </c>
      <c r="AE332">
        <f t="shared" ref="AE332:AE388" si="65">AD332*Y332</f>
        <v>2.7546334815999995</v>
      </c>
      <c r="AF332" s="9"/>
      <c r="AG332" s="22">
        <v>1.52145</v>
      </c>
      <c r="AH332" s="22">
        <v>110.181</v>
      </c>
      <c r="AI332" s="22">
        <v>-1.38123E-2</v>
      </c>
      <c r="AJ332" s="22">
        <v>322</v>
      </c>
      <c r="AK332" s="22">
        <v>1.5203899999999999</v>
      </c>
      <c r="AL332">
        <f t="shared" ref="AL332:AL388" si="66">-AI332/$F$2*1000</f>
        <v>13.8123</v>
      </c>
      <c r="AM332">
        <f t="shared" ref="AM332:AM388" si="67">AL332*AG332</f>
        <v>21.014723835000002</v>
      </c>
      <c r="AP332" s="9"/>
      <c r="AQ332" s="22">
        <v>0.17852799999999999</v>
      </c>
      <c r="AR332" s="22">
        <v>138.66200000000001</v>
      </c>
      <c r="AS332" s="22">
        <v>-1.5469399999999999E-2</v>
      </c>
      <c r="AT332" s="22">
        <v>322</v>
      </c>
      <c r="AU332" s="22">
        <v>0.177673</v>
      </c>
      <c r="AV332">
        <f t="shared" ref="AV332:AV388" si="68">-AS332/$F$2*1000</f>
        <v>15.4694</v>
      </c>
      <c r="AW332">
        <f t="shared" ref="AW332:AW388" si="69">AV332*AQ332</f>
        <v>2.7617210432000001</v>
      </c>
      <c r="AX332" s="9"/>
      <c r="AY332" s="22">
        <v>1.52145</v>
      </c>
      <c r="AZ332" s="22">
        <v>182.51599999999999</v>
      </c>
      <c r="BA332" s="22">
        <v>-1.42334E-2</v>
      </c>
      <c r="BB332" s="22">
        <v>322</v>
      </c>
      <c r="BC332" s="22">
        <v>1.5203899999999999</v>
      </c>
      <c r="BD332">
        <f t="shared" ref="BD332:BD388" si="70">-BA332/$F$2*1000</f>
        <v>14.2334</v>
      </c>
      <c r="BE332">
        <f t="shared" ref="BE332:BE388" si="71">BD332*AY332</f>
        <v>21.655406429999999</v>
      </c>
    </row>
    <row r="333" spans="6:57">
      <c r="F333" s="9"/>
      <c r="G333" s="22">
        <v>0.17349200000000001</v>
      </c>
      <c r="H333" s="22">
        <v>14.6494</v>
      </c>
      <c r="I333" s="22">
        <v>-1.53259E-2</v>
      </c>
      <c r="J333" s="22">
        <v>323</v>
      </c>
      <c r="K333" s="22">
        <v>0.17272899999999999</v>
      </c>
      <c r="L333">
        <f t="shared" si="60"/>
        <v>15.325900000000001</v>
      </c>
      <c r="M333">
        <f t="shared" si="61"/>
        <v>2.6589210428000003</v>
      </c>
      <c r="N333" s="9"/>
      <c r="O333" s="22">
        <v>1.5264899999999999</v>
      </c>
      <c r="P333" s="22">
        <v>47.422499999999999</v>
      </c>
      <c r="Q333" s="22">
        <v>-1.38794E-2</v>
      </c>
      <c r="R333" s="22">
        <v>323</v>
      </c>
      <c r="S333" s="22">
        <v>1.5255700000000001</v>
      </c>
      <c r="T333">
        <f t="shared" si="62"/>
        <v>13.8794</v>
      </c>
      <c r="U333">
        <f t="shared" si="63"/>
        <v>21.186765305999998</v>
      </c>
      <c r="X333" s="9"/>
      <c r="Y333" s="22">
        <v>0.17349200000000001</v>
      </c>
      <c r="Z333" s="22">
        <v>75.475499999999997</v>
      </c>
      <c r="AA333" s="22">
        <v>-1.5432700000000001E-2</v>
      </c>
      <c r="AB333" s="22">
        <v>323</v>
      </c>
      <c r="AC333" s="22">
        <v>0.172791</v>
      </c>
      <c r="AD333">
        <f t="shared" si="64"/>
        <v>15.432700000000001</v>
      </c>
      <c r="AE333">
        <f t="shared" si="65"/>
        <v>2.6774499884000003</v>
      </c>
      <c r="AF333" s="9"/>
      <c r="AG333" s="22">
        <v>1.5264899999999999</v>
      </c>
      <c r="AH333" s="22">
        <v>110.191</v>
      </c>
      <c r="AI333" s="22">
        <v>-1.3754300000000001E-2</v>
      </c>
      <c r="AJ333" s="22">
        <v>323</v>
      </c>
      <c r="AK333" s="22">
        <v>1.5252699999999999</v>
      </c>
      <c r="AL333">
        <f t="shared" si="66"/>
        <v>13.754300000000001</v>
      </c>
      <c r="AM333">
        <f t="shared" si="67"/>
        <v>20.995801406999998</v>
      </c>
      <c r="AP333" s="9"/>
      <c r="AQ333" s="22">
        <v>0.17349200000000001</v>
      </c>
      <c r="AR333" s="22">
        <v>138.672</v>
      </c>
      <c r="AS333" s="22">
        <v>-1.5472400000000001E-2</v>
      </c>
      <c r="AT333" s="22">
        <v>323</v>
      </c>
      <c r="AU333" s="22">
        <v>0.17285200000000001</v>
      </c>
      <c r="AV333">
        <f t="shared" si="68"/>
        <v>15.4724</v>
      </c>
      <c r="AW333">
        <f t="shared" si="69"/>
        <v>2.6843376208</v>
      </c>
      <c r="AX333" s="9"/>
      <c r="AY333" s="22">
        <v>1.5264899999999999</v>
      </c>
      <c r="AZ333" s="22">
        <v>182.52600000000001</v>
      </c>
      <c r="BA333" s="22">
        <v>-1.4196800000000001E-2</v>
      </c>
      <c r="BB333" s="22">
        <v>323</v>
      </c>
      <c r="BC333" s="22">
        <v>1.5249600000000001</v>
      </c>
      <c r="BD333">
        <f t="shared" si="70"/>
        <v>14.196800000000001</v>
      </c>
      <c r="BE333">
        <f t="shared" si="71"/>
        <v>21.671273232000001</v>
      </c>
    </row>
    <row r="334" spans="6:57">
      <c r="F334" s="9"/>
      <c r="G334" s="22">
        <v>0.168457</v>
      </c>
      <c r="H334" s="22">
        <v>14.6594</v>
      </c>
      <c r="I334" s="22">
        <v>-1.53259E-2</v>
      </c>
      <c r="J334" s="22">
        <v>324</v>
      </c>
      <c r="K334" s="22">
        <v>0.16772500000000001</v>
      </c>
      <c r="L334">
        <f t="shared" si="60"/>
        <v>15.325900000000001</v>
      </c>
      <c r="M334">
        <f t="shared" si="61"/>
        <v>2.5817551363</v>
      </c>
      <c r="N334" s="9"/>
      <c r="O334" s="22">
        <v>1.53152</v>
      </c>
      <c r="P334" s="22">
        <v>47.432600000000001</v>
      </c>
      <c r="Q334" s="22">
        <v>-1.38245E-2</v>
      </c>
      <c r="R334" s="22">
        <v>324</v>
      </c>
      <c r="S334" s="22">
        <v>1.5310699999999999</v>
      </c>
      <c r="T334">
        <f t="shared" si="62"/>
        <v>13.8245</v>
      </c>
      <c r="U334">
        <f t="shared" si="63"/>
        <v>21.172498239999999</v>
      </c>
      <c r="X334" s="9"/>
      <c r="Y334" s="22">
        <v>0.168457</v>
      </c>
      <c r="Z334" s="22">
        <v>75.485600000000005</v>
      </c>
      <c r="AA334" s="22">
        <v>-1.54358E-2</v>
      </c>
      <c r="AB334" s="22">
        <v>324</v>
      </c>
      <c r="AC334" s="22">
        <v>0.167877</v>
      </c>
      <c r="AD334">
        <f t="shared" si="64"/>
        <v>15.4358</v>
      </c>
      <c r="AE334">
        <f t="shared" si="65"/>
        <v>2.6002685606</v>
      </c>
      <c r="AF334" s="9"/>
      <c r="AG334" s="22">
        <v>1.53152</v>
      </c>
      <c r="AH334" s="22">
        <v>110.20099999999999</v>
      </c>
      <c r="AI334" s="22">
        <v>-1.36963E-2</v>
      </c>
      <c r="AJ334" s="22">
        <v>324</v>
      </c>
      <c r="AK334" s="22">
        <v>1.5304599999999999</v>
      </c>
      <c r="AL334">
        <f t="shared" si="66"/>
        <v>13.696299999999999</v>
      </c>
      <c r="AM334">
        <f t="shared" si="67"/>
        <v>20.976157376</v>
      </c>
      <c r="AP334" s="9"/>
      <c r="AQ334" s="22">
        <v>0.168457</v>
      </c>
      <c r="AR334" s="22">
        <v>138.68199999999999</v>
      </c>
      <c r="AS334" s="22">
        <v>-1.5472400000000001E-2</v>
      </c>
      <c r="AT334" s="22">
        <v>324</v>
      </c>
      <c r="AU334" s="22">
        <v>0.16781599999999999</v>
      </c>
      <c r="AV334">
        <f t="shared" si="68"/>
        <v>15.4724</v>
      </c>
      <c r="AW334">
        <f t="shared" si="69"/>
        <v>2.6064340868000002</v>
      </c>
      <c r="AX334" s="9"/>
      <c r="AY334" s="22">
        <v>1.53152</v>
      </c>
      <c r="AZ334" s="22">
        <v>182.536</v>
      </c>
      <c r="BA334" s="22">
        <v>-1.41479E-2</v>
      </c>
      <c r="BB334" s="22">
        <v>324</v>
      </c>
      <c r="BC334" s="22">
        <v>1.5304599999999999</v>
      </c>
      <c r="BD334">
        <f t="shared" si="70"/>
        <v>14.1479</v>
      </c>
      <c r="BE334">
        <f t="shared" si="71"/>
        <v>21.667791808</v>
      </c>
    </row>
    <row r="335" spans="6:57">
      <c r="F335" s="9"/>
      <c r="G335" s="22">
        <v>0.16342200000000001</v>
      </c>
      <c r="H335" s="22">
        <v>14.669499999999999</v>
      </c>
      <c r="I335" s="22">
        <v>-1.5332E-2</v>
      </c>
      <c r="J335" s="22">
        <v>325</v>
      </c>
      <c r="K335" s="22">
        <v>0.16262799999999999</v>
      </c>
      <c r="L335">
        <f t="shared" si="60"/>
        <v>15.332000000000001</v>
      </c>
      <c r="M335">
        <f t="shared" si="61"/>
        <v>2.5055861040000003</v>
      </c>
      <c r="N335" s="9"/>
      <c r="O335" s="22">
        <v>1.5365599999999999</v>
      </c>
      <c r="P335" s="22">
        <v>47.442599999999999</v>
      </c>
      <c r="Q335" s="22">
        <v>-1.37695E-2</v>
      </c>
      <c r="R335" s="22">
        <v>325</v>
      </c>
      <c r="S335" s="22">
        <v>1.5353399999999999</v>
      </c>
      <c r="T335">
        <f t="shared" si="62"/>
        <v>13.769500000000001</v>
      </c>
      <c r="U335">
        <f t="shared" si="63"/>
        <v>21.15766292</v>
      </c>
      <c r="X335" s="9"/>
      <c r="Y335" s="22">
        <v>0.16342200000000001</v>
      </c>
      <c r="Z335" s="22">
        <v>75.495599999999996</v>
      </c>
      <c r="AA335" s="22">
        <v>-1.5444899999999999E-2</v>
      </c>
      <c r="AB335" s="22">
        <v>325</v>
      </c>
      <c r="AC335" s="22">
        <v>0.162659</v>
      </c>
      <c r="AD335">
        <f t="shared" si="64"/>
        <v>15.444899999999999</v>
      </c>
      <c r="AE335">
        <f t="shared" si="65"/>
        <v>2.5240364477999999</v>
      </c>
      <c r="AF335" s="9"/>
      <c r="AG335" s="22">
        <v>1.5365599999999999</v>
      </c>
      <c r="AH335" s="22">
        <v>110.211</v>
      </c>
      <c r="AI335" s="22">
        <v>-1.3629199999999999E-2</v>
      </c>
      <c r="AJ335" s="22">
        <v>325</v>
      </c>
      <c r="AK335" s="22">
        <v>1.5356399999999999</v>
      </c>
      <c r="AL335">
        <f t="shared" si="66"/>
        <v>13.629199999999999</v>
      </c>
      <c r="AM335">
        <f t="shared" si="67"/>
        <v>20.942083551999996</v>
      </c>
      <c r="AP335" s="9"/>
      <c r="AQ335" s="22">
        <v>0.16342200000000001</v>
      </c>
      <c r="AR335" s="22">
        <v>138.69200000000001</v>
      </c>
      <c r="AS335" s="22">
        <v>-1.5478499999999999E-2</v>
      </c>
      <c r="AT335" s="22">
        <v>325</v>
      </c>
      <c r="AU335" s="22">
        <v>0.162659</v>
      </c>
      <c r="AV335">
        <f t="shared" si="68"/>
        <v>15.478499999999999</v>
      </c>
      <c r="AW335">
        <f t="shared" si="69"/>
        <v>2.5295274270000001</v>
      </c>
      <c r="AX335" s="9"/>
      <c r="AY335" s="22">
        <v>1.5365599999999999</v>
      </c>
      <c r="AZ335" s="22">
        <v>182.54599999999999</v>
      </c>
      <c r="BA335" s="22">
        <v>-1.41022E-2</v>
      </c>
      <c r="BB335" s="22">
        <v>325</v>
      </c>
      <c r="BC335" s="22">
        <v>1.5356399999999999</v>
      </c>
      <c r="BD335">
        <f t="shared" si="70"/>
        <v>14.1022</v>
      </c>
      <c r="BE335">
        <f t="shared" si="71"/>
        <v>21.668876431999998</v>
      </c>
    </row>
    <row r="336" spans="6:57">
      <c r="F336" s="9"/>
      <c r="G336" s="22">
        <v>0.158386</v>
      </c>
      <c r="H336" s="22">
        <v>14.679600000000001</v>
      </c>
      <c r="I336" s="22">
        <v>-1.5332E-2</v>
      </c>
      <c r="J336" s="22">
        <v>326</v>
      </c>
      <c r="K336" s="22">
        <v>0.157745</v>
      </c>
      <c r="L336">
        <f t="shared" si="60"/>
        <v>15.332000000000001</v>
      </c>
      <c r="M336">
        <f t="shared" si="61"/>
        <v>2.428374152</v>
      </c>
      <c r="N336" s="9"/>
      <c r="O336" s="22">
        <v>1.5416000000000001</v>
      </c>
      <c r="P336" s="22">
        <v>47.4527</v>
      </c>
      <c r="Q336" s="22">
        <v>-1.37115E-2</v>
      </c>
      <c r="R336" s="22">
        <v>326</v>
      </c>
      <c r="S336" s="22">
        <v>1.54053</v>
      </c>
      <c r="T336">
        <f t="shared" si="62"/>
        <v>13.711499999999999</v>
      </c>
      <c r="U336">
        <f t="shared" si="63"/>
        <v>21.1376484</v>
      </c>
      <c r="X336" s="9"/>
      <c r="Y336" s="22">
        <v>0.158386</v>
      </c>
      <c r="Z336" s="22">
        <v>75.505700000000004</v>
      </c>
      <c r="AA336" s="22">
        <v>-1.5448E-2</v>
      </c>
      <c r="AB336" s="22">
        <v>326</v>
      </c>
      <c r="AC336" s="22">
        <v>0.157776</v>
      </c>
      <c r="AD336">
        <f t="shared" si="64"/>
        <v>15.448</v>
      </c>
      <c r="AE336">
        <f t="shared" si="65"/>
        <v>2.446746928</v>
      </c>
      <c r="AF336" s="9"/>
      <c r="AG336" s="22">
        <v>1.5416000000000001</v>
      </c>
      <c r="AH336" s="22">
        <v>110.221</v>
      </c>
      <c r="AI336" s="22">
        <v>-1.3559E-2</v>
      </c>
      <c r="AJ336" s="22">
        <v>326</v>
      </c>
      <c r="AK336" s="22">
        <v>1.54053</v>
      </c>
      <c r="AL336">
        <f t="shared" si="66"/>
        <v>13.558999999999999</v>
      </c>
      <c r="AM336">
        <f t="shared" si="67"/>
        <v>20.9025544</v>
      </c>
      <c r="AP336" s="9"/>
      <c r="AQ336" s="22">
        <v>0.158386</v>
      </c>
      <c r="AR336" s="22">
        <v>138.702</v>
      </c>
      <c r="AS336" s="22">
        <v>-1.54816E-2</v>
      </c>
      <c r="AT336" s="22">
        <v>326</v>
      </c>
      <c r="AU336" s="22">
        <v>0.15768399999999999</v>
      </c>
      <c r="AV336">
        <f t="shared" si="68"/>
        <v>15.4816</v>
      </c>
      <c r="AW336">
        <f t="shared" si="69"/>
        <v>2.4520686976000001</v>
      </c>
      <c r="AX336" s="9"/>
      <c r="AY336" s="22">
        <v>1.5416000000000001</v>
      </c>
      <c r="AZ336" s="22">
        <v>182.55600000000001</v>
      </c>
      <c r="BA336" s="22">
        <v>-1.4053299999999999E-2</v>
      </c>
      <c r="BB336" s="22">
        <v>326</v>
      </c>
      <c r="BC336" s="22">
        <v>1.53992</v>
      </c>
      <c r="BD336">
        <f t="shared" si="70"/>
        <v>14.0533</v>
      </c>
      <c r="BE336">
        <f t="shared" si="71"/>
        <v>21.66456728</v>
      </c>
    </row>
    <row r="337" spans="6:57">
      <c r="F337" s="9"/>
      <c r="G337" s="22">
        <v>0.15335099999999999</v>
      </c>
      <c r="H337" s="22">
        <v>14.6897</v>
      </c>
      <c r="I337" s="22">
        <v>-1.53381E-2</v>
      </c>
      <c r="J337" s="22">
        <v>327</v>
      </c>
      <c r="K337" s="22">
        <v>0.15267900000000001</v>
      </c>
      <c r="L337">
        <f t="shared" si="60"/>
        <v>15.338100000000001</v>
      </c>
      <c r="M337">
        <f t="shared" si="61"/>
        <v>2.3521129731000001</v>
      </c>
      <c r="N337" s="9"/>
      <c r="O337" s="22">
        <v>1.5466299999999999</v>
      </c>
      <c r="P337" s="22">
        <v>47.462800000000001</v>
      </c>
      <c r="Q337" s="22">
        <v>-1.36475E-2</v>
      </c>
      <c r="R337" s="22">
        <v>327</v>
      </c>
      <c r="S337" s="22">
        <v>1.54541</v>
      </c>
      <c r="T337">
        <f t="shared" si="62"/>
        <v>13.647499999999999</v>
      </c>
      <c r="U337">
        <f t="shared" si="63"/>
        <v>21.107632924999997</v>
      </c>
      <c r="X337" s="9"/>
      <c r="Y337" s="22">
        <v>0.15335099999999999</v>
      </c>
      <c r="Z337" s="22">
        <v>75.515799999999999</v>
      </c>
      <c r="AA337" s="22">
        <v>-1.5450999999999999E-2</v>
      </c>
      <c r="AB337" s="22">
        <v>327</v>
      </c>
      <c r="AC337" s="22">
        <v>0.152618</v>
      </c>
      <c r="AD337">
        <f t="shared" si="64"/>
        <v>15.450999999999999</v>
      </c>
      <c r="AE337">
        <f t="shared" si="65"/>
        <v>2.3694263009999994</v>
      </c>
      <c r="AF337" s="9"/>
      <c r="AG337" s="22">
        <v>1.5466299999999999</v>
      </c>
      <c r="AH337" s="22">
        <v>110.23099999999999</v>
      </c>
      <c r="AI337" s="22">
        <v>-1.34857E-2</v>
      </c>
      <c r="AJ337" s="22">
        <v>327</v>
      </c>
      <c r="AK337" s="22">
        <v>1.54572</v>
      </c>
      <c r="AL337">
        <f t="shared" si="66"/>
        <v>13.4857</v>
      </c>
      <c r="AM337">
        <f t="shared" si="67"/>
        <v>20.857388190999998</v>
      </c>
      <c r="AP337" s="9"/>
      <c r="AQ337" s="22">
        <v>0.15335099999999999</v>
      </c>
      <c r="AR337" s="22">
        <v>138.71199999999999</v>
      </c>
      <c r="AS337" s="22">
        <v>-1.54877E-2</v>
      </c>
      <c r="AT337" s="22">
        <v>327</v>
      </c>
      <c r="AU337" s="22">
        <v>0.152557</v>
      </c>
      <c r="AV337">
        <f t="shared" si="68"/>
        <v>15.4877</v>
      </c>
      <c r="AW337">
        <f t="shared" si="69"/>
        <v>2.3750542826999999</v>
      </c>
      <c r="AX337" s="9"/>
      <c r="AY337" s="22">
        <v>1.5466299999999999</v>
      </c>
      <c r="AZ337" s="22">
        <v>182.566</v>
      </c>
      <c r="BA337" s="22">
        <v>-1.3998399999999999E-2</v>
      </c>
      <c r="BB337" s="22">
        <v>327</v>
      </c>
      <c r="BC337" s="22">
        <v>1.54572</v>
      </c>
      <c r="BD337">
        <f t="shared" si="70"/>
        <v>13.9984</v>
      </c>
      <c r="BE337">
        <f t="shared" si="71"/>
        <v>21.650345391999998</v>
      </c>
    </row>
    <row r="338" spans="6:57">
      <c r="F338" s="9"/>
      <c r="G338" s="22">
        <v>0.148315</v>
      </c>
      <c r="H338" s="22">
        <v>14.6997</v>
      </c>
      <c r="I338" s="22">
        <v>-1.5341199999999999E-2</v>
      </c>
      <c r="J338" s="22">
        <v>328</v>
      </c>
      <c r="K338" s="22">
        <v>0.14758299999999999</v>
      </c>
      <c r="L338">
        <f t="shared" si="60"/>
        <v>15.341199999999999</v>
      </c>
      <c r="M338">
        <f t="shared" si="61"/>
        <v>2.2753300779999996</v>
      </c>
      <c r="N338" s="9"/>
      <c r="O338" s="22">
        <v>1.5516700000000001</v>
      </c>
      <c r="P338" s="22">
        <v>47.472799999999999</v>
      </c>
      <c r="Q338" s="22">
        <v>-1.3583400000000001E-2</v>
      </c>
      <c r="R338" s="22">
        <v>328</v>
      </c>
      <c r="S338" s="22">
        <v>1.5502899999999999</v>
      </c>
      <c r="T338">
        <f t="shared" si="62"/>
        <v>13.583400000000001</v>
      </c>
      <c r="U338">
        <f t="shared" si="63"/>
        <v>21.076954278000002</v>
      </c>
      <c r="X338" s="9"/>
      <c r="Y338" s="22">
        <v>0.148315</v>
      </c>
      <c r="Z338" s="22">
        <v>75.525899999999993</v>
      </c>
      <c r="AA338" s="22">
        <v>-1.54541E-2</v>
      </c>
      <c r="AB338" s="22">
        <v>328</v>
      </c>
      <c r="AC338" s="22">
        <v>0.14755199999999999</v>
      </c>
      <c r="AD338">
        <f t="shared" si="64"/>
        <v>15.4541</v>
      </c>
      <c r="AE338">
        <f t="shared" si="65"/>
        <v>2.2920748415000003</v>
      </c>
      <c r="AF338" s="9"/>
      <c r="AG338" s="22">
        <v>1.5516700000000001</v>
      </c>
      <c r="AH338" s="22">
        <v>110.241</v>
      </c>
      <c r="AI338" s="22">
        <v>-1.3406400000000001E-2</v>
      </c>
      <c r="AJ338" s="22">
        <v>328</v>
      </c>
      <c r="AK338" s="22">
        <v>1.5506</v>
      </c>
      <c r="AL338">
        <f t="shared" si="66"/>
        <v>13.406400000000001</v>
      </c>
      <c r="AM338">
        <f t="shared" si="67"/>
        <v>20.802308688000004</v>
      </c>
      <c r="AP338" s="9"/>
      <c r="AQ338" s="22">
        <v>0.148315</v>
      </c>
      <c r="AR338" s="22">
        <v>138.72200000000001</v>
      </c>
      <c r="AS338" s="22">
        <v>-1.54938E-2</v>
      </c>
      <c r="AT338" s="22">
        <v>328</v>
      </c>
      <c r="AU338" s="22">
        <v>0.14752199999999999</v>
      </c>
      <c r="AV338">
        <f t="shared" si="68"/>
        <v>15.4938</v>
      </c>
      <c r="AW338">
        <f t="shared" si="69"/>
        <v>2.2979629470000003</v>
      </c>
      <c r="AX338" s="9"/>
      <c r="AY338" s="22">
        <v>1.5516700000000001</v>
      </c>
      <c r="AZ338" s="22">
        <v>182.57599999999999</v>
      </c>
      <c r="BA338" s="22">
        <v>-1.3943499999999999E-2</v>
      </c>
      <c r="BB338" s="22">
        <v>328</v>
      </c>
      <c r="BC338" s="22">
        <v>1.5506</v>
      </c>
      <c r="BD338">
        <f t="shared" si="70"/>
        <v>13.943499999999998</v>
      </c>
      <c r="BE338">
        <f t="shared" si="71"/>
        <v>21.635710645</v>
      </c>
    </row>
    <row r="339" spans="6:57">
      <c r="F339" s="9"/>
      <c r="G339" s="22">
        <v>0.14327999999999999</v>
      </c>
      <c r="H339" s="22">
        <v>14.7098</v>
      </c>
      <c r="I339" s="22">
        <v>-1.5341199999999999E-2</v>
      </c>
      <c r="J339" s="22">
        <v>329</v>
      </c>
      <c r="K339" s="22">
        <v>0.14260900000000001</v>
      </c>
      <c r="L339">
        <f t="shared" si="60"/>
        <v>15.341199999999999</v>
      </c>
      <c r="M339">
        <f t="shared" si="61"/>
        <v>2.1980871359999998</v>
      </c>
      <c r="N339" s="9"/>
      <c r="O339" s="22">
        <v>1.5567</v>
      </c>
      <c r="P339" s="22">
        <v>47.482900000000001</v>
      </c>
      <c r="Q339" s="22">
        <v>-1.35132E-2</v>
      </c>
      <c r="R339" s="22">
        <v>329</v>
      </c>
      <c r="S339" s="22">
        <v>1.55609</v>
      </c>
      <c r="T339">
        <f t="shared" si="62"/>
        <v>13.513199999999999</v>
      </c>
      <c r="U339">
        <f t="shared" si="63"/>
        <v>21.03599844</v>
      </c>
      <c r="X339" s="9"/>
      <c r="Y339" s="22">
        <v>0.14327999999999999</v>
      </c>
      <c r="Z339" s="22">
        <v>75.535899999999998</v>
      </c>
      <c r="AA339" s="22">
        <v>-1.5450999999999999E-2</v>
      </c>
      <c r="AB339" s="22">
        <v>329</v>
      </c>
      <c r="AC339" s="22">
        <v>0.14254800000000001</v>
      </c>
      <c r="AD339">
        <f t="shared" si="64"/>
        <v>15.450999999999999</v>
      </c>
      <c r="AE339">
        <f t="shared" si="65"/>
        <v>2.2138192799999996</v>
      </c>
      <c r="AF339" s="9"/>
      <c r="AG339" s="22">
        <v>1.5567</v>
      </c>
      <c r="AH339" s="22">
        <v>110.251</v>
      </c>
      <c r="AI339" s="22">
        <v>-1.3327E-2</v>
      </c>
      <c r="AJ339" s="22">
        <v>329</v>
      </c>
      <c r="AK339" s="22">
        <v>1.55579</v>
      </c>
      <c r="AL339">
        <f t="shared" si="66"/>
        <v>13.327</v>
      </c>
      <c r="AM339">
        <f t="shared" si="67"/>
        <v>20.7461409</v>
      </c>
      <c r="AP339" s="9"/>
      <c r="AQ339" s="22">
        <v>0.14327999999999999</v>
      </c>
      <c r="AR339" s="22">
        <v>138.732</v>
      </c>
      <c r="AS339" s="22">
        <v>-1.54999E-2</v>
      </c>
      <c r="AT339" s="22">
        <v>329</v>
      </c>
      <c r="AU339" s="22">
        <v>0.14266999999999999</v>
      </c>
      <c r="AV339">
        <f t="shared" si="68"/>
        <v>15.4999</v>
      </c>
      <c r="AW339">
        <f t="shared" si="69"/>
        <v>2.2208256719999997</v>
      </c>
      <c r="AX339" s="9"/>
      <c r="AY339" s="22">
        <v>1.5567</v>
      </c>
      <c r="AZ339" s="22">
        <v>182.58600000000001</v>
      </c>
      <c r="BA339" s="22">
        <v>-1.38824E-2</v>
      </c>
      <c r="BB339" s="22">
        <v>329</v>
      </c>
      <c r="BC339" s="22">
        <v>1.55548</v>
      </c>
      <c r="BD339">
        <f t="shared" si="70"/>
        <v>13.882399999999999</v>
      </c>
      <c r="BE339">
        <f t="shared" si="71"/>
        <v>21.610732079999998</v>
      </c>
    </row>
    <row r="340" spans="6:57">
      <c r="F340" s="9"/>
      <c r="G340" s="22">
        <v>0.13824500000000001</v>
      </c>
      <c r="H340" s="22">
        <v>14.719900000000001</v>
      </c>
      <c r="I340" s="22">
        <v>-1.5350300000000001E-2</v>
      </c>
      <c r="J340" s="22">
        <v>330</v>
      </c>
      <c r="K340" s="22">
        <v>0.137573</v>
      </c>
      <c r="L340">
        <f t="shared" si="60"/>
        <v>15.350300000000001</v>
      </c>
      <c r="M340">
        <f t="shared" si="61"/>
        <v>2.1221022235000002</v>
      </c>
      <c r="N340" s="9"/>
      <c r="O340" s="22">
        <v>1.5617399999999999</v>
      </c>
      <c r="P340" s="22">
        <v>47.493000000000002</v>
      </c>
      <c r="Q340" s="22">
        <v>-1.3439899999999999E-2</v>
      </c>
      <c r="R340" s="22">
        <v>330</v>
      </c>
      <c r="S340" s="22">
        <v>1.56036</v>
      </c>
      <c r="T340">
        <f t="shared" si="62"/>
        <v>13.4399</v>
      </c>
      <c r="U340">
        <f t="shared" si="63"/>
        <v>20.989629425999997</v>
      </c>
      <c r="X340" s="9"/>
      <c r="Y340" s="22">
        <v>0.13824500000000001</v>
      </c>
      <c r="Z340" s="22">
        <v>75.546000000000006</v>
      </c>
      <c r="AA340" s="22">
        <v>-1.5457200000000001E-2</v>
      </c>
      <c r="AB340" s="22">
        <v>330</v>
      </c>
      <c r="AC340" s="22">
        <v>0.137604</v>
      </c>
      <c r="AD340">
        <f t="shared" si="64"/>
        <v>15.4572</v>
      </c>
      <c r="AE340">
        <f t="shared" si="65"/>
        <v>2.1368806140000003</v>
      </c>
      <c r="AF340" s="9"/>
      <c r="AG340" s="22">
        <v>1.5617399999999999</v>
      </c>
      <c r="AH340" s="22">
        <v>110.261</v>
      </c>
      <c r="AI340" s="22">
        <v>-1.3241599999999999E-2</v>
      </c>
      <c r="AJ340" s="22">
        <v>330</v>
      </c>
      <c r="AK340" s="22">
        <v>1.56067</v>
      </c>
      <c r="AL340">
        <f t="shared" si="66"/>
        <v>13.2416</v>
      </c>
      <c r="AM340">
        <f t="shared" si="67"/>
        <v>20.679936383999998</v>
      </c>
      <c r="AP340" s="9"/>
      <c r="AQ340" s="22">
        <v>0.13824500000000001</v>
      </c>
      <c r="AR340" s="22">
        <v>138.74199999999999</v>
      </c>
      <c r="AS340" s="22">
        <v>-1.5506000000000001E-2</v>
      </c>
      <c r="AT340" s="22">
        <v>330</v>
      </c>
      <c r="AU340" s="22">
        <v>0.13763400000000001</v>
      </c>
      <c r="AV340">
        <f t="shared" si="68"/>
        <v>15.506</v>
      </c>
      <c r="AW340">
        <f t="shared" si="69"/>
        <v>2.1436269700000001</v>
      </c>
      <c r="AX340" s="9"/>
      <c r="AY340" s="22">
        <v>1.5617399999999999</v>
      </c>
      <c r="AZ340" s="22">
        <v>182.59700000000001</v>
      </c>
      <c r="BA340" s="22">
        <v>-1.38123E-2</v>
      </c>
      <c r="BB340" s="22">
        <v>330</v>
      </c>
      <c r="BC340" s="22">
        <v>1.56067</v>
      </c>
      <c r="BD340">
        <f t="shared" si="70"/>
        <v>13.8123</v>
      </c>
      <c r="BE340">
        <f t="shared" si="71"/>
        <v>21.571221401999999</v>
      </c>
    </row>
    <row r="341" spans="6:57">
      <c r="F341" s="9"/>
      <c r="G341" s="22">
        <v>0.13320899999999999</v>
      </c>
      <c r="H341" s="22">
        <v>14.729900000000001</v>
      </c>
      <c r="I341" s="22">
        <v>-1.53534E-2</v>
      </c>
      <c r="J341" s="22">
        <v>331</v>
      </c>
      <c r="K341" s="22">
        <v>0.13253799999999999</v>
      </c>
      <c r="L341">
        <f t="shared" si="60"/>
        <v>15.353399999999999</v>
      </c>
      <c r="M341">
        <f t="shared" si="61"/>
        <v>2.0452110605999998</v>
      </c>
      <c r="N341" s="9"/>
      <c r="O341" s="22">
        <v>1.56677</v>
      </c>
      <c r="P341" s="22">
        <v>47.503100000000003</v>
      </c>
      <c r="Q341" s="22">
        <v>-1.33606E-2</v>
      </c>
      <c r="R341" s="22">
        <v>331</v>
      </c>
      <c r="S341" s="22">
        <v>1.56586</v>
      </c>
      <c r="T341">
        <f t="shared" si="62"/>
        <v>13.3606</v>
      </c>
      <c r="U341">
        <f t="shared" si="63"/>
        <v>20.932987262000001</v>
      </c>
      <c r="X341" s="9"/>
      <c r="Y341" s="22">
        <v>0.13320899999999999</v>
      </c>
      <c r="Z341" s="22">
        <v>75.556100000000001</v>
      </c>
      <c r="AA341" s="22">
        <v>-1.54602E-2</v>
      </c>
      <c r="AB341" s="22">
        <v>331</v>
      </c>
      <c r="AC341" s="22">
        <v>0.13241600000000001</v>
      </c>
      <c r="AD341">
        <f t="shared" si="64"/>
        <v>15.4602</v>
      </c>
      <c r="AE341">
        <f t="shared" si="65"/>
        <v>2.0594377817999998</v>
      </c>
      <c r="AF341" s="9"/>
      <c r="AG341" s="22">
        <v>1.56677</v>
      </c>
      <c r="AH341" s="22">
        <v>110.271</v>
      </c>
      <c r="AI341" s="22">
        <v>-1.31378E-2</v>
      </c>
      <c r="AJ341" s="22">
        <v>331</v>
      </c>
      <c r="AK341" s="22">
        <v>1.56525</v>
      </c>
      <c r="AL341">
        <f t="shared" si="66"/>
        <v>13.1378</v>
      </c>
      <c r="AM341">
        <f t="shared" si="67"/>
        <v>20.583910906</v>
      </c>
      <c r="AP341" s="9"/>
      <c r="AQ341" s="22">
        <v>0.13320899999999999</v>
      </c>
      <c r="AR341" s="22">
        <v>138.75200000000001</v>
      </c>
      <c r="AS341" s="22">
        <v>-1.5509E-2</v>
      </c>
      <c r="AT341" s="22">
        <v>331</v>
      </c>
      <c r="AU341" s="22">
        <v>0.13247700000000001</v>
      </c>
      <c r="AV341">
        <f t="shared" si="68"/>
        <v>15.509</v>
      </c>
      <c r="AW341">
        <f t="shared" si="69"/>
        <v>2.065938381</v>
      </c>
      <c r="AX341" s="9"/>
      <c r="AY341" s="22">
        <v>1.56677</v>
      </c>
      <c r="AZ341" s="22">
        <v>182.607</v>
      </c>
      <c r="BA341" s="22">
        <v>-1.3738999999999999E-2</v>
      </c>
      <c r="BB341" s="22">
        <v>331</v>
      </c>
      <c r="BC341" s="22">
        <v>1.56616</v>
      </c>
      <c r="BD341">
        <f t="shared" si="70"/>
        <v>13.738999999999999</v>
      </c>
      <c r="BE341">
        <f t="shared" si="71"/>
        <v>21.525853029999997</v>
      </c>
    </row>
    <row r="342" spans="6:57">
      <c r="F342" s="9"/>
      <c r="G342" s="22">
        <v>0.12817400000000001</v>
      </c>
      <c r="H342" s="22">
        <v>14.74</v>
      </c>
      <c r="I342" s="22">
        <v>-1.53595E-2</v>
      </c>
      <c r="J342" s="22">
        <v>332</v>
      </c>
      <c r="K342" s="22">
        <v>0.12753300000000001</v>
      </c>
      <c r="L342">
        <f t="shared" si="60"/>
        <v>15.359500000000001</v>
      </c>
      <c r="M342">
        <f t="shared" si="61"/>
        <v>1.9686885530000002</v>
      </c>
      <c r="N342" s="9"/>
      <c r="O342" s="22">
        <v>1.5718099999999999</v>
      </c>
      <c r="P342" s="22">
        <v>47.513100000000001</v>
      </c>
      <c r="Q342" s="22">
        <v>-1.32782E-2</v>
      </c>
      <c r="R342" s="22">
        <v>332</v>
      </c>
      <c r="S342" s="22">
        <v>1.57074</v>
      </c>
      <c r="T342">
        <f t="shared" si="62"/>
        <v>13.2782</v>
      </c>
      <c r="U342">
        <f t="shared" si="63"/>
        <v>20.870807541999998</v>
      </c>
      <c r="X342" s="9"/>
      <c r="Y342" s="22">
        <v>0.12817400000000001</v>
      </c>
      <c r="Z342" s="22">
        <v>75.566100000000006</v>
      </c>
      <c r="AA342" s="22">
        <v>-1.5466300000000001E-2</v>
      </c>
      <c r="AB342" s="22">
        <v>332</v>
      </c>
      <c r="AC342" s="22">
        <v>0.12753300000000001</v>
      </c>
      <c r="AD342">
        <f t="shared" si="64"/>
        <v>15.4663</v>
      </c>
      <c r="AE342">
        <f t="shared" si="65"/>
        <v>1.9823775362000002</v>
      </c>
      <c r="AF342" s="9"/>
      <c r="AG342" s="22">
        <v>1.5718099999999999</v>
      </c>
      <c r="AH342" s="22">
        <v>110.28100000000001</v>
      </c>
      <c r="AI342" s="22">
        <v>-1.30402E-2</v>
      </c>
      <c r="AJ342" s="22">
        <v>332</v>
      </c>
      <c r="AK342" s="22">
        <v>1.57074</v>
      </c>
      <c r="AL342">
        <f t="shared" si="66"/>
        <v>13.0402</v>
      </c>
      <c r="AM342">
        <f t="shared" si="67"/>
        <v>20.496716761999998</v>
      </c>
      <c r="AP342" s="9"/>
      <c r="AQ342" s="22">
        <v>0.12817400000000001</v>
      </c>
      <c r="AR342" s="22">
        <v>138.762</v>
      </c>
      <c r="AS342" s="22">
        <v>-1.5512099999999999E-2</v>
      </c>
      <c r="AT342" s="22">
        <v>332</v>
      </c>
      <c r="AU342" s="22">
        <v>0.127411</v>
      </c>
      <c r="AV342">
        <f t="shared" si="68"/>
        <v>15.512099999999998</v>
      </c>
      <c r="AW342">
        <f t="shared" si="69"/>
        <v>1.9882479054</v>
      </c>
      <c r="AX342" s="9"/>
      <c r="AY342" s="22">
        <v>1.5718099999999999</v>
      </c>
      <c r="AZ342" s="22">
        <v>182.61699999999999</v>
      </c>
      <c r="BA342" s="22">
        <v>-1.36597E-2</v>
      </c>
      <c r="BB342" s="22">
        <v>332</v>
      </c>
      <c r="BC342" s="22">
        <v>1.57104</v>
      </c>
      <c r="BD342">
        <f t="shared" si="70"/>
        <v>13.659700000000001</v>
      </c>
      <c r="BE342">
        <f t="shared" si="71"/>
        <v>21.470453057</v>
      </c>
    </row>
    <row r="343" spans="6:57">
      <c r="F343" s="9"/>
      <c r="G343" s="22">
        <v>0.123138</v>
      </c>
      <c r="H343" s="22">
        <v>14.7501</v>
      </c>
      <c r="I343" s="22">
        <v>-1.5368700000000001E-2</v>
      </c>
      <c r="J343" s="22">
        <v>333</v>
      </c>
      <c r="K343" s="22">
        <v>0.12262000000000001</v>
      </c>
      <c r="L343">
        <f t="shared" si="60"/>
        <v>15.3687</v>
      </c>
      <c r="M343">
        <f t="shared" si="61"/>
        <v>1.8924709806</v>
      </c>
      <c r="N343" s="9"/>
      <c r="O343" s="22">
        <v>1.57684</v>
      </c>
      <c r="P343" s="22">
        <v>47.523200000000003</v>
      </c>
      <c r="Q343" s="22">
        <v>-1.31989E-2</v>
      </c>
      <c r="R343" s="22">
        <v>333</v>
      </c>
      <c r="S343" s="22">
        <v>1.5759300000000001</v>
      </c>
      <c r="T343">
        <f t="shared" si="62"/>
        <v>13.1989</v>
      </c>
      <c r="U343">
        <f t="shared" si="63"/>
        <v>20.812553476000001</v>
      </c>
      <c r="X343" s="9"/>
      <c r="Y343" s="22">
        <v>0.123138</v>
      </c>
      <c r="Z343" s="22">
        <v>75.5762</v>
      </c>
      <c r="AA343" s="22">
        <v>-1.5472400000000001E-2</v>
      </c>
      <c r="AB343" s="22">
        <v>333</v>
      </c>
      <c r="AC343" s="22">
        <v>0.122437</v>
      </c>
      <c r="AD343">
        <f t="shared" si="64"/>
        <v>15.4724</v>
      </c>
      <c r="AE343">
        <f t="shared" si="65"/>
        <v>1.9052403912</v>
      </c>
      <c r="AF343" s="9"/>
      <c r="AG343" s="22">
        <v>1.57684</v>
      </c>
      <c r="AH343" s="22">
        <v>110.291</v>
      </c>
      <c r="AI343" s="22">
        <v>-1.29333E-2</v>
      </c>
      <c r="AJ343" s="22">
        <v>333</v>
      </c>
      <c r="AK343" s="22">
        <v>1.57623</v>
      </c>
      <c r="AL343">
        <f t="shared" si="66"/>
        <v>12.933299999999999</v>
      </c>
      <c r="AM343">
        <f t="shared" si="67"/>
        <v>20.393744771999998</v>
      </c>
      <c r="AP343" s="9"/>
      <c r="AQ343" s="22">
        <v>0.123138</v>
      </c>
      <c r="AR343" s="22">
        <v>138.77199999999999</v>
      </c>
      <c r="AS343" s="22">
        <v>-1.55151E-2</v>
      </c>
      <c r="AT343" s="22">
        <v>333</v>
      </c>
      <c r="AU343" s="22">
        <v>0.122437</v>
      </c>
      <c r="AV343">
        <f t="shared" si="68"/>
        <v>15.5151</v>
      </c>
      <c r="AW343">
        <f t="shared" si="69"/>
        <v>1.9104983838</v>
      </c>
      <c r="AX343" s="9"/>
      <c r="AY343" s="22">
        <v>1.57684</v>
      </c>
      <c r="AZ343" s="22">
        <v>182.62700000000001</v>
      </c>
      <c r="BA343" s="22">
        <v>-1.3583400000000001E-2</v>
      </c>
      <c r="BB343" s="22">
        <v>333</v>
      </c>
      <c r="BC343" s="22">
        <v>1.57562</v>
      </c>
      <c r="BD343">
        <f t="shared" si="70"/>
        <v>13.583400000000001</v>
      </c>
      <c r="BE343">
        <f t="shared" si="71"/>
        <v>21.418848456000003</v>
      </c>
    </row>
    <row r="344" spans="6:57">
      <c r="F344" s="9"/>
      <c r="G344" s="22">
        <v>0.118103</v>
      </c>
      <c r="H344" s="22">
        <v>14.760199999999999</v>
      </c>
      <c r="I344" s="22">
        <v>-1.5380899999999999E-2</v>
      </c>
      <c r="J344" s="22">
        <v>334</v>
      </c>
      <c r="K344" s="22">
        <v>0.11804199999999999</v>
      </c>
      <c r="L344">
        <f t="shared" si="60"/>
        <v>15.380899999999999</v>
      </c>
      <c r="M344">
        <f t="shared" si="61"/>
        <v>1.8165304326999998</v>
      </c>
      <c r="N344" s="9"/>
      <c r="O344" s="22">
        <v>1.58188</v>
      </c>
      <c r="P344" s="22">
        <v>47.533299999999997</v>
      </c>
      <c r="Q344" s="22">
        <v>-1.3113400000000001E-2</v>
      </c>
      <c r="R344" s="22">
        <v>334</v>
      </c>
      <c r="S344" s="22">
        <v>1.58081</v>
      </c>
      <c r="T344">
        <f t="shared" si="62"/>
        <v>13.1134</v>
      </c>
      <c r="U344">
        <f t="shared" si="63"/>
        <v>20.743825191999999</v>
      </c>
      <c r="X344" s="9"/>
      <c r="Y344" s="22">
        <v>0.118103</v>
      </c>
      <c r="Z344" s="22">
        <v>75.586299999999994</v>
      </c>
      <c r="AA344" s="22">
        <v>-1.54755E-2</v>
      </c>
      <c r="AB344" s="22">
        <v>334</v>
      </c>
      <c r="AC344" s="22">
        <v>0.11734</v>
      </c>
      <c r="AD344">
        <f t="shared" si="64"/>
        <v>15.4755</v>
      </c>
      <c r="AE344">
        <f t="shared" si="65"/>
        <v>1.8277029765000001</v>
      </c>
      <c r="AF344" s="9"/>
      <c r="AG344" s="22">
        <v>1.58188</v>
      </c>
      <c r="AH344" s="22">
        <v>110.301</v>
      </c>
      <c r="AI344" s="22">
        <v>-1.2820399999999999E-2</v>
      </c>
      <c r="AJ344" s="22">
        <v>334</v>
      </c>
      <c r="AK344" s="22">
        <v>1.5805100000000001</v>
      </c>
      <c r="AL344">
        <f t="shared" si="66"/>
        <v>12.820399999999999</v>
      </c>
      <c r="AM344">
        <f t="shared" si="67"/>
        <v>20.280334351999997</v>
      </c>
      <c r="AP344" s="9"/>
      <c r="AQ344" s="22">
        <v>0.118103</v>
      </c>
      <c r="AR344" s="22">
        <v>138.78200000000001</v>
      </c>
      <c r="AS344" s="22">
        <v>-1.5518199999999999E-2</v>
      </c>
      <c r="AT344" s="22">
        <v>334</v>
      </c>
      <c r="AU344" s="22">
        <v>0.11734</v>
      </c>
      <c r="AV344">
        <f t="shared" si="68"/>
        <v>15.5182</v>
      </c>
      <c r="AW344">
        <f t="shared" si="69"/>
        <v>1.8327459746000001</v>
      </c>
      <c r="AX344" s="9"/>
      <c r="AY344" s="22">
        <v>1.58188</v>
      </c>
      <c r="AZ344" s="22">
        <v>182.637</v>
      </c>
      <c r="BA344" s="22">
        <v>-1.34979E-2</v>
      </c>
      <c r="BB344" s="22">
        <v>334</v>
      </c>
      <c r="BC344" s="22">
        <v>1.58081</v>
      </c>
      <c r="BD344">
        <f t="shared" si="70"/>
        <v>13.4979</v>
      </c>
      <c r="BE344">
        <f t="shared" si="71"/>
        <v>21.352058052</v>
      </c>
    </row>
    <row r="345" spans="6:57">
      <c r="F345" s="9"/>
      <c r="G345" s="22">
        <v>0.113068</v>
      </c>
      <c r="H345" s="22">
        <v>14.770200000000001</v>
      </c>
      <c r="I345" s="22">
        <v>-1.5380899999999999E-2</v>
      </c>
      <c r="J345" s="22">
        <v>335</v>
      </c>
      <c r="K345" s="22">
        <v>0.11236599999999999</v>
      </c>
      <c r="L345">
        <f t="shared" si="60"/>
        <v>15.380899999999999</v>
      </c>
      <c r="M345">
        <f t="shared" si="61"/>
        <v>1.7390876011999998</v>
      </c>
      <c r="N345" s="9"/>
      <c r="O345" s="22">
        <v>1.58691</v>
      </c>
      <c r="P345" s="22">
        <v>47.543300000000002</v>
      </c>
      <c r="Q345" s="22">
        <v>-1.30157E-2</v>
      </c>
      <c r="R345" s="22">
        <v>335</v>
      </c>
      <c r="S345" s="22">
        <v>1.5853900000000001</v>
      </c>
      <c r="T345">
        <f t="shared" si="62"/>
        <v>13.015700000000001</v>
      </c>
      <c r="U345">
        <f t="shared" si="63"/>
        <v>20.654744487000002</v>
      </c>
      <c r="X345" s="9"/>
      <c r="Y345" s="22">
        <v>0.113068</v>
      </c>
      <c r="Z345" s="22">
        <v>75.596400000000003</v>
      </c>
      <c r="AA345" s="22">
        <v>-1.54816E-2</v>
      </c>
      <c r="AB345" s="22">
        <v>335</v>
      </c>
      <c r="AC345" s="22">
        <v>0.112335</v>
      </c>
      <c r="AD345">
        <f t="shared" si="64"/>
        <v>15.4816</v>
      </c>
      <c r="AE345">
        <f t="shared" si="65"/>
        <v>1.7504735488000001</v>
      </c>
      <c r="AF345" s="9"/>
      <c r="AG345" s="22">
        <v>1.58691</v>
      </c>
      <c r="AH345" s="22">
        <v>110.312</v>
      </c>
      <c r="AI345" s="22">
        <v>-1.27014E-2</v>
      </c>
      <c r="AJ345" s="22">
        <v>335</v>
      </c>
      <c r="AK345" s="22">
        <v>1.5860000000000001</v>
      </c>
      <c r="AL345">
        <f t="shared" si="66"/>
        <v>12.7014</v>
      </c>
      <c r="AM345">
        <f t="shared" si="67"/>
        <v>20.155978674</v>
      </c>
      <c r="AP345" s="9"/>
      <c r="AQ345" s="22">
        <v>0.113068</v>
      </c>
      <c r="AR345" s="22">
        <v>138.79300000000001</v>
      </c>
      <c r="AS345" s="22">
        <v>-1.5518199999999999E-2</v>
      </c>
      <c r="AT345" s="22">
        <v>335</v>
      </c>
      <c r="AU345" s="22">
        <v>0.112244</v>
      </c>
      <c r="AV345">
        <f t="shared" si="68"/>
        <v>15.5182</v>
      </c>
      <c r="AW345">
        <f t="shared" si="69"/>
        <v>1.7546118375999999</v>
      </c>
      <c r="AX345" s="9"/>
      <c r="AY345" s="22">
        <v>1.58691</v>
      </c>
      <c r="AZ345" s="22">
        <v>182.64699999999999</v>
      </c>
      <c r="BA345" s="22">
        <v>-1.3406400000000001E-2</v>
      </c>
      <c r="BB345" s="22">
        <v>335</v>
      </c>
      <c r="BC345" s="22">
        <v>1.5853900000000001</v>
      </c>
      <c r="BD345">
        <f t="shared" si="70"/>
        <v>13.406400000000001</v>
      </c>
      <c r="BE345">
        <f t="shared" si="71"/>
        <v>21.274750224000002</v>
      </c>
    </row>
    <row r="346" spans="6:57">
      <c r="F346" s="9"/>
      <c r="G346" s="22">
        <v>0.108032</v>
      </c>
      <c r="H346" s="22">
        <v>14.7803</v>
      </c>
      <c r="I346" s="22">
        <v>-1.5380899999999999E-2</v>
      </c>
      <c r="J346" s="22">
        <v>336</v>
      </c>
      <c r="K346" s="22">
        <v>0.10732999999999999</v>
      </c>
      <c r="L346">
        <f t="shared" si="60"/>
        <v>15.380899999999999</v>
      </c>
      <c r="M346">
        <f t="shared" si="61"/>
        <v>1.6616293888</v>
      </c>
      <c r="N346" s="9"/>
      <c r="O346" s="22">
        <v>1.59195</v>
      </c>
      <c r="P346" s="22">
        <v>47.553400000000003</v>
      </c>
      <c r="Q346" s="22">
        <v>-1.29059E-2</v>
      </c>
      <c r="R346" s="22">
        <v>336</v>
      </c>
      <c r="S346" s="22">
        <v>1.5911900000000001</v>
      </c>
      <c r="T346">
        <f t="shared" si="62"/>
        <v>12.905899999999999</v>
      </c>
      <c r="U346">
        <f t="shared" si="63"/>
        <v>20.545547504999998</v>
      </c>
      <c r="X346" s="9"/>
      <c r="Y346" s="22">
        <v>0.108032</v>
      </c>
      <c r="Z346" s="22">
        <v>75.606399999999994</v>
      </c>
      <c r="AA346" s="22">
        <v>-1.54877E-2</v>
      </c>
      <c r="AB346" s="22">
        <v>336</v>
      </c>
      <c r="AC346" s="22">
        <v>0.10732999999999999</v>
      </c>
      <c r="AD346">
        <f t="shared" si="64"/>
        <v>15.4877</v>
      </c>
      <c r="AE346">
        <f t="shared" si="65"/>
        <v>1.6731672064000001</v>
      </c>
      <c r="AF346" s="9"/>
      <c r="AG346" s="22">
        <v>1.59195</v>
      </c>
      <c r="AH346" s="22">
        <v>110.322</v>
      </c>
      <c r="AI346" s="22">
        <v>-1.25732E-2</v>
      </c>
      <c r="AJ346" s="22">
        <v>336</v>
      </c>
      <c r="AK346" s="22">
        <v>1.5911900000000001</v>
      </c>
      <c r="AL346">
        <f t="shared" si="66"/>
        <v>12.5732</v>
      </c>
      <c r="AM346">
        <f t="shared" si="67"/>
        <v>20.015905740000001</v>
      </c>
      <c r="AP346" s="9"/>
      <c r="AQ346" s="22">
        <v>0.108032</v>
      </c>
      <c r="AR346" s="22">
        <v>138.803</v>
      </c>
      <c r="AS346" s="22">
        <v>-1.5518199999999999E-2</v>
      </c>
      <c r="AT346" s="22">
        <v>336</v>
      </c>
      <c r="AU346" s="22">
        <v>0.107178</v>
      </c>
      <c r="AV346">
        <f t="shared" si="68"/>
        <v>15.5182</v>
      </c>
      <c r="AW346">
        <f t="shared" si="69"/>
        <v>1.6764621824000001</v>
      </c>
      <c r="AX346" s="9"/>
      <c r="AY346" s="22">
        <v>1.59195</v>
      </c>
      <c r="AZ346" s="22">
        <v>182.65700000000001</v>
      </c>
      <c r="BA346" s="22">
        <v>-1.32996E-2</v>
      </c>
      <c r="BB346" s="22">
        <v>336</v>
      </c>
      <c r="BC346" s="22">
        <v>1.5914900000000001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0.10299700000000001</v>
      </c>
      <c r="H347" s="22">
        <v>14.7904</v>
      </c>
      <c r="I347" s="22">
        <v>-1.53778E-2</v>
      </c>
      <c r="J347" s="22">
        <v>337</v>
      </c>
      <c r="K347" s="22">
        <v>0.102142</v>
      </c>
      <c r="L347">
        <f t="shared" si="60"/>
        <v>15.377800000000001</v>
      </c>
      <c r="M347">
        <f t="shared" si="61"/>
        <v>1.5838672666000002</v>
      </c>
      <c r="N347" s="9"/>
      <c r="O347" s="22">
        <v>1.5969800000000001</v>
      </c>
      <c r="P347" s="22">
        <v>47.563499999999998</v>
      </c>
      <c r="Q347" s="22">
        <v>-1.2793000000000001E-2</v>
      </c>
      <c r="R347" s="22">
        <v>337</v>
      </c>
      <c r="S347" s="22">
        <v>1.5957600000000001</v>
      </c>
      <c r="T347">
        <f t="shared" si="62"/>
        <v>12.793000000000001</v>
      </c>
      <c r="U347">
        <f t="shared" si="63"/>
        <v>20.430165140000003</v>
      </c>
      <c r="X347" s="9"/>
      <c r="Y347" s="22">
        <v>0.10299700000000001</v>
      </c>
      <c r="Z347" s="22">
        <v>75.616500000000002</v>
      </c>
      <c r="AA347" s="22">
        <v>-1.54907E-2</v>
      </c>
      <c r="AB347" s="22">
        <v>337</v>
      </c>
      <c r="AC347" s="22">
        <v>0.102295</v>
      </c>
      <c r="AD347">
        <f t="shared" si="64"/>
        <v>15.4907</v>
      </c>
      <c r="AE347">
        <f t="shared" si="65"/>
        <v>1.5954956279000001</v>
      </c>
      <c r="AF347" s="9"/>
      <c r="AG347" s="22">
        <v>1.5969800000000001</v>
      </c>
      <c r="AH347" s="22">
        <v>110.33199999999999</v>
      </c>
      <c r="AI347" s="22">
        <v>-1.24359E-2</v>
      </c>
      <c r="AJ347" s="22">
        <v>337</v>
      </c>
      <c r="AK347" s="22">
        <v>1.5960700000000001</v>
      </c>
      <c r="AL347">
        <f t="shared" si="66"/>
        <v>12.4359</v>
      </c>
      <c r="AM347">
        <f t="shared" si="67"/>
        <v>19.859883582000002</v>
      </c>
      <c r="AP347" s="9"/>
      <c r="AQ347" s="22">
        <v>0.10299700000000001</v>
      </c>
      <c r="AR347" s="22">
        <v>138.81299999999999</v>
      </c>
      <c r="AS347" s="22">
        <v>-1.55243E-2</v>
      </c>
      <c r="AT347" s="22">
        <v>337</v>
      </c>
      <c r="AU347" s="22">
        <v>0.10223400000000001</v>
      </c>
      <c r="AV347">
        <f t="shared" si="68"/>
        <v>15.5243</v>
      </c>
      <c r="AW347">
        <f t="shared" si="69"/>
        <v>1.5989563271</v>
      </c>
      <c r="AX347" s="9"/>
      <c r="AY347" s="22">
        <v>1.5969800000000001</v>
      </c>
      <c r="AZ347" s="22">
        <v>182.667</v>
      </c>
      <c r="BA347" s="22">
        <v>-1.31897E-2</v>
      </c>
      <c r="BB347" s="22">
        <v>337</v>
      </c>
      <c r="BC347" s="22">
        <v>1.5957600000000001</v>
      </c>
      <c r="BD347">
        <f t="shared" si="70"/>
        <v>13.1897</v>
      </c>
      <c r="BE347">
        <f t="shared" si="71"/>
        <v>21.063687106</v>
      </c>
    </row>
    <row r="348" spans="6:57">
      <c r="F348" s="9"/>
      <c r="G348" s="22">
        <v>9.7961400000000004E-2</v>
      </c>
      <c r="H348" s="22">
        <v>14.8004</v>
      </c>
      <c r="I348" s="22">
        <v>-1.53778E-2</v>
      </c>
      <c r="J348" s="22">
        <v>338</v>
      </c>
      <c r="K348" s="22">
        <v>9.7259499999999999E-2</v>
      </c>
      <c r="L348">
        <f t="shared" si="60"/>
        <v>15.377800000000001</v>
      </c>
      <c r="M348">
        <f t="shared" si="61"/>
        <v>1.50643081692</v>
      </c>
      <c r="N348" s="9"/>
      <c r="O348" s="22">
        <v>1.60202</v>
      </c>
      <c r="P348" s="22">
        <v>47.573599999999999</v>
      </c>
      <c r="Q348" s="22">
        <v>-1.2670900000000001E-2</v>
      </c>
      <c r="R348" s="22">
        <v>338</v>
      </c>
      <c r="S348" s="22">
        <v>1.6012599999999999</v>
      </c>
      <c r="T348">
        <f t="shared" si="62"/>
        <v>12.670900000000001</v>
      </c>
      <c r="U348">
        <f t="shared" si="63"/>
        <v>20.299035218000004</v>
      </c>
      <c r="X348" s="9"/>
      <c r="Y348" s="22">
        <v>9.7961400000000004E-2</v>
      </c>
      <c r="Z348" s="22">
        <v>75.626599999999996</v>
      </c>
      <c r="AA348" s="22">
        <v>-1.54938E-2</v>
      </c>
      <c r="AB348" s="22">
        <v>338</v>
      </c>
      <c r="AC348" s="22">
        <v>9.7290000000000001E-2</v>
      </c>
      <c r="AD348">
        <f t="shared" si="64"/>
        <v>15.4938</v>
      </c>
      <c r="AE348">
        <f t="shared" si="65"/>
        <v>1.5177943393200002</v>
      </c>
      <c r="AF348" s="9"/>
      <c r="AG348" s="22">
        <v>1.60202</v>
      </c>
      <c r="AH348" s="22">
        <v>110.342</v>
      </c>
      <c r="AI348" s="22">
        <v>-1.2280299999999999E-2</v>
      </c>
      <c r="AJ348" s="22">
        <v>338</v>
      </c>
      <c r="AK348" s="22">
        <v>1.6012599999999999</v>
      </c>
      <c r="AL348">
        <f t="shared" si="66"/>
        <v>12.280299999999999</v>
      </c>
      <c r="AM348">
        <f t="shared" si="67"/>
        <v>19.673286205999997</v>
      </c>
      <c r="AP348" s="9"/>
      <c r="AQ348" s="22">
        <v>9.7961400000000004E-2</v>
      </c>
      <c r="AR348" s="22">
        <v>138.82300000000001</v>
      </c>
      <c r="AS348" s="22">
        <v>-1.5527300000000001E-2</v>
      </c>
      <c r="AT348" s="22">
        <v>338</v>
      </c>
      <c r="AU348" s="22">
        <v>9.7259499999999999E-2</v>
      </c>
      <c r="AV348">
        <f t="shared" si="68"/>
        <v>15.5273</v>
      </c>
      <c r="AW348">
        <f t="shared" si="69"/>
        <v>1.5210760462200001</v>
      </c>
      <c r="AX348" s="9"/>
      <c r="AY348" s="22">
        <v>1.60202</v>
      </c>
      <c r="AZ348" s="22">
        <v>182.67699999999999</v>
      </c>
      <c r="BA348" s="22">
        <v>-1.3073700000000001E-2</v>
      </c>
      <c r="BB348" s="22">
        <v>338</v>
      </c>
      <c r="BC348" s="22">
        <v>1.6006499999999999</v>
      </c>
      <c r="BD348">
        <f t="shared" si="70"/>
        <v>13.073700000000001</v>
      </c>
      <c r="BE348">
        <f t="shared" si="71"/>
        <v>20.944328874</v>
      </c>
    </row>
    <row r="349" spans="6:57">
      <c r="F349" s="9"/>
      <c r="G349" s="22">
        <v>9.2925999999999995E-2</v>
      </c>
      <c r="H349" s="22">
        <v>14.810499999999999</v>
      </c>
      <c r="I349" s="22">
        <v>-1.5380899999999999E-2</v>
      </c>
      <c r="J349" s="22">
        <v>339</v>
      </c>
      <c r="K349" s="22">
        <v>9.2285199999999998E-2</v>
      </c>
      <c r="L349">
        <f t="shared" si="60"/>
        <v>15.380899999999999</v>
      </c>
      <c r="M349">
        <f t="shared" si="61"/>
        <v>1.4292855133999998</v>
      </c>
      <c r="N349" s="9"/>
      <c r="O349" s="22">
        <v>1.6070599999999999</v>
      </c>
      <c r="P349" s="22">
        <v>47.583599999999997</v>
      </c>
      <c r="Q349" s="22">
        <v>-1.25427E-2</v>
      </c>
      <c r="R349" s="22">
        <v>339</v>
      </c>
      <c r="S349" s="22">
        <v>1.6058300000000001</v>
      </c>
      <c r="T349">
        <f t="shared" si="62"/>
        <v>12.5427</v>
      </c>
      <c r="U349">
        <f t="shared" si="63"/>
        <v>20.156871461999998</v>
      </c>
      <c r="X349" s="9"/>
      <c r="Y349" s="22">
        <v>9.2925999999999995E-2</v>
      </c>
      <c r="Z349" s="22">
        <v>75.636600000000001</v>
      </c>
      <c r="AA349" s="22">
        <v>-1.54968E-2</v>
      </c>
      <c r="AB349" s="22">
        <v>339</v>
      </c>
      <c r="AC349" s="22">
        <v>9.2193600000000001E-2</v>
      </c>
      <c r="AD349">
        <f t="shared" si="64"/>
        <v>15.4968</v>
      </c>
      <c r="AE349">
        <f t="shared" si="65"/>
        <v>1.4400556367999999</v>
      </c>
      <c r="AF349" s="9"/>
      <c r="AG349" s="22">
        <v>1.6070599999999999</v>
      </c>
      <c r="AH349" s="22">
        <v>110.352</v>
      </c>
      <c r="AI349" s="22">
        <v>-1.2118500000000001E-2</v>
      </c>
      <c r="AJ349" s="22">
        <v>339</v>
      </c>
      <c r="AK349" s="22">
        <v>1.6058300000000001</v>
      </c>
      <c r="AL349">
        <f t="shared" si="66"/>
        <v>12.118500000000001</v>
      </c>
      <c r="AM349">
        <f t="shared" si="67"/>
        <v>19.475156609999999</v>
      </c>
      <c r="AP349" s="9"/>
      <c r="AQ349" s="22">
        <v>9.2925999999999995E-2</v>
      </c>
      <c r="AR349" s="22">
        <v>138.833</v>
      </c>
      <c r="AS349" s="22">
        <v>-1.55365E-2</v>
      </c>
      <c r="AT349" s="22">
        <v>339</v>
      </c>
      <c r="AU349" s="22">
        <v>9.2254600000000006E-2</v>
      </c>
      <c r="AV349">
        <f t="shared" si="68"/>
        <v>15.5365</v>
      </c>
      <c r="AW349">
        <f t="shared" si="69"/>
        <v>1.4437447989999999</v>
      </c>
      <c r="AX349" s="9"/>
      <c r="AY349" s="22">
        <v>1.6070599999999999</v>
      </c>
      <c r="AZ349" s="22">
        <v>182.68700000000001</v>
      </c>
      <c r="BA349" s="22">
        <v>-1.2936400000000001E-2</v>
      </c>
      <c r="BB349" s="22">
        <v>339</v>
      </c>
      <c r="BC349" s="22">
        <v>1.6061399999999999</v>
      </c>
      <c r="BD349">
        <f t="shared" si="70"/>
        <v>12.936400000000001</v>
      </c>
      <c r="BE349">
        <f t="shared" si="71"/>
        <v>20.789570984000001</v>
      </c>
    </row>
    <row r="350" spans="6:57">
      <c r="F350" s="9"/>
      <c r="G350" s="22">
        <v>8.7890599999999999E-2</v>
      </c>
      <c r="H350" s="22">
        <v>14.820600000000001</v>
      </c>
      <c r="I350" s="22">
        <v>-1.5383900000000001E-2</v>
      </c>
      <c r="J350" s="22">
        <v>340</v>
      </c>
      <c r="K350" s="22">
        <v>8.7005600000000002E-2</v>
      </c>
      <c r="L350">
        <f t="shared" si="60"/>
        <v>15.383900000000001</v>
      </c>
      <c r="M350">
        <f t="shared" si="61"/>
        <v>1.3521002013400001</v>
      </c>
      <c r="N350" s="9"/>
      <c r="O350" s="22">
        <v>1.61209</v>
      </c>
      <c r="P350" s="22">
        <v>47.593699999999998</v>
      </c>
      <c r="Q350" s="22">
        <v>-1.2411500000000001E-2</v>
      </c>
      <c r="R350" s="22">
        <v>340</v>
      </c>
      <c r="S350" s="22">
        <v>1.6107199999999999</v>
      </c>
      <c r="T350">
        <f t="shared" si="62"/>
        <v>12.4115</v>
      </c>
      <c r="U350">
        <f t="shared" si="63"/>
        <v>20.008455035000001</v>
      </c>
      <c r="X350" s="9"/>
      <c r="Y350" s="22">
        <v>8.7890599999999999E-2</v>
      </c>
      <c r="Z350" s="22">
        <v>75.646699999999996</v>
      </c>
      <c r="AA350" s="22">
        <v>-1.55029E-2</v>
      </c>
      <c r="AB350" s="22">
        <v>340</v>
      </c>
      <c r="AC350" s="22">
        <v>8.7188699999999994E-2</v>
      </c>
      <c r="AD350">
        <f t="shared" si="64"/>
        <v>15.5029</v>
      </c>
      <c r="AE350">
        <f t="shared" si="65"/>
        <v>1.3625591827400001</v>
      </c>
      <c r="AF350" s="9"/>
      <c r="AG350" s="22">
        <v>1.61209</v>
      </c>
      <c r="AH350" s="22">
        <v>110.36199999999999</v>
      </c>
      <c r="AI350" s="22">
        <v>-1.1947599999999999E-2</v>
      </c>
      <c r="AJ350" s="22">
        <v>340</v>
      </c>
      <c r="AK350" s="22">
        <v>1.6110199999999999</v>
      </c>
      <c r="AL350">
        <f t="shared" si="66"/>
        <v>11.9476</v>
      </c>
      <c r="AM350">
        <f t="shared" si="67"/>
        <v>19.260606484</v>
      </c>
      <c r="AP350" s="9"/>
      <c r="AQ350" s="22">
        <v>8.7890599999999999E-2</v>
      </c>
      <c r="AR350" s="22">
        <v>138.84299999999999</v>
      </c>
      <c r="AS350" s="22">
        <v>-1.55426E-2</v>
      </c>
      <c r="AT350" s="22">
        <v>340</v>
      </c>
      <c r="AU350" s="22">
        <v>8.7188699999999994E-2</v>
      </c>
      <c r="AV350">
        <f t="shared" si="68"/>
        <v>15.5426</v>
      </c>
      <c r="AW350">
        <f t="shared" si="69"/>
        <v>1.3660484395600001</v>
      </c>
      <c r="AX350" s="9"/>
      <c r="AY350" s="22">
        <v>1.61209</v>
      </c>
      <c r="AZ350" s="22">
        <v>182.697</v>
      </c>
      <c r="BA350" s="22">
        <v>-1.2796E-2</v>
      </c>
      <c r="BB350" s="22">
        <v>340</v>
      </c>
      <c r="BC350" s="22">
        <v>1.6104099999999999</v>
      </c>
      <c r="BD350">
        <f t="shared" si="70"/>
        <v>12.795999999999999</v>
      </c>
      <c r="BE350">
        <f t="shared" si="71"/>
        <v>20.628303639999999</v>
      </c>
    </row>
    <row r="351" spans="6:57">
      <c r="F351" s="9"/>
      <c r="G351" s="22">
        <v>8.2855200000000004E-2</v>
      </c>
      <c r="H351" s="22">
        <v>14.8306</v>
      </c>
      <c r="I351" s="22">
        <v>-1.5387E-2</v>
      </c>
      <c r="J351" s="22">
        <v>341</v>
      </c>
      <c r="K351" s="22">
        <v>8.2244899999999996E-2</v>
      </c>
      <c r="L351">
        <f t="shared" si="60"/>
        <v>15.387</v>
      </c>
      <c r="M351">
        <f t="shared" si="61"/>
        <v>1.2748929624000001</v>
      </c>
      <c r="N351" s="9"/>
      <c r="O351" s="22">
        <v>1.61713</v>
      </c>
      <c r="P351" s="22">
        <v>47.6038</v>
      </c>
      <c r="Q351" s="22">
        <v>-1.22711E-2</v>
      </c>
      <c r="R351" s="22">
        <v>341</v>
      </c>
      <c r="S351" s="22">
        <v>1.6162099999999999</v>
      </c>
      <c r="T351">
        <f t="shared" si="62"/>
        <v>12.271100000000001</v>
      </c>
      <c r="U351">
        <f t="shared" si="63"/>
        <v>19.843963943000002</v>
      </c>
      <c r="X351" s="9"/>
      <c r="Y351" s="22">
        <v>8.2855200000000004E-2</v>
      </c>
      <c r="Z351" s="22">
        <v>75.656800000000004</v>
      </c>
      <c r="AA351" s="22">
        <v>-1.5509E-2</v>
      </c>
      <c r="AB351" s="22">
        <v>341</v>
      </c>
      <c r="AC351" s="22">
        <v>8.2214400000000007E-2</v>
      </c>
      <c r="AD351">
        <f t="shared" si="64"/>
        <v>15.509</v>
      </c>
      <c r="AE351">
        <f t="shared" si="65"/>
        <v>1.2850012968000002</v>
      </c>
      <c r="AF351" s="9"/>
      <c r="AG351" s="22">
        <v>1.61713</v>
      </c>
      <c r="AH351" s="22">
        <v>110.372</v>
      </c>
      <c r="AI351" s="22">
        <v>-1.17828E-2</v>
      </c>
      <c r="AJ351" s="22">
        <v>341</v>
      </c>
      <c r="AK351" s="22">
        <v>1.61591</v>
      </c>
      <c r="AL351">
        <f t="shared" si="66"/>
        <v>11.7828</v>
      </c>
      <c r="AM351">
        <f t="shared" si="67"/>
        <v>19.054319363999998</v>
      </c>
      <c r="AP351" s="9"/>
      <c r="AQ351" s="22">
        <v>8.2855200000000004E-2</v>
      </c>
      <c r="AR351" s="22">
        <v>138.85300000000001</v>
      </c>
      <c r="AS351" s="22">
        <v>-1.5545700000000001E-2</v>
      </c>
      <c r="AT351" s="22">
        <v>341</v>
      </c>
      <c r="AU351" s="22">
        <v>8.2122799999999996E-2</v>
      </c>
      <c r="AV351">
        <f t="shared" si="68"/>
        <v>15.5457</v>
      </c>
      <c r="AW351">
        <f t="shared" si="69"/>
        <v>1.2880420826400001</v>
      </c>
      <c r="AX351" s="9"/>
      <c r="AY351" s="22">
        <v>1.61713</v>
      </c>
      <c r="AZ351" s="22">
        <v>182.70699999999999</v>
      </c>
      <c r="BA351" s="22">
        <v>-1.26465E-2</v>
      </c>
      <c r="BB351" s="22">
        <v>341</v>
      </c>
      <c r="BC351" s="22">
        <v>1.61652</v>
      </c>
      <c r="BD351">
        <f t="shared" si="70"/>
        <v>12.6465</v>
      </c>
      <c r="BE351">
        <f t="shared" si="71"/>
        <v>20.451034544999999</v>
      </c>
    </row>
    <row r="352" spans="6:57">
      <c r="F352" s="9"/>
      <c r="G352" s="22">
        <v>7.7819799999999995E-2</v>
      </c>
      <c r="H352" s="22">
        <v>14.8407</v>
      </c>
      <c r="I352" s="22">
        <v>-1.5396099999999999E-2</v>
      </c>
      <c r="J352" s="22">
        <v>342</v>
      </c>
      <c r="K352" s="22">
        <v>7.7178999999999998E-2</v>
      </c>
      <c r="L352">
        <f t="shared" si="60"/>
        <v>15.396099999999999</v>
      </c>
      <c r="M352">
        <f t="shared" si="61"/>
        <v>1.1981214227799999</v>
      </c>
      <c r="N352" s="9"/>
      <c r="O352" s="22">
        <v>1.62216</v>
      </c>
      <c r="P352" s="22">
        <v>47.613799999999998</v>
      </c>
      <c r="Q352" s="22">
        <v>-1.2118500000000001E-2</v>
      </c>
      <c r="R352" s="22">
        <v>342</v>
      </c>
      <c r="S352" s="22">
        <v>1.6214</v>
      </c>
      <c r="T352">
        <f t="shared" si="62"/>
        <v>12.118500000000001</v>
      </c>
      <c r="U352">
        <f t="shared" si="63"/>
        <v>19.658145960000002</v>
      </c>
      <c r="X352" s="9"/>
      <c r="Y352" s="22">
        <v>7.7819799999999995E-2</v>
      </c>
      <c r="Z352" s="22">
        <v>75.666899999999998</v>
      </c>
      <c r="AA352" s="22">
        <v>-1.5509E-2</v>
      </c>
      <c r="AB352" s="22">
        <v>342</v>
      </c>
      <c r="AC352" s="22">
        <v>7.7056899999999998E-2</v>
      </c>
      <c r="AD352">
        <f t="shared" si="64"/>
        <v>15.509</v>
      </c>
      <c r="AE352">
        <f t="shared" si="65"/>
        <v>1.2069072781999999</v>
      </c>
      <c r="AF352" s="9"/>
      <c r="AG352" s="22">
        <v>1.62216</v>
      </c>
      <c r="AH352" s="22">
        <v>110.38200000000001</v>
      </c>
      <c r="AI352" s="22">
        <v>-1.16089E-2</v>
      </c>
      <c r="AJ352" s="22">
        <v>342</v>
      </c>
      <c r="AK352" s="22">
        <v>1.6210899999999999</v>
      </c>
      <c r="AL352">
        <f t="shared" si="66"/>
        <v>11.6089</v>
      </c>
      <c r="AM352">
        <f t="shared" si="67"/>
        <v>18.831493224000003</v>
      </c>
      <c r="AP352" s="9"/>
      <c r="AQ352" s="22">
        <v>7.7819799999999995E-2</v>
      </c>
      <c r="AR352" s="22">
        <v>138.863</v>
      </c>
      <c r="AS352" s="22">
        <v>-1.55487E-2</v>
      </c>
      <c r="AT352" s="22">
        <v>342</v>
      </c>
      <c r="AU352" s="22">
        <v>7.7240000000000003E-2</v>
      </c>
      <c r="AV352">
        <f t="shared" si="68"/>
        <v>15.5487</v>
      </c>
      <c r="AW352">
        <f t="shared" si="69"/>
        <v>1.2099967242599998</v>
      </c>
      <c r="AX352" s="9"/>
      <c r="AY352" s="22">
        <v>1.62216</v>
      </c>
      <c r="AZ352" s="22">
        <v>182.71700000000001</v>
      </c>
      <c r="BA352" s="22">
        <v>-1.24939E-2</v>
      </c>
      <c r="BB352" s="22">
        <v>342</v>
      </c>
      <c r="BC352" s="22">
        <v>1.6214</v>
      </c>
      <c r="BD352">
        <f t="shared" si="70"/>
        <v>12.4939</v>
      </c>
      <c r="BE352">
        <f t="shared" si="71"/>
        <v>20.267104824</v>
      </c>
    </row>
    <row r="353" spans="6:57">
      <c r="F353" s="9"/>
      <c r="G353" s="22">
        <v>7.2784399999999999E-2</v>
      </c>
      <c r="H353" s="22">
        <v>14.8508</v>
      </c>
      <c r="I353" s="22">
        <v>-1.54022E-2</v>
      </c>
      <c r="J353" s="22">
        <v>343</v>
      </c>
      <c r="K353" s="22">
        <v>7.2082499999999994E-2</v>
      </c>
      <c r="L353">
        <f t="shared" si="60"/>
        <v>15.402199999999999</v>
      </c>
      <c r="M353">
        <f t="shared" si="61"/>
        <v>1.1210398856799999</v>
      </c>
      <c r="N353" s="9"/>
      <c r="O353" s="22">
        <v>1.6272</v>
      </c>
      <c r="P353" s="22">
        <v>47.623899999999999</v>
      </c>
      <c r="Q353" s="22">
        <v>-1.19446E-2</v>
      </c>
      <c r="R353" s="22">
        <v>343</v>
      </c>
      <c r="S353" s="22">
        <v>1.62598</v>
      </c>
      <c r="T353">
        <f t="shared" si="62"/>
        <v>11.944599999999999</v>
      </c>
      <c r="U353">
        <f t="shared" si="63"/>
        <v>19.43625312</v>
      </c>
      <c r="X353" s="9"/>
      <c r="Y353" s="22">
        <v>7.2784399999999999E-2</v>
      </c>
      <c r="Z353" s="22">
        <v>75.676900000000003</v>
      </c>
      <c r="AA353" s="22">
        <v>-1.5509E-2</v>
      </c>
      <c r="AB353" s="22">
        <v>343</v>
      </c>
      <c r="AC353" s="22">
        <v>7.2082499999999994E-2</v>
      </c>
      <c r="AD353">
        <f t="shared" si="64"/>
        <v>15.509</v>
      </c>
      <c r="AE353">
        <f t="shared" si="65"/>
        <v>1.1288132596</v>
      </c>
      <c r="AF353" s="9"/>
      <c r="AG353" s="22">
        <v>1.6272</v>
      </c>
      <c r="AH353" s="22">
        <v>110.392</v>
      </c>
      <c r="AI353" s="22">
        <v>-1.1410500000000001E-2</v>
      </c>
      <c r="AJ353" s="22">
        <v>343</v>
      </c>
      <c r="AK353" s="22">
        <v>1.62659</v>
      </c>
      <c r="AL353">
        <f t="shared" si="66"/>
        <v>11.410500000000001</v>
      </c>
      <c r="AM353">
        <f t="shared" si="67"/>
        <v>18.567165600000003</v>
      </c>
      <c r="AP353" s="9"/>
      <c r="AQ353" s="22">
        <v>7.2784399999999999E-2</v>
      </c>
      <c r="AR353" s="22">
        <v>138.87299999999999</v>
      </c>
      <c r="AS353" s="22">
        <v>-1.5554800000000001E-2</v>
      </c>
      <c r="AT353" s="22">
        <v>343</v>
      </c>
      <c r="AU353" s="22">
        <v>7.2052000000000005E-2</v>
      </c>
      <c r="AV353">
        <f t="shared" si="68"/>
        <v>15.5548</v>
      </c>
      <c r="AW353">
        <f t="shared" si="69"/>
        <v>1.13214678512</v>
      </c>
      <c r="AX353" s="9"/>
      <c r="AY353" s="22">
        <v>1.6272</v>
      </c>
      <c r="AZ353" s="22">
        <v>182.727</v>
      </c>
      <c r="BA353" s="22">
        <v>-1.23199E-2</v>
      </c>
      <c r="BB353" s="22">
        <v>343</v>
      </c>
      <c r="BC353" s="22">
        <v>1.6262799999999999</v>
      </c>
      <c r="BD353">
        <f t="shared" si="70"/>
        <v>12.319900000000001</v>
      </c>
      <c r="BE353">
        <f t="shared" si="71"/>
        <v>20.046941280000002</v>
      </c>
    </row>
    <row r="354" spans="6:57">
      <c r="F354" s="9"/>
      <c r="G354" s="22">
        <v>6.7749000000000004E-2</v>
      </c>
      <c r="H354" s="22">
        <v>14.860900000000001</v>
      </c>
      <c r="I354" s="22">
        <v>-1.54053E-2</v>
      </c>
      <c r="J354" s="22">
        <v>344</v>
      </c>
      <c r="K354" s="22">
        <v>6.6986100000000007E-2</v>
      </c>
      <c r="L354">
        <f t="shared" si="60"/>
        <v>15.4053</v>
      </c>
      <c r="M354">
        <f t="shared" si="61"/>
        <v>1.0436936697000001</v>
      </c>
      <c r="N354" s="9"/>
      <c r="O354" s="22">
        <v>1.6322300000000001</v>
      </c>
      <c r="P354" s="22">
        <v>47.634</v>
      </c>
      <c r="Q354" s="22">
        <v>-1.1761499999999999E-2</v>
      </c>
      <c r="R354" s="22">
        <v>344</v>
      </c>
      <c r="S354" s="22">
        <v>1.63147</v>
      </c>
      <c r="T354">
        <f t="shared" si="62"/>
        <v>11.7615</v>
      </c>
      <c r="U354">
        <f t="shared" si="63"/>
        <v>19.197473145</v>
      </c>
      <c r="X354" s="9"/>
      <c r="Y354" s="22">
        <v>6.7749000000000004E-2</v>
      </c>
      <c r="Z354" s="22">
        <v>75.686999999999998</v>
      </c>
      <c r="AA354" s="22">
        <v>-1.55151E-2</v>
      </c>
      <c r="AB354" s="22">
        <v>344</v>
      </c>
      <c r="AC354" s="22">
        <v>6.7108200000000007E-2</v>
      </c>
      <c r="AD354">
        <f t="shared" si="64"/>
        <v>15.5151</v>
      </c>
      <c r="AE354">
        <f t="shared" si="65"/>
        <v>1.0511325099000002</v>
      </c>
      <c r="AF354" s="9"/>
      <c r="AG354" s="22">
        <v>1.6322300000000001</v>
      </c>
      <c r="AH354" s="22">
        <v>110.402</v>
      </c>
      <c r="AI354" s="22">
        <v>-1.1202999999999999E-2</v>
      </c>
      <c r="AJ354" s="22">
        <v>344</v>
      </c>
      <c r="AK354" s="22">
        <v>1.6311599999999999</v>
      </c>
      <c r="AL354">
        <f t="shared" si="66"/>
        <v>11.202999999999999</v>
      </c>
      <c r="AM354">
        <f t="shared" si="67"/>
        <v>18.285872690000001</v>
      </c>
      <c r="AP354" s="9"/>
      <c r="AQ354" s="22">
        <v>6.7749000000000004E-2</v>
      </c>
      <c r="AR354" s="22">
        <v>138.88300000000001</v>
      </c>
      <c r="AS354" s="22">
        <v>-1.5554800000000001E-2</v>
      </c>
      <c r="AT354" s="22">
        <v>344</v>
      </c>
      <c r="AU354" s="22">
        <v>6.6924999999999998E-2</v>
      </c>
      <c r="AV354">
        <f t="shared" si="68"/>
        <v>15.5548</v>
      </c>
      <c r="AW354">
        <f t="shared" si="69"/>
        <v>1.0538221452000001</v>
      </c>
      <c r="AX354" s="9"/>
      <c r="AY354" s="22">
        <v>1.6322300000000001</v>
      </c>
      <c r="AZ354" s="22">
        <v>182.738</v>
      </c>
      <c r="BA354" s="22">
        <v>-1.2130699999999999E-2</v>
      </c>
      <c r="BB354" s="22">
        <v>344</v>
      </c>
      <c r="BC354" s="22">
        <v>1.6311599999999999</v>
      </c>
      <c r="BD354">
        <f t="shared" si="70"/>
        <v>12.130699999999999</v>
      </c>
      <c r="BE354">
        <f t="shared" si="71"/>
        <v>19.800092460999998</v>
      </c>
    </row>
    <row r="355" spans="6:57">
      <c r="F355" s="9"/>
      <c r="G355" s="22">
        <v>6.2713599999999994E-2</v>
      </c>
      <c r="H355" s="22">
        <v>14.870900000000001</v>
      </c>
      <c r="I355" s="22">
        <v>-1.54083E-2</v>
      </c>
      <c r="J355" s="22">
        <v>345</v>
      </c>
      <c r="K355" s="22">
        <v>6.2011700000000003E-2</v>
      </c>
      <c r="L355">
        <f t="shared" si="60"/>
        <v>15.408300000000001</v>
      </c>
      <c r="M355">
        <f t="shared" si="61"/>
        <v>0.96630996287999993</v>
      </c>
      <c r="N355" s="9"/>
      <c r="O355" s="22">
        <v>1.63727</v>
      </c>
      <c r="P355" s="22">
        <v>47.643999999999998</v>
      </c>
      <c r="Q355" s="22">
        <v>-1.15692E-2</v>
      </c>
      <c r="R355" s="22">
        <v>345</v>
      </c>
      <c r="S355" s="22">
        <v>1.63605</v>
      </c>
      <c r="T355">
        <f t="shared" si="62"/>
        <v>11.5692</v>
      </c>
      <c r="U355">
        <f t="shared" si="63"/>
        <v>18.941904084000001</v>
      </c>
      <c r="X355" s="9"/>
      <c r="Y355" s="22">
        <v>6.2713599999999994E-2</v>
      </c>
      <c r="Z355" s="22">
        <v>75.697100000000006</v>
      </c>
      <c r="AA355" s="22">
        <v>-1.5521200000000001E-2</v>
      </c>
      <c r="AB355" s="22">
        <v>345</v>
      </c>
      <c r="AC355" s="22">
        <v>6.19812E-2</v>
      </c>
      <c r="AD355">
        <f t="shared" si="64"/>
        <v>15.5212</v>
      </c>
      <c r="AE355">
        <f t="shared" si="65"/>
        <v>0.97339032831999994</v>
      </c>
      <c r="AF355" s="9"/>
      <c r="AG355" s="22">
        <v>1.63727</v>
      </c>
      <c r="AH355" s="22">
        <v>110.41200000000001</v>
      </c>
      <c r="AI355" s="22">
        <v>-1.0977199999999999E-2</v>
      </c>
      <c r="AJ355" s="22">
        <v>345</v>
      </c>
      <c r="AK355" s="22">
        <v>1.63635</v>
      </c>
      <c r="AL355">
        <f t="shared" si="66"/>
        <v>10.9772</v>
      </c>
      <c r="AM355">
        <f t="shared" si="67"/>
        <v>17.972640244000001</v>
      </c>
      <c r="AP355" s="9"/>
      <c r="AQ355" s="22">
        <v>6.2713599999999994E-2</v>
      </c>
      <c r="AR355" s="22">
        <v>138.893</v>
      </c>
      <c r="AS355" s="22">
        <v>-1.5560900000000001E-2</v>
      </c>
      <c r="AT355" s="22">
        <v>345</v>
      </c>
      <c r="AU355" s="22">
        <v>6.2011700000000003E-2</v>
      </c>
      <c r="AV355">
        <f t="shared" si="68"/>
        <v>15.5609</v>
      </c>
      <c r="AW355">
        <f t="shared" si="69"/>
        <v>0.9758800582399999</v>
      </c>
      <c r="AX355" s="9"/>
      <c r="AY355" s="22">
        <v>1.63727</v>
      </c>
      <c r="AZ355" s="22">
        <v>182.74799999999999</v>
      </c>
      <c r="BA355" s="22">
        <v>-1.19293E-2</v>
      </c>
      <c r="BB355" s="22">
        <v>345</v>
      </c>
      <c r="BC355" s="22">
        <v>1.63666</v>
      </c>
      <c r="BD355">
        <f t="shared" si="70"/>
        <v>11.9293</v>
      </c>
      <c r="BE355">
        <f t="shared" si="71"/>
        <v>19.531485011000001</v>
      </c>
    </row>
    <row r="356" spans="6:57">
      <c r="F356" s="9"/>
      <c r="G356" s="22">
        <v>5.7678199999999999E-2</v>
      </c>
      <c r="H356" s="22">
        <v>14.881</v>
      </c>
      <c r="I356" s="22">
        <v>-1.54114E-2</v>
      </c>
      <c r="J356" s="22">
        <v>346</v>
      </c>
      <c r="K356" s="22">
        <v>5.6976300000000001E-2</v>
      </c>
      <c r="L356">
        <f t="shared" si="60"/>
        <v>15.4114</v>
      </c>
      <c r="M356">
        <f t="shared" si="61"/>
        <v>0.88890181148000003</v>
      </c>
      <c r="N356" s="9"/>
      <c r="O356" s="22">
        <v>1.6423000000000001</v>
      </c>
      <c r="P356" s="22">
        <v>47.6541</v>
      </c>
      <c r="Q356" s="22">
        <v>-1.1361700000000001E-2</v>
      </c>
      <c r="R356" s="22">
        <v>346</v>
      </c>
      <c r="S356" s="22">
        <v>1.64154</v>
      </c>
      <c r="T356">
        <f t="shared" si="62"/>
        <v>11.361700000000001</v>
      </c>
      <c r="U356">
        <f t="shared" si="63"/>
        <v>18.659319910000001</v>
      </c>
      <c r="X356" s="9"/>
      <c r="Y356" s="22">
        <v>5.7678199999999999E-2</v>
      </c>
      <c r="Z356" s="22">
        <v>75.707099999999997</v>
      </c>
      <c r="AA356" s="22">
        <v>-1.5527300000000001E-2</v>
      </c>
      <c r="AB356" s="22">
        <v>346</v>
      </c>
      <c r="AC356" s="22">
        <v>5.7037400000000002E-2</v>
      </c>
      <c r="AD356">
        <f t="shared" si="64"/>
        <v>15.5273</v>
      </c>
      <c r="AE356">
        <f t="shared" si="65"/>
        <v>0.89558671485999997</v>
      </c>
      <c r="AF356" s="9"/>
      <c r="AG356" s="22">
        <v>1.6423000000000001</v>
      </c>
      <c r="AH356" s="22">
        <v>110.422</v>
      </c>
      <c r="AI356" s="22">
        <v>-1.07422E-2</v>
      </c>
      <c r="AJ356" s="22">
        <v>346</v>
      </c>
      <c r="AK356" s="22">
        <v>1.64124</v>
      </c>
      <c r="AL356">
        <f t="shared" si="66"/>
        <v>10.7422</v>
      </c>
      <c r="AM356">
        <f t="shared" si="67"/>
        <v>17.641915060000002</v>
      </c>
      <c r="AP356" s="9"/>
      <c r="AQ356" s="22">
        <v>5.7678199999999999E-2</v>
      </c>
      <c r="AR356" s="22">
        <v>138.90299999999999</v>
      </c>
      <c r="AS356" s="22">
        <v>-1.5560900000000001E-2</v>
      </c>
      <c r="AT356" s="22">
        <v>346</v>
      </c>
      <c r="AU356" s="22">
        <v>5.7006800000000003E-2</v>
      </c>
      <c r="AV356">
        <f t="shared" si="68"/>
        <v>15.5609</v>
      </c>
      <c r="AW356">
        <f t="shared" si="69"/>
        <v>0.89752470238000004</v>
      </c>
      <c r="AX356" s="9"/>
      <c r="AY356" s="22">
        <v>1.6423000000000001</v>
      </c>
      <c r="AZ356" s="22">
        <v>182.75800000000001</v>
      </c>
      <c r="BA356" s="22">
        <v>-1.17126E-2</v>
      </c>
      <c r="BB356" s="22">
        <v>346</v>
      </c>
      <c r="BC356" s="22">
        <v>1.64124</v>
      </c>
      <c r="BD356">
        <f t="shared" si="70"/>
        <v>11.7126</v>
      </c>
      <c r="BE356">
        <f t="shared" si="71"/>
        <v>19.235602980000003</v>
      </c>
    </row>
    <row r="357" spans="6:57">
      <c r="F357" s="9"/>
      <c r="G357" s="22">
        <v>5.2642799999999997E-2</v>
      </c>
      <c r="H357" s="22">
        <v>14.8911</v>
      </c>
      <c r="I357" s="22">
        <v>-1.5417500000000001E-2</v>
      </c>
      <c r="J357" s="22">
        <v>347</v>
      </c>
      <c r="K357" s="22">
        <v>5.2002E-2</v>
      </c>
      <c r="L357">
        <f t="shared" si="60"/>
        <v>15.4175</v>
      </c>
      <c r="M357">
        <f t="shared" si="61"/>
        <v>0.81162036900000001</v>
      </c>
      <c r="N357" s="9"/>
      <c r="O357" s="22">
        <v>1.64734</v>
      </c>
      <c r="P357" s="22">
        <v>47.664200000000001</v>
      </c>
      <c r="Q357" s="22">
        <v>-1.1148099999999999E-2</v>
      </c>
      <c r="R357" s="22">
        <v>347</v>
      </c>
      <c r="S357" s="22">
        <v>1.64612</v>
      </c>
      <c r="T357">
        <f t="shared" si="62"/>
        <v>11.148099999999999</v>
      </c>
      <c r="U357">
        <f t="shared" si="63"/>
        <v>18.364711054000001</v>
      </c>
      <c r="X357" s="9"/>
      <c r="Y357" s="22">
        <v>5.2642799999999997E-2</v>
      </c>
      <c r="Z357" s="22">
        <v>75.717200000000005</v>
      </c>
      <c r="AA357" s="22">
        <v>-1.5527300000000001E-2</v>
      </c>
      <c r="AB357" s="22">
        <v>347</v>
      </c>
      <c r="AC357" s="22">
        <v>5.18799E-2</v>
      </c>
      <c r="AD357">
        <f t="shared" si="64"/>
        <v>15.5273</v>
      </c>
      <c r="AE357">
        <f t="shared" si="65"/>
        <v>0.81740054843999999</v>
      </c>
      <c r="AF357" s="9"/>
      <c r="AG357" s="22">
        <v>1.64734</v>
      </c>
      <c r="AH357" s="22">
        <v>110.432</v>
      </c>
      <c r="AI357" s="22">
        <v>-1.04858E-2</v>
      </c>
      <c r="AJ357" s="22">
        <v>347</v>
      </c>
      <c r="AK357" s="22">
        <v>1.64642</v>
      </c>
      <c r="AL357">
        <f t="shared" si="66"/>
        <v>10.485799999999999</v>
      </c>
      <c r="AM357">
        <f t="shared" si="67"/>
        <v>17.273677771999999</v>
      </c>
      <c r="AP357" s="9"/>
      <c r="AQ357" s="22">
        <v>5.2642799999999997E-2</v>
      </c>
      <c r="AR357" s="22">
        <v>138.91300000000001</v>
      </c>
      <c r="AS357" s="22">
        <v>-1.5564E-2</v>
      </c>
      <c r="AT357" s="22">
        <v>347</v>
      </c>
      <c r="AU357" s="22">
        <v>5.18799E-2</v>
      </c>
      <c r="AV357">
        <f t="shared" si="68"/>
        <v>15.564</v>
      </c>
      <c r="AW357">
        <f t="shared" si="69"/>
        <v>0.81933253919999993</v>
      </c>
      <c r="AX357" s="9"/>
      <c r="AY357" s="22">
        <v>1.64734</v>
      </c>
      <c r="AZ357" s="22">
        <v>182.768</v>
      </c>
      <c r="BA357" s="22">
        <v>-1.14716E-2</v>
      </c>
      <c r="BB357" s="22">
        <v>347</v>
      </c>
      <c r="BC357" s="22">
        <v>1.64581</v>
      </c>
      <c r="BD357">
        <f t="shared" si="70"/>
        <v>11.4716</v>
      </c>
      <c r="BE357">
        <f t="shared" si="71"/>
        <v>18.897625544</v>
      </c>
    </row>
    <row r="358" spans="6:57">
      <c r="F358" s="9"/>
      <c r="G358" s="22">
        <v>4.7607400000000001E-2</v>
      </c>
      <c r="H358" s="22">
        <v>14.9011</v>
      </c>
      <c r="I358" s="22">
        <v>-1.54205E-2</v>
      </c>
      <c r="J358" s="22">
        <v>348</v>
      </c>
      <c r="K358" s="22">
        <v>4.7381600000000003E-2</v>
      </c>
      <c r="L358">
        <f t="shared" si="60"/>
        <v>15.420500000000001</v>
      </c>
      <c r="M358">
        <f t="shared" si="61"/>
        <v>0.73412991170000008</v>
      </c>
      <c r="N358" s="9"/>
      <c r="O358" s="22">
        <v>1.6523699999999999</v>
      </c>
      <c r="P358" s="22">
        <v>47.674300000000002</v>
      </c>
      <c r="Q358" s="22">
        <v>-1.091E-2</v>
      </c>
      <c r="R358" s="22">
        <v>348</v>
      </c>
      <c r="S358" s="22">
        <v>1.6507000000000001</v>
      </c>
      <c r="T358">
        <f t="shared" si="62"/>
        <v>10.91</v>
      </c>
      <c r="U358">
        <f t="shared" si="63"/>
        <v>18.027356699999999</v>
      </c>
      <c r="X358" s="9"/>
      <c r="Y358" s="22">
        <v>4.7607400000000001E-2</v>
      </c>
      <c r="Z358" s="22">
        <v>75.7273</v>
      </c>
      <c r="AA358" s="22">
        <v>-1.55365E-2</v>
      </c>
      <c r="AB358" s="22">
        <v>348</v>
      </c>
      <c r="AC358" s="22">
        <v>4.7467000000000002E-2</v>
      </c>
      <c r="AD358">
        <f t="shared" si="64"/>
        <v>15.5365</v>
      </c>
      <c r="AE358">
        <f t="shared" si="65"/>
        <v>0.73965237010000007</v>
      </c>
      <c r="AF358" s="9"/>
      <c r="AG358" s="22">
        <v>1.6523699999999999</v>
      </c>
      <c r="AH358" s="22">
        <v>110.44199999999999</v>
      </c>
      <c r="AI358" s="22">
        <v>-1.0201999999999999E-2</v>
      </c>
      <c r="AJ358" s="22">
        <v>348</v>
      </c>
      <c r="AK358" s="22">
        <v>1.6513100000000001</v>
      </c>
      <c r="AL358">
        <f t="shared" si="66"/>
        <v>10.202</v>
      </c>
      <c r="AM358">
        <f t="shared" si="67"/>
        <v>16.857478739999998</v>
      </c>
      <c r="AP358" s="9"/>
      <c r="AQ358" s="22">
        <v>4.7607400000000001E-2</v>
      </c>
      <c r="AR358" s="22">
        <v>138.923</v>
      </c>
      <c r="AS358" s="22">
        <v>-1.5566999999999999E-2</v>
      </c>
      <c r="AT358" s="22">
        <v>348</v>
      </c>
      <c r="AU358" s="22">
        <v>4.7363299999999997E-2</v>
      </c>
      <c r="AV358">
        <f t="shared" si="68"/>
        <v>15.566999999999998</v>
      </c>
      <c r="AW358">
        <f t="shared" si="69"/>
        <v>0.74110439579999998</v>
      </c>
      <c r="AX358" s="9"/>
      <c r="AY358" s="22">
        <v>1.6523699999999999</v>
      </c>
      <c r="AZ358" s="22">
        <v>182.77799999999999</v>
      </c>
      <c r="BA358" s="22">
        <v>-1.12122E-2</v>
      </c>
      <c r="BB358" s="22">
        <v>348</v>
      </c>
      <c r="BC358" s="22">
        <v>1.651</v>
      </c>
      <c r="BD358">
        <f t="shared" si="70"/>
        <v>11.212200000000001</v>
      </c>
      <c r="BE358">
        <f t="shared" si="71"/>
        <v>18.526702914000001</v>
      </c>
    </row>
    <row r="359" spans="6:57">
      <c r="F359" s="9"/>
      <c r="G359" s="22">
        <v>4.2571999999999999E-2</v>
      </c>
      <c r="H359" s="22">
        <v>14.911199999999999</v>
      </c>
      <c r="I359" s="22">
        <v>-1.5423600000000001E-2</v>
      </c>
      <c r="J359" s="22">
        <v>349</v>
      </c>
      <c r="K359" s="22">
        <v>4.2361500000000003E-2</v>
      </c>
      <c r="L359">
        <f t="shared" si="60"/>
        <v>15.4236</v>
      </c>
      <c r="M359">
        <f t="shared" si="61"/>
        <v>0.65661349920000001</v>
      </c>
      <c r="N359" s="9"/>
      <c r="O359" s="22">
        <v>1.65741</v>
      </c>
      <c r="P359" s="22">
        <v>47.6843</v>
      </c>
      <c r="Q359" s="22">
        <v>-1.0665900000000001E-2</v>
      </c>
      <c r="R359" s="22">
        <v>349</v>
      </c>
      <c r="S359" s="22">
        <v>1.65588</v>
      </c>
      <c r="T359">
        <f t="shared" si="62"/>
        <v>10.665900000000001</v>
      </c>
      <c r="U359">
        <f t="shared" si="63"/>
        <v>17.677769319000003</v>
      </c>
      <c r="X359" s="9"/>
      <c r="Y359" s="22">
        <v>4.2571999999999999E-2</v>
      </c>
      <c r="Z359" s="22">
        <v>75.737399999999994</v>
      </c>
      <c r="AA359" s="22">
        <v>-1.55426E-2</v>
      </c>
      <c r="AB359" s="22">
        <v>349</v>
      </c>
      <c r="AC359" s="22">
        <v>4.2361500000000003E-2</v>
      </c>
      <c r="AD359">
        <f t="shared" si="64"/>
        <v>15.5426</v>
      </c>
      <c r="AE359">
        <f t="shared" si="65"/>
        <v>0.66167956719999999</v>
      </c>
      <c r="AF359" s="9"/>
      <c r="AG359" s="22">
        <v>1.65741</v>
      </c>
      <c r="AH359" s="22">
        <v>110.453</v>
      </c>
      <c r="AI359" s="22">
        <v>-9.8968500000000004E-3</v>
      </c>
      <c r="AJ359" s="22">
        <v>349</v>
      </c>
      <c r="AK359" s="22">
        <v>1.6561900000000001</v>
      </c>
      <c r="AL359">
        <f t="shared" si="66"/>
        <v>9.8968500000000006</v>
      </c>
      <c r="AM359">
        <f t="shared" si="67"/>
        <v>16.403138158500003</v>
      </c>
      <c r="AP359" s="9"/>
      <c r="AQ359" s="22">
        <v>4.2571999999999999E-2</v>
      </c>
      <c r="AR359" s="22">
        <v>138.934</v>
      </c>
      <c r="AS359" s="22">
        <v>-1.55701E-2</v>
      </c>
      <c r="AT359" s="22">
        <v>349</v>
      </c>
      <c r="AU359" s="22">
        <v>4.2315699999999998E-2</v>
      </c>
      <c r="AV359">
        <f t="shared" si="68"/>
        <v>15.5701</v>
      </c>
      <c r="AW359">
        <f t="shared" si="69"/>
        <v>0.66285029719999999</v>
      </c>
      <c r="AX359" s="9"/>
      <c r="AY359" s="22">
        <v>1.65741</v>
      </c>
      <c r="AZ359" s="22">
        <v>182.78800000000001</v>
      </c>
      <c r="BA359" s="22">
        <v>-1.09192E-2</v>
      </c>
      <c r="BB359" s="22">
        <v>349</v>
      </c>
      <c r="BC359" s="22">
        <v>1.65649</v>
      </c>
      <c r="BD359">
        <f t="shared" si="70"/>
        <v>10.9192</v>
      </c>
      <c r="BE359">
        <f t="shared" si="71"/>
        <v>18.097591271999999</v>
      </c>
    </row>
    <row r="360" spans="6:57">
      <c r="F360" s="9"/>
      <c r="G360" s="22">
        <v>3.7536600000000003E-2</v>
      </c>
      <c r="H360" s="22">
        <v>14.9213</v>
      </c>
      <c r="I360" s="22">
        <v>-1.5429699999999999E-2</v>
      </c>
      <c r="J360" s="22">
        <v>350</v>
      </c>
      <c r="K360" s="22">
        <v>3.7310799999999998E-2</v>
      </c>
      <c r="L360">
        <f t="shared" si="60"/>
        <v>15.429699999999999</v>
      </c>
      <c r="M360">
        <f t="shared" si="61"/>
        <v>0.57917847702000003</v>
      </c>
      <c r="N360" s="9"/>
      <c r="O360" s="22">
        <v>1.66245</v>
      </c>
      <c r="P360" s="22">
        <v>47.694400000000002</v>
      </c>
      <c r="Q360" s="22">
        <v>-1.0412599999999999E-2</v>
      </c>
      <c r="R360" s="22">
        <v>350</v>
      </c>
      <c r="S360" s="22">
        <v>1.6613800000000001</v>
      </c>
      <c r="T360">
        <f t="shared" si="62"/>
        <v>10.412599999999999</v>
      </c>
      <c r="U360">
        <f t="shared" si="63"/>
        <v>17.310426870000001</v>
      </c>
      <c r="X360" s="9"/>
      <c r="Y360" s="22">
        <v>3.7536600000000003E-2</v>
      </c>
      <c r="Z360" s="22">
        <v>75.747399999999999</v>
      </c>
      <c r="AA360" s="22">
        <v>-1.5551799999999999E-2</v>
      </c>
      <c r="AB360" s="22">
        <v>350</v>
      </c>
      <c r="AC360" s="22">
        <v>3.7298600000000001E-2</v>
      </c>
      <c r="AD360">
        <f t="shared" si="64"/>
        <v>15.5518</v>
      </c>
      <c r="AE360">
        <f t="shared" si="65"/>
        <v>0.58376169588000004</v>
      </c>
      <c r="AF360" s="9"/>
      <c r="AG360" s="22">
        <v>1.66245</v>
      </c>
      <c r="AH360" s="22">
        <v>110.46299999999999</v>
      </c>
      <c r="AI360" s="22">
        <v>-9.5672599999999993E-3</v>
      </c>
      <c r="AJ360" s="22">
        <v>350</v>
      </c>
      <c r="AK360" s="22">
        <v>1.66168</v>
      </c>
      <c r="AL360">
        <f t="shared" si="66"/>
        <v>9.5672599999999992</v>
      </c>
      <c r="AM360">
        <f t="shared" si="67"/>
        <v>15.905091386999999</v>
      </c>
      <c r="AP360" s="9"/>
      <c r="AQ360" s="22">
        <v>3.7536600000000003E-2</v>
      </c>
      <c r="AR360" s="22">
        <v>138.94399999999999</v>
      </c>
      <c r="AS360" s="22">
        <v>-1.5573099999999999E-2</v>
      </c>
      <c r="AT360" s="22">
        <v>350</v>
      </c>
      <c r="AU360" s="22">
        <v>3.7158200000000002E-2</v>
      </c>
      <c r="AV360">
        <f t="shared" si="68"/>
        <v>15.5731</v>
      </c>
      <c r="AW360">
        <f t="shared" si="69"/>
        <v>0.58456122546000011</v>
      </c>
      <c r="AX360" s="9"/>
      <c r="AY360" s="22">
        <v>1.66245</v>
      </c>
      <c r="AZ360" s="22">
        <v>182.798</v>
      </c>
      <c r="BA360" s="22">
        <v>-1.06079E-2</v>
      </c>
      <c r="BB360" s="22">
        <v>350</v>
      </c>
      <c r="BC360" s="22">
        <v>1.6613800000000001</v>
      </c>
      <c r="BD360">
        <f t="shared" si="70"/>
        <v>10.607900000000001</v>
      </c>
      <c r="BE360">
        <f t="shared" si="71"/>
        <v>17.635103355000002</v>
      </c>
    </row>
    <row r="361" spans="6:57">
      <c r="F361" s="9"/>
      <c r="G361" s="22">
        <v>3.2501200000000001E-2</v>
      </c>
      <c r="H361" s="22">
        <v>14.9314</v>
      </c>
      <c r="I361" s="22">
        <v>-1.54358E-2</v>
      </c>
      <c r="J361" s="22">
        <v>351</v>
      </c>
      <c r="K361" s="22">
        <v>3.2232700000000003E-2</v>
      </c>
      <c r="L361">
        <f t="shared" si="60"/>
        <v>15.4358</v>
      </c>
      <c r="M361">
        <f t="shared" si="61"/>
        <v>0.50168202295999997</v>
      </c>
      <c r="N361" s="9"/>
      <c r="O361" s="22">
        <v>1.6674800000000001</v>
      </c>
      <c r="P361" s="22">
        <v>47.704500000000003</v>
      </c>
      <c r="Q361" s="22">
        <v>-1.0119599999999999E-2</v>
      </c>
      <c r="R361" s="22">
        <v>351</v>
      </c>
      <c r="S361" s="22">
        <v>1.6662600000000001</v>
      </c>
      <c r="T361">
        <f t="shared" si="62"/>
        <v>10.1196</v>
      </c>
      <c r="U361">
        <f t="shared" si="63"/>
        <v>16.874230608000001</v>
      </c>
      <c r="X361" s="9"/>
      <c r="Y361" s="22">
        <v>3.2501200000000001E-2</v>
      </c>
      <c r="Z361" s="22">
        <v>75.757499999999993</v>
      </c>
      <c r="AA361" s="22">
        <v>-1.5554800000000001E-2</v>
      </c>
      <c r="AB361" s="22">
        <v>351</v>
      </c>
      <c r="AC361" s="22">
        <v>3.2192999999999999E-2</v>
      </c>
      <c r="AD361">
        <f t="shared" si="64"/>
        <v>15.5548</v>
      </c>
      <c r="AE361">
        <f t="shared" si="65"/>
        <v>0.50554966576000004</v>
      </c>
      <c r="AF361" s="9"/>
      <c r="AG361" s="22">
        <v>1.6674800000000001</v>
      </c>
      <c r="AH361" s="22">
        <v>110.473</v>
      </c>
      <c r="AI361" s="22">
        <v>-9.2346200000000007E-3</v>
      </c>
      <c r="AJ361" s="22">
        <v>351</v>
      </c>
      <c r="AK361" s="22">
        <v>1.66656</v>
      </c>
      <c r="AL361">
        <f t="shared" si="66"/>
        <v>9.2346200000000014</v>
      </c>
      <c r="AM361">
        <f t="shared" si="67"/>
        <v>15.398544157600004</v>
      </c>
      <c r="AP361" s="9"/>
      <c r="AQ361" s="22">
        <v>3.2501200000000001E-2</v>
      </c>
      <c r="AR361" s="22">
        <v>138.95400000000001</v>
      </c>
      <c r="AS361" s="22">
        <v>-1.5573099999999999E-2</v>
      </c>
      <c r="AT361" s="22">
        <v>351</v>
      </c>
      <c r="AU361" s="22">
        <v>3.2299799999999997E-2</v>
      </c>
      <c r="AV361">
        <f t="shared" si="68"/>
        <v>15.5731</v>
      </c>
      <c r="AW361">
        <f t="shared" si="69"/>
        <v>0.50614443772000006</v>
      </c>
      <c r="AX361" s="9"/>
      <c r="AY361" s="22">
        <v>1.6674800000000001</v>
      </c>
      <c r="AZ361" s="22">
        <v>182.80799999999999</v>
      </c>
      <c r="BA361" s="22">
        <v>-1.0257E-2</v>
      </c>
      <c r="BB361" s="22">
        <v>351</v>
      </c>
      <c r="BC361" s="22">
        <v>1.66656</v>
      </c>
      <c r="BD361">
        <f t="shared" si="70"/>
        <v>10.257</v>
      </c>
      <c r="BE361">
        <f t="shared" si="71"/>
        <v>17.103342359999999</v>
      </c>
    </row>
    <row r="362" spans="6:57">
      <c r="F362" s="9"/>
      <c r="G362" s="22">
        <v>2.7465799999999999E-2</v>
      </c>
      <c r="H362" s="22">
        <v>14.9414</v>
      </c>
      <c r="I362" s="22">
        <v>-1.54419E-2</v>
      </c>
      <c r="J362" s="22">
        <v>352</v>
      </c>
      <c r="K362" s="22">
        <v>2.7273599999999999E-2</v>
      </c>
      <c r="L362">
        <f t="shared" si="60"/>
        <v>15.4419</v>
      </c>
      <c r="M362">
        <f t="shared" si="61"/>
        <v>0.42412413702000001</v>
      </c>
      <c r="N362" s="9"/>
      <c r="O362" s="22">
        <v>1.67252</v>
      </c>
      <c r="P362" s="22">
        <v>47.714500000000001</v>
      </c>
      <c r="Q362" s="22">
        <v>-9.8113999999999996E-3</v>
      </c>
      <c r="R362" s="22">
        <v>352</v>
      </c>
      <c r="S362" s="22">
        <v>1.6714500000000001</v>
      </c>
      <c r="T362">
        <f t="shared" si="62"/>
        <v>9.811399999999999</v>
      </c>
      <c r="U362">
        <f t="shared" si="63"/>
        <v>16.409762727999997</v>
      </c>
      <c r="X362" s="9"/>
      <c r="Y362" s="22">
        <v>2.7465799999999999E-2</v>
      </c>
      <c r="Z362" s="22">
        <v>75.767600000000002</v>
      </c>
      <c r="AA362" s="22">
        <v>-1.55579E-2</v>
      </c>
      <c r="AB362" s="22">
        <v>352</v>
      </c>
      <c r="AC362" s="22">
        <v>2.7249099999999998E-2</v>
      </c>
      <c r="AD362">
        <f t="shared" si="64"/>
        <v>15.5579</v>
      </c>
      <c r="AE362">
        <f t="shared" si="65"/>
        <v>0.42731016981999997</v>
      </c>
      <c r="AF362" s="9"/>
      <c r="AG362" s="22">
        <v>1.67252</v>
      </c>
      <c r="AH362" s="22">
        <v>110.483</v>
      </c>
      <c r="AI362" s="22">
        <v>-8.8623E-3</v>
      </c>
      <c r="AJ362" s="22">
        <v>352</v>
      </c>
      <c r="AK362" s="22">
        <v>1.6708400000000001</v>
      </c>
      <c r="AL362">
        <f t="shared" si="66"/>
        <v>8.8622999999999994</v>
      </c>
      <c r="AM362">
        <f t="shared" si="67"/>
        <v>14.822373996</v>
      </c>
      <c r="AP362" s="9"/>
      <c r="AQ362" s="22">
        <v>2.7465799999999999E-2</v>
      </c>
      <c r="AR362" s="22">
        <v>138.964</v>
      </c>
      <c r="AS362" s="22">
        <v>-1.55792E-2</v>
      </c>
      <c r="AT362" s="22">
        <v>352</v>
      </c>
      <c r="AU362" s="22">
        <v>2.7285799999999999E-2</v>
      </c>
      <c r="AV362">
        <f t="shared" si="68"/>
        <v>15.5792</v>
      </c>
      <c r="AW362">
        <f t="shared" si="69"/>
        <v>0.42789519135999998</v>
      </c>
      <c r="AX362" s="9"/>
      <c r="AY362" s="22">
        <v>1.67252</v>
      </c>
      <c r="AZ362" s="22">
        <v>182.81800000000001</v>
      </c>
      <c r="BA362" s="22">
        <v>-9.8907500000000002E-3</v>
      </c>
      <c r="BB362" s="22">
        <v>352</v>
      </c>
      <c r="BC362" s="22">
        <v>1.6714500000000001</v>
      </c>
      <c r="BD362">
        <f t="shared" si="70"/>
        <v>9.8907500000000006</v>
      </c>
      <c r="BE362">
        <f t="shared" si="71"/>
        <v>16.54247719</v>
      </c>
    </row>
    <row r="363" spans="6:57">
      <c r="F363" s="9"/>
      <c r="G363" s="22">
        <v>2.24304E-2</v>
      </c>
      <c r="H363" s="22">
        <v>14.951499999999999</v>
      </c>
      <c r="I363" s="22">
        <v>-1.5444899999999999E-2</v>
      </c>
      <c r="J363" s="22">
        <v>353</v>
      </c>
      <c r="K363" s="22">
        <v>2.2168E-2</v>
      </c>
      <c r="L363">
        <f t="shared" si="60"/>
        <v>15.444899999999999</v>
      </c>
      <c r="M363">
        <f t="shared" si="61"/>
        <v>0.34643528495999998</v>
      </c>
      <c r="N363" s="9"/>
      <c r="O363" s="22">
        <v>1.6775500000000001</v>
      </c>
      <c r="P363" s="22">
        <v>47.724600000000002</v>
      </c>
      <c r="Q363" s="22">
        <v>-9.4940200000000006E-3</v>
      </c>
      <c r="R363" s="22">
        <v>353</v>
      </c>
      <c r="S363" s="22">
        <v>1.6769400000000001</v>
      </c>
      <c r="T363">
        <f t="shared" si="62"/>
        <v>9.4940200000000008</v>
      </c>
      <c r="U363">
        <f t="shared" si="63"/>
        <v>15.926693251000001</v>
      </c>
      <c r="X363" s="9"/>
      <c r="Y363" s="22">
        <v>2.24304E-2</v>
      </c>
      <c r="Z363" s="22">
        <v>75.777600000000007</v>
      </c>
      <c r="AA363" s="22">
        <v>-1.55579E-2</v>
      </c>
      <c r="AB363" s="22">
        <v>353</v>
      </c>
      <c r="AC363" s="22">
        <v>2.2051999999999999E-2</v>
      </c>
      <c r="AD363">
        <f t="shared" si="64"/>
        <v>15.5579</v>
      </c>
      <c r="AE363">
        <f t="shared" si="65"/>
        <v>0.34896992016</v>
      </c>
      <c r="AF363" s="9"/>
      <c r="AG363" s="22">
        <v>1.6775500000000001</v>
      </c>
      <c r="AH363" s="22">
        <v>110.49299999999999</v>
      </c>
      <c r="AI363" s="22">
        <v>-8.4655800000000003E-3</v>
      </c>
      <c r="AJ363" s="22">
        <v>353</v>
      </c>
      <c r="AK363" s="22">
        <v>1.6763300000000001</v>
      </c>
      <c r="AL363">
        <f t="shared" si="66"/>
        <v>8.465580000000001</v>
      </c>
      <c r="AM363">
        <f t="shared" si="67"/>
        <v>14.201433729000003</v>
      </c>
      <c r="AP363" s="9"/>
      <c r="AQ363" s="22">
        <v>2.24304E-2</v>
      </c>
      <c r="AR363" s="22">
        <v>138.97399999999999</v>
      </c>
      <c r="AS363" s="22">
        <v>-1.5588400000000001E-2</v>
      </c>
      <c r="AT363" s="22">
        <v>353</v>
      </c>
      <c r="AU363" s="22">
        <v>2.2103899999999999E-2</v>
      </c>
      <c r="AV363">
        <f t="shared" si="68"/>
        <v>15.5884</v>
      </c>
      <c r="AW363">
        <f t="shared" si="69"/>
        <v>0.34965404736</v>
      </c>
      <c r="AX363" s="9"/>
      <c r="AY363" s="22">
        <v>1.6775500000000001</v>
      </c>
      <c r="AZ363" s="22">
        <v>182.828</v>
      </c>
      <c r="BA363" s="22">
        <v>-9.4634999999999997E-3</v>
      </c>
      <c r="BB363" s="22">
        <v>353</v>
      </c>
      <c r="BC363" s="22">
        <v>1.6766399999999999</v>
      </c>
      <c r="BD363">
        <f t="shared" si="70"/>
        <v>9.4634999999999998</v>
      </c>
      <c r="BE363">
        <f t="shared" si="71"/>
        <v>15.875494425000001</v>
      </c>
    </row>
    <row r="364" spans="6:57">
      <c r="F364" s="9"/>
      <c r="G364" s="22">
        <v>1.7395000000000001E-2</v>
      </c>
      <c r="H364" s="22">
        <v>14.961600000000001</v>
      </c>
      <c r="I364" s="22">
        <v>-1.5448E-2</v>
      </c>
      <c r="J364" s="22">
        <v>354</v>
      </c>
      <c r="K364" s="22">
        <v>1.7065400000000001E-2</v>
      </c>
      <c r="L364">
        <f t="shared" si="60"/>
        <v>15.448</v>
      </c>
      <c r="M364">
        <f t="shared" si="61"/>
        <v>0.26871796000000003</v>
      </c>
      <c r="N364" s="9"/>
      <c r="O364" s="22">
        <v>1.68259</v>
      </c>
      <c r="P364" s="22">
        <v>47.734699999999997</v>
      </c>
      <c r="Q364" s="22">
        <v>-9.1522200000000008E-3</v>
      </c>
      <c r="R364" s="22">
        <v>354</v>
      </c>
      <c r="S364" s="22">
        <v>1.6818200000000001</v>
      </c>
      <c r="T364">
        <f t="shared" si="62"/>
        <v>9.1522200000000016</v>
      </c>
      <c r="U364">
        <f t="shared" si="63"/>
        <v>15.399433849800003</v>
      </c>
      <c r="X364" s="9"/>
      <c r="Y364" s="22">
        <v>1.7395000000000001E-2</v>
      </c>
      <c r="Z364" s="22">
        <v>75.787700000000001</v>
      </c>
      <c r="AA364" s="22">
        <v>-1.5560900000000001E-2</v>
      </c>
      <c r="AB364" s="22">
        <v>354</v>
      </c>
      <c r="AC364" s="22">
        <v>1.7053200000000001E-2</v>
      </c>
      <c r="AD364">
        <f t="shared" si="64"/>
        <v>15.5609</v>
      </c>
      <c r="AE364">
        <f t="shared" si="65"/>
        <v>0.27068185550000001</v>
      </c>
      <c r="AF364" s="9"/>
      <c r="AG364" s="22">
        <v>1.68259</v>
      </c>
      <c r="AH364" s="22">
        <v>110.503</v>
      </c>
      <c r="AI364" s="22">
        <v>-8.0383299999999998E-3</v>
      </c>
      <c r="AJ364" s="22">
        <v>354</v>
      </c>
      <c r="AK364" s="22">
        <v>1.6815199999999999</v>
      </c>
      <c r="AL364">
        <f t="shared" si="66"/>
        <v>8.0383300000000002</v>
      </c>
      <c r="AM364">
        <f t="shared" si="67"/>
        <v>13.5252136747</v>
      </c>
      <c r="AP364" s="9"/>
      <c r="AQ364" s="22">
        <v>1.7395000000000001E-2</v>
      </c>
      <c r="AR364" s="22">
        <v>138.98400000000001</v>
      </c>
      <c r="AS364" s="22">
        <v>-1.55914E-2</v>
      </c>
      <c r="AT364" s="22">
        <v>354</v>
      </c>
      <c r="AU364" s="22">
        <v>1.7050200000000001E-2</v>
      </c>
      <c r="AV364">
        <f t="shared" si="68"/>
        <v>15.5914</v>
      </c>
      <c r="AW364">
        <f t="shared" si="69"/>
        <v>0.27121240299999999</v>
      </c>
      <c r="AX364" s="9"/>
      <c r="AY364" s="22">
        <v>1.68259</v>
      </c>
      <c r="AZ364" s="22">
        <v>182.83799999999999</v>
      </c>
      <c r="BA364" s="22">
        <v>-9.0118400000000001E-3</v>
      </c>
      <c r="BB364" s="22">
        <v>354</v>
      </c>
      <c r="BC364" s="22">
        <v>1.6824300000000001</v>
      </c>
      <c r="BD364">
        <f t="shared" si="70"/>
        <v>9.0118399999999994</v>
      </c>
      <c r="BE364">
        <f t="shared" si="71"/>
        <v>15.163231865599998</v>
      </c>
    </row>
    <row r="365" spans="6:57">
      <c r="F365" s="9"/>
      <c r="G365" s="22">
        <v>1.23596E-2</v>
      </c>
      <c r="H365" s="22">
        <v>14.9716</v>
      </c>
      <c r="I365" s="22">
        <v>-1.5450999999999999E-2</v>
      </c>
      <c r="J365" s="22">
        <v>355</v>
      </c>
      <c r="K365" s="22">
        <v>1.2008700000000001E-2</v>
      </c>
      <c r="L365">
        <f t="shared" si="60"/>
        <v>15.450999999999999</v>
      </c>
      <c r="M365">
        <f t="shared" si="61"/>
        <v>0.19096817959999998</v>
      </c>
      <c r="N365" s="9"/>
      <c r="O365" s="22">
        <v>1.6876199999999999</v>
      </c>
      <c r="P365" s="22">
        <v>47.744799999999998</v>
      </c>
      <c r="Q365" s="22">
        <v>-8.7799100000000001E-3</v>
      </c>
      <c r="R365" s="22">
        <v>355</v>
      </c>
      <c r="S365" s="22">
        <v>1.6863999999999999</v>
      </c>
      <c r="T365">
        <f t="shared" si="62"/>
        <v>8.779910000000001</v>
      </c>
      <c r="U365">
        <f t="shared" si="63"/>
        <v>14.817151714200001</v>
      </c>
      <c r="X365" s="9"/>
      <c r="Y365" s="22">
        <v>1.23596E-2</v>
      </c>
      <c r="Z365" s="22">
        <v>75.797799999999995</v>
      </c>
      <c r="AA365" s="22">
        <v>-1.5564E-2</v>
      </c>
      <c r="AB365" s="22">
        <v>355</v>
      </c>
      <c r="AC365" s="22">
        <v>1.2158199999999999E-2</v>
      </c>
      <c r="AD365">
        <f t="shared" si="64"/>
        <v>15.564</v>
      </c>
      <c r="AE365">
        <f t="shared" si="65"/>
        <v>0.1923648144</v>
      </c>
      <c r="AF365" s="9"/>
      <c r="AG365" s="22">
        <v>1.6876199999999999</v>
      </c>
      <c r="AH365" s="22">
        <v>110.51300000000001</v>
      </c>
      <c r="AI365" s="22">
        <v>-7.57751E-3</v>
      </c>
      <c r="AJ365" s="22">
        <v>355</v>
      </c>
      <c r="AK365" s="22">
        <v>1.6867099999999999</v>
      </c>
      <c r="AL365">
        <f t="shared" si="66"/>
        <v>7.5775100000000002</v>
      </c>
      <c r="AM365">
        <f t="shared" si="67"/>
        <v>12.7879574262</v>
      </c>
      <c r="AP365" s="9"/>
      <c r="AQ365" s="22">
        <v>1.23596E-2</v>
      </c>
      <c r="AR365" s="22">
        <v>138.994</v>
      </c>
      <c r="AS365" s="22">
        <v>-1.5594500000000001E-2</v>
      </c>
      <c r="AT365" s="22">
        <v>355</v>
      </c>
      <c r="AU365" s="22">
        <v>1.2152100000000001E-2</v>
      </c>
      <c r="AV365">
        <f t="shared" si="68"/>
        <v>15.5945</v>
      </c>
      <c r="AW365">
        <f t="shared" si="69"/>
        <v>0.19274178219999999</v>
      </c>
      <c r="AX365" s="9"/>
      <c r="AY365" s="22">
        <v>1.6876199999999999</v>
      </c>
      <c r="AZ365" s="22">
        <v>182.84800000000001</v>
      </c>
      <c r="BA365" s="22">
        <v>-8.5052500000000007E-3</v>
      </c>
      <c r="BB365" s="22">
        <v>355</v>
      </c>
      <c r="BC365" s="22">
        <v>1.6863999999999999</v>
      </c>
      <c r="BD365">
        <f t="shared" si="70"/>
        <v>8.5052500000000002</v>
      </c>
      <c r="BE365">
        <f t="shared" si="71"/>
        <v>14.353630004999999</v>
      </c>
    </row>
    <row r="366" spans="6:57">
      <c r="F366" s="9"/>
      <c r="G366" s="22">
        <v>7.3242200000000002E-3</v>
      </c>
      <c r="H366" s="22">
        <v>14.9817</v>
      </c>
      <c r="I366" s="22">
        <v>-1.54541E-2</v>
      </c>
      <c r="J366" s="22">
        <v>356</v>
      </c>
      <c r="K366" s="22">
        <v>7.0159899999999997E-3</v>
      </c>
      <c r="L366">
        <f t="shared" si="60"/>
        <v>15.4541</v>
      </c>
      <c r="M366">
        <f t="shared" si="61"/>
        <v>0.11318922830200001</v>
      </c>
      <c r="N366" s="9"/>
      <c r="O366" s="22">
        <v>1.6926600000000001</v>
      </c>
      <c r="P366" s="22">
        <v>47.754800000000003</v>
      </c>
      <c r="Q366" s="22">
        <v>-8.3831800000000005E-3</v>
      </c>
      <c r="R366" s="22">
        <v>356</v>
      </c>
      <c r="S366" s="22">
        <v>1.6918899999999999</v>
      </c>
      <c r="T366">
        <f t="shared" si="62"/>
        <v>8.3831800000000012</v>
      </c>
      <c r="U366">
        <f t="shared" si="63"/>
        <v>14.189873458800003</v>
      </c>
      <c r="X366" s="9"/>
      <c r="Y366" s="22">
        <v>7.3242200000000002E-3</v>
      </c>
      <c r="Z366" s="22">
        <v>75.8078</v>
      </c>
      <c r="AA366" s="22">
        <v>-1.5564E-2</v>
      </c>
      <c r="AB366" s="22">
        <v>356</v>
      </c>
      <c r="AC366" s="22">
        <v>6.9732700000000002E-3</v>
      </c>
      <c r="AD366">
        <f t="shared" si="64"/>
        <v>15.564</v>
      </c>
      <c r="AE366">
        <f t="shared" si="65"/>
        <v>0.11399416008</v>
      </c>
      <c r="AF366" s="9"/>
      <c r="AG366" s="22">
        <v>1.6926600000000001</v>
      </c>
      <c r="AH366" s="22">
        <v>110.523</v>
      </c>
      <c r="AI366" s="22">
        <v>-7.0739699999999997E-3</v>
      </c>
      <c r="AJ366" s="22">
        <v>356</v>
      </c>
      <c r="AK366" s="22">
        <v>1.6915899999999999</v>
      </c>
      <c r="AL366">
        <f t="shared" si="66"/>
        <v>7.0739700000000001</v>
      </c>
      <c r="AM366">
        <f t="shared" si="67"/>
        <v>11.9738260602</v>
      </c>
      <c r="AP366" s="9"/>
      <c r="AQ366" s="22">
        <v>7.3242200000000002E-3</v>
      </c>
      <c r="AR366" s="22">
        <v>139.00399999999999</v>
      </c>
      <c r="AS366" s="22">
        <v>-1.5600599999999999E-2</v>
      </c>
      <c r="AT366" s="22">
        <v>356</v>
      </c>
      <c r="AU366" s="22">
        <v>7.0037800000000002E-3</v>
      </c>
      <c r="AV366">
        <f t="shared" si="68"/>
        <v>15.6006</v>
      </c>
      <c r="AW366">
        <f t="shared" si="69"/>
        <v>0.11426222653200001</v>
      </c>
      <c r="AX366" s="9"/>
      <c r="AY366" s="22">
        <v>1.6926600000000001</v>
      </c>
      <c r="AZ366" s="22">
        <v>182.858</v>
      </c>
      <c r="BA366" s="22">
        <v>-7.9467800000000005E-3</v>
      </c>
      <c r="BB366" s="22">
        <v>356</v>
      </c>
      <c r="BC366" s="22">
        <v>1.6915899999999999</v>
      </c>
      <c r="BD366">
        <f t="shared" si="70"/>
        <v>7.9467800000000004</v>
      </c>
      <c r="BE366">
        <f t="shared" si="71"/>
        <v>13.4511966348</v>
      </c>
    </row>
    <row r="367" spans="6:57">
      <c r="F367" s="9"/>
      <c r="G367" s="22">
        <v>2.28882E-3</v>
      </c>
      <c r="H367" s="22">
        <v>14.9918</v>
      </c>
      <c r="I367" s="22">
        <v>-1.5457200000000001E-2</v>
      </c>
      <c r="J367" s="22">
        <v>357</v>
      </c>
      <c r="K367" s="22">
        <v>1.95313E-3</v>
      </c>
      <c r="L367">
        <f t="shared" si="60"/>
        <v>15.4572</v>
      </c>
      <c r="M367">
        <f t="shared" si="61"/>
        <v>3.5378748504000003E-2</v>
      </c>
      <c r="N367" s="9"/>
      <c r="O367" s="22">
        <v>1.6976899999999999</v>
      </c>
      <c r="P367" s="22">
        <v>47.764899999999997</v>
      </c>
      <c r="Q367" s="22">
        <v>-7.9528800000000007E-3</v>
      </c>
      <c r="R367" s="22">
        <v>357</v>
      </c>
      <c r="S367" s="22">
        <v>1.69678</v>
      </c>
      <c r="T367">
        <f t="shared" si="62"/>
        <v>7.9528800000000004</v>
      </c>
      <c r="U367">
        <f t="shared" si="63"/>
        <v>13.501524847200001</v>
      </c>
      <c r="X367" s="9"/>
      <c r="Y367" s="22">
        <v>2.28882E-3</v>
      </c>
      <c r="Z367" s="22">
        <v>75.817899999999995</v>
      </c>
      <c r="AA367" s="22">
        <v>-1.5566999999999999E-2</v>
      </c>
      <c r="AB367" s="22">
        <v>357</v>
      </c>
      <c r="AC367" s="22">
        <v>2.0477300000000002E-3</v>
      </c>
      <c r="AD367">
        <f t="shared" si="64"/>
        <v>15.566999999999998</v>
      </c>
      <c r="AE367">
        <f t="shared" si="65"/>
        <v>3.563006094E-2</v>
      </c>
      <c r="AF367" s="9"/>
      <c r="AG367" s="22">
        <v>1.6976899999999999</v>
      </c>
      <c r="AH367" s="22">
        <v>110.533</v>
      </c>
      <c r="AI367" s="22">
        <v>-6.5399200000000003E-3</v>
      </c>
      <c r="AJ367" s="22">
        <v>357</v>
      </c>
      <c r="AK367" s="22">
        <v>1.6964699999999999</v>
      </c>
      <c r="AL367">
        <f t="shared" si="66"/>
        <v>6.5399200000000004</v>
      </c>
      <c r="AM367">
        <f t="shared" si="67"/>
        <v>11.1027567848</v>
      </c>
      <c r="AP367" s="9"/>
      <c r="AQ367" s="22">
        <v>2.28882E-3</v>
      </c>
      <c r="AR367" s="22">
        <v>139.01400000000001</v>
      </c>
      <c r="AS367" s="22">
        <v>-1.56036E-2</v>
      </c>
      <c r="AT367" s="22">
        <v>357</v>
      </c>
      <c r="AU367" s="22">
        <v>1.9043E-3</v>
      </c>
      <c r="AV367">
        <f t="shared" si="68"/>
        <v>15.6036</v>
      </c>
      <c r="AW367">
        <f t="shared" si="69"/>
        <v>3.5713831751999998E-2</v>
      </c>
      <c r="AX367" s="9"/>
      <c r="AY367" s="22">
        <v>1.6976899999999999</v>
      </c>
      <c r="AZ367" s="22">
        <v>182.86799999999999</v>
      </c>
      <c r="BA367" s="22">
        <v>-7.3272700000000003E-3</v>
      </c>
      <c r="BB367" s="22">
        <v>357</v>
      </c>
      <c r="BC367" s="22">
        <v>1.69617</v>
      </c>
      <c r="BD367">
        <f t="shared" si="70"/>
        <v>7.3272700000000004</v>
      </c>
      <c r="BE367">
        <f t="shared" si="71"/>
        <v>12.4394330063</v>
      </c>
    </row>
    <row r="368" spans="6:57">
      <c r="F368" s="9"/>
      <c r="G368" s="22">
        <v>-2.7465800000000002E-3</v>
      </c>
      <c r="H368" s="22">
        <v>15.001899999999999</v>
      </c>
      <c r="I368" s="22">
        <v>-1.5457200000000001E-2</v>
      </c>
      <c r="J368" s="22">
        <v>358</v>
      </c>
      <c r="K368" s="22">
        <v>-3.1524700000000001E-3</v>
      </c>
      <c r="L368">
        <f t="shared" si="60"/>
        <v>15.4572</v>
      </c>
      <c r="M368">
        <f t="shared" si="61"/>
        <v>-4.2454436376000007E-2</v>
      </c>
      <c r="N368" s="9"/>
      <c r="O368" s="22">
        <v>1.7027300000000001</v>
      </c>
      <c r="P368" s="22">
        <v>47.774999999999999</v>
      </c>
      <c r="Q368" s="22">
        <v>-7.4707000000000003E-3</v>
      </c>
      <c r="R368" s="22">
        <v>358</v>
      </c>
      <c r="S368" s="22">
        <v>1.7013499999999999</v>
      </c>
      <c r="T368">
        <f t="shared" si="62"/>
        <v>7.4706999999999999</v>
      </c>
      <c r="U368">
        <f t="shared" si="63"/>
        <v>12.720585011000001</v>
      </c>
      <c r="X368" s="9"/>
      <c r="Y368" s="22">
        <v>-2.7465800000000002E-3</v>
      </c>
      <c r="Z368" s="22">
        <v>75.828000000000003</v>
      </c>
      <c r="AA368" s="22">
        <v>-1.5573099999999999E-2</v>
      </c>
      <c r="AB368" s="22">
        <v>358</v>
      </c>
      <c r="AC368" s="22">
        <v>-3.1066900000000001E-3</v>
      </c>
      <c r="AD368">
        <f t="shared" si="64"/>
        <v>15.5731</v>
      </c>
      <c r="AE368">
        <f t="shared" si="65"/>
        <v>-4.2772764998000007E-2</v>
      </c>
      <c r="AF368" s="9"/>
      <c r="AG368" s="22">
        <v>1.7027300000000001</v>
      </c>
      <c r="AH368" s="22">
        <v>110.54300000000001</v>
      </c>
      <c r="AI368" s="22">
        <v>-5.9631299999999996E-3</v>
      </c>
      <c r="AJ368" s="22">
        <v>358</v>
      </c>
      <c r="AK368" s="22">
        <v>1.70197</v>
      </c>
      <c r="AL368">
        <f t="shared" si="66"/>
        <v>5.9631299999999996</v>
      </c>
      <c r="AM368">
        <f t="shared" si="67"/>
        <v>10.153600344899999</v>
      </c>
      <c r="AP368" s="9"/>
      <c r="AQ368" s="22">
        <v>-2.7465800000000002E-3</v>
      </c>
      <c r="AR368" s="22">
        <v>139.024</v>
      </c>
      <c r="AS368" s="22">
        <v>-1.5609700000000001E-2</v>
      </c>
      <c r="AT368" s="22">
        <v>358</v>
      </c>
      <c r="AU368" s="22">
        <v>-3.0822800000000002E-3</v>
      </c>
      <c r="AV368">
        <f t="shared" si="68"/>
        <v>15.6097</v>
      </c>
      <c r="AW368">
        <f t="shared" si="69"/>
        <v>-4.2873289826000006E-2</v>
      </c>
      <c r="AX368" s="9"/>
      <c r="AY368" s="22">
        <v>1.7027300000000001</v>
      </c>
      <c r="AZ368" s="22">
        <v>182.87899999999999</v>
      </c>
      <c r="BA368" s="22">
        <v>-6.6406299999999998E-3</v>
      </c>
      <c r="BB368" s="22">
        <v>358</v>
      </c>
      <c r="BC368" s="22">
        <v>1.70166</v>
      </c>
      <c r="BD368">
        <f t="shared" si="70"/>
        <v>6.6406299999999998</v>
      </c>
      <c r="BE368">
        <f t="shared" si="71"/>
        <v>11.3071999199</v>
      </c>
    </row>
    <row r="369" spans="6:57">
      <c r="F369" s="9"/>
      <c r="G369" s="22">
        <v>-7.78198E-3</v>
      </c>
      <c r="H369" s="22">
        <v>15.011900000000001</v>
      </c>
      <c r="I369" s="22">
        <v>-1.54602E-2</v>
      </c>
      <c r="J369" s="22">
        <v>359</v>
      </c>
      <c r="K369" s="22">
        <v>-8.1573500000000007E-3</v>
      </c>
      <c r="L369">
        <f t="shared" si="60"/>
        <v>15.4602</v>
      </c>
      <c r="M369">
        <f t="shared" si="61"/>
        <v>-0.120310967196</v>
      </c>
      <c r="N369" s="9"/>
      <c r="O369" s="22">
        <v>1.7077599999999999</v>
      </c>
      <c r="P369" s="22">
        <v>47.784999999999997</v>
      </c>
      <c r="Q369" s="22">
        <v>-6.9488500000000003E-3</v>
      </c>
      <c r="R369" s="22">
        <v>359</v>
      </c>
      <c r="S369" s="22">
        <v>1.70685</v>
      </c>
      <c r="T369">
        <f t="shared" si="62"/>
        <v>6.9488500000000002</v>
      </c>
      <c r="U369">
        <f t="shared" si="63"/>
        <v>11.866968075999999</v>
      </c>
      <c r="X369" s="9"/>
      <c r="Y369" s="22">
        <v>-7.78198E-3</v>
      </c>
      <c r="Z369" s="22">
        <v>75.838099999999997</v>
      </c>
      <c r="AA369" s="22">
        <v>-1.55762E-2</v>
      </c>
      <c r="AB369" s="22">
        <v>359</v>
      </c>
      <c r="AC369" s="22">
        <v>-8.1390400000000002E-3</v>
      </c>
      <c r="AD369">
        <f t="shared" si="64"/>
        <v>15.5762</v>
      </c>
      <c r="AE369">
        <f t="shared" si="65"/>
        <v>-0.121213676876</v>
      </c>
      <c r="AF369" s="9"/>
      <c r="AG369" s="22">
        <v>1.7077599999999999</v>
      </c>
      <c r="AH369" s="22">
        <v>110.553</v>
      </c>
      <c r="AI369" s="22">
        <v>-5.3222699999999996E-3</v>
      </c>
      <c r="AJ369" s="22">
        <v>359</v>
      </c>
      <c r="AK369" s="22">
        <v>1.7071499999999999</v>
      </c>
      <c r="AL369">
        <f t="shared" si="66"/>
        <v>5.3222699999999996</v>
      </c>
      <c r="AM369">
        <f t="shared" si="67"/>
        <v>9.0891598151999986</v>
      </c>
      <c r="AP369" s="9"/>
      <c r="AQ369" s="22">
        <v>-7.78198E-3</v>
      </c>
      <c r="AR369" s="22">
        <v>139.03399999999999</v>
      </c>
      <c r="AS369" s="22">
        <v>-1.5615800000000001E-2</v>
      </c>
      <c r="AT369" s="22">
        <v>359</v>
      </c>
      <c r="AU369" s="22">
        <v>-8.2519499999999992E-3</v>
      </c>
      <c r="AV369">
        <f t="shared" si="68"/>
        <v>15.6158</v>
      </c>
      <c r="AW369">
        <f t="shared" si="69"/>
        <v>-0.12152184328399999</v>
      </c>
      <c r="AX369" s="9"/>
      <c r="AY369" s="22">
        <v>1.7077599999999999</v>
      </c>
      <c r="AZ369" s="22">
        <v>182.88900000000001</v>
      </c>
      <c r="BA369" s="22">
        <v>-5.8563199999999999E-3</v>
      </c>
      <c r="BB369" s="22">
        <v>359</v>
      </c>
      <c r="BC369" s="22">
        <v>1.7071499999999999</v>
      </c>
      <c r="BD369">
        <f t="shared" si="70"/>
        <v>5.8563200000000002</v>
      </c>
      <c r="BE369">
        <f t="shared" si="71"/>
        <v>10.0011890432</v>
      </c>
    </row>
    <row r="370" spans="6:57">
      <c r="F370" s="9"/>
      <c r="G370" s="22">
        <v>-1.28174E-2</v>
      </c>
      <c r="H370" s="22">
        <v>15.022</v>
      </c>
      <c r="I370" s="22">
        <v>-1.5463299999999999E-2</v>
      </c>
      <c r="J370" s="22">
        <v>360</v>
      </c>
      <c r="K370" s="22">
        <v>-1.32202E-2</v>
      </c>
      <c r="L370">
        <f t="shared" si="60"/>
        <v>15.463299999999998</v>
      </c>
      <c r="M370">
        <f t="shared" si="61"/>
        <v>-0.19819930141999997</v>
      </c>
      <c r="N370" s="9"/>
      <c r="O370" s="22">
        <v>1.7128000000000001</v>
      </c>
      <c r="P370" s="22">
        <v>47.795099999999998</v>
      </c>
      <c r="Q370" s="22">
        <v>-6.3812299999999999E-3</v>
      </c>
      <c r="R370" s="22">
        <v>360</v>
      </c>
      <c r="S370" s="22">
        <v>1.71204</v>
      </c>
      <c r="T370">
        <f t="shared" si="62"/>
        <v>6.3812299999999995</v>
      </c>
      <c r="U370">
        <f t="shared" si="63"/>
        <v>10.929770743999999</v>
      </c>
      <c r="X370" s="9"/>
      <c r="Y370" s="22">
        <v>-1.28174E-2</v>
      </c>
      <c r="Z370" s="22">
        <v>75.848100000000002</v>
      </c>
      <c r="AA370" s="22">
        <v>-1.55823E-2</v>
      </c>
      <c r="AB370" s="22">
        <v>360</v>
      </c>
      <c r="AC370" s="22">
        <v>-1.32996E-2</v>
      </c>
      <c r="AD370">
        <f t="shared" si="64"/>
        <v>15.5823</v>
      </c>
      <c r="AE370">
        <f t="shared" si="65"/>
        <v>-0.19972457201999999</v>
      </c>
      <c r="AF370" s="9"/>
      <c r="AG370" s="22">
        <v>1.7128000000000001</v>
      </c>
      <c r="AH370" s="22">
        <v>110.563</v>
      </c>
      <c r="AI370" s="22">
        <v>-4.6283000000000001E-3</v>
      </c>
      <c r="AJ370" s="22">
        <v>360</v>
      </c>
      <c r="AK370" s="22">
        <v>1.71204</v>
      </c>
      <c r="AL370">
        <f t="shared" si="66"/>
        <v>4.6283000000000003</v>
      </c>
      <c r="AM370">
        <f t="shared" si="67"/>
        <v>7.9273522400000012</v>
      </c>
      <c r="AP370" s="9"/>
      <c r="AQ370" s="22">
        <v>-1.28174E-2</v>
      </c>
      <c r="AR370" s="22">
        <v>139.04400000000001</v>
      </c>
      <c r="AS370" s="22">
        <v>-1.56189E-2</v>
      </c>
      <c r="AT370" s="22">
        <v>360</v>
      </c>
      <c r="AU370" s="22">
        <v>-1.32721E-2</v>
      </c>
      <c r="AV370">
        <f t="shared" si="68"/>
        <v>15.6189</v>
      </c>
      <c r="AW370">
        <f t="shared" si="69"/>
        <v>-0.20019368886</v>
      </c>
      <c r="AX370" s="9"/>
      <c r="AY370" s="22">
        <v>1.7128000000000001</v>
      </c>
      <c r="AZ370" s="22">
        <v>182.899</v>
      </c>
      <c r="BA370" s="22">
        <v>-4.9865700000000001E-3</v>
      </c>
      <c r="BB370" s="22">
        <v>360</v>
      </c>
      <c r="BC370" s="22">
        <v>1.71173</v>
      </c>
      <c r="BD370">
        <f t="shared" si="70"/>
        <v>4.9865700000000004</v>
      </c>
      <c r="BE370">
        <f t="shared" si="71"/>
        <v>8.5409970960000017</v>
      </c>
    </row>
    <row r="371" spans="6:57">
      <c r="F371" s="9"/>
      <c r="G371" s="22">
        <v>-1.7852799999999999E-2</v>
      </c>
      <c r="H371" s="22">
        <v>15.0321</v>
      </c>
      <c r="I371" s="22">
        <v>-1.5466300000000001E-2</v>
      </c>
      <c r="J371" s="22">
        <v>361</v>
      </c>
      <c r="K371" s="22">
        <v>-1.8225100000000001E-2</v>
      </c>
      <c r="L371">
        <f t="shared" si="60"/>
        <v>15.4663</v>
      </c>
      <c r="M371">
        <f t="shared" si="61"/>
        <v>-0.27611676063999996</v>
      </c>
      <c r="N371" s="9"/>
      <c r="O371" s="22">
        <v>1.71783</v>
      </c>
      <c r="P371" s="22">
        <v>47.805199999999999</v>
      </c>
      <c r="Q371" s="22">
        <v>-5.7678199999999999E-3</v>
      </c>
      <c r="R371" s="22">
        <v>361</v>
      </c>
      <c r="S371" s="22">
        <v>1.71692</v>
      </c>
      <c r="T371">
        <f t="shared" si="62"/>
        <v>5.7678199999999995</v>
      </c>
      <c r="U371">
        <f t="shared" si="63"/>
        <v>9.9081342305999982</v>
      </c>
      <c r="X371" s="9"/>
      <c r="Y371" s="22">
        <v>-1.7852799999999999E-2</v>
      </c>
      <c r="Z371" s="22">
        <v>75.858199999999997</v>
      </c>
      <c r="AA371" s="22">
        <v>-1.5588400000000001E-2</v>
      </c>
      <c r="AB371" s="22">
        <v>361</v>
      </c>
      <c r="AC371" s="22">
        <v>-1.8246499999999999E-2</v>
      </c>
      <c r="AD371">
        <f t="shared" si="64"/>
        <v>15.5884</v>
      </c>
      <c r="AE371">
        <f t="shared" si="65"/>
        <v>-0.27829658751999997</v>
      </c>
      <c r="AF371" s="9"/>
      <c r="AG371" s="22">
        <v>1.71783</v>
      </c>
      <c r="AH371" s="22">
        <v>110.57299999999999</v>
      </c>
      <c r="AI371" s="22">
        <v>-3.8632200000000001E-3</v>
      </c>
      <c r="AJ371" s="22">
        <v>361</v>
      </c>
      <c r="AK371" s="22">
        <v>1.71661</v>
      </c>
      <c r="AL371">
        <f t="shared" si="66"/>
        <v>3.8632200000000001</v>
      </c>
      <c r="AM371">
        <f t="shared" si="67"/>
        <v>6.6363552125999998</v>
      </c>
      <c r="AP371" s="9"/>
      <c r="AQ371" s="22">
        <v>-1.7852799999999999E-2</v>
      </c>
      <c r="AR371" s="22">
        <v>139.054</v>
      </c>
      <c r="AS371" s="22">
        <v>-1.5621899999999999E-2</v>
      </c>
      <c r="AT371" s="22">
        <v>361</v>
      </c>
      <c r="AU371" s="22">
        <v>-1.8142700000000001E-2</v>
      </c>
      <c r="AV371">
        <f t="shared" si="68"/>
        <v>15.6219</v>
      </c>
      <c r="AW371">
        <f t="shared" si="69"/>
        <v>-0.27889465631999999</v>
      </c>
      <c r="AX371" s="9"/>
      <c r="AY371" s="22">
        <v>1.71783</v>
      </c>
      <c r="AZ371" s="22">
        <v>182.90899999999999</v>
      </c>
      <c r="BA371" s="22">
        <v>-3.9941400000000002E-3</v>
      </c>
      <c r="BB371" s="22">
        <v>361</v>
      </c>
      <c r="BC371" s="22">
        <v>1.71631</v>
      </c>
      <c r="BD371">
        <f t="shared" si="70"/>
        <v>3.9941400000000002</v>
      </c>
      <c r="BE371">
        <f t="shared" si="71"/>
        <v>6.8612535162000006</v>
      </c>
    </row>
    <row r="372" spans="6:57">
      <c r="F372" s="9"/>
      <c r="G372" s="22">
        <v>-2.2888200000000001E-2</v>
      </c>
      <c r="H372" s="22">
        <v>15.0421</v>
      </c>
      <c r="I372" s="22">
        <v>-1.5469399999999999E-2</v>
      </c>
      <c r="J372" s="22">
        <v>362</v>
      </c>
      <c r="K372" s="22">
        <v>-2.3080400000000001E-2</v>
      </c>
      <c r="L372">
        <f t="shared" si="60"/>
        <v>15.4694</v>
      </c>
      <c r="M372">
        <f t="shared" si="61"/>
        <v>-0.35406672108000004</v>
      </c>
      <c r="N372" s="9"/>
      <c r="O372" s="22">
        <v>1.7228699999999999</v>
      </c>
      <c r="P372" s="22">
        <v>47.815300000000001</v>
      </c>
      <c r="Q372" s="22">
        <v>-5.0903299999999997E-3</v>
      </c>
      <c r="R372" s="22">
        <v>362</v>
      </c>
      <c r="S372" s="22">
        <v>1.7215</v>
      </c>
      <c r="T372">
        <f t="shared" si="62"/>
        <v>5.0903299999999998</v>
      </c>
      <c r="U372">
        <f t="shared" si="63"/>
        <v>8.7699768470999988</v>
      </c>
      <c r="X372" s="9"/>
      <c r="Y372" s="22">
        <v>-2.2888200000000001E-2</v>
      </c>
      <c r="Z372" s="22">
        <v>75.868300000000005</v>
      </c>
      <c r="AA372" s="22">
        <v>-1.55975E-2</v>
      </c>
      <c r="AB372" s="22">
        <v>362</v>
      </c>
      <c r="AC372" s="22">
        <v>-2.3281900000000001E-2</v>
      </c>
      <c r="AD372">
        <f t="shared" si="64"/>
        <v>15.5975</v>
      </c>
      <c r="AE372">
        <f t="shared" si="65"/>
        <v>-0.35699869950000002</v>
      </c>
      <c r="AF372" s="9"/>
      <c r="AG372" s="22">
        <v>1.7228699999999999</v>
      </c>
      <c r="AH372" s="22">
        <v>110.583</v>
      </c>
      <c r="AI372" s="22">
        <v>-2.9986600000000002E-3</v>
      </c>
      <c r="AJ372" s="22">
        <v>362</v>
      </c>
      <c r="AK372" s="22">
        <v>1.7218</v>
      </c>
      <c r="AL372">
        <f t="shared" si="66"/>
        <v>2.9986600000000001</v>
      </c>
      <c r="AM372">
        <f t="shared" si="67"/>
        <v>5.1663013541999998</v>
      </c>
      <c r="AP372" s="9"/>
      <c r="AQ372" s="22">
        <v>-2.2888200000000001E-2</v>
      </c>
      <c r="AR372" s="22">
        <v>139.06399999999999</v>
      </c>
      <c r="AS372" s="22">
        <v>-1.5628099999999999E-2</v>
      </c>
      <c r="AT372" s="22">
        <v>362</v>
      </c>
      <c r="AU372" s="22">
        <v>-2.3364300000000001E-2</v>
      </c>
      <c r="AV372">
        <f t="shared" si="68"/>
        <v>15.628099999999998</v>
      </c>
      <c r="AW372">
        <f t="shared" si="69"/>
        <v>-0.35769907841999998</v>
      </c>
      <c r="AX372" s="9"/>
      <c r="AY372" s="22">
        <v>1.7228699999999999</v>
      </c>
      <c r="AZ372" s="22">
        <v>182.91900000000001</v>
      </c>
      <c r="BA372" s="22">
        <v>-2.8900100000000001E-3</v>
      </c>
      <c r="BB372" s="22">
        <v>362</v>
      </c>
      <c r="BC372" s="22">
        <v>1.72211</v>
      </c>
      <c r="BD372">
        <f t="shared" si="70"/>
        <v>2.8900100000000002</v>
      </c>
      <c r="BE372">
        <f t="shared" si="71"/>
        <v>4.9791115286999998</v>
      </c>
    </row>
    <row r="373" spans="6:57">
      <c r="F373" s="9"/>
      <c r="G373" s="22">
        <v>-2.79236E-2</v>
      </c>
      <c r="H373" s="22">
        <v>15.052199999999999</v>
      </c>
      <c r="I373" s="22">
        <v>-1.5472400000000001E-2</v>
      </c>
      <c r="J373" s="22">
        <v>363</v>
      </c>
      <c r="K373" s="22">
        <v>-2.8329500000000001E-2</v>
      </c>
      <c r="L373">
        <f t="shared" si="60"/>
        <v>15.4724</v>
      </c>
      <c r="M373">
        <f t="shared" si="61"/>
        <v>-0.43204510864000001</v>
      </c>
      <c r="N373" s="9"/>
      <c r="O373" s="22">
        <v>1.7279100000000001</v>
      </c>
      <c r="P373" s="22">
        <v>47.825299999999999</v>
      </c>
      <c r="Q373" s="22">
        <v>-4.3627900000000001E-3</v>
      </c>
      <c r="R373" s="22">
        <v>363</v>
      </c>
      <c r="S373" s="22">
        <v>1.72668</v>
      </c>
      <c r="T373">
        <f t="shared" si="62"/>
        <v>4.3627900000000004</v>
      </c>
      <c r="U373">
        <f t="shared" si="63"/>
        <v>7.5385084689000008</v>
      </c>
      <c r="X373" s="9"/>
      <c r="Y373" s="22">
        <v>-2.79236E-2</v>
      </c>
      <c r="Z373" s="22">
        <v>75.878299999999996</v>
      </c>
      <c r="AA373" s="22">
        <v>-1.5600599999999999E-2</v>
      </c>
      <c r="AB373" s="22">
        <v>363</v>
      </c>
      <c r="AC373" s="22">
        <v>-2.8366100000000002E-2</v>
      </c>
      <c r="AD373">
        <f t="shared" si="64"/>
        <v>15.6006</v>
      </c>
      <c r="AE373">
        <f t="shared" si="65"/>
        <v>-0.43562491415999999</v>
      </c>
      <c r="AF373" s="9"/>
      <c r="AG373" s="22">
        <v>1.7279100000000001</v>
      </c>
      <c r="AH373" s="22">
        <v>110.59399999999999</v>
      </c>
      <c r="AI373" s="22">
        <v>-2.0492599999999998E-3</v>
      </c>
      <c r="AJ373" s="22">
        <v>363</v>
      </c>
      <c r="AK373" s="22">
        <v>1.72638</v>
      </c>
      <c r="AL373">
        <f t="shared" si="66"/>
        <v>2.0492599999999999</v>
      </c>
      <c r="AM373">
        <f t="shared" si="67"/>
        <v>3.5409368465999997</v>
      </c>
      <c r="AP373" s="9"/>
      <c r="AQ373" s="22">
        <v>-2.79236E-2</v>
      </c>
      <c r="AR373" s="22">
        <v>139.07499999999999</v>
      </c>
      <c r="AS373" s="22">
        <v>-1.5625E-2</v>
      </c>
      <c r="AT373" s="22">
        <v>363</v>
      </c>
      <c r="AU373" s="22">
        <v>-2.836E-2</v>
      </c>
      <c r="AV373">
        <f t="shared" si="68"/>
        <v>15.625</v>
      </c>
      <c r="AW373">
        <f t="shared" si="69"/>
        <v>-0.43630625000000001</v>
      </c>
      <c r="AX373" s="9"/>
      <c r="AY373" s="22">
        <v>1.7279100000000001</v>
      </c>
      <c r="AZ373" s="22">
        <v>182.929</v>
      </c>
      <c r="BA373" s="22">
        <v>-1.62323E-3</v>
      </c>
      <c r="BB373" s="22">
        <v>363</v>
      </c>
      <c r="BC373" s="22">
        <v>1.72699</v>
      </c>
      <c r="BD373">
        <f t="shared" si="70"/>
        <v>1.62323</v>
      </c>
      <c r="BE373">
        <f t="shared" si="71"/>
        <v>2.8047953493</v>
      </c>
    </row>
    <row r="374" spans="6:57">
      <c r="F374" s="9"/>
      <c r="G374" s="22">
        <v>-3.2959000000000002E-2</v>
      </c>
      <c r="H374" s="22">
        <v>15.0623</v>
      </c>
      <c r="I374" s="22">
        <v>-1.54755E-2</v>
      </c>
      <c r="J374" s="22">
        <v>364</v>
      </c>
      <c r="K374" s="22">
        <v>-3.3343499999999998E-2</v>
      </c>
      <c r="L374">
        <f t="shared" si="60"/>
        <v>15.4755</v>
      </c>
      <c r="M374">
        <f t="shared" si="61"/>
        <v>-0.51005700450000002</v>
      </c>
      <c r="N374" s="9"/>
      <c r="O374" s="22">
        <v>1.7329399999999999</v>
      </c>
      <c r="P374" s="22">
        <v>47.8354</v>
      </c>
      <c r="Q374" s="22">
        <v>-3.5339400000000002E-3</v>
      </c>
      <c r="R374" s="22">
        <v>364</v>
      </c>
      <c r="S374" s="22">
        <v>1.7321800000000001</v>
      </c>
      <c r="T374">
        <f t="shared" si="62"/>
        <v>3.5339400000000003</v>
      </c>
      <c r="U374">
        <f t="shared" si="63"/>
        <v>6.1241059836000007</v>
      </c>
      <c r="X374" s="9"/>
      <c r="Y374" s="22">
        <v>-3.2959000000000002E-2</v>
      </c>
      <c r="Z374" s="22">
        <v>75.888400000000004</v>
      </c>
      <c r="AA374" s="22">
        <v>-1.56036E-2</v>
      </c>
      <c r="AB374" s="22">
        <v>364</v>
      </c>
      <c r="AC374" s="22">
        <v>-3.3422899999999998E-2</v>
      </c>
      <c r="AD374">
        <f t="shared" si="64"/>
        <v>15.6036</v>
      </c>
      <c r="AE374">
        <f t="shared" si="65"/>
        <v>-0.51427905240000005</v>
      </c>
      <c r="AF374" s="9"/>
      <c r="AG374" s="22">
        <v>1.7329399999999999</v>
      </c>
      <c r="AH374" s="22">
        <v>110.604</v>
      </c>
      <c r="AI374" s="22">
        <v>-9.7076400000000005E-4</v>
      </c>
      <c r="AJ374" s="22">
        <v>364</v>
      </c>
      <c r="AK374" s="22">
        <v>1.73187</v>
      </c>
      <c r="AL374">
        <f t="shared" si="66"/>
        <v>0.97076400000000007</v>
      </c>
      <c r="AM374">
        <f t="shared" si="67"/>
        <v>1.6822757661600001</v>
      </c>
      <c r="AP374" s="9"/>
      <c r="AQ374" s="22">
        <v>-3.2959000000000002E-2</v>
      </c>
      <c r="AR374" s="22">
        <v>139.08500000000001</v>
      </c>
      <c r="AS374" s="22">
        <v>-1.5631099999999998E-2</v>
      </c>
      <c r="AT374" s="22">
        <v>364</v>
      </c>
      <c r="AU374" s="22">
        <v>-3.3285500000000003E-2</v>
      </c>
      <c r="AV374">
        <f t="shared" si="68"/>
        <v>15.631099999999998</v>
      </c>
      <c r="AW374">
        <f t="shared" si="69"/>
        <v>-0.51518542489999997</v>
      </c>
      <c r="AX374" s="9"/>
      <c r="AY374" s="22">
        <v>1.7329399999999999</v>
      </c>
      <c r="AZ374" s="22">
        <v>182.93899999999999</v>
      </c>
      <c r="BA374" s="22">
        <v>-1.5029900000000001E-4</v>
      </c>
      <c r="BB374" s="22">
        <v>364</v>
      </c>
      <c r="BC374" s="22">
        <v>1.7321800000000001</v>
      </c>
      <c r="BD374">
        <f t="shared" si="70"/>
        <v>0.15029900000000002</v>
      </c>
      <c r="BE374">
        <f t="shared" si="71"/>
        <v>0.26045914906000001</v>
      </c>
    </row>
    <row r="375" spans="6:57">
      <c r="F375" s="9"/>
      <c r="G375" s="22">
        <v>-3.7994399999999998E-2</v>
      </c>
      <c r="H375" s="22">
        <v>15.0724</v>
      </c>
      <c r="I375" s="22">
        <v>-1.5478499999999999E-2</v>
      </c>
      <c r="J375" s="22">
        <v>365</v>
      </c>
      <c r="K375" s="22">
        <v>-3.8452100000000003E-2</v>
      </c>
      <c r="L375">
        <f t="shared" si="60"/>
        <v>15.478499999999999</v>
      </c>
      <c r="M375">
        <f t="shared" si="61"/>
        <v>-0.58809632039999993</v>
      </c>
      <c r="N375" s="9"/>
      <c r="O375" s="22">
        <v>1.7379800000000001</v>
      </c>
      <c r="P375" s="22">
        <v>47.845500000000001</v>
      </c>
      <c r="Q375" s="22">
        <v>-2.6538099999999999E-3</v>
      </c>
      <c r="R375" s="22">
        <v>365</v>
      </c>
      <c r="S375" s="22">
        <v>1.73706</v>
      </c>
      <c r="T375">
        <f t="shared" si="62"/>
        <v>2.65381</v>
      </c>
      <c r="U375">
        <f t="shared" si="63"/>
        <v>4.6122687037999999</v>
      </c>
      <c r="X375" s="9"/>
      <c r="Y375" s="22">
        <v>-3.7994399999999998E-2</v>
      </c>
      <c r="Z375" s="22">
        <v>75.898499999999999</v>
      </c>
      <c r="AA375" s="22">
        <v>-1.5606699999999999E-2</v>
      </c>
      <c r="AB375" s="22">
        <v>365</v>
      </c>
      <c r="AC375" s="22">
        <v>-3.8555899999999997E-2</v>
      </c>
      <c r="AD375">
        <f t="shared" si="64"/>
        <v>15.6067</v>
      </c>
      <c r="AE375">
        <f t="shared" si="65"/>
        <v>-0.59296720248000001</v>
      </c>
      <c r="AF375" s="9"/>
      <c r="AG375" s="22">
        <v>1.7379800000000001</v>
      </c>
      <c r="AH375" s="22">
        <v>110.614</v>
      </c>
      <c r="AI375" s="22">
        <v>2.5198400000000002E-4</v>
      </c>
      <c r="AJ375" s="22">
        <v>365</v>
      </c>
      <c r="AK375" s="22">
        <v>1.7367600000000001</v>
      </c>
      <c r="AL375">
        <f t="shared" si="66"/>
        <v>-0.25198400000000004</v>
      </c>
      <c r="AM375">
        <f t="shared" si="67"/>
        <v>-0.43794315232000008</v>
      </c>
      <c r="AP375" s="9"/>
      <c r="AQ375" s="22">
        <v>-3.7994399999999998E-2</v>
      </c>
      <c r="AR375" s="22">
        <v>139.095</v>
      </c>
      <c r="AS375" s="22">
        <v>-1.5634200000000001E-2</v>
      </c>
      <c r="AT375" s="22">
        <v>365</v>
      </c>
      <c r="AU375" s="22">
        <v>-3.84216E-2</v>
      </c>
      <c r="AV375">
        <f t="shared" si="68"/>
        <v>15.634200000000002</v>
      </c>
      <c r="AW375">
        <f t="shared" si="69"/>
        <v>-0.59401204848</v>
      </c>
      <c r="AX375" s="9"/>
      <c r="AY375" s="22">
        <v>1.7379800000000001</v>
      </c>
      <c r="AZ375" s="22">
        <v>182.94900000000001</v>
      </c>
      <c r="BA375" s="22">
        <v>1.57715E-3</v>
      </c>
      <c r="BB375" s="22">
        <v>365</v>
      </c>
      <c r="BC375" s="22">
        <v>1.7373700000000001</v>
      </c>
      <c r="BD375">
        <f t="shared" si="70"/>
        <v>-1.5771500000000001</v>
      </c>
      <c r="BE375">
        <f t="shared" si="71"/>
        <v>-2.7410551570000004</v>
      </c>
    </row>
    <row r="376" spans="6:57">
      <c r="F376" s="9"/>
      <c r="G376" s="22">
        <v>-4.30298E-2</v>
      </c>
      <c r="H376" s="22">
        <v>15.0824</v>
      </c>
      <c r="I376" s="22">
        <v>-1.5484599999999999E-2</v>
      </c>
      <c r="J376" s="22">
        <v>366</v>
      </c>
      <c r="K376" s="22">
        <v>-4.3472299999999998E-2</v>
      </c>
      <c r="L376">
        <f t="shared" si="60"/>
        <v>15.484599999999999</v>
      </c>
      <c r="M376">
        <f t="shared" si="61"/>
        <v>-0.66629924107999994</v>
      </c>
      <c r="N376" s="9"/>
      <c r="O376" s="22">
        <v>1.7430099999999999</v>
      </c>
      <c r="P376" s="22">
        <v>47.855499999999999</v>
      </c>
      <c r="Q376" s="22">
        <v>-1.6503900000000001E-3</v>
      </c>
      <c r="R376" s="22">
        <v>366</v>
      </c>
      <c r="S376" s="22">
        <v>1.7416400000000001</v>
      </c>
      <c r="T376">
        <f t="shared" si="62"/>
        <v>1.65039</v>
      </c>
      <c r="U376">
        <f t="shared" si="63"/>
        <v>2.8766462739000001</v>
      </c>
      <c r="X376" s="9"/>
      <c r="Y376" s="22">
        <v>-4.30298E-2</v>
      </c>
      <c r="Z376" s="22">
        <v>75.908600000000007</v>
      </c>
      <c r="AA376" s="22">
        <v>-1.56128E-2</v>
      </c>
      <c r="AB376" s="22">
        <v>366</v>
      </c>
      <c r="AC376" s="22">
        <v>-4.3597400000000001E-2</v>
      </c>
      <c r="AD376">
        <f t="shared" si="64"/>
        <v>15.6128</v>
      </c>
      <c r="AE376">
        <f t="shared" si="65"/>
        <v>-0.67181566144000004</v>
      </c>
      <c r="AF376" s="9"/>
      <c r="AG376" s="22">
        <v>1.7430099999999999</v>
      </c>
      <c r="AH376" s="22">
        <v>110.624</v>
      </c>
      <c r="AI376" s="22">
        <v>1.6622900000000001E-3</v>
      </c>
      <c r="AJ376" s="22">
        <v>366</v>
      </c>
      <c r="AK376" s="22">
        <v>1.74194</v>
      </c>
      <c r="AL376">
        <f t="shared" si="66"/>
        <v>-1.66229</v>
      </c>
      <c r="AM376">
        <f t="shared" si="67"/>
        <v>-2.8973880929</v>
      </c>
      <c r="AP376" s="9"/>
      <c r="AQ376" s="22">
        <v>-4.30298E-2</v>
      </c>
      <c r="AR376" s="22">
        <v>139.10499999999999</v>
      </c>
      <c r="AS376" s="22">
        <v>-1.56372E-2</v>
      </c>
      <c r="AT376" s="22">
        <v>366</v>
      </c>
      <c r="AU376" s="22">
        <v>-4.3496699999999999E-2</v>
      </c>
      <c r="AV376">
        <f t="shared" si="68"/>
        <v>15.6372</v>
      </c>
      <c r="AW376">
        <f t="shared" si="69"/>
        <v>-0.67286558856000001</v>
      </c>
      <c r="AX376" s="9"/>
      <c r="AY376" s="22">
        <v>1.7430099999999999</v>
      </c>
      <c r="AZ376" s="22">
        <v>182.959</v>
      </c>
      <c r="BA376" s="22">
        <v>3.5830699999999998E-3</v>
      </c>
      <c r="BB376" s="22">
        <v>366</v>
      </c>
      <c r="BC376" s="22">
        <v>1.7422500000000001</v>
      </c>
      <c r="BD376">
        <f t="shared" si="70"/>
        <v>-3.5830699999999998</v>
      </c>
      <c r="BE376">
        <f t="shared" si="71"/>
        <v>-6.2453268406999998</v>
      </c>
    </row>
    <row r="377" spans="6:57">
      <c r="F377" s="9"/>
      <c r="G377" s="22">
        <v>-4.8065200000000002E-2</v>
      </c>
      <c r="H377" s="22">
        <v>15.092499999999999</v>
      </c>
      <c r="I377" s="22">
        <v>-1.54907E-2</v>
      </c>
      <c r="J377" s="22">
        <v>367</v>
      </c>
      <c r="K377" s="22">
        <v>-4.8669400000000002E-2</v>
      </c>
      <c r="L377">
        <f t="shared" si="60"/>
        <v>15.4907</v>
      </c>
      <c r="M377">
        <f t="shared" si="61"/>
        <v>-0.74456359364000002</v>
      </c>
      <c r="N377" s="9"/>
      <c r="O377" s="22">
        <v>1.7480500000000001</v>
      </c>
      <c r="P377" s="22">
        <v>47.865600000000001</v>
      </c>
      <c r="Q377" s="22">
        <v>-4.9102800000000002E-4</v>
      </c>
      <c r="R377" s="22">
        <v>367</v>
      </c>
      <c r="S377" s="22">
        <v>1.7474400000000001</v>
      </c>
      <c r="T377">
        <f t="shared" si="62"/>
        <v>0.49102800000000002</v>
      </c>
      <c r="U377">
        <f t="shared" si="63"/>
        <v>0.85834149540000004</v>
      </c>
      <c r="X377" s="9"/>
      <c r="Y377" s="22">
        <v>-4.8065200000000002E-2</v>
      </c>
      <c r="Z377" s="22">
        <v>75.918599999999998</v>
      </c>
      <c r="AA377" s="22">
        <v>-1.5615800000000001E-2</v>
      </c>
      <c r="AB377" s="22">
        <v>367</v>
      </c>
      <c r="AC377" s="22">
        <v>-4.8519899999999998E-2</v>
      </c>
      <c r="AD377">
        <f t="shared" si="64"/>
        <v>15.6158</v>
      </c>
      <c r="AE377">
        <f t="shared" si="65"/>
        <v>-0.75057655016000002</v>
      </c>
      <c r="AF377" s="9"/>
      <c r="AG377" s="22">
        <v>1.7480500000000001</v>
      </c>
      <c r="AH377" s="22">
        <v>110.634</v>
      </c>
      <c r="AI377" s="22">
        <v>3.3190899999999998E-3</v>
      </c>
      <c r="AJ377" s="22">
        <v>367</v>
      </c>
      <c r="AK377" s="22">
        <v>1.7465200000000001</v>
      </c>
      <c r="AL377">
        <f t="shared" si="66"/>
        <v>-3.3190899999999997</v>
      </c>
      <c r="AM377">
        <f t="shared" si="67"/>
        <v>-5.8019352744999999</v>
      </c>
      <c r="AP377" s="9"/>
      <c r="AQ377" s="22">
        <v>-4.8065200000000002E-2</v>
      </c>
      <c r="AR377" s="22">
        <v>139.11500000000001</v>
      </c>
      <c r="AS377" s="22">
        <v>-1.5643299999999999E-2</v>
      </c>
      <c r="AT377" s="22">
        <v>367</v>
      </c>
      <c r="AU377" s="22">
        <v>-4.8611500000000002E-2</v>
      </c>
      <c r="AV377">
        <f t="shared" si="68"/>
        <v>15.643299999999998</v>
      </c>
      <c r="AW377">
        <f t="shared" si="69"/>
        <v>-0.75189834315999993</v>
      </c>
      <c r="AX377" s="9"/>
      <c r="AY377" s="22">
        <v>1.7480500000000001</v>
      </c>
      <c r="AZ377" s="22">
        <v>182.96899999999999</v>
      </c>
      <c r="BA377" s="22">
        <v>5.9661899999999997E-3</v>
      </c>
      <c r="BB377" s="22">
        <v>367</v>
      </c>
      <c r="BC377" s="22">
        <v>1.7474400000000001</v>
      </c>
      <c r="BD377">
        <f t="shared" si="70"/>
        <v>-5.9661900000000001</v>
      </c>
      <c r="BE377">
        <f t="shared" si="71"/>
        <v>-10.429198429500001</v>
      </c>
    </row>
    <row r="378" spans="6:57">
      <c r="F378" s="9"/>
      <c r="G378" s="22">
        <v>-5.3100599999999998E-2</v>
      </c>
      <c r="H378" s="22">
        <v>15.102600000000001</v>
      </c>
      <c r="I378" s="22">
        <v>-1.54999E-2</v>
      </c>
      <c r="J378" s="22">
        <v>368</v>
      </c>
      <c r="K378" s="22">
        <v>-5.3710899999999999E-2</v>
      </c>
      <c r="L378">
        <f t="shared" si="60"/>
        <v>15.4999</v>
      </c>
      <c r="M378">
        <f t="shared" si="61"/>
        <v>-0.82305398994000001</v>
      </c>
      <c r="N378" s="9"/>
      <c r="O378" s="22">
        <v>1.75308</v>
      </c>
      <c r="P378" s="22">
        <v>47.875700000000002</v>
      </c>
      <c r="Q378" s="22">
        <v>8.2428000000000004E-4</v>
      </c>
      <c r="R378" s="22">
        <v>368</v>
      </c>
      <c r="S378" s="22">
        <v>1.7526200000000001</v>
      </c>
      <c r="T378">
        <f t="shared" si="62"/>
        <v>-0.82428000000000001</v>
      </c>
      <c r="U378">
        <f t="shared" si="63"/>
        <v>-1.4450287824000001</v>
      </c>
      <c r="X378" s="9"/>
      <c r="Y378" s="22">
        <v>-5.3100599999999998E-2</v>
      </c>
      <c r="Z378" s="22">
        <v>75.928700000000006</v>
      </c>
      <c r="AA378" s="22">
        <v>-1.56189E-2</v>
      </c>
      <c r="AB378" s="22">
        <v>368</v>
      </c>
      <c r="AC378" s="22">
        <v>-5.3680400000000003E-2</v>
      </c>
      <c r="AD378">
        <f t="shared" si="64"/>
        <v>15.6189</v>
      </c>
      <c r="AE378">
        <f t="shared" si="65"/>
        <v>-0.82937296133999994</v>
      </c>
      <c r="AF378" s="9"/>
      <c r="AG378" s="22">
        <v>1.75308</v>
      </c>
      <c r="AH378" s="22">
        <v>110.64400000000001</v>
      </c>
      <c r="AI378" s="22">
        <v>5.2368199999999997E-3</v>
      </c>
      <c r="AJ378" s="22">
        <v>368</v>
      </c>
      <c r="AK378" s="22">
        <v>1.7520100000000001</v>
      </c>
      <c r="AL378">
        <f t="shared" si="66"/>
        <v>-5.2368199999999998</v>
      </c>
      <c r="AM378">
        <f t="shared" si="67"/>
        <v>-9.1805644056000002</v>
      </c>
      <c r="AP378" s="9"/>
      <c r="AQ378" s="22">
        <v>-5.3100599999999998E-2</v>
      </c>
      <c r="AR378" s="22">
        <v>139.125</v>
      </c>
      <c r="AS378" s="22">
        <v>-1.5646400000000001E-2</v>
      </c>
      <c r="AT378" s="22">
        <v>368</v>
      </c>
      <c r="AU378" s="22">
        <v>-5.3772E-2</v>
      </c>
      <c r="AV378">
        <f t="shared" si="68"/>
        <v>15.646400000000002</v>
      </c>
      <c r="AW378">
        <f t="shared" si="69"/>
        <v>-0.83083322784000002</v>
      </c>
      <c r="AX378" s="9"/>
      <c r="AY378" s="22">
        <v>1.75308</v>
      </c>
      <c r="AZ378" s="22">
        <v>182.97900000000001</v>
      </c>
      <c r="BA378" s="22">
        <v>8.6883499999999992E-3</v>
      </c>
      <c r="BB378" s="22">
        <v>368</v>
      </c>
      <c r="BC378" s="22">
        <v>1.7523200000000001</v>
      </c>
      <c r="BD378">
        <f t="shared" si="70"/>
        <v>-8.6883499999999998</v>
      </c>
      <c r="BE378">
        <f t="shared" si="71"/>
        <v>-15.231372618</v>
      </c>
    </row>
    <row r="379" spans="6:57">
      <c r="F379" s="9"/>
      <c r="G379" s="22">
        <v>-5.8136E-2</v>
      </c>
      <c r="H379" s="22">
        <v>15.1126</v>
      </c>
      <c r="I379" s="22">
        <v>-1.5506000000000001E-2</v>
      </c>
      <c r="J379" s="22">
        <v>369</v>
      </c>
      <c r="K379" s="22">
        <v>-5.89294E-2</v>
      </c>
      <c r="L379">
        <f t="shared" si="60"/>
        <v>15.506</v>
      </c>
      <c r="M379">
        <f t="shared" si="61"/>
        <v>-0.90145681600000005</v>
      </c>
      <c r="N379" s="9"/>
      <c r="O379" s="22">
        <v>1.7581199999999999</v>
      </c>
      <c r="P379" s="22">
        <v>47.885800000000003</v>
      </c>
      <c r="Q379" s="22">
        <v>2.34009E-3</v>
      </c>
      <c r="R379" s="22">
        <v>369</v>
      </c>
      <c r="S379" s="22">
        <v>1.7568999999999999</v>
      </c>
      <c r="T379">
        <f t="shared" si="62"/>
        <v>-2.34009</v>
      </c>
      <c r="U379">
        <f t="shared" si="63"/>
        <v>-4.1141590307999998</v>
      </c>
      <c r="X379" s="9"/>
      <c r="Y379" s="22">
        <v>-5.8136E-2</v>
      </c>
      <c r="Z379" s="22">
        <v>75.938800000000001</v>
      </c>
      <c r="AA379" s="22">
        <v>-1.5625E-2</v>
      </c>
      <c r="AB379" s="22">
        <v>369</v>
      </c>
      <c r="AC379" s="22">
        <v>-5.8685300000000003E-2</v>
      </c>
      <c r="AD379">
        <f t="shared" si="64"/>
        <v>15.625</v>
      </c>
      <c r="AE379">
        <f t="shared" si="65"/>
        <v>-0.90837500000000004</v>
      </c>
      <c r="AF379" s="9"/>
      <c r="AG379" s="22">
        <v>1.7581199999999999</v>
      </c>
      <c r="AH379" s="22">
        <v>110.654</v>
      </c>
      <c r="AI379" s="22">
        <v>7.4829099999999997E-3</v>
      </c>
      <c r="AJ379" s="22">
        <v>369</v>
      </c>
      <c r="AK379" s="22">
        <v>1.7572000000000001</v>
      </c>
      <c r="AL379">
        <f t="shared" si="66"/>
        <v>-7.4829099999999995</v>
      </c>
      <c r="AM379">
        <f t="shared" si="67"/>
        <v>-13.155853729199999</v>
      </c>
      <c r="AP379" s="9"/>
      <c r="AQ379" s="22">
        <v>-5.8136E-2</v>
      </c>
      <c r="AR379" s="22">
        <v>139.13499999999999</v>
      </c>
      <c r="AS379" s="22">
        <v>-1.56525E-2</v>
      </c>
      <c r="AT379" s="22">
        <v>369</v>
      </c>
      <c r="AU379" s="22">
        <v>-5.8868400000000001E-2</v>
      </c>
      <c r="AV379">
        <f t="shared" si="68"/>
        <v>15.6525</v>
      </c>
      <c r="AW379">
        <f t="shared" si="69"/>
        <v>-0.90997373999999998</v>
      </c>
      <c r="AX379" s="9"/>
      <c r="AY379" s="22">
        <v>1.7581199999999999</v>
      </c>
      <c r="AZ379" s="22">
        <v>182.989</v>
      </c>
      <c r="BA379" s="22">
        <v>1.1849999999999999E-2</v>
      </c>
      <c r="BB379" s="22">
        <v>369</v>
      </c>
      <c r="BC379" s="22">
        <v>1.7568999999999999</v>
      </c>
      <c r="BD379">
        <f t="shared" si="70"/>
        <v>-11.85</v>
      </c>
      <c r="BE379">
        <f t="shared" si="71"/>
        <v>-20.833721999999998</v>
      </c>
    </row>
    <row r="380" spans="6:57">
      <c r="F380" s="9"/>
      <c r="G380" s="22">
        <v>-6.3171400000000003E-2</v>
      </c>
      <c r="H380" s="22">
        <v>15.1227</v>
      </c>
      <c r="I380" s="22">
        <v>-1.5509E-2</v>
      </c>
      <c r="J380" s="22">
        <v>370</v>
      </c>
      <c r="K380" s="22">
        <v>-6.3812300000000002E-2</v>
      </c>
      <c r="L380">
        <f t="shared" si="60"/>
        <v>15.509</v>
      </c>
      <c r="M380">
        <f t="shared" si="61"/>
        <v>-0.97972524260000005</v>
      </c>
      <c r="N380" s="9"/>
      <c r="O380" s="22">
        <v>1.76315</v>
      </c>
      <c r="P380" s="22">
        <v>47.895800000000001</v>
      </c>
      <c r="Q380" s="22">
        <v>4.1067500000000002E-3</v>
      </c>
      <c r="R380" s="22">
        <v>370</v>
      </c>
      <c r="S380" s="22">
        <v>1.7623899999999999</v>
      </c>
      <c r="T380">
        <f t="shared" si="62"/>
        <v>-4.1067499999999999</v>
      </c>
      <c r="U380">
        <f t="shared" si="63"/>
        <v>-7.2408162625000001</v>
      </c>
      <c r="X380" s="9"/>
      <c r="Y380" s="22">
        <v>-6.3171400000000003E-2</v>
      </c>
      <c r="Z380" s="22">
        <v>75.948800000000006</v>
      </c>
      <c r="AA380" s="22">
        <v>-1.5625E-2</v>
      </c>
      <c r="AB380" s="22">
        <v>370</v>
      </c>
      <c r="AC380" s="22">
        <v>-6.3812300000000002E-2</v>
      </c>
      <c r="AD380">
        <f t="shared" si="64"/>
        <v>15.625</v>
      </c>
      <c r="AE380">
        <f t="shared" si="65"/>
        <v>-0.98705312500000009</v>
      </c>
      <c r="AF380" s="9"/>
      <c r="AG380" s="22">
        <v>1.76315</v>
      </c>
      <c r="AH380" s="22">
        <v>110.664</v>
      </c>
      <c r="AI380" s="22">
        <v>1.0086100000000001E-2</v>
      </c>
      <c r="AJ380" s="22">
        <v>370</v>
      </c>
      <c r="AK380" s="22">
        <v>1.7620800000000001</v>
      </c>
      <c r="AL380">
        <f t="shared" si="66"/>
        <v>-10.0861</v>
      </c>
      <c r="AM380">
        <f t="shared" si="67"/>
        <v>-17.783307215000001</v>
      </c>
      <c r="AP380" s="9"/>
      <c r="AQ380" s="22">
        <v>-6.3171400000000003E-2</v>
      </c>
      <c r="AR380" s="22">
        <v>139.14500000000001</v>
      </c>
      <c r="AS380" s="22">
        <v>-1.5658600000000002E-2</v>
      </c>
      <c r="AT380" s="22">
        <v>370</v>
      </c>
      <c r="AU380" s="22">
        <v>-6.3873299999999994E-2</v>
      </c>
      <c r="AV380">
        <f t="shared" si="68"/>
        <v>15.658600000000002</v>
      </c>
      <c r="AW380">
        <f t="shared" si="69"/>
        <v>-0.98917568404000011</v>
      </c>
      <c r="AX380" s="9"/>
      <c r="AY380" s="22">
        <v>1.76315</v>
      </c>
      <c r="AZ380" s="22">
        <v>182.999</v>
      </c>
      <c r="BA380" s="22">
        <v>1.5362499999999999E-2</v>
      </c>
      <c r="BB380" s="22">
        <v>370</v>
      </c>
      <c r="BC380" s="22">
        <v>1.7626999999999999</v>
      </c>
      <c r="BD380">
        <f t="shared" si="70"/>
        <v>-15.362499999999999</v>
      </c>
      <c r="BE380">
        <f t="shared" si="71"/>
        <v>-27.086391874999997</v>
      </c>
    </row>
    <row r="381" spans="6:57">
      <c r="F381" s="9"/>
      <c r="G381" s="22">
        <v>-6.8206799999999998E-2</v>
      </c>
      <c r="H381" s="22">
        <v>15.1328</v>
      </c>
      <c r="I381" s="22">
        <v>-1.5509E-2</v>
      </c>
      <c r="J381" s="22">
        <v>371</v>
      </c>
      <c r="K381" s="22">
        <v>-6.8847699999999998E-2</v>
      </c>
      <c r="L381">
        <f t="shared" si="60"/>
        <v>15.509</v>
      </c>
      <c r="M381">
        <f t="shared" si="61"/>
        <v>-1.0578192611999999</v>
      </c>
      <c r="N381" s="9"/>
      <c r="O381" s="22">
        <v>1.7681899999999999</v>
      </c>
      <c r="P381" s="22">
        <v>47.905900000000003</v>
      </c>
      <c r="Q381" s="22">
        <v>6.1554000000000001E-3</v>
      </c>
      <c r="R381" s="22">
        <v>371</v>
      </c>
      <c r="S381" s="22">
        <v>1.7672699999999999</v>
      </c>
      <c r="T381">
        <f t="shared" si="62"/>
        <v>-6.1554000000000002</v>
      </c>
      <c r="U381">
        <f t="shared" si="63"/>
        <v>-10.883916726000001</v>
      </c>
      <c r="X381" s="9"/>
      <c r="Y381" s="22">
        <v>-6.8206799999999998E-2</v>
      </c>
      <c r="Z381" s="22">
        <v>75.9589</v>
      </c>
      <c r="AA381" s="22">
        <v>-1.5631099999999998E-2</v>
      </c>
      <c r="AB381" s="22">
        <v>371</v>
      </c>
      <c r="AC381" s="22">
        <v>-6.8786600000000003E-2</v>
      </c>
      <c r="AD381">
        <f t="shared" si="64"/>
        <v>15.631099999999998</v>
      </c>
      <c r="AE381">
        <f t="shared" si="65"/>
        <v>-1.0661473114799997</v>
      </c>
      <c r="AF381" s="9"/>
      <c r="AG381" s="22">
        <v>1.7681899999999999</v>
      </c>
      <c r="AH381" s="22">
        <v>110.67400000000001</v>
      </c>
      <c r="AI381" s="22">
        <v>1.3110399999999999E-2</v>
      </c>
      <c r="AJ381" s="22">
        <v>371</v>
      </c>
      <c r="AK381" s="22">
        <v>1.7666599999999999</v>
      </c>
      <c r="AL381">
        <f t="shared" si="66"/>
        <v>-13.1104</v>
      </c>
      <c r="AM381">
        <f t="shared" si="67"/>
        <v>-23.181678175999998</v>
      </c>
      <c r="AP381" s="9"/>
      <c r="AQ381" s="22">
        <v>-6.8206799999999998E-2</v>
      </c>
      <c r="AR381" s="22">
        <v>139.155</v>
      </c>
      <c r="AS381" s="22">
        <v>-1.56677E-2</v>
      </c>
      <c r="AT381" s="22">
        <v>371</v>
      </c>
      <c r="AU381" s="22">
        <v>-6.8878200000000001E-2</v>
      </c>
      <c r="AV381">
        <f t="shared" si="68"/>
        <v>15.6677</v>
      </c>
      <c r="AW381">
        <f t="shared" si="69"/>
        <v>-1.0686436803599999</v>
      </c>
      <c r="AX381" s="9"/>
      <c r="AY381" s="22">
        <v>1.7681899999999999</v>
      </c>
      <c r="AZ381" s="22">
        <v>183.00899999999999</v>
      </c>
      <c r="BA381" s="22">
        <v>1.93481E-2</v>
      </c>
      <c r="BB381" s="22">
        <v>371</v>
      </c>
      <c r="BC381" s="22">
        <v>1.7672699999999999</v>
      </c>
      <c r="BD381">
        <f t="shared" si="70"/>
        <v>-19.348099999999999</v>
      </c>
      <c r="BE381">
        <f t="shared" si="71"/>
        <v>-34.211116938999993</v>
      </c>
    </row>
    <row r="382" spans="6:57">
      <c r="F382" s="9"/>
      <c r="G382" s="22">
        <v>-7.3242199999999993E-2</v>
      </c>
      <c r="H382" s="22">
        <v>15.142799999999999</v>
      </c>
      <c r="I382" s="22">
        <v>-1.5512099999999999E-2</v>
      </c>
      <c r="J382" s="22">
        <v>372</v>
      </c>
      <c r="K382" s="22">
        <v>-7.3852500000000001E-2</v>
      </c>
      <c r="L382">
        <f t="shared" si="60"/>
        <v>15.512099999999998</v>
      </c>
      <c r="M382">
        <f t="shared" si="61"/>
        <v>-1.1361403306199997</v>
      </c>
      <c r="N382" s="9"/>
      <c r="O382" s="22">
        <v>1.77322</v>
      </c>
      <c r="P382" s="22">
        <v>47.915999999999997</v>
      </c>
      <c r="Q382" s="22">
        <v>8.5510299999999994E-3</v>
      </c>
      <c r="R382" s="22">
        <v>372</v>
      </c>
      <c r="S382" s="22">
        <v>1.77216</v>
      </c>
      <c r="T382">
        <f t="shared" si="62"/>
        <v>-8.551029999999999</v>
      </c>
      <c r="U382">
        <f t="shared" si="63"/>
        <v>-15.162857416599998</v>
      </c>
      <c r="X382" s="9"/>
      <c r="Y382" s="22">
        <v>-7.3242199999999993E-2</v>
      </c>
      <c r="Z382" s="22">
        <v>75.968999999999994</v>
      </c>
      <c r="AA382" s="22">
        <v>-1.56372E-2</v>
      </c>
      <c r="AB382" s="22">
        <v>372</v>
      </c>
      <c r="AC382" s="22">
        <v>-7.3883099999999993E-2</v>
      </c>
      <c r="AD382">
        <f t="shared" si="64"/>
        <v>15.6372</v>
      </c>
      <c r="AE382">
        <f t="shared" si="65"/>
        <v>-1.1453029298399999</v>
      </c>
      <c r="AF382" s="9"/>
      <c r="AG382" s="22">
        <v>1.77322</v>
      </c>
      <c r="AH382" s="22">
        <v>110.684</v>
      </c>
      <c r="AI382" s="22">
        <v>1.6546600000000002E-2</v>
      </c>
      <c r="AJ382" s="22">
        <v>372</v>
      </c>
      <c r="AK382" s="22">
        <v>1.7718499999999999</v>
      </c>
      <c r="AL382">
        <f t="shared" si="66"/>
        <v>-16.546600000000002</v>
      </c>
      <c r="AM382">
        <f t="shared" si="67"/>
        <v>-29.340762052000002</v>
      </c>
      <c r="AP382" s="9"/>
      <c r="AQ382" s="22">
        <v>-7.3242199999999993E-2</v>
      </c>
      <c r="AR382" s="22">
        <v>139.16499999999999</v>
      </c>
      <c r="AS382" s="22">
        <v>-1.5670799999999999E-2</v>
      </c>
      <c r="AT382" s="22">
        <v>372</v>
      </c>
      <c r="AU382" s="22">
        <v>-7.3791499999999996E-2</v>
      </c>
      <c r="AV382">
        <f t="shared" si="68"/>
        <v>15.670799999999998</v>
      </c>
      <c r="AW382">
        <f t="shared" si="69"/>
        <v>-1.1477638677599997</v>
      </c>
      <c r="AX382" s="9"/>
      <c r="AY382" s="22">
        <v>1.77322</v>
      </c>
      <c r="AZ382" s="22">
        <v>183.02</v>
      </c>
      <c r="BA382" s="22">
        <v>2.3632799999999999E-2</v>
      </c>
      <c r="BB382" s="22">
        <v>372</v>
      </c>
      <c r="BC382" s="22">
        <v>1.7724599999999999</v>
      </c>
      <c r="BD382">
        <f t="shared" si="70"/>
        <v>-23.6328</v>
      </c>
      <c r="BE382">
        <f t="shared" si="71"/>
        <v>-41.906153615999997</v>
      </c>
    </row>
    <row r="383" spans="6:57">
      <c r="F383" s="9"/>
      <c r="G383" s="22">
        <v>-7.8277600000000003E-2</v>
      </c>
      <c r="H383" s="22">
        <v>15.152900000000001</v>
      </c>
      <c r="I383" s="22">
        <v>-1.5518199999999999E-2</v>
      </c>
      <c r="J383" s="22">
        <v>373</v>
      </c>
      <c r="K383" s="22">
        <v>-7.8918500000000003E-2</v>
      </c>
      <c r="L383">
        <f t="shared" si="60"/>
        <v>15.5182</v>
      </c>
      <c r="M383">
        <f t="shared" si="61"/>
        <v>-1.21472745232</v>
      </c>
      <c r="N383" s="9"/>
      <c r="O383" s="22">
        <v>1.77826</v>
      </c>
      <c r="P383" s="22">
        <v>47.926000000000002</v>
      </c>
      <c r="Q383" s="22">
        <v>1.1291499999999999E-2</v>
      </c>
      <c r="R383" s="22">
        <v>373</v>
      </c>
      <c r="S383" s="22">
        <v>1.77704</v>
      </c>
      <c r="T383">
        <f t="shared" si="62"/>
        <v>-11.291499999999999</v>
      </c>
      <c r="U383">
        <f t="shared" si="63"/>
        <v>-20.079222789999999</v>
      </c>
      <c r="X383" s="9"/>
      <c r="Y383" s="22">
        <v>-7.8277600000000003E-2</v>
      </c>
      <c r="Z383" s="22">
        <v>75.979100000000003</v>
      </c>
      <c r="AA383" s="22">
        <v>-1.5640299999999999E-2</v>
      </c>
      <c r="AB383" s="22">
        <v>373</v>
      </c>
      <c r="AC383" s="22">
        <v>-7.8979499999999994E-2</v>
      </c>
      <c r="AD383">
        <f t="shared" si="64"/>
        <v>15.6403</v>
      </c>
      <c r="AE383">
        <f t="shared" si="65"/>
        <v>-1.22428514728</v>
      </c>
      <c r="AF383" s="9"/>
      <c r="AG383" s="22">
        <v>1.77826</v>
      </c>
      <c r="AH383" s="22">
        <v>110.694</v>
      </c>
      <c r="AI383" s="22">
        <v>2.0428499999999999E-2</v>
      </c>
      <c r="AJ383" s="22">
        <v>373</v>
      </c>
      <c r="AK383" s="22">
        <v>1.7773399999999999</v>
      </c>
      <c r="AL383">
        <f t="shared" si="66"/>
        <v>-20.4285</v>
      </c>
      <c r="AM383">
        <f t="shared" si="67"/>
        <v>-36.327184410000001</v>
      </c>
      <c r="AP383" s="9"/>
      <c r="AQ383" s="22">
        <v>-7.8277600000000003E-2</v>
      </c>
      <c r="AR383" s="22">
        <v>139.17500000000001</v>
      </c>
      <c r="AS383" s="22">
        <v>-1.5670799999999999E-2</v>
      </c>
      <c r="AT383" s="22">
        <v>373</v>
      </c>
      <c r="AU383" s="22">
        <v>-7.90405E-2</v>
      </c>
      <c r="AV383">
        <f t="shared" si="68"/>
        <v>15.670799999999998</v>
      </c>
      <c r="AW383">
        <f t="shared" si="69"/>
        <v>-1.2266726140799999</v>
      </c>
      <c r="AX383" s="9"/>
      <c r="AY383" s="22">
        <v>1.77826</v>
      </c>
      <c r="AZ383" s="22">
        <v>183.03</v>
      </c>
      <c r="BA383" s="22">
        <v>2.8527799999999999E-2</v>
      </c>
      <c r="BB383" s="22">
        <v>373</v>
      </c>
      <c r="BC383" s="22">
        <v>1.7767299999999999</v>
      </c>
      <c r="BD383">
        <f t="shared" si="70"/>
        <v>-28.527799999999999</v>
      </c>
      <c r="BE383">
        <f t="shared" si="71"/>
        <v>-50.729845628</v>
      </c>
    </row>
    <row r="384" spans="6:57">
      <c r="F384" s="9"/>
      <c r="G384" s="22">
        <v>-8.3312999999999998E-2</v>
      </c>
      <c r="H384" s="22">
        <v>15.163</v>
      </c>
      <c r="I384" s="22">
        <v>-1.5521200000000001E-2</v>
      </c>
      <c r="J384" s="22">
        <v>374</v>
      </c>
      <c r="K384" s="22">
        <v>-8.3953899999999998E-2</v>
      </c>
      <c r="L384">
        <f t="shared" si="60"/>
        <v>15.5212</v>
      </c>
      <c r="M384">
        <f t="shared" si="61"/>
        <v>-1.2931177356000001</v>
      </c>
      <c r="N384" s="9"/>
      <c r="O384" s="22">
        <v>1.78329</v>
      </c>
      <c r="P384" s="22">
        <v>47.936100000000003</v>
      </c>
      <c r="Q384" s="22">
        <v>1.4428699999999999E-2</v>
      </c>
      <c r="R384" s="22">
        <v>374</v>
      </c>
      <c r="S384" s="22">
        <v>1.7831399999999999</v>
      </c>
      <c r="T384">
        <f t="shared" si="62"/>
        <v>-14.428699999999999</v>
      </c>
      <c r="U384">
        <f t="shared" si="63"/>
        <v>-25.730556422999999</v>
      </c>
      <c r="X384" s="9"/>
      <c r="Y384" s="22">
        <v>-8.3312999999999998E-2</v>
      </c>
      <c r="Z384" s="22">
        <v>75.989099999999993</v>
      </c>
      <c r="AA384" s="22">
        <v>-1.5643299999999999E-2</v>
      </c>
      <c r="AB384" s="22">
        <v>374</v>
      </c>
      <c r="AC384" s="22">
        <v>-8.4014900000000003E-2</v>
      </c>
      <c r="AD384">
        <f t="shared" si="64"/>
        <v>15.643299999999998</v>
      </c>
      <c r="AE384">
        <f t="shared" si="65"/>
        <v>-1.3032902528999999</v>
      </c>
      <c r="AF384" s="9"/>
      <c r="AG384" s="22">
        <v>1.78329</v>
      </c>
      <c r="AH384" s="22">
        <v>110.70399999999999</v>
      </c>
      <c r="AI384" s="22">
        <v>2.4777199999999999E-2</v>
      </c>
      <c r="AJ384" s="22">
        <v>374</v>
      </c>
      <c r="AK384" s="22">
        <v>1.78284</v>
      </c>
      <c r="AL384">
        <f t="shared" si="66"/>
        <v>-24.777200000000001</v>
      </c>
      <c r="AM384">
        <f t="shared" si="67"/>
        <v>-44.184932988</v>
      </c>
      <c r="AP384" s="9"/>
      <c r="AQ384" s="22">
        <v>-8.3312999999999998E-2</v>
      </c>
      <c r="AR384" s="22">
        <v>139.185</v>
      </c>
      <c r="AS384" s="22">
        <v>-1.5676900000000001E-2</v>
      </c>
      <c r="AT384" s="22">
        <v>374</v>
      </c>
      <c r="AU384" s="22">
        <v>-8.3953899999999998E-2</v>
      </c>
      <c r="AV384">
        <f t="shared" si="68"/>
        <v>15.6769</v>
      </c>
      <c r="AW384">
        <f t="shared" si="69"/>
        <v>-1.3060895696999999</v>
      </c>
      <c r="AX384" s="9"/>
      <c r="AY384" s="22">
        <v>1.78329</v>
      </c>
      <c r="AZ384" s="22">
        <v>183.04</v>
      </c>
      <c r="BA384" s="22">
        <v>3.3605999999999997E-2</v>
      </c>
      <c r="BB384" s="22">
        <v>374</v>
      </c>
      <c r="BC384" s="22">
        <v>1.7825299999999999</v>
      </c>
      <c r="BD384">
        <f t="shared" si="70"/>
        <v>-33.605999999999995</v>
      </c>
      <c r="BE384">
        <f t="shared" si="71"/>
        <v>-59.92924373999999</v>
      </c>
    </row>
    <row r="385" spans="6:57">
      <c r="F385" s="9"/>
      <c r="G385" s="22">
        <v>-8.8348399999999994E-2</v>
      </c>
      <c r="H385" s="22">
        <v>15.1731</v>
      </c>
      <c r="I385" s="22">
        <v>-1.5521200000000001E-2</v>
      </c>
      <c r="J385" s="22">
        <v>375</v>
      </c>
      <c r="K385" s="22">
        <v>-8.8867199999999993E-2</v>
      </c>
      <c r="L385">
        <f t="shared" si="60"/>
        <v>15.5212</v>
      </c>
      <c r="M385">
        <f t="shared" si="61"/>
        <v>-1.37127318608</v>
      </c>
      <c r="N385" s="9"/>
      <c r="O385" s="22">
        <v>1.78833</v>
      </c>
      <c r="P385" s="22">
        <v>47.946199999999997</v>
      </c>
      <c r="Q385" s="22">
        <v>1.7974899999999999E-2</v>
      </c>
      <c r="R385" s="22">
        <v>375</v>
      </c>
      <c r="S385" s="22">
        <v>1.78772</v>
      </c>
      <c r="T385">
        <f t="shared" si="62"/>
        <v>-17.974899999999998</v>
      </c>
      <c r="U385">
        <f t="shared" si="63"/>
        <v>-32.145052916999994</v>
      </c>
      <c r="X385" s="9"/>
      <c r="Y385" s="22">
        <v>-8.8348399999999994E-2</v>
      </c>
      <c r="Z385" s="22">
        <v>75.999200000000002</v>
      </c>
      <c r="AA385" s="22">
        <v>-1.5649400000000001E-2</v>
      </c>
      <c r="AB385" s="22">
        <v>375</v>
      </c>
      <c r="AC385" s="22">
        <v>-8.8989299999999993E-2</v>
      </c>
      <c r="AD385">
        <f t="shared" si="64"/>
        <v>15.6494</v>
      </c>
      <c r="AE385">
        <f t="shared" si="65"/>
        <v>-1.3825994509599999</v>
      </c>
      <c r="AF385" s="9"/>
      <c r="AG385" s="22">
        <v>1.78833</v>
      </c>
      <c r="AH385" s="22">
        <v>110.714</v>
      </c>
      <c r="AI385" s="22">
        <v>2.9617299999999999E-2</v>
      </c>
      <c r="AJ385" s="22">
        <v>375</v>
      </c>
      <c r="AK385" s="22">
        <v>1.78711</v>
      </c>
      <c r="AL385">
        <f t="shared" si="66"/>
        <v>-29.6173</v>
      </c>
      <c r="AM385">
        <f t="shared" si="67"/>
        <v>-52.965506108999996</v>
      </c>
      <c r="AP385" s="9"/>
      <c r="AQ385" s="22">
        <v>-8.8348399999999994E-2</v>
      </c>
      <c r="AR385" s="22">
        <v>139.19499999999999</v>
      </c>
      <c r="AS385" s="22">
        <v>-1.56799E-2</v>
      </c>
      <c r="AT385" s="22">
        <v>375</v>
      </c>
      <c r="AU385" s="22">
        <v>-8.9080800000000002E-2</v>
      </c>
      <c r="AV385">
        <f t="shared" si="68"/>
        <v>15.6799</v>
      </c>
      <c r="AW385">
        <f t="shared" si="69"/>
        <v>-1.38529407716</v>
      </c>
      <c r="AX385" s="9"/>
      <c r="AY385" s="22">
        <v>1.78833</v>
      </c>
      <c r="AZ385" s="22">
        <v>183.05</v>
      </c>
      <c r="BA385" s="22">
        <v>3.8787799999999997E-2</v>
      </c>
      <c r="BB385" s="22">
        <v>375</v>
      </c>
      <c r="BC385" s="22">
        <v>1.7874099999999999</v>
      </c>
      <c r="BD385">
        <f t="shared" si="70"/>
        <v>-38.787799999999997</v>
      </c>
      <c r="BE385">
        <f t="shared" si="71"/>
        <v>-69.365386373999996</v>
      </c>
    </row>
    <row r="386" spans="6:57">
      <c r="F386" s="9"/>
      <c r="G386" s="22">
        <v>-9.3383800000000003E-2</v>
      </c>
      <c r="H386" s="22">
        <v>15.1831</v>
      </c>
      <c r="I386" s="22">
        <v>-1.5527300000000001E-2</v>
      </c>
      <c r="J386" s="22">
        <v>376</v>
      </c>
      <c r="K386" s="22">
        <v>-9.4024700000000003E-2</v>
      </c>
      <c r="L386">
        <f t="shared" si="60"/>
        <v>15.5273</v>
      </c>
      <c r="M386">
        <f t="shared" si="61"/>
        <v>-1.44999827774</v>
      </c>
      <c r="N386" s="9"/>
      <c r="O386" s="22">
        <v>1.7933699999999999</v>
      </c>
      <c r="P386" s="22">
        <v>47.956299999999999</v>
      </c>
      <c r="Q386" s="22">
        <v>2.1975700000000001E-2</v>
      </c>
      <c r="R386" s="22">
        <v>376</v>
      </c>
      <c r="S386" s="22">
        <v>1.7926</v>
      </c>
      <c r="T386">
        <f t="shared" si="62"/>
        <v>-21.9757</v>
      </c>
      <c r="U386">
        <f t="shared" si="63"/>
        <v>-39.410561109</v>
      </c>
      <c r="X386" s="9"/>
      <c r="Y386" s="22">
        <v>-9.3383800000000003E-2</v>
      </c>
      <c r="Z386" s="22">
        <v>76.009299999999996</v>
      </c>
      <c r="AA386" s="22">
        <v>-1.5655499999999999E-2</v>
      </c>
      <c r="AB386" s="22">
        <v>376</v>
      </c>
      <c r="AC386" s="22">
        <v>-9.4085699999999994E-2</v>
      </c>
      <c r="AD386">
        <f t="shared" si="64"/>
        <v>15.6555</v>
      </c>
      <c r="AE386">
        <f t="shared" si="65"/>
        <v>-1.4619700809</v>
      </c>
      <c r="AF386" s="9"/>
      <c r="AG386" s="22">
        <v>1.7933699999999999</v>
      </c>
      <c r="AH386" s="22">
        <v>110.724</v>
      </c>
      <c r="AI386" s="22">
        <v>3.5003699999999999E-2</v>
      </c>
      <c r="AJ386" s="22">
        <v>376</v>
      </c>
      <c r="AK386" s="22">
        <v>1.7923</v>
      </c>
      <c r="AL386">
        <f t="shared" si="66"/>
        <v>-35.003700000000002</v>
      </c>
      <c r="AM386">
        <f t="shared" si="67"/>
        <v>-62.774585469000002</v>
      </c>
      <c r="AP386" s="9"/>
      <c r="AQ386" s="22">
        <v>-9.3383800000000003E-2</v>
      </c>
      <c r="AR386" s="22">
        <v>139.20500000000001</v>
      </c>
      <c r="AS386" s="22">
        <v>-1.5685999999999999E-2</v>
      </c>
      <c r="AT386" s="22">
        <v>376</v>
      </c>
      <c r="AU386" s="22">
        <v>-9.4024700000000003E-2</v>
      </c>
      <c r="AV386">
        <f t="shared" si="68"/>
        <v>15.685999999999998</v>
      </c>
      <c r="AW386">
        <f t="shared" si="69"/>
        <v>-1.4648182867999999</v>
      </c>
      <c r="AX386" s="9"/>
      <c r="AY386" s="22">
        <v>1.7933699999999999</v>
      </c>
      <c r="AZ386" s="22">
        <v>183.06</v>
      </c>
      <c r="BA386" s="22">
        <v>4.4677700000000001E-2</v>
      </c>
      <c r="BB386" s="22">
        <v>376</v>
      </c>
      <c r="BC386" s="22">
        <v>1.79291</v>
      </c>
      <c r="BD386">
        <f t="shared" si="70"/>
        <v>-44.677700000000002</v>
      </c>
      <c r="BE386">
        <f t="shared" si="71"/>
        <v>-80.123646848999996</v>
      </c>
    </row>
    <row r="387" spans="6:57">
      <c r="F387" s="9"/>
      <c r="G387" s="22">
        <v>-9.8419199999999998E-2</v>
      </c>
      <c r="H387" s="22">
        <v>15.193199999999999</v>
      </c>
      <c r="I387" s="22">
        <v>-1.55304E-2</v>
      </c>
      <c r="J387" s="22">
        <v>377</v>
      </c>
      <c r="K387" s="22">
        <v>-9.9090600000000001E-2</v>
      </c>
      <c r="L387">
        <f t="shared" si="60"/>
        <v>15.5304</v>
      </c>
      <c r="M387">
        <f t="shared" si="61"/>
        <v>-1.5284895436799999</v>
      </c>
      <c r="N387" s="9"/>
      <c r="O387" s="22">
        <v>1.7984</v>
      </c>
      <c r="P387" s="22">
        <v>47.966299999999997</v>
      </c>
      <c r="Q387" s="22">
        <v>2.64923E-2</v>
      </c>
      <c r="R387" s="22">
        <v>377</v>
      </c>
      <c r="S387" s="22">
        <v>1.79779</v>
      </c>
      <c r="T387">
        <f t="shared" si="62"/>
        <v>-26.4923</v>
      </c>
      <c r="U387">
        <f t="shared" si="63"/>
        <v>-47.643752319999997</v>
      </c>
      <c r="X387" s="9"/>
      <c r="Y387" s="22">
        <v>-9.8419199999999998E-2</v>
      </c>
      <c r="Z387" s="22">
        <v>76.019300000000001</v>
      </c>
      <c r="AA387" s="22">
        <v>-1.5655499999999999E-2</v>
      </c>
      <c r="AB387" s="22">
        <v>377</v>
      </c>
      <c r="AC387" s="22">
        <v>-9.9090600000000001E-2</v>
      </c>
      <c r="AD387">
        <f t="shared" si="64"/>
        <v>15.6555</v>
      </c>
      <c r="AE387">
        <f t="shared" si="65"/>
        <v>-1.5408017856</v>
      </c>
      <c r="AF387" s="9"/>
      <c r="AG387" s="22">
        <v>1.7984</v>
      </c>
      <c r="AH387" s="22">
        <v>110.735</v>
      </c>
      <c r="AI387" s="22">
        <v>4.3417400000000002E-2</v>
      </c>
      <c r="AJ387" s="22">
        <v>377</v>
      </c>
      <c r="AK387" s="22">
        <v>1.7981</v>
      </c>
      <c r="AL387">
        <f t="shared" si="66"/>
        <v>-43.417400000000001</v>
      </c>
      <c r="AM387">
        <f t="shared" si="67"/>
        <v>-78.081852159999997</v>
      </c>
      <c r="AP387" s="9"/>
      <c r="AQ387" s="22">
        <v>-9.8419199999999998E-2</v>
      </c>
      <c r="AR387" s="22">
        <v>139.21600000000001</v>
      </c>
      <c r="AS387" s="22">
        <v>-1.5689100000000001E-2</v>
      </c>
      <c r="AT387" s="22">
        <v>377</v>
      </c>
      <c r="AU387" s="22">
        <v>-9.8999000000000004E-2</v>
      </c>
      <c r="AV387">
        <f t="shared" si="68"/>
        <v>15.689100000000002</v>
      </c>
      <c r="AW387">
        <f t="shared" si="69"/>
        <v>-1.5441086707200002</v>
      </c>
      <c r="AX387" s="9"/>
      <c r="AY387" s="22">
        <v>1.7984</v>
      </c>
      <c r="AZ387" s="22">
        <v>183.07</v>
      </c>
      <c r="BA387" s="22">
        <v>5.0839200000000001E-2</v>
      </c>
      <c r="BB387" s="22">
        <v>377</v>
      </c>
      <c r="BC387" s="22">
        <v>1.79749</v>
      </c>
      <c r="BD387">
        <f t="shared" si="70"/>
        <v>-50.839199999999998</v>
      </c>
      <c r="BE387">
        <f t="shared" si="71"/>
        <v>-91.429217280000003</v>
      </c>
    </row>
    <row r="388" spans="6:57">
      <c r="F388" s="9"/>
      <c r="G388" s="22">
        <v>-0.10345500000000001</v>
      </c>
      <c r="H388" s="22">
        <v>15.2033</v>
      </c>
      <c r="I388" s="22">
        <v>-1.55365E-2</v>
      </c>
      <c r="J388" s="22">
        <v>378</v>
      </c>
      <c r="K388" s="22">
        <v>-0.104187</v>
      </c>
      <c r="L388">
        <f t="shared" si="60"/>
        <v>15.5365</v>
      </c>
      <c r="M388">
        <f t="shared" si="61"/>
        <v>-1.6073286075000002</v>
      </c>
      <c r="N388" s="9"/>
      <c r="O388" s="22">
        <v>1.8034399999999999</v>
      </c>
      <c r="P388" s="22">
        <v>47.976399999999998</v>
      </c>
      <c r="Q388" s="22">
        <v>3.1472800000000002E-2</v>
      </c>
      <c r="R388" s="22">
        <v>378</v>
      </c>
      <c r="S388" s="22">
        <v>1.80237</v>
      </c>
      <c r="T388">
        <f t="shared" si="62"/>
        <v>-31.472800000000003</v>
      </c>
      <c r="U388">
        <f t="shared" si="63"/>
        <v>-56.759306432000002</v>
      </c>
      <c r="X388" s="9"/>
      <c r="Y388" s="22">
        <v>-0.10345500000000001</v>
      </c>
      <c r="Z388" s="22">
        <v>76.029399999999995</v>
      </c>
      <c r="AA388" s="22">
        <v>-1.5661600000000001E-2</v>
      </c>
      <c r="AB388" s="22">
        <v>378</v>
      </c>
      <c r="AC388" s="22">
        <v>-0.104187</v>
      </c>
      <c r="AD388">
        <f t="shared" si="64"/>
        <v>15.661600000000002</v>
      </c>
      <c r="AE388">
        <f t="shared" si="65"/>
        <v>-1.6202708280000002</v>
      </c>
      <c r="AF388" s="9"/>
      <c r="AG388" s="22">
        <v>1.8034399999999999</v>
      </c>
      <c r="AH388" s="22">
        <v>110.745</v>
      </c>
      <c r="AI388" s="22">
        <v>4.9502600000000001E-2</v>
      </c>
      <c r="AJ388" s="22">
        <v>378</v>
      </c>
      <c r="AK388" s="22">
        <v>1.80267</v>
      </c>
      <c r="AL388">
        <f t="shared" si="66"/>
        <v>-49.502600000000001</v>
      </c>
      <c r="AM388">
        <f t="shared" si="67"/>
        <v>-89.274968943999994</v>
      </c>
      <c r="AP388" s="9"/>
      <c r="AQ388" s="22">
        <v>-0.10345500000000001</v>
      </c>
      <c r="AR388" s="22">
        <v>139.226</v>
      </c>
      <c r="AS388" s="22">
        <v>-1.5695199999999999E-2</v>
      </c>
      <c r="AT388" s="22">
        <v>378</v>
      </c>
      <c r="AU388" s="22">
        <v>-0.104187</v>
      </c>
      <c r="AV388">
        <f t="shared" si="68"/>
        <v>15.6952</v>
      </c>
      <c r="AW388">
        <f t="shared" si="69"/>
        <v>-1.623746916</v>
      </c>
      <c r="AX388" s="9"/>
      <c r="AY388" s="22">
        <v>1.8034399999999999</v>
      </c>
      <c r="AZ388" s="22">
        <v>183.08</v>
      </c>
      <c r="BA388" s="22">
        <v>5.6045499999999998E-2</v>
      </c>
      <c r="BB388" s="22">
        <v>378</v>
      </c>
      <c r="BC388" s="22">
        <v>1.80267</v>
      </c>
      <c r="BD388">
        <f t="shared" si="70"/>
        <v>-56.045499999999997</v>
      </c>
      <c r="BE388">
        <f t="shared" si="71"/>
        <v>-101.07469651999999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0"/>
  <sheetViews>
    <sheetView topLeftCell="AS1" workbookViewId="0">
      <selection activeCell="BD11" sqref="BD11:BE38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10157.266666666281</v>
      </c>
      <c r="H2" s="2"/>
      <c r="I2" s="6" t="s">
        <v>12</v>
      </c>
      <c r="J2" s="2"/>
      <c r="K2" s="7" t="s">
        <v>13</v>
      </c>
      <c r="L2" s="3">
        <f>L4*I6*L9/100*100</f>
        <v>24.988582942000008</v>
      </c>
      <c r="M2" s="8" t="s">
        <v>14</v>
      </c>
      <c r="N2" s="9"/>
      <c r="O2" s="2">
        <f>ABS(S7-S6)/ABS(T7-T6)*1000</f>
        <v>8400.8442622901985</v>
      </c>
      <c r="P2" s="2"/>
      <c r="Q2" s="6" t="s">
        <v>15</v>
      </c>
      <c r="R2" s="2"/>
      <c r="S2" s="7" t="s">
        <v>13</v>
      </c>
      <c r="T2" s="3">
        <f>T4*Q6*T9/100*100</f>
        <v>10.576173609600001</v>
      </c>
      <c r="U2" s="8" t="s">
        <v>14</v>
      </c>
      <c r="X2" s="9"/>
      <c r="Y2" s="2">
        <f>ABS(AC7-AC6)/ABS(AD7-AD6)*1000</f>
        <v>3213.2064516093446</v>
      </c>
      <c r="Z2" s="2"/>
      <c r="AA2" s="6" t="s">
        <v>12</v>
      </c>
      <c r="AB2" s="2"/>
      <c r="AC2" s="7" t="s">
        <v>13</v>
      </c>
      <c r="AD2" s="3">
        <f>AD4*AA6*AD9/100*100</f>
        <v>24.444430622000009</v>
      </c>
      <c r="AE2" s="8" t="s">
        <v>14</v>
      </c>
      <c r="AF2" s="9"/>
      <c r="AG2" s="2">
        <f>ABS(AK7-AK6)/ABS(AL7-AL6)*1000</f>
        <v>5082.199999999807</v>
      </c>
      <c r="AH2" s="2"/>
      <c r="AI2" s="6" t="s">
        <v>15</v>
      </c>
      <c r="AJ2" s="2"/>
      <c r="AK2" s="7" t="s">
        <v>13</v>
      </c>
      <c r="AL2" s="3">
        <f>AL4*AI6*AL9/100*100</f>
        <v>10.161852897900001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24.252562644000001</v>
      </c>
      <c r="AW2" s="8" t="s">
        <v>14</v>
      </c>
      <c r="AX2" s="9"/>
      <c r="AY2" s="2">
        <f>ABS(BC7-BC6)/ABS(BD7-BD6)*1000</f>
        <v>19649.246666689192</v>
      </c>
      <c r="AZ2" s="2"/>
      <c r="BA2" s="6" t="s">
        <v>15</v>
      </c>
      <c r="BB2" s="2"/>
      <c r="BC2" s="7" t="s">
        <v>13</v>
      </c>
      <c r="BD2" s="3">
        <f>BD4*BA6*BD9/100*100</f>
        <v>16.625524030000005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1.7291300000000001</v>
      </c>
      <c r="J3" s="2"/>
      <c r="K3" s="10">
        <f>INDEX(L11:L1056,MATCH(I3,K11:K1056,0))</f>
        <v>-2.2589099999999998</v>
      </c>
      <c r="L3" s="33" t="s">
        <v>16</v>
      </c>
      <c r="M3" s="11">
        <f>M9</f>
        <v>24.988582942000004</v>
      </c>
      <c r="N3" s="9"/>
      <c r="O3" s="2" t="s">
        <v>44</v>
      </c>
      <c r="P3" s="2"/>
      <c r="Q3" s="2">
        <f>INDEX(S11:S1056,MATCH(0,T11:T1056,-1))</f>
        <v>0.73287999999999998</v>
      </c>
      <c r="R3" s="2"/>
      <c r="S3" s="10">
        <f>INDEX(T11:T1056,MATCH(Q3,S11:S1056,0))</f>
        <v>1.1444099999999999</v>
      </c>
      <c r="T3" s="33" t="s">
        <v>16</v>
      </c>
      <c r="U3" s="11">
        <f>U9</f>
        <v>10.576173609600001</v>
      </c>
      <c r="X3" s="9"/>
      <c r="Y3" s="2" t="s">
        <v>44</v>
      </c>
      <c r="Z3" s="2"/>
      <c r="AA3" s="2">
        <f>INDEX(AC11:AC856,MATCH(0,AD11:AD856,1))</f>
        <v>1.6867099999999999</v>
      </c>
      <c r="AB3" s="2"/>
      <c r="AC3" s="10">
        <f>INDEX(AD11:AD1056,MATCH(AA3,AC11:AC1056,0))</f>
        <v>-6.2774700000000001</v>
      </c>
      <c r="AD3" s="33" t="s">
        <v>16</v>
      </c>
      <c r="AE3" s="11">
        <f>AE9</f>
        <v>24.444430622000006</v>
      </c>
      <c r="AF3" s="9"/>
      <c r="AG3" s="2" t="s">
        <v>44</v>
      </c>
      <c r="AH3" s="2"/>
      <c r="AI3" s="2">
        <f>INDEX(AK11:AK1056,MATCH(0,AL11:AL1056,-1))</f>
        <v>0.74526999999999999</v>
      </c>
      <c r="AJ3" s="2"/>
      <c r="AK3" s="10">
        <f>INDEX(AL11:AL1056,MATCH(AI3,AK11:AK1056,0))</f>
        <v>1.16547</v>
      </c>
      <c r="AL3" s="33" t="s">
        <v>16</v>
      </c>
      <c r="AM3" s="11">
        <f>AM9</f>
        <v>10.161852897899999</v>
      </c>
      <c r="AP3" s="9"/>
      <c r="AQ3" s="2" t="s">
        <v>44</v>
      </c>
      <c r="AR3" s="2"/>
      <c r="AS3" s="2">
        <f>INDEX(AU11:AU856,MATCH(0,AV11:AV856,1))</f>
        <v>1.6982999999999999</v>
      </c>
      <c r="AT3" s="2"/>
      <c r="AU3" s="10">
        <f>INDEX(AV11:AV1056,MATCH(AS3,AU11:AU1056,0))</f>
        <v>-0.35263100000000003</v>
      </c>
      <c r="AV3" s="33" t="s">
        <v>16</v>
      </c>
      <c r="AW3" s="11">
        <f>AW9</f>
        <v>24.252562643999998</v>
      </c>
      <c r="AX3" s="9"/>
      <c r="AY3" s="2" t="s">
        <v>44</v>
      </c>
      <c r="AZ3" s="2"/>
      <c r="BA3" s="2">
        <f>INDEX(BC11:BC1056,MATCH(0,BD11:BD1056,-1))</f>
        <v>0.77697799999999995</v>
      </c>
      <c r="BB3" s="2"/>
      <c r="BC3" s="10">
        <f>INDEX(BD11:BD1056,MATCH(BA3,BC11:BC1056,0))</f>
        <v>1.69861</v>
      </c>
      <c r="BD3" s="33" t="s">
        <v>16</v>
      </c>
      <c r="BE3" s="11">
        <f>BE9</f>
        <v>16.625524030000005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1.6144611179308253</v>
      </c>
      <c r="H4" s="2"/>
      <c r="I4" s="2">
        <f>INDEX(K11:K1000,1+MATCH(0,L11:L856,1))</f>
        <v>1.72333</v>
      </c>
      <c r="J4" s="2"/>
      <c r="K4" s="10">
        <f>INDEX(L11:L1056,MATCH(I4,K11:K1056,0))</f>
        <v>1.33362</v>
      </c>
      <c r="L4" s="32">
        <f>M3/(I6*L9)</f>
        <v>0.82538585310400969</v>
      </c>
      <c r="M4" s="8" t="s">
        <v>17</v>
      </c>
      <c r="N4" s="9"/>
      <c r="O4" s="2">
        <f>ABS(Q3-Q4)/ABS(S3-S4)*1000</f>
        <v>5.7525754857721481</v>
      </c>
      <c r="P4" s="2"/>
      <c r="Q4" s="2">
        <f>INDEX(S11:S856,1+MATCH(0,T11:T856,-1))</f>
        <v>0.74316400000000005</v>
      </c>
      <c r="R4" s="2"/>
      <c r="S4" s="10">
        <f>INDEX(T11:T856,MATCH(Q4,S11:S856,0))</f>
        <v>-0.64331100000000008</v>
      </c>
      <c r="T4" s="32">
        <f>U3/(Q6*T9)</f>
        <v>0.84161685310359224</v>
      </c>
      <c r="U4" s="8" t="s">
        <v>17</v>
      </c>
      <c r="X4" s="9"/>
      <c r="Y4" s="2">
        <f>ABS(AA3-AA4)/ABS(AC3-AC4)*1000</f>
        <v>0.18254307642539938</v>
      </c>
      <c r="Z4" s="2"/>
      <c r="AA4" s="2">
        <f>INDEX(AC11:AC1000,1+MATCH(0,AD11:AD856,1))</f>
        <v>1.6854899999999999</v>
      </c>
      <c r="AB4" s="2"/>
      <c r="AC4" s="10">
        <f>INDEX(AD11:AD1056,MATCH(AA4,AC11:AC1056,0))</f>
        <v>0.40588400000000002</v>
      </c>
      <c r="AD4" s="32">
        <f>AE3/(AA6*AD9)</f>
        <v>0.82937174403307323</v>
      </c>
      <c r="AE4" s="8" t="s">
        <v>17</v>
      </c>
      <c r="AF4" s="9"/>
      <c r="AG4" s="2">
        <f>ABS(AI3-AI4)/ABS(AK3-AK4)*1000</f>
        <v>1.5819916400936309</v>
      </c>
      <c r="AH4" s="2"/>
      <c r="AI4" s="2">
        <f>INDEX(AK11:AK856,1+MATCH(0,AL11:AL856,-1))</f>
        <v>0.75012199999999996</v>
      </c>
      <c r="AJ4" s="2"/>
      <c r="AK4" s="10">
        <f>INDEX(AL11:AL856,MATCH(AI4,AK11:AK856,0))</f>
        <v>-1.9015499999999999</v>
      </c>
      <c r="AL4" s="32">
        <f>AM3/(AI6*AL9)</f>
        <v>0.79908488046330284</v>
      </c>
      <c r="AM4" s="8" t="s">
        <v>17</v>
      </c>
      <c r="AP4" s="9"/>
      <c r="AQ4" s="2">
        <f>ABS(AS3-AS4)/ABS(AU3-AU4)*1000</f>
        <v>2.0633814804062123</v>
      </c>
      <c r="AR4" s="2"/>
      <c r="AS4" s="2">
        <f>INDEX(AU11:AU1000,1+MATCH(0,AV11:AV856,1))</f>
        <v>1.69373</v>
      </c>
      <c r="AT4" s="2"/>
      <c r="AU4" s="10">
        <f>INDEX(AV11:AV1056,MATCH(AS4,AU11:AU1056,0))</f>
        <v>1.8621799999999999</v>
      </c>
      <c r="AV4" s="32">
        <f>AW3/(AS6*AV9)</f>
        <v>0.81728867646581171</v>
      </c>
      <c r="AW4" s="8" t="s">
        <v>17</v>
      </c>
      <c r="AX4" s="9"/>
      <c r="AY4" s="2">
        <f>ABS(BA3-BA4)/ABS(BC3-BC4)*1000</f>
        <v>0.40962080289705216</v>
      </c>
      <c r="AZ4" s="2"/>
      <c r="BA4" s="2">
        <f>INDEX(BC11:BC856,1+MATCH(0,BD11:BD856,-1))</f>
        <v>0.77941899999999997</v>
      </c>
      <c r="BB4" s="2"/>
      <c r="BC4" s="10">
        <f>INDEX(BD11:BD856,MATCH(BA4,BC11:BC856,0))</f>
        <v>-4.2605599999999999</v>
      </c>
      <c r="BD4" s="32">
        <f>BE3/(BA6*BD9)</f>
        <v>1.2520712952723323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16.137700000000002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15.893600000000001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16.207900000000002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15.997299999999999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16.134599999999999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16.333000000000002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1.725483077636095</v>
      </c>
      <c r="J6" s="32"/>
      <c r="K6" s="13">
        <f>INDEX(K11:K1056,MATCH(L6,L11:L1056,0))</f>
        <v>1.24878E-2</v>
      </c>
      <c r="L6" s="10">
        <f>INDEX(L11:L1056,MATCH(0,K11:K1056,-1))</f>
        <v>17.544599999999999</v>
      </c>
      <c r="M6" s="8" t="s">
        <v>22</v>
      </c>
      <c r="N6" s="9"/>
      <c r="O6" s="2"/>
      <c r="P6" s="2"/>
      <c r="Q6" s="34">
        <f>(Q3-Q4)/(S3-S4)*(-S4)+Q4</f>
        <v>0.73946330491167245</v>
      </c>
      <c r="R6" s="34"/>
      <c r="S6" s="13">
        <f>INDEX(S11:S1056,MATCH(T6,T11:T1056,0))</f>
        <v>-9.4543500000000003E-3</v>
      </c>
      <c r="T6" s="10">
        <f>INDEX(T11:T1056,MATCH(0,S11:S1056,1))</f>
        <v>16.995199999999997</v>
      </c>
      <c r="U6" s="8" t="s">
        <v>22</v>
      </c>
      <c r="X6" s="9"/>
      <c r="Y6" s="2"/>
      <c r="Z6" s="2"/>
      <c r="AA6" s="32">
        <f>(AA3-AA4)/(AC3-AC4)*(-AC4)+AA4</f>
        <v>1.6855640913140317</v>
      </c>
      <c r="AB6" s="32"/>
      <c r="AC6" s="13">
        <f>INDEX(AC11:AC1056,MATCH(AD6,AD11:AD1056,0))</f>
        <v>7.3791500000000001E-3</v>
      </c>
      <c r="AD6" s="10">
        <f>INDEX(AD11:AD1056,MATCH(0,AC11:AC1056,-1))</f>
        <v>17.483499999999999</v>
      </c>
      <c r="AE6" s="8" t="s">
        <v>22</v>
      </c>
      <c r="AF6" s="9"/>
      <c r="AG6" s="2"/>
      <c r="AH6" s="2"/>
      <c r="AI6" s="34">
        <f>(AI3-AI4)/(AK3-AK4)*(-AK4)+AI4</f>
        <v>0.74711376379677996</v>
      </c>
      <c r="AJ6" s="34"/>
      <c r="AK6" s="13">
        <f>INDEX(AK11:AK1056,MATCH(AL6,AL11:AL1056,0))</f>
        <v>-3.9746099999999999E-2</v>
      </c>
      <c r="AL6" s="10">
        <f>INDEX(AL11:AL1056,MATCH(0,AK11:AK1056,1))</f>
        <v>17.013500000000001</v>
      </c>
      <c r="AM6" s="8" t="s">
        <v>22</v>
      </c>
      <c r="AP6" s="9"/>
      <c r="AQ6" s="2"/>
      <c r="AR6" s="2"/>
      <c r="AS6" s="32">
        <f>(AS3-AS4)/(AU3-AU4)*(-AU4)+AS4</f>
        <v>1.6975723877251827</v>
      </c>
      <c r="AT6" s="32"/>
      <c r="AU6" s="13">
        <f>INDEX(AU11:AU1056,MATCH(AV6,AV11:AV1056,0))</f>
        <v>2.2177100000000002E-2</v>
      </c>
      <c r="AV6" s="10">
        <f>INDEX(AV11:AV1056,MATCH(0,AU11:AU1056,-1))</f>
        <v>17.480499999999999</v>
      </c>
      <c r="AW6" s="8" t="s">
        <v>22</v>
      </c>
      <c r="AX6" s="9"/>
      <c r="AY6" s="2"/>
      <c r="AZ6" s="2"/>
      <c r="BA6" s="34">
        <f>(BA3-BA4)/(BC3-BC4)*(-BC4)+BA4</f>
        <v>0.77767378599200887</v>
      </c>
      <c r="BB6" s="34"/>
      <c r="BC6" s="13">
        <f>INDEX(BC11:BC1056,MATCH(BD6,BD11:BD1056,0))</f>
        <v>-1.32446E-3</v>
      </c>
      <c r="BD6" s="10">
        <f>INDEX(BD11:BD1056,MATCH(0,BC11:BC1056,1))</f>
        <v>17.0746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-1.7984E-2</v>
      </c>
      <c r="L7" s="10">
        <f>INDEX(L11:L856,1+MATCH(0,K11:K856,-1))</f>
        <v>17.547599999999999</v>
      </c>
      <c r="M7" s="12">
        <f>INDEX(K11:K1056,MATCH(M9,M11:M1056,0))</f>
        <v>1.5472399999999999</v>
      </c>
      <c r="N7" s="9"/>
      <c r="O7" s="2"/>
      <c r="P7" s="2"/>
      <c r="Q7" s="2"/>
      <c r="R7" s="2"/>
      <c r="S7" s="13">
        <f>INDEX(S11:S1056,MATCH(T7,T11:T1056,0))</f>
        <v>-6.0699500000000003E-2</v>
      </c>
      <c r="T7" s="10">
        <f>INDEX(T11:T1056,1+MATCH(0,S11:S1056,1))</f>
        <v>17.001300000000001</v>
      </c>
      <c r="U7" s="12">
        <f>INDEX(S11:S1056,MATCH(U9,U11:U1056,0))</f>
        <v>0.65994299999999995</v>
      </c>
      <c r="X7" s="9"/>
      <c r="Y7" s="2"/>
      <c r="Z7" s="2"/>
      <c r="AA7" s="2"/>
      <c r="AB7" s="2"/>
      <c r="AC7" s="13">
        <f>INDEX(AC11:AC856,MATCH(AD7,AD11:AD856,1))</f>
        <v>-2.58179E-3</v>
      </c>
      <c r="AD7" s="10">
        <f>INDEX(AD11:AD856,1+MATCH(0,AC11:AC856,-1))</f>
        <v>17.486600000000003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-5.4992699999999999E-2</v>
      </c>
      <c r="AL7" s="10">
        <f>INDEX(AL11:AL1056,1+MATCH(0,AK11:AK1056,1))</f>
        <v>17.0105</v>
      </c>
      <c r="AM7" s="12">
        <f>INDEX(AK11:AK1056,MATCH(AM9,AM11:AM1056,0))</f>
        <v>0.63500999999999996</v>
      </c>
      <c r="AP7" s="9"/>
      <c r="AQ7" s="2"/>
      <c r="AR7" s="2"/>
      <c r="AS7" s="2"/>
      <c r="AT7" s="2"/>
      <c r="AU7" s="13">
        <f>INDEX(AU11:AU856,MATCH(AV7,AV11:AV856,1))</f>
        <v>-7.63855E-3</v>
      </c>
      <c r="AV7" s="10">
        <f>INDEX(AV11:AV856,1+MATCH(0,AU11:AU856,-1))</f>
        <v>17.480499999999999</v>
      </c>
      <c r="AW7" s="12">
        <f>INDEX(AU11:AU1056,MATCH(AW9,AW11:AW1056,0))</f>
        <v>1.50177</v>
      </c>
      <c r="AX7" s="9"/>
      <c r="AY7" s="2"/>
      <c r="AZ7" s="2"/>
      <c r="BA7" s="2"/>
      <c r="BB7" s="2"/>
      <c r="BC7" s="13">
        <f>INDEX(BC11:BC1056,MATCH(BD7,BD11:BD1056,0))</f>
        <v>-6.0272199999999998E-2</v>
      </c>
      <c r="BD7" s="10">
        <f>INDEX(BD11:BD1056,1+MATCH(0,BC11:BC1056,1))</f>
        <v>17.077599999999997</v>
      </c>
      <c r="BE7" s="12">
        <f>INDEX(BC11:BC1056,MATCH(BE9,BE11:BE1056,0))</f>
        <v>1.01807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57.675976928552011</v>
      </c>
      <c r="J9" s="2"/>
      <c r="K9" s="2"/>
      <c r="L9" s="3">
        <f>(L6-L7)/(K6-K7)*(-K7)+L7</f>
        <v>17.54582944492941</v>
      </c>
      <c r="M9" s="16">
        <f>MAX(M11:M1056)</f>
        <v>24.988582942000004</v>
      </c>
      <c r="N9" s="9"/>
      <c r="O9" s="2"/>
      <c r="P9" s="2"/>
      <c r="Q9" s="2"/>
      <c r="R9" s="2"/>
      <c r="S9" s="2"/>
      <c r="T9" s="3">
        <f>(T6-T7)/(S6-S7)*(-S7)+T7</f>
        <v>16.994074595254375</v>
      </c>
      <c r="U9" s="16">
        <f>MAX(U11:U1056)</f>
        <v>10.576173609600001</v>
      </c>
      <c r="X9" s="9"/>
      <c r="Y9" s="2"/>
      <c r="Z9" s="2"/>
      <c r="AA9" s="15">
        <f>(MAX(AD2,AL2)-MIN(AD2,AL2))/MAX(AD2,AL2)%</f>
        <v>58.428760092475521</v>
      </c>
      <c r="AB9" s="2"/>
      <c r="AC9" s="2"/>
      <c r="AD9" s="3">
        <f>(AD6-AD7)/(AC6-AC7)*(-AC7)+AD7</f>
        <v>17.485796506654996</v>
      </c>
      <c r="AE9" s="16">
        <f>MAX(AE11:AE1056)</f>
        <v>24.444430622000006</v>
      </c>
      <c r="AF9" s="9"/>
      <c r="AG9" s="2"/>
      <c r="AH9" s="2"/>
      <c r="AI9" s="2"/>
      <c r="AJ9" s="2"/>
      <c r="AK9" s="2"/>
      <c r="AL9" s="3">
        <f>(AL6-AL7)/(AK6-AK7)*(-AK7)+AL7</f>
        <v>17.021320648538037</v>
      </c>
      <c r="AM9" s="16">
        <f>MAX(AM11:AM1056)</f>
        <v>10.161852897899999</v>
      </c>
      <c r="AP9" s="9"/>
      <c r="AQ9" s="2"/>
      <c r="AR9" s="2"/>
      <c r="AS9" s="15">
        <f>(MAX(AV2,BD2)-MIN(AV2,BD2))/MAX(AV2,BD2)%</f>
        <v>31.448382284199148</v>
      </c>
      <c r="AT9" s="2"/>
      <c r="AU9" s="2"/>
      <c r="AV9" s="3">
        <f>(AV6-AV7)/(AU6-AU7)*(-AU7)+AV7</f>
        <v>17.480499999999999</v>
      </c>
      <c r="AW9" s="16">
        <f>MAX(AW11:AW1056)</f>
        <v>24.252562643999998</v>
      </c>
      <c r="AX9" s="9"/>
      <c r="AY9" s="2"/>
      <c r="AZ9" s="2"/>
      <c r="BA9" s="2"/>
      <c r="BB9" s="2"/>
      <c r="BC9" s="2"/>
      <c r="BD9" s="3">
        <f>(BD6-BD7)/(BC6-BC7)*(-BC7)+BD7</f>
        <v>17.074532594871322</v>
      </c>
      <c r="BE9" s="16">
        <f>MAX(BE11:BE1056)</f>
        <v>16.625524030000005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1.725483077636095</v>
      </c>
      <c r="B11" s="19">
        <f>IFERROR(L9,0)</f>
        <v>17.54582944492941</v>
      </c>
      <c r="C11" s="20">
        <f>IFERROR(L4,0)</f>
        <v>0.82538585310400969</v>
      </c>
      <c r="D11" s="21">
        <f>IFERROR(L2,0)</f>
        <v>24.988582942000008</v>
      </c>
      <c r="E11" s="21">
        <f>IFERROR(I9,0)</f>
        <v>57.675976928552011</v>
      </c>
      <c r="F11" s="9"/>
      <c r="G11" s="22">
        <v>1.75491</v>
      </c>
      <c r="H11" s="22">
        <v>49.316200000000002</v>
      </c>
      <c r="I11" s="22">
        <v>2.58759E-2</v>
      </c>
      <c r="J11" s="22">
        <v>1</v>
      </c>
      <c r="K11" s="22">
        <v>1.7538499999999999</v>
      </c>
      <c r="L11">
        <f>-I11/$F$2*1000</f>
        <v>-25.875900000000001</v>
      </c>
      <c r="M11">
        <f>L11*G11</f>
        <v>-45.409875669000002</v>
      </c>
      <c r="N11" s="9"/>
      <c r="O11" s="22">
        <v>-9.49097E-2</v>
      </c>
      <c r="P11" s="22">
        <v>98.559600000000003</v>
      </c>
      <c r="Q11" s="22">
        <v>-1.6964699999999999E-2</v>
      </c>
      <c r="R11" s="22">
        <v>1</v>
      </c>
      <c r="S11" s="22">
        <v>-9.5459000000000002E-2</v>
      </c>
      <c r="T11">
        <f>-Q11/$F$2*1000</f>
        <v>16.964700000000001</v>
      </c>
      <c r="U11">
        <f>T11*O11</f>
        <v>-1.61011458759</v>
      </c>
      <c r="V11" s="23"/>
      <c r="W11" s="24"/>
      <c r="X11" s="9"/>
      <c r="Y11" s="22">
        <v>1.75491</v>
      </c>
      <c r="Z11" s="22">
        <v>147.96199999999999</v>
      </c>
      <c r="AA11" s="22">
        <v>5.96924E-2</v>
      </c>
      <c r="AB11" s="22">
        <v>1</v>
      </c>
      <c r="AC11" s="22">
        <v>1.7544599999999999</v>
      </c>
      <c r="AD11">
        <f>-AA11/$F$2*1000</f>
        <v>-59.692399999999999</v>
      </c>
      <c r="AE11">
        <f>AD11*Y11</f>
        <v>-104.754789684</v>
      </c>
      <c r="AF11" s="9"/>
      <c r="AG11" s="22">
        <v>-9.49097E-2</v>
      </c>
      <c r="AH11" s="22">
        <v>197.32900000000001</v>
      </c>
      <c r="AI11" s="22">
        <v>-1.6986100000000001E-2</v>
      </c>
      <c r="AJ11" s="22">
        <v>1</v>
      </c>
      <c r="AK11" s="22">
        <v>-9.5459000000000002E-2</v>
      </c>
      <c r="AL11">
        <f>-AI11/$F$2*1000</f>
        <v>16.9861</v>
      </c>
      <c r="AM11">
        <f>AL11*AG11</f>
        <v>-1.61214565517</v>
      </c>
      <c r="AP11" s="9"/>
      <c r="AQ11" s="22">
        <v>1.75491</v>
      </c>
      <c r="AR11" s="22">
        <v>246.61099999999999</v>
      </c>
      <c r="AS11" s="22">
        <v>5.1940899999999998E-2</v>
      </c>
      <c r="AT11" s="22">
        <v>1</v>
      </c>
      <c r="AU11" s="22">
        <v>1.7541500000000001</v>
      </c>
      <c r="AV11">
        <f>-AS11/$F$2*1000</f>
        <v>-51.940899999999999</v>
      </c>
      <c r="AW11">
        <f>AV11*AQ11</f>
        <v>-91.151604818999999</v>
      </c>
      <c r="AX11" s="9"/>
      <c r="AY11" s="22">
        <v>-9.49097E-2</v>
      </c>
      <c r="AZ11" s="22">
        <v>295.97699999999998</v>
      </c>
      <c r="BA11" s="22">
        <v>-1.7065400000000001E-2</v>
      </c>
      <c r="BB11" s="22">
        <v>1</v>
      </c>
      <c r="BC11" s="22">
        <v>-9.5519999999999994E-2</v>
      </c>
      <c r="BD11">
        <f>-BA11/$F$2*1000</f>
        <v>17.0654</v>
      </c>
      <c r="BE11">
        <f>BD11*AY11</f>
        <v>-1.61967199438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0.73946330491167245</v>
      </c>
      <c r="B12" s="19">
        <f>IFERROR(T9,0)</f>
        <v>16.994074595254375</v>
      </c>
      <c r="C12" s="20">
        <f>IFERROR(T4,0)</f>
        <v>0.84161685310359224</v>
      </c>
      <c r="D12" s="21">
        <f>IFERROR(T2,0)</f>
        <v>10.576173609600001</v>
      </c>
      <c r="E12" s="21"/>
      <c r="F12" s="9"/>
      <c r="G12" s="22">
        <v>1.7498800000000001</v>
      </c>
      <c r="H12" s="22">
        <v>49.326300000000003</v>
      </c>
      <c r="I12" s="22">
        <v>1.9888300000000001E-2</v>
      </c>
      <c r="J12" s="22">
        <v>2</v>
      </c>
      <c r="K12" s="22">
        <v>1.7495700000000001</v>
      </c>
      <c r="L12">
        <f t="shared" ref="L12:L75" si="0">-I12/$F$2*1000</f>
        <v>-19.888300000000001</v>
      </c>
      <c r="M12">
        <f t="shared" ref="M12:M75" si="1">L12*G12</f>
        <v>-34.802138404000004</v>
      </c>
      <c r="N12" s="9"/>
      <c r="O12" s="22">
        <v>-8.9874300000000004E-2</v>
      </c>
      <c r="P12" s="22">
        <v>98.569699999999997</v>
      </c>
      <c r="Q12" s="22">
        <v>-1.6967800000000002E-2</v>
      </c>
      <c r="R12" s="22">
        <v>2</v>
      </c>
      <c r="S12" s="22">
        <v>-9.0209999999999999E-2</v>
      </c>
      <c r="T12">
        <f t="shared" ref="T12:T75" si="2">-Q12/$F$2*1000</f>
        <v>16.9678</v>
      </c>
      <c r="U12">
        <f t="shared" ref="U12:U75" si="3">T12*O12</f>
        <v>-1.52496914754</v>
      </c>
      <c r="V12" s="23"/>
      <c r="W12" s="24"/>
      <c r="X12" s="9"/>
      <c r="Y12" s="22">
        <v>1.7498800000000001</v>
      </c>
      <c r="Z12" s="22">
        <v>147.97200000000001</v>
      </c>
      <c r="AA12" s="22">
        <v>5.5023200000000001E-2</v>
      </c>
      <c r="AB12" s="22">
        <v>2</v>
      </c>
      <c r="AC12" s="22">
        <v>1.7477400000000001</v>
      </c>
      <c r="AD12">
        <f t="shared" ref="AD12:AD75" si="4">-AA12/$F$2*1000</f>
        <v>-55.023200000000003</v>
      </c>
      <c r="AE12">
        <f t="shared" ref="AE12:AE75" si="5">AD12*Y12</f>
        <v>-96.283997216000017</v>
      </c>
      <c r="AF12" s="9"/>
      <c r="AG12" s="22">
        <v>-8.9874300000000004E-2</v>
      </c>
      <c r="AH12" s="22">
        <v>197.339</v>
      </c>
      <c r="AI12" s="22">
        <v>-1.6986100000000001E-2</v>
      </c>
      <c r="AJ12" s="22">
        <v>2</v>
      </c>
      <c r="AK12" s="22">
        <v>-9.0728799999999998E-2</v>
      </c>
      <c r="AL12">
        <f t="shared" ref="AL12:AL75" si="6">-AI12/$F$2*1000</f>
        <v>16.9861</v>
      </c>
      <c r="AM12">
        <f t="shared" ref="AM12:AM75" si="7">AL12*AG12</f>
        <v>-1.5266138472300002</v>
      </c>
      <c r="AP12" s="9"/>
      <c r="AQ12" s="22">
        <v>1.7498800000000001</v>
      </c>
      <c r="AR12" s="22">
        <v>246.62100000000001</v>
      </c>
      <c r="AS12" s="22">
        <v>4.7622699999999997E-2</v>
      </c>
      <c r="AT12" s="22">
        <v>2</v>
      </c>
      <c r="AU12" s="22">
        <v>1.7492700000000001</v>
      </c>
      <c r="AV12">
        <f t="shared" ref="AV12:AV75" si="8">-AS12/$F$2*1000</f>
        <v>-47.622699999999995</v>
      </c>
      <c r="AW12">
        <f t="shared" ref="AW12:AW75" si="9">AV12*AQ12</f>
        <v>-83.334010276000001</v>
      </c>
      <c r="AX12" s="9"/>
      <c r="AY12" s="22">
        <v>-8.9874300000000004E-2</v>
      </c>
      <c r="AZ12" s="22">
        <v>295.98700000000002</v>
      </c>
      <c r="BA12" s="22">
        <v>-1.7062399999999998E-2</v>
      </c>
      <c r="BB12" s="22">
        <v>2</v>
      </c>
      <c r="BC12" s="22">
        <v>-9.0942400000000007E-2</v>
      </c>
      <c r="BD12">
        <f t="shared" ref="BD12:BD75" si="10">-BA12/$F$2*1000</f>
        <v>17.062399999999997</v>
      </c>
      <c r="BE12">
        <f t="shared" ref="BE12:BE75" si="11">BD12*AY12</f>
        <v>-1.5334712563199997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1.6855640913140317</v>
      </c>
      <c r="B13" s="19">
        <f>IFERROR(AD9,0)</f>
        <v>17.485796506654996</v>
      </c>
      <c r="C13" s="20">
        <f>IFERROR(AD4,0)</f>
        <v>0.82937174403307323</v>
      </c>
      <c r="D13" s="21">
        <f>IFERROR(AD2,0)</f>
        <v>24.444430622000009</v>
      </c>
      <c r="E13" s="21">
        <f>IFERROR(AA9,0)</f>
        <v>58.428760092475521</v>
      </c>
      <c r="F13" s="9"/>
      <c r="G13" s="22">
        <v>1.7448399999999999</v>
      </c>
      <c r="H13" s="22">
        <v>49.336399999999998</v>
      </c>
      <c r="I13" s="22">
        <v>1.43646E-2</v>
      </c>
      <c r="J13" s="22">
        <v>3</v>
      </c>
      <c r="K13" s="22">
        <v>1.7434700000000001</v>
      </c>
      <c r="L13">
        <f t="shared" si="0"/>
        <v>-14.364599999999999</v>
      </c>
      <c r="M13">
        <f t="shared" si="1"/>
        <v>-25.063928663999999</v>
      </c>
      <c r="N13" s="9"/>
      <c r="O13" s="22">
        <v>-8.4838899999999995E-2</v>
      </c>
      <c r="P13" s="22">
        <v>98.579800000000006</v>
      </c>
      <c r="Q13" s="22">
        <v>-1.69769E-2</v>
      </c>
      <c r="R13" s="22">
        <v>3</v>
      </c>
      <c r="S13" s="22">
        <v>-8.54187E-2</v>
      </c>
      <c r="T13">
        <f t="shared" si="2"/>
        <v>16.976900000000001</v>
      </c>
      <c r="U13">
        <f t="shared" si="3"/>
        <v>-1.4403015214099999</v>
      </c>
      <c r="V13" s="23"/>
      <c r="W13" s="24"/>
      <c r="X13" s="9"/>
      <c r="Y13" s="22">
        <v>1.7448399999999999</v>
      </c>
      <c r="Z13" s="22">
        <v>147.982</v>
      </c>
      <c r="AA13" s="22">
        <v>5.0476100000000003E-2</v>
      </c>
      <c r="AB13" s="22">
        <v>3</v>
      </c>
      <c r="AC13" s="22">
        <v>1.7446900000000001</v>
      </c>
      <c r="AD13">
        <f t="shared" si="4"/>
        <v>-50.476100000000002</v>
      </c>
      <c r="AE13">
        <f t="shared" si="5"/>
        <v>-88.072718324000007</v>
      </c>
      <c r="AF13" s="9"/>
      <c r="AG13" s="22">
        <v>-8.4838899999999995E-2</v>
      </c>
      <c r="AH13" s="22">
        <v>197.34899999999999</v>
      </c>
      <c r="AI13" s="22">
        <v>-1.6992199999999999E-2</v>
      </c>
      <c r="AJ13" s="22">
        <v>3</v>
      </c>
      <c r="AK13" s="22">
        <v>-8.5723900000000006E-2</v>
      </c>
      <c r="AL13">
        <f t="shared" si="6"/>
        <v>16.9922</v>
      </c>
      <c r="AM13">
        <f t="shared" si="7"/>
        <v>-1.4415995565799999</v>
      </c>
      <c r="AP13" s="9"/>
      <c r="AQ13" s="22">
        <v>1.7448399999999999</v>
      </c>
      <c r="AR13" s="22">
        <v>246.631</v>
      </c>
      <c r="AS13" s="22">
        <v>4.3527200000000002E-2</v>
      </c>
      <c r="AT13" s="22">
        <v>3</v>
      </c>
      <c r="AU13" s="22">
        <v>1.7440800000000001</v>
      </c>
      <c r="AV13">
        <f t="shared" si="8"/>
        <v>-43.527200000000001</v>
      </c>
      <c r="AW13">
        <f t="shared" si="9"/>
        <v>-75.947999647999993</v>
      </c>
      <c r="AX13" s="9"/>
      <c r="AY13" s="22">
        <v>-8.4838899999999995E-2</v>
      </c>
      <c r="AZ13" s="22">
        <v>295.99799999999999</v>
      </c>
      <c r="BA13" s="22">
        <v>-1.7059299999999999E-2</v>
      </c>
      <c r="BB13" s="22">
        <v>3</v>
      </c>
      <c r="BC13" s="22">
        <v>-8.5510299999999997E-2</v>
      </c>
      <c r="BD13">
        <f t="shared" si="10"/>
        <v>17.0593</v>
      </c>
      <c r="BE13">
        <f t="shared" si="11"/>
        <v>-1.44729224677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0.74711376379677996</v>
      </c>
      <c r="B14" s="19">
        <f>IFERROR(AL9,0)</f>
        <v>17.021320648538037</v>
      </c>
      <c r="C14" s="20">
        <f>IFERROR(AL4,0)</f>
        <v>0.79908488046330284</v>
      </c>
      <c r="D14" s="21">
        <f>IFERROR(AL2,0)</f>
        <v>10.161852897900001</v>
      </c>
      <c r="E14" s="21"/>
      <c r="F14" s="9"/>
      <c r="G14" s="22">
        <v>1.7398100000000001</v>
      </c>
      <c r="H14" s="22">
        <v>49.346400000000003</v>
      </c>
      <c r="I14" s="22">
        <v>1.0720800000000001E-2</v>
      </c>
      <c r="J14" s="22">
        <v>4</v>
      </c>
      <c r="K14" s="22">
        <v>1.7379800000000001</v>
      </c>
      <c r="L14">
        <f t="shared" si="0"/>
        <v>-10.720800000000001</v>
      </c>
      <c r="M14">
        <f t="shared" si="1"/>
        <v>-18.652155048000001</v>
      </c>
      <c r="N14" s="9"/>
      <c r="O14" s="22">
        <v>-7.9803499999999999E-2</v>
      </c>
      <c r="P14" s="22">
        <v>98.589799999999997</v>
      </c>
      <c r="Q14" s="22">
        <v>-1.6983000000000002E-2</v>
      </c>
      <c r="R14" s="22">
        <v>4</v>
      </c>
      <c r="S14" s="22">
        <v>-8.0596899999999999E-2</v>
      </c>
      <c r="T14">
        <f t="shared" si="2"/>
        <v>16.983000000000001</v>
      </c>
      <c r="U14">
        <f t="shared" si="3"/>
        <v>-1.3553028405000001</v>
      </c>
      <c r="V14" s="23"/>
      <c r="W14" s="24"/>
      <c r="X14" s="9"/>
      <c r="Y14" s="22">
        <v>1.7398100000000001</v>
      </c>
      <c r="Z14" s="22">
        <v>147.99199999999999</v>
      </c>
      <c r="AA14" s="22">
        <v>4.6542399999999998E-2</v>
      </c>
      <c r="AB14" s="22">
        <v>4</v>
      </c>
      <c r="AC14" s="22">
        <v>1.73828</v>
      </c>
      <c r="AD14">
        <f t="shared" si="4"/>
        <v>-46.542400000000001</v>
      </c>
      <c r="AE14">
        <f t="shared" si="5"/>
        <v>-80.974932944000003</v>
      </c>
      <c r="AF14" s="9"/>
      <c r="AG14" s="22">
        <v>-7.9803499999999999E-2</v>
      </c>
      <c r="AH14" s="22">
        <v>197.35900000000001</v>
      </c>
      <c r="AI14" s="22">
        <v>-1.6992199999999999E-2</v>
      </c>
      <c r="AJ14" s="22">
        <v>4</v>
      </c>
      <c r="AK14" s="22">
        <v>-8.0596899999999999E-2</v>
      </c>
      <c r="AL14">
        <f t="shared" si="6"/>
        <v>16.9922</v>
      </c>
      <c r="AM14">
        <f t="shared" si="7"/>
        <v>-1.3560370327</v>
      </c>
      <c r="AP14" s="9"/>
      <c r="AQ14" s="22">
        <v>1.7398100000000001</v>
      </c>
      <c r="AR14" s="22">
        <v>246.64099999999999</v>
      </c>
      <c r="AS14" s="22">
        <v>3.9437899999999998E-2</v>
      </c>
      <c r="AT14" s="22">
        <v>4</v>
      </c>
      <c r="AU14" s="22">
        <v>1.7392000000000001</v>
      </c>
      <c r="AV14">
        <f t="shared" si="8"/>
        <v>-39.437899999999999</v>
      </c>
      <c r="AW14">
        <f t="shared" si="9"/>
        <v>-68.614452799000006</v>
      </c>
      <c r="AX14" s="9"/>
      <c r="AY14" s="22">
        <v>-7.9803499999999999E-2</v>
      </c>
      <c r="AZ14" s="22">
        <v>296.00799999999998</v>
      </c>
      <c r="BA14" s="22">
        <v>-1.7062399999999998E-2</v>
      </c>
      <c r="BB14" s="22">
        <v>4</v>
      </c>
      <c r="BC14" s="22">
        <v>-8.0200199999999999E-2</v>
      </c>
      <c r="BD14">
        <f t="shared" si="10"/>
        <v>17.062399999999997</v>
      </c>
      <c r="BE14">
        <f t="shared" si="11"/>
        <v>-1.3616392383999998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1.6975723877251827</v>
      </c>
      <c r="B15" s="19">
        <f>IFERROR(AV9,0)</f>
        <v>17.480499999999999</v>
      </c>
      <c r="C15" s="20">
        <f>IFERROR(AV4,0)</f>
        <v>0.81728867646581171</v>
      </c>
      <c r="D15" s="21">
        <f>IFERROR(AV2,0)</f>
        <v>24.252562644000001</v>
      </c>
      <c r="E15" s="21">
        <f>IFERROR(AS9,0)</f>
        <v>31.448382284199148</v>
      </c>
      <c r="F15" s="9"/>
      <c r="G15" s="22">
        <v>1.7347699999999999</v>
      </c>
      <c r="H15" s="22">
        <v>49.356499999999997</v>
      </c>
      <c r="I15" s="22">
        <v>6.6284200000000003E-3</v>
      </c>
      <c r="J15" s="22">
        <v>5</v>
      </c>
      <c r="K15" s="22">
        <v>1.73431</v>
      </c>
      <c r="L15">
        <f t="shared" si="0"/>
        <v>-6.6284200000000002</v>
      </c>
      <c r="M15">
        <f t="shared" si="1"/>
        <v>-11.4987841634</v>
      </c>
      <c r="N15" s="9"/>
      <c r="O15" s="22">
        <v>-7.4768100000000004E-2</v>
      </c>
      <c r="P15" s="22">
        <v>98.599900000000005</v>
      </c>
      <c r="Q15" s="22">
        <v>-1.69891E-2</v>
      </c>
      <c r="R15" s="22">
        <v>5</v>
      </c>
      <c r="S15" s="22">
        <v>-7.5317400000000007E-2</v>
      </c>
      <c r="T15">
        <f t="shared" si="2"/>
        <v>16.989100000000001</v>
      </c>
      <c r="U15">
        <f t="shared" si="3"/>
        <v>-1.2702427277100001</v>
      </c>
      <c r="V15" s="23"/>
      <c r="W15" s="24"/>
      <c r="X15" s="9"/>
      <c r="Y15" s="22">
        <v>1.7347699999999999</v>
      </c>
      <c r="Z15" s="22">
        <v>148.00200000000001</v>
      </c>
      <c r="AA15" s="22">
        <v>4.3417400000000002E-2</v>
      </c>
      <c r="AB15" s="22">
        <v>5</v>
      </c>
      <c r="AC15" s="22">
        <v>1.7337</v>
      </c>
      <c r="AD15">
        <f t="shared" si="4"/>
        <v>-43.417400000000001</v>
      </c>
      <c r="AE15">
        <f t="shared" si="5"/>
        <v>-75.319202997999994</v>
      </c>
      <c r="AF15" s="9"/>
      <c r="AG15" s="22">
        <v>-7.4768100000000004E-2</v>
      </c>
      <c r="AH15" s="22">
        <v>197.369</v>
      </c>
      <c r="AI15" s="22">
        <v>-1.6992199999999999E-2</v>
      </c>
      <c r="AJ15" s="22">
        <v>5</v>
      </c>
      <c r="AK15" s="22">
        <v>-7.5195300000000007E-2</v>
      </c>
      <c r="AL15">
        <f t="shared" si="6"/>
        <v>16.9922</v>
      </c>
      <c r="AM15">
        <f t="shared" si="7"/>
        <v>-1.27047450882</v>
      </c>
      <c r="AP15" s="9"/>
      <c r="AQ15" s="22">
        <v>1.7347699999999999</v>
      </c>
      <c r="AR15" s="22">
        <v>246.65100000000001</v>
      </c>
      <c r="AS15" s="22">
        <v>3.5421800000000003E-2</v>
      </c>
      <c r="AT15" s="22">
        <v>5</v>
      </c>
      <c r="AU15" s="22">
        <v>1.7340100000000001</v>
      </c>
      <c r="AV15">
        <f t="shared" si="8"/>
        <v>-35.421800000000005</v>
      </c>
      <c r="AW15">
        <f t="shared" si="9"/>
        <v>-61.448675986000005</v>
      </c>
      <c r="AX15" s="9"/>
      <c r="AY15" s="22">
        <v>-7.4768100000000004E-2</v>
      </c>
      <c r="AZ15" s="22">
        <v>296.01799999999997</v>
      </c>
      <c r="BA15" s="22">
        <v>-1.70685E-2</v>
      </c>
      <c r="BB15" s="22">
        <v>5</v>
      </c>
      <c r="BC15" s="22">
        <v>-7.4584999999999999E-2</v>
      </c>
      <c r="BD15">
        <f t="shared" si="10"/>
        <v>17.0685</v>
      </c>
      <c r="BE15">
        <f t="shared" si="11"/>
        <v>-1.27617931485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0.77767378599200887</v>
      </c>
      <c r="B16" s="19">
        <f>IFERROR(BD9,0)</f>
        <v>17.074532594871322</v>
      </c>
      <c r="C16" s="20">
        <f>IFERROR(BD4,0)</f>
        <v>1.2520712952723323</v>
      </c>
      <c r="D16" s="21">
        <f>IFERROR(BD2,0)</f>
        <v>16.625524030000005</v>
      </c>
      <c r="E16" s="21"/>
      <c r="F16" s="9"/>
      <c r="G16" s="22">
        <v>1.7297400000000001</v>
      </c>
      <c r="H16" s="22">
        <v>49.366599999999998</v>
      </c>
      <c r="I16" s="22">
        <v>2.2589099999999998E-3</v>
      </c>
      <c r="J16" s="22">
        <v>6</v>
      </c>
      <c r="K16" s="22">
        <v>1.7291300000000001</v>
      </c>
      <c r="L16">
        <f t="shared" si="0"/>
        <v>-2.2589099999999998</v>
      </c>
      <c r="M16">
        <f t="shared" si="1"/>
        <v>-3.9073269833999995</v>
      </c>
      <c r="N16" s="9"/>
      <c r="O16" s="22">
        <v>-6.9732699999999995E-2</v>
      </c>
      <c r="P16" s="22">
        <v>98.61</v>
      </c>
      <c r="Q16" s="22">
        <v>-1.6998300000000001E-2</v>
      </c>
      <c r="R16" s="22">
        <v>6</v>
      </c>
      <c r="S16" s="22">
        <v>-7.0281999999999997E-2</v>
      </c>
      <c r="T16">
        <f t="shared" si="2"/>
        <v>16.9983</v>
      </c>
      <c r="U16">
        <f t="shared" si="3"/>
        <v>-1.1853373544099999</v>
      </c>
      <c r="V16" s="23"/>
      <c r="W16" s="24"/>
      <c r="X16" s="9"/>
      <c r="Y16" s="22">
        <v>1.7297400000000001</v>
      </c>
      <c r="Z16" s="22">
        <v>148.012</v>
      </c>
      <c r="AA16" s="22">
        <v>3.9752200000000001E-2</v>
      </c>
      <c r="AB16" s="22">
        <v>6</v>
      </c>
      <c r="AC16" s="22">
        <v>1.72943</v>
      </c>
      <c r="AD16">
        <f t="shared" si="4"/>
        <v>-39.752200000000002</v>
      </c>
      <c r="AE16">
        <f t="shared" si="5"/>
        <v>-68.760970428000007</v>
      </c>
      <c r="AF16" s="9"/>
      <c r="AG16" s="22">
        <v>-6.9732699999999995E-2</v>
      </c>
      <c r="AH16" s="22">
        <v>197.37899999999999</v>
      </c>
      <c r="AI16" s="22">
        <v>-1.7007399999999999E-2</v>
      </c>
      <c r="AJ16" s="22">
        <v>6</v>
      </c>
      <c r="AK16" s="22">
        <v>-7.0617700000000005E-2</v>
      </c>
      <c r="AL16">
        <f t="shared" si="6"/>
        <v>17.007400000000001</v>
      </c>
      <c r="AM16">
        <f t="shared" si="7"/>
        <v>-1.18597192198</v>
      </c>
      <c r="AP16" s="9"/>
      <c r="AQ16" s="22">
        <v>1.7297400000000001</v>
      </c>
      <c r="AR16" s="22">
        <v>246.661</v>
      </c>
      <c r="AS16" s="22">
        <v>3.1497200000000003E-2</v>
      </c>
      <c r="AT16" s="22">
        <v>6</v>
      </c>
      <c r="AU16" s="22">
        <v>1.72882</v>
      </c>
      <c r="AV16">
        <f t="shared" si="8"/>
        <v>-31.497200000000003</v>
      </c>
      <c r="AW16">
        <f t="shared" si="9"/>
        <v>-54.48196672800001</v>
      </c>
      <c r="AX16" s="9"/>
      <c r="AY16" s="22">
        <v>-6.9732699999999995E-2</v>
      </c>
      <c r="AZ16" s="22">
        <v>296.02800000000002</v>
      </c>
      <c r="BA16" s="22">
        <v>-1.70685E-2</v>
      </c>
      <c r="BB16" s="22">
        <v>6</v>
      </c>
      <c r="BC16" s="22">
        <v>-7.01904E-2</v>
      </c>
      <c r="BD16">
        <f t="shared" si="10"/>
        <v>17.0685</v>
      </c>
      <c r="BE16">
        <f t="shared" si="11"/>
        <v>-1.1902325899499999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1.7246999999999999</v>
      </c>
      <c r="H17" s="22">
        <v>49.376600000000003</v>
      </c>
      <c r="I17" s="22">
        <v>-1.33362E-3</v>
      </c>
      <c r="J17" s="22">
        <v>7</v>
      </c>
      <c r="K17" s="22">
        <v>1.72333</v>
      </c>
      <c r="L17">
        <f t="shared" si="0"/>
        <v>1.33362</v>
      </c>
      <c r="M17">
        <f t="shared" si="1"/>
        <v>2.3000944139999997</v>
      </c>
      <c r="N17" s="9"/>
      <c r="O17" s="22">
        <v>-6.4697299999999999E-2</v>
      </c>
      <c r="P17" s="22">
        <v>98.620099999999994</v>
      </c>
      <c r="Q17" s="22">
        <v>-1.6998300000000001E-2</v>
      </c>
      <c r="R17" s="22">
        <v>7</v>
      </c>
      <c r="S17" s="22">
        <v>-6.5246600000000002E-2</v>
      </c>
      <c r="T17">
        <f t="shared" si="2"/>
        <v>16.9983</v>
      </c>
      <c r="U17">
        <f t="shared" si="3"/>
        <v>-1.09974411459</v>
      </c>
      <c r="V17" s="23"/>
      <c r="W17" s="24"/>
      <c r="X17" s="9"/>
      <c r="Y17" s="22">
        <v>1.7246999999999999</v>
      </c>
      <c r="Z17" s="22">
        <v>148.02199999999999</v>
      </c>
      <c r="AA17" s="22">
        <v>3.5083000000000003E-2</v>
      </c>
      <c r="AB17" s="22">
        <v>7</v>
      </c>
      <c r="AC17" s="22">
        <v>1.72363</v>
      </c>
      <c r="AD17">
        <f t="shared" si="4"/>
        <v>-35.083000000000006</v>
      </c>
      <c r="AE17">
        <f t="shared" si="5"/>
        <v>-60.507650100000006</v>
      </c>
      <c r="AF17" s="9"/>
      <c r="AG17" s="22">
        <v>-6.4697299999999999E-2</v>
      </c>
      <c r="AH17" s="22">
        <v>197.38900000000001</v>
      </c>
      <c r="AI17" s="22">
        <v>-1.7007399999999999E-2</v>
      </c>
      <c r="AJ17" s="22">
        <v>7</v>
      </c>
      <c r="AK17" s="22">
        <v>-6.5399200000000005E-2</v>
      </c>
      <c r="AL17">
        <f t="shared" si="6"/>
        <v>17.007400000000001</v>
      </c>
      <c r="AM17">
        <f t="shared" si="7"/>
        <v>-1.10033286002</v>
      </c>
      <c r="AP17" s="9"/>
      <c r="AQ17" s="22">
        <v>1.7246999999999999</v>
      </c>
      <c r="AR17" s="22">
        <v>246.67099999999999</v>
      </c>
      <c r="AS17" s="22">
        <v>1.77795E-2</v>
      </c>
      <c r="AT17" s="22">
        <v>7</v>
      </c>
      <c r="AU17" s="22">
        <v>1.72363</v>
      </c>
      <c r="AV17">
        <f t="shared" si="8"/>
        <v>-17.779499999999999</v>
      </c>
      <c r="AW17">
        <f t="shared" si="9"/>
        <v>-30.664303649999997</v>
      </c>
      <c r="AX17" s="9"/>
      <c r="AY17" s="22">
        <v>-6.4697299999999999E-2</v>
      </c>
      <c r="AZ17" s="22">
        <v>296.03800000000001</v>
      </c>
      <c r="BA17" s="22">
        <v>-1.70715E-2</v>
      </c>
      <c r="BB17" s="22">
        <v>7</v>
      </c>
      <c r="BC17" s="22">
        <v>-6.5551799999999993E-2</v>
      </c>
      <c r="BD17">
        <f t="shared" si="10"/>
        <v>17.0715</v>
      </c>
      <c r="BE17">
        <f t="shared" si="11"/>
        <v>-1.1044799569500001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1.71967</v>
      </c>
      <c r="H18" s="22">
        <v>49.386699999999998</v>
      </c>
      <c r="I18" s="22">
        <v>-3.31635E-3</v>
      </c>
      <c r="J18" s="22">
        <v>8</v>
      </c>
      <c r="K18" s="22">
        <v>1.71906</v>
      </c>
      <c r="L18">
        <f t="shared" si="0"/>
        <v>3.3163499999999999</v>
      </c>
      <c r="M18">
        <f t="shared" si="1"/>
        <v>5.7030276044999999</v>
      </c>
      <c r="N18" s="9"/>
      <c r="O18" s="22">
        <v>-5.9661899999999997E-2</v>
      </c>
      <c r="P18" s="22">
        <v>98.630099999999999</v>
      </c>
      <c r="Q18" s="22">
        <v>-1.70013E-2</v>
      </c>
      <c r="R18" s="22">
        <v>8</v>
      </c>
      <c r="S18" s="22">
        <v>-6.0699500000000003E-2</v>
      </c>
      <c r="T18">
        <f t="shared" si="2"/>
        <v>17.001300000000001</v>
      </c>
      <c r="U18">
        <f t="shared" si="3"/>
        <v>-1.01432986047</v>
      </c>
      <c r="V18" s="23"/>
      <c r="W18" s="24"/>
      <c r="X18" s="9"/>
      <c r="Y18" s="22">
        <v>1.71967</v>
      </c>
      <c r="Z18" s="22">
        <v>148.03299999999999</v>
      </c>
      <c r="AA18" s="22">
        <v>3.1369000000000001E-2</v>
      </c>
      <c r="AB18" s="22">
        <v>8</v>
      </c>
      <c r="AC18" s="22">
        <v>1.71875</v>
      </c>
      <c r="AD18">
        <f t="shared" si="4"/>
        <v>-31.369</v>
      </c>
      <c r="AE18">
        <f t="shared" si="5"/>
        <v>-53.944328230000004</v>
      </c>
      <c r="AF18" s="9"/>
      <c r="AG18" s="22">
        <v>-5.9661899999999997E-2</v>
      </c>
      <c r="AH18" s="22">
        <v>197.399</v>
      </c>
      <c r="AI18" s="22">
        <v>-1.7022700000000002E-2</v>
      </c>
      <c r="AJ18" s="22">
        <v>8</v>
      </c>
      <c r="AK18" s="22">
        <v>-6.0699500000000003E-2</v>
      </c>
      <c r="AL18">
        <f t="shared" si="6"/>
        <v>17.0227</v>
      </c>
      <c r="AM18">
        <f t="shared" si="7"/>
        <v>-1.01560662513</v>
      </c>
      <c r="AP18" s="9"/>
      <c r="AQ18" s="22">
        <v>1.71967</v>
      </c>
      <c r="AR18" s="22">
        <v>246.68100000000001</v>
      </c>
      <c r="AS18" s="22">
        <v>1.4093E-2</v>
      </c>
      <c r="AT18" s="22">
        <v>8</v>
      </c>
      <c r="AU18" s="22">
        <v>1.71875</v>
      </c>
      <c r="AV18">
        <f t="shared" si="8"/>
        <v>-14.093</v>
      </c>
      <c r="AW18">
        <f t="shared" si="9"/>
        <v>-24.235309310000002</v>
      </c>
      <c r="AX18" s="9"/>
      <c r="AY18" s="22">
        <v>-5.9661899999999997E-2</v>
      </c>
      <c r="AZ18" s="22">
        <v>296.048</v>
      </c>
      <c r="BA18" s="22">
        <v>-1.7077599999999998E-2</v>
      </c>
      <c r="BB18" s="22">
        <v>8</v>
      </c>
      <c r="BC18" s="22">
        <v>-6.0272199999999998E-2</v>
      </c>
      <c r="BD18">
        <f t="shared" si="10"/>
        <v>17.077599999999997</v>
      </c>
      <c r="BE18">
        <f t="shared" si="11"/>
        <v>-1.0188820634399998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1.7146300000000001</v>
      </c>
      <c r="H19" s="22">
        <v>49.396799999999999</v>
      </c>
      <c r="I19" s="22">
        <v>-4.9566699999999998E-3</v>
      </c>
      <c r="J19" s="22">
        <v>9</v>
      </c>
      <c r="K19" s="22">
        <v>1.71326</v>
      </c>
      <c r="L19">
        <f t="shared" si="0"/>
        <v>4.9566699999999999</v>
      </c>
      <c r="M19">
        <f t="shared" si="1"/>
        <v>8.4988550821000004</v>
      </c>
      <c r="N19" s="9"/>
      <c r="O19" s="22">
        <v>-5.4626500000000001E-2</v>
      </c>
      <c r="P19" s="22">
        <v>98.640199999999993</v>
      </c>
      <c r="Q19" s="22">
        <v>-1.70013E-2</v>
      </c>
      <c r="R19" s="22">
        <v>9</v>
      </c>
      <c r="S19" s="22">
        <v>-5.53284E-2</v>
      </c>
      <c r="T19">
        <f t="shared" si="2"/>
        <v>17.001300000000001</v>
      </c>
      <c r="U19">
        <f t="shared" si="3"/>
        <v>-0.92872151445000006</v>
      </c>
      <c r="V19" s="23"/>
      <c r="W19" s="24"/>
      <c r="X19" s="9"/>
      <c r="Y19" s="22">
        <v>1.7146300000000001</v>
      </c>
      <c r="Z19" s="22">
        <v>148.04300000000001</v>
      </c>
      <c r="AA19" s="22">
        <v>3.09631E-2</v>
      </c>
      <c r="AB19" s="22">
        <v>9</v>
      </c>
      <c r="AC19" s="22">
        <v>1.71417</v>
      </c>
      <c r="AD19">
        <f t="shared" si="4"/>
        <v>-30.963100000000001</v>
      </c>
      <c r="AE19">
        <f t="shared" si="5"/>
        <v>-53.090260153000003</v>
      </c>
      <c r="AF19" s="9"/>
      <c r="AG19" s="22">
        <v>-5.4626500000000001E-2</v>
      </c>
      <c r="AH19" s="22">
        <v>197.40899999999999</v>
      </c>
      <c r="AI19" s="22">
        <v>-1.7010500000000001E-2</v>
      </c>
      <c r="AJ19" s="22">
        <v>9</v>
      </c>
      <c r="AK19" s="22">
        <v>-5.4992699999999999E-2</v>
      </c>
      <c r="AL19">
        <f t="shared" si="6"/>
        <v>17.0105</v>
      </c>
      <c r="AM19">
        <f t="shared" si="7"/>
        <v>-0.92922407825000009</v>
      </c>
      <c r="AP19" s="9"/>
      <c r="AQ19" s="22">
        <v>1.7146300000000001</v>
      </c>
      <c r="AR19" s="22">
        <v>246.69200000000001</v>
      </c>
      <c r="AS19" s="22">
        <v>1.0415600000000001E-2</v>
      </c>
      <c r="AT19" s="22">
        <v>9</v>
      </c>
      <c r="AU19" s="22">
        <v>1.71387</v>
      </c>
      <c r="AV19">
        <f t="shared" si="8"/>
        <v>-10.415600000000001</v>
      </c>
      <c r="AW19">
        <f t="shared" si="9"/>
        <v>-17.858900228000003</v>
      </c>
      <c r="AX19" s="9"/>
      <c r="AY19" s="22">
        <v>-5.4626500000000001E-2</v>
      </c>
      <c r="AZ19" s="22">
        <v>296.05799999999999</v>
      </c>
      <c r="BA19" s="22">
        <v>-1.7077599999999998E-2</v>
      </c>
      <c r="BB19" s="22">
        <v>9</v>
      </c>
      <c r="BC19" s="22">
        <v>-5.53284E-2</v>
      </c>
      <c r="BD19">
        <f t="shared" si="10"/>
        <v>17.077599999999997</v>
      </c>
      <c r="BE19">
        <f t="shared" si="11"/>
        <v>-0.93288951639999984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1.7095899999999999</v>
      </c>
      <c r="H20" s="22">
        <v>49.4069</v>
      </c>
      <c r="I20" s="22">
        <v>-6.3568100000000001E-3</v>
      </c>
      <c r="J20" s="22">
        <v>10</v>
      </c>
      <c r="K20" s="22">
        <v>1.7083699999999999</v>
      </c>
      <c r="L20">
        <f t="shared" si="0"/>
        <v>6.3568100000000003</v>
      </c>
      <c r="M20">
        <f t="shared" si="1"/>
        <v>10.867538807900001</v>
      </c>
      <c r="N20" s="9"/>
      <c r="O20" s="22">
        <v>-4.9591099999999999E-2</v>
      </c>
      <c r="P20" s="22">
        <v>98.650300000000001</v>
      </c>
      <c r="Q20" s="22">
        <v>-1.7007399999999999E-2</v>
      </c>
      <c r="R20" s="22">
        <v>10</v>
      </c>
      <c r="S20" s="22">
        <v>-5.0140400000000002E-2</v>
      </c>
      <c r="T20">
        <f t="shared" si="2"/>
        <v>17.007400000000001</v>
      </c>
      <c r="U20">
        <f t="shared" si="3"/>
        <v>-0.84341567413999996</v>
      </c>
      <c r="V20" s="23"/>
      <c r="W20" s="24"/>
      <c r="X20" s="9"/>
      <c r="Y20" s="22">
        <v>1.7095899999999999</v>
      </c>
      <c r="Z20" s="22">
        <v>148.053</v>
      </c>
      <c r="AA20" s="22">
        <v>2.34375E-2</v>
      </c>
      <c r="AB20" s="22">
        <v>10</v>
      </c>
      <c r="AC20" s="22">
        <v>1.70929</v>
      </c>
      <c r="AD20">
        <f t="shared" si="4"/>
        <v>-23.4375</v>
      </c>
      <c r="AE20">
        <f t="shared" si="5"/>
        <v>-40.068515624999996</v>
      </c>
      <c r="AF20" s="9"/>
      <c r="AG20" s="22">
        <v>-4.9591099999999999E-2</v>
      </c>
      <c r="AH20" s="22">
        <v>197.41900000000001</v>
      </c>
      <c r="AI20" s="22">
        <v>-1.70166E-2</v>
      </c>
      <c r="AJ20" s="22">
        <v>10</v>
      </c>
      <c r="AK20" s="22">
        <v>-5.0354000000000003E-2</v>
      </c>
      <c r="AL20">
        <f t="shared" si="6"/>
        <v>17.0166</v>
      </c>
      <c r="AM20">
        <f t="shared" si="7"/>
        <v>-0.84387191226000002</v>
      </c>
      <c r="AP20" s="9"/>
      <c r="AQ20" s="22">
        <v>1.7095899999999999</v>
      </c>
      <c r="AR20" s="22">
        <v>246.702</v>
      </c>
      <c r="AS20" s="22">
        <v>6.8695099999999997E-3</v>
      </c>
      <c r="AT20" s="22">
        <v>10</v>
      </c>
      <c r="AU20" s="22">
        <v>1.7083699999999999</v>
      </c>
      <c r="AV20">
        <f t="shared" si="8"/>
        <v>-6.86951</v>
      </c>
      <c r="AW20">
        <f t="shared" si="9"/>
        <v>-11.7440456009</v>
      </c>
      <c r="AX20" s="9"/>
      <c r="AY20" s="22">
        <v>-4.9591099999999999E-2</v>
      </c>
      <c r="AZ20" s="22">
        <v>296.06799999999998</v>
      </c>
      <c r="BA20" s="22">
        <v>-1.70837E-2</v>
      </c>
      <c r="BB20" s="22">
        <v>10</v>
      </c>
      <c r="BC20" s="22">
        <v>-5.0872800000000003E-2</v>
      </c>
      <c r="BD20">
        <f t="shared" si="10"/>
        <v>17.0837</v>
      </c>
      <c r="BE20">
        <f t="shared" si="11"/>
        <v>-0.84719947507000004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1.7045600000000001</v>
      </c>
      <c r="H21" s="22">
        <v>49.416899999999998</v>
      </c>
      <c r="I21" s="22">
        <v>-7.4218799999999996E-3</v>
      </c>
      <c r="J21" s="22">
        <v>11</v>
      </c>
      <c r="K21" s="22">
        <v>1.70319</v>
      </c>
      <c r="L21">
        <f t="shared" si="0"/>
        <v>7.4218799999999998</v>
      </c>
      <c r="M21">
        <f t="shared" si="1"/>
        <v>12.651039772800001</v>
      </c>
      <c r="N21" s="9"/>
      <c r="O21" s="22">
        <v>-4.4555699999999997E-2</v>
      </c>
      <c r="P21" s="22">
        <v>98.660300000000007</v>
      </c>
      <c r="Q21" s="22">
        <v>-1.7007399999999999E-2</v>
      </c>
      <c r="R21" s="22">
        <v>11</v>
      </c>
      <c r="S21" s="22">
        <v>-4.4949299999999998E-2</v>
      </c>
      <c r="T21">
        <f t="shared" si="2"/>
        <v>17.007400000000001</v>
      </c>
      <c r="U21">
        <f t="shared" si="3"/>
        <v>-0.75777661217999992</v>
      </c>
      <c r="V21" s="23"/>
      <c r="W21" s="24"/>
      <c r="X21" s="9"/>
      <c r="Y21" s="22">
        <v>1.7045600000000001</v>
      </c>
      <c r="Z21" s="22">
        <v>148.06299999999999</v>
      </c>
      <c r="AA21" s="22">
        <v>1.9027700000000002E-2</v>
      </c>
      <c r="AB21" s="22">
        <v>11</v>
      </c>
      <c r="AC21" s="22">
        <v>1.7047099999999999</v>
      </c>
      <c r="AD21">
        <f t="shared" si="4"/>
        <v>-19.027700000000003</v>
      </c>
      <c r="AE21">
        <f t="shared" si="5"/>
        <v>-32.433856312000003</v>
      </c>
      <c r="AF21" s="9"/>
      <c r="AG21" s="22">
        <v>-4.4555699999999997E-2</v>
      </c>
      <c r="AH21" s="22">
        <v>197.429</v>
      </c>
      <c r="AI21" s="22">
        <v>-1.70166E-2</v>
      </c>
      <c r="AJ21" s="22">
        <v>11</v>
      </c>
      <c r="AK21" s="22">
        <v>-4.5303299999999998E-2</v>
      </c>
      <c r="AL21">
        <f t="shared" si="6"/>
        <v>17.0166</v>
      </c>
      <c r="AM21">
        <f t="shared" si="7"/>
        <v>-0.75818652461999991</v>
      </c>
      <c r="AP21" s="9"/>
      <c r="AQ21" s="22">
        <v>1.7045600000000001</v>
      </c>
      <c r="AR21" s="22">
        <v>246.71199999999999</v>
      </c>
      <c r="AS21" s="22">
        <v>3.4829700000000002E-3</v>
      </c>
      <c r="AT21" s="22">
        <v>11</v>
      </c>
      <c r="AU21" s="22">
        <v>1.70319</v>
      </c>
      <c r="AV21">
        <f t="shared" si="8"/>
        <v>-3.4829700000000003</v>
      </c>
      <c r="AW21">
        <f t="shared" si="9"/>
        <v>-5.9369313432000013</v>
      </c>
      <c r="AX21" s="9"/>
      <c r="AY21" s="22">
        <v>-4.4555699999999997E-2</v>
      </c>
      <c r="AZ21" s="22">
        <v>296.07799999999997</v>
      </c>
      <c r="BA21" s="22">
        <v>-1.7080700000000001E-2</v>
      </c>
      <c r="BB21" s="22">
        <v>11</v>
      </c>
      <c r="BC21" s="22">
        <v>-4.4619800000000001E-2</v>
      </c>
      <c r="BD21">
        <f t="shared" si="10"/>
        <v>17.0807</v>
      </c>
      <c r="BE21">
        <f t="shared" si="11"/>
        <v>-0.7610425449899999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1.6995199999999999</v>
      </c>
      <c r="H22" s="22">
        <v>49.427</v>
      </c>
      <c r="I22" s="22">
        <v>-8.0017100000000004E-3</v>
      </c>
      <c r="J22" s="22">
        <v>12</v>
      </c>
      <c r="K22" s="22">
        <v>1.6989099999999999</v>
      </c>
      <c r="L22">
        <f t="shared" si="0"/>
        <v>8.001710000000001</v>
      </c>
      <c r="M22">
        <f t="shared" si="1"/>
        <v>13.599066179200001</v>
      </c>
      <c r="N22" s="9"/>
      <c r="O22" s="22">
        <v>-3.9520300000000001E-2</v>
      </c>
      <c r="P22" s="22">
        <v>98.670400000000001</v>
      </c>
      <c r="Q22" s="22">
        <v>-1.7007399999999999E-2</v>
      </c>
      <c r="R22" s="22">
        <v>12</v>
      </c>
      <c r="S22" s="22">
        <v>-3.9889500000000001E-2</v>
      </c>
      <c r="T22">
        <f t="shared" si="2"/>
        <v>17.007400000000001</v>
      </c>
      <c r="U22">
        <f t="shared" si="3"/>
        <v>-0.67213755021999999</v>
      </c>
      <c r="V22" s="23"/>
      <c r="W22" s="24"/>
      <c r="X22" s="9"/>
      <c r="Y22" s="22">
        <v>1.6995199999999999</v>
      </c>
      <c r="Z22" s="22">
        <v>148.07300000000001</v>
      </c>
      <c r="AA22" s="22">
        <v>1.6687E-2</v>
      </c>
      <c r="AB22" s="22">
        <v>12</v>
      </c>
      <c r="AC22" s="22">
        <v>1.6982999999999999</v>
      </c>
      <c r="AD22">
        <f t="shared" si="4"/>
        <v>-16.687000000000001</v>
      </c>
      <c r="AE22">
        <f t="shared" si="5"/>
        <v>-28.359890240000002</v>
      </c>
      <c r="AF22" s="9"/>
      <c r="AG22" s="22">
        <v>-3.9520300000000001E-2</v>
      </c>
      <c r="AH22" s="22">
        <v>197.43899999999999</v>
      </c>
      <c r="AI22" s="22">
        <v>-1.7013500000000001E-2</v>
      </c>
      <c r="AJ22" s="22">
        <v>12</v>
      </c>
      <c r="AK22" s="22">
        <v>-3.9746099999999999E-2</v>
      </c>
      <c r="AL22">
        <f t="shared" si="6"/>
        <v>17.013500000000001</v>
      </c>
      <c r="AM22">
        <f t="shared" si="7"/>
        <v>-0.67237862405000004</v>
      </c>
      <c r="AP22" s="9"/>
      <c r="AQ22" s="22">
        <v>1.6995199999999999</v>
      </c>
      <c r="AR22" s="22">
        <v>246.72200000000001</v>
      </c>
      <c r="AS22" s="22">
        <v>3.5263100000000001E-4</v>
      </c>
      <c r="AT22" s="22">
        <v>12</v>
      </c>
      <c r="AU22" s="22">
        <v>1.6982999999999999</v>
      </c>
      <c r="AV22">
        <f t="shared" si="8"/>
        <v>-0.35263100000000003</v>
      </c>
      <c r="AW22">
        <f t="shared" si="9"/>
        <v>-0.59930343712</v>
      </c>
      <c r="AX22" s="9"/>
      <c r="AY22" s="22">
        <v>-3.9520300000000001E-2</v>
      </c>
      <c r="AZ22" s="22">
        <v>296.08800000000002</v>
      </c>
      <c r="BA22" s="22">
        <v>-1.70715E-2</v>
      </c>
      <c r="BB22" s="22">
        <v>12</v>
      </c>
      <c r="BC22" s="22">
        <v>-3.9138800000000001E-2</v>
      </c>
      <c r="BD22">
        <f t="shared" si="10"/>
        <v>17.0715</v>
      </c>
      <c r="BE22">
        <f t="shared" si="11"/>
        <v>-0.67467080145000002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1.6944900000000001</v>
      </c>
      <c r="H23" s="22">
        <v>49.437100000000001</v>
      </c>
      <c r="I23" s="22">
        <v>-8.8531500000000006E-3</v>
      </c>
      <c r="J23" s="22">
        <v>13</v>
      </c>
      <c r="K23" s="22">
        <v>1.6940299999999999</v>
      </c>
      <c r="L23">
        <f t="shared" si="0"/>
        <v>8.8531500000000012</v>
      </c>
      <c r="M23">
        <f t="shared" si="1"/>
        <v>15.001574143500003</v>
      </c>
      <c r="N23" s="9"/>
      <c r="O23" s="22">
        <v>-3.4484899999999999E-2</v>
      </c>
      <c r="P23" s="22">
        <v>98.680499999999995</v>
      </c>
      <c r="Q23" s="22">
        <v>-1.7004399999999999E-2</v>
      </c>
      <c r="R23" s="22">
        <v>13</v>
      </c>
      <c r="S23" s="22">
        <v>-3.45764E-2</v>
      </c>
      <c r="T23">
        <f t="shared" si="2"/>
        <v>17.0044</v>
      </c>
      <c r="U23">
        <f t="shared" si="3"/>
        <v>-0.58639503356</v>
      </c>
      <c r="V23" s="23"/>
      <c r="W23" s="24"/>
      <c r="X23" s="9"/>
      <c r="Y23" s="22">
        <v>1.6944900000000001</v>
      </c>
      <c r="Z23" s="22">
        <v>148.083</v>
      </c>
      <c r="AA23" s="22">
        <v>9.1003400000000002E-3</v>
      </c>
      <c r="AB23" s="22">
        <v>13</v>
      </c>
      <c r="AC23" s="22">
        <v>1.69373</v>
      </c>
      <c r="AD23">
        <f t="shared" si="4"/>
        <v>-9.100340000000001</v>
      </c>
      <c r="AE23">
        <f t="shared" si="5"/>
        <v>-15.420435126600003</v>
      </c>
      <c r="AF23" s="9"/>
      <c r="AG23" s="22">
        <v>-3.4484899999999999E-2</v>
      </c>
      <c r="AH23" s="22">
        <v>197.44900000000001</v>
      </c>
      <c r="AI23" s="22">
        <v>-1.7019699999999999E-2</v>
      </c>
      <c r="AJ23" s="22">
        <v>13</v>
      </c>
      <c r="AK23" s="22">
        <v>-3.4982300000000001E-2</v>
      </c>
      <c r="AL23">
        <f t="shared" si="6"/>
        <v>17.0197</v>
      </c>
      <c r="AM23">
        <f t="shared" si="7"/>
        <v>-0.58692265252999998</v>
      </c>
      <c r="AP23" s="9"/>
      <c r="AQ23" s="22">
        <v>1.6944900000000001</v>
      </c>
      <c r="AR23" s="22">
        <v>246.732</v>
      </c>
      <c r="AS23" s="22">
        <v>-1.86218E-3</v>
      </c>
      <c r="AT23" s="22">
        <v>13</v>
      </c>
      <c r="AU23" s="22">
        <v>1.69373</v>
      </c>
      <c r="AV23">
        <f t="shared" si="8"/>
        <v>1.8621799999999999</v>
      </c>
      <c r="AW23">
        <f t="shared" si="9"/>
        <v>3.1554453882</v>
      </c>
      <c r="AX23" s="9"/>
      <c r="AY23" s="22">
        <v>-3.4484899999999999E-2</v>
      </c>
      <c r="AZ23" s="22">
        <v>296.09800000000001</v>
      </c>
      <c r="BA23" s="22">
        <v>-1.70715E-2</v>
      </c>
      <c r="BB23" s="22">
        <v>13</v>
      </c>
      <c r="BC23" s="22">
        <v>-3.4954800000000001E-2</v>
      </c>
      <c r="BD23">
        <f t="shared" si="10"/>
        <v>17.0715</v>
      </c>
      <c r="BE23">
        <f t="shared" si="11"/>
        <v>-0.58870897035000003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1.6894499999999999</v>
      </c>
      <c r="H24" s="22">
        <v>49.447099999999999</v>
      </c>
      <c r="I24" s="22">
        <v>-9.8419200000000005E-3</v>
      </c>
      <c r="J24" s="22">
        <v>14</v>
      </c>
      <c r="K24" s="22">
        <v>1.6885399999999999</v>
      </c>
      <c r="L24">
        <f t="shared" si="0"/>
        <v>9.84192</v>
      </c>
      <c r="M24">
        <f t="shared" si="1"/>
        <v>16.627431743999999</v>
      </c>
      <c r="N24" s="9"/>
      <c r="O24" s="22">
        <v>-2.94495E-2</v>
      </c>
      <c r="P24" s="22">
        <v>98.690600000000003</v>
      </c>
      <c r="Q24" s="22">
        <v>-1.7007399999999999E-2</v>
      </c>
      <c r="R24" s="22">
        <v>14</v>
      </c>
      <c r="S24" s="22">
        <v>-2.9788200000000001E-2</v>
      </c>
      <c r="T24">
        <f t="shared" si="2"/>
        <v>17.007400000000001</v>
      </c>
      <c r="U24">
        <f t="shared" si="3"/>
        <v>-0.50085942630000002</v>
      </c>
      <c r="V24" s="23"/>
      <c r="W24" s="24"/>
      <c r="X24" s="9"/>
      <c r="Y24" s="22">
        <v>1.6894499999999999</v>
      </c>
      <c r="Z24" s="22">
        <v>148.09299999999999</v>
      </c>
      <c r="AA24" s="22">
        <v>6.2774700000000003E-3</v>
      </c>
      <c r="AB24" s="22">
        <v>14</v>
      </c>
      <c r="AC24" s="22">
        <v>1.6867099999999999</v>
      </c>
      <c r="AD24">
        <f t="shared" si="4"/>
        <v>-6.2774700000000001</v>
      </c>
      <c r="AE24">
        <f t="shared" si="5"/>
        <v>-10.6054716915</v>
      </c>
      <c r="AF24" s="9"/>
      <c r="AG24" s="22">
        <v>-2.94495E-2</v>
      </c>
      <c r="AH24" s="22">
        <v>197.459</v>
      </c>
      <c r="AI24" s="22">
        <v>-1.70166E-2</v>
      </c>
      <c r="AJ24" s="22">
        <v>14</v>
      </c>
      <c r="AK24" s="22">
        <v>-2.9443400000000002E-2</v>
      </c>
      <c r="AL24">
        <f t="shared" si="6"/>
        <v>17.0166</v>
      </c>
      <c r="AM24">
        <f t="shared" si="7"/>
        <v>-0.50113036170000003</v>
      </c>
      <c r="AP24" s="9"/>
      <c r="AQ24" s="22">
        <v>1.6894499999999999</v>
      </c>
      <c r="AR24" s="22">
        <v>246.74199999999999</v>
      </c>
      <c r="AS24" s="22">
        <v>-3.5559099999999998E-3</v>
      </c>
      <c r="AT24" s="22">
        <v>14</v>
      </c>
      <c r="AU24" s="22">
        <v>1.6882299999999999</v>
      </c>
      <c r="AV24">
        <f t="shared" si="8"/>
        <v>3.5559099999999999</v>
      </c>
      <c r="AW24">
        <f t="shared" si="9"/>
        <v>6.0075321494999994</v>
      </c>
      <c r="AX24" s="9"/>
      <c r="AY24" s="22">
        <v>-2.94495E-2</v>
      </c>
      <c r="AZ24" s="22">
        <v>296.108</v>
      </c>
      <c r="BA24" s="22">
        <v>-1.7077599999999998E-2</v>
      </c>
      <c r="BB24" s="22">
        <v>14</v>
      </c>
      <c r="BC24" s="22">
        <v>-3.0355799999999999E-2</v>
      </c>
      <c r="BD24">
        <f t="shared" si="10"/>
        <v>17.077599999999997</v>
      </c>
      <c r="BE24">
        <f t="shared" si="11"/>
        <v>-0.50292678119999989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1.68442</v>
      </c>
      <c r="H25" s="22">
        <v>49.4572</v>
      </c>
      <c r="I25" s="22">
        <v>-1.03699E-2</v>
      </c>
      <c r="J25" s="22">
        <v>15</v>
      </c>
      <c r="K25" s="22">
        <v>1.6830400000000001</v>
      </c>
      <c r="L25">
        <f t="shared" si="0"/>
        <v>10.369899999999999</v>
      </c>
      <c r="M25">
        <f t="shared" si="1"/>
        <v>17.467266958</v>
      </c>
      <c r="N25" s="9"/>
      <c r="O25" s="22">
        <v>-2.4414100000000001E-2</v>
      </c>
      <c r="P25" s="22">
        <v>98.700599999999994</v>
      </c>
      <c r="Q25" s="22">
        <v>-1.7004399999999999E-2</v>
      </c>
      <c r="R25" s="22">
        <v>15</v>
      </c>
      <c r="S25" s="22">
        <v>-2.4749799999999999E-2</v>
      </c>
      <c r="T25">
        <f t="shared" si="2"/>
        <v>17.0044</v>
      </c>
      <c r="U25">
        <f t="shared" si="3"/>
        <v>-0.41514712204000004</v>
      </c>
      <c r="V25" s="23"/>
      <c r="W25" s="24"/>
      <c r="X25" s="9"/>
      <c r="Y25" s="22">
        <v>1.68442</v>
      </c>
      <c r="Z25" s="22">
        <v>148.10300000000001</v>
      </c>
      <c r="AA25" s="22">
        <v>-4.0588400000000002E-4</v>
      </c>
      <c r="AB25" s="22">
        <v>15</v>
      </c>
      <c r="AC25" s="22">
        <v>1.6854899999999999</v>
      </c>
      <c r="AD25">
        <f t="shared" si="4"/>
        <v>0.40588400000000002</v>
      </c>
      <c r="AE25">
        <f t="shared" si="5"/>
        <v>0.68367912728000002</v>
      </c>
      <c r="AF25" s="9"/>
      <c r="AG25" s="22">
        <v>-2.4414100000000001E-2</v>
      </c>
      <c r="AH25" s="22">
        <v>197.47</v>
      </c>
      <c r="AI25" s="22">
        <v>-1.7019699999999999E-2</v>
      </c>
      <c r="AJ25" s="22">
        <v>15</v>
      </c>
      <c r="AK25" s="22">
        <v>-2.4343900000000002E-2</v>
      </c>
      <c r="AL25">
        <f t="shared" si="6"/>
        <v>17.0197</v>
      </c>
      <c r="AM25">
        <f t="shared" si="7"/>
        <v>-0.41552065777000002</v>
      </c>
      <c r="AP25" s="9"/>
      <c r="AQ25" s="22">
        <v>1.68442</v>
      </c>
      <c r="AR25" s="22">
        <v>246.75200000000001</v>
      </c>
      <c r="AS25" s="22">
        <v>-4.9926800000000002E-3</v>
      </c>
      <c r="AT25" s="22">
        <v>15</v>
      </c>
      <c r="AU25" s="22">
        <v>1.6836500000000001</v>
      </c>
      <c r="AV25">
        <f t="shared" si="8"/>
        <v>4.99268</v>
      </c>
      <c r="AW25">
        <f t="shared" si="9"/>
        <v>8.4097700456000002</v>
      </c>
      <c r="AX25" s="9"/>
      <c r="AY25" s="22">
        <v>-2.4414100000000001E-2</v>
      </c>
      <c r="AZ25" s="22">
        <v>296.11799999999999</v>
      </c>
      <c r="BA25" s="22">
        <v>-1.7077599999999998E-2</v>
      </c>
      <c r="BB25" s="22">
        <v>15</v>
      </c>
      <c r="BC25" s="22">
        <v>-2.53204E-2</v>
      </c>
      <c r="BD25">
        <f t="shared" si="10"/>
        <v>17.077599999999997</v>
      </c>
      <c r="BE25">
        <f t="shared" si="11"/>
        <v>-0.41693423415999992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1.6793800000000001</v>
      </c>
      <c r="H26" s="22">
        <v>49.467300000000002</v>
      </c>
      <c r="I26" s="22">
        <v>-1.09131E-2</v>
      </c>
      <c r="J26" s="22">
        <v>16</v>
      </c>
      <c r="K26" s="22">
        <v>1.6787700000000001</v>
      </c>
      <c r="L26">
        <f t="shared" si="0"/>
        <v>10.9131</v>
      </c>
      <c r="M26">
        <f t="shared" si="1"/>
        <v>18.327241878000002</v>
      </c>
      <c r="N26" s="9"/>
      <c r="O26" s="22">
        <v>-1.9378699999999999E-2</v>
      </c>
      <c r="P26" s="22">
        <v>98.710700000000003</v>
      </c>
      <c r="Q26" s="22">
        <v>-1.6998300000000001E-2</v>
      </c>
      <c r="R26" s="22">
        <v>16</v>
      </c>
      <c r="S26" s="22">
        <v>-1.9766200000000001E-2</v>
      </c>
      <c r="T26">
        <f t="shared" si="2"/>
        <v>16.9983</v>
      </c>
      <c r="U26">
        <f t="shared" si="3"/>
        <v>-0.32940495620999999</v>
      </c>
      <c r="V26" s="23"/>
      <c r="W26" s="24"/>
      <c r="X26" s="9"/>
      <c r="Y26" s="22">
        <v>1.6793800000000001</v>
      </c>
      <c r="Z26" s="22">
        <v>148.113</v>
      </c>
      <c r="AA26" s="22">
        <v>-3.1585699999999999E-3</v>
      </c>
      <c r="AB26" s="22">
        <v>16</v>
      </c>
      <c r="AC26" s="22">
        <v>1.6824300000000001</v>
      </c>
      <c r="AD26">
        <f t="shared" si="4"/>
        <v>3.1585699999999997</v>
      </c>
      <c r="AE26">
        <f t="shared" si="5"/>
        <v>5.3044392866000001</v>
      </c>
      <c r="AF26" s="9"/>
      <c r="AG26" s="22">
        <v>-1.9378699999999999E-2</v>
      </c>
      <c r="AH26" s="22">
        <v>197.48</v>
      </c>
      <c r="AI26" s="22">
        <v>-1.7013500000000001E-2</v>
      </c>
      <c r="AJ26" s="22">
        <v>16</v>
      </c>
      <c r="AK26" s="22">
        <v>-1.9192500000000001E-2</v>
      </c>
      <c r="AL26">
        <f t="shared" si="6"/>
        <v>17.013500000000001</v>
      </c>
      <c r="AM26">
        <f t="shared" si="7"/>
        <v>-0.32969951245000001</v>
      </c>
      <c r="AP26" s="9"/>
      <c r="AQ26" s="22">
        <v>1.6793800000000001</v>
      </c>
      <c r="AR26" s="22">
        <v>246.762</v>
      </c>
      <c r="AS26" s="22">
        <v>-6.1981199999999997E-3</v>
      </c>
      <c r="AT26" s="22">
        <v>16</v>
      </c>
      <c r="AU26" s="22">
        <v>1.6787700000000001</v>
      </c>
      <c r="AV26">
        <f t="shared" si="8"/>
        <v>6.1981199999999994</v>
      </c>
      <c r="AW26">
        <f t="shared" si="9"/>
        <v>10.4089987656</v>
      </c>
      <c r="AX26" s="9"/>
      <c r="AY26" s="22">
        <v>-1.9378699999999999E-2</v>
      </c>
      <c r="AZ26" s="22">
        <v>296.12799999999999</v>
      </c>
      <c r="BA26" s="22">
        <v>-1.7080700000000001E-2</v>
      </c>
      <c r="BB26" s="22">
        <v>16</v>
      </c>
      <c r="BC26" s="22">
        <v>-2.0523099999999999E-2</v>
      </c>
      <c r="BD26">
        <f t="shared" si="10"/>
        <v>17.0807</v>
      </c>
      <c r="BE26">
        <f t="shared" si="11"/>
        <v>-0.33100176108999996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1.67435</v>
      </c>
      <c r="H27" s="22">
        <v>49.4773</v>
      </c>
      <c r="I27" s="22">
        <v>-1.15601E-2</v>
      </c>
      <c r="J27" s="22">
        <v>17</v>
      </c>
      <c r="K27" s="22">
        <v>1.6732800000000001</v>
      </c>
      <c r="L27">
        <f t="shared" si="0"/>
        <v>11.5601</v>
      </c>
      <c r="M27">
        <f t="shared" si="1"/>
        <v>19.355653435000001</v>
      </c>
      <c r="N27" s="9"/>
      <c r="O27" s="22">
        <v>-1.43433E-2</v>
      </c>
      <c r="P27" s="22">
        <v>98.720799999999997</v>
      </c>
      <c r="Q27" s="22">
        <v>-1.70013E-2</v>
      </c>
      <c r="R27" s="22">
        <v>17</v>
      </c>
      <c r="S27" s="22">
        <v>-1.4331099999999999E-2</v>
      </c>
      <c r="T27">
        <f t="shared" si="2"/>
        <v>17.001300000000001</v>
      </c>
      <c r="U27">
        <f t="shared" si="3"/>
        <v>-0.24385474629000001</v>
      </c>
      <c r="X27" s="9"/>
      <c r="Y27" s="22">
        <v>1.67435</v>
      </c>
      <c r="Z27" s="22">
        <v>148.12299999999999</v>
      </c>
      <c r="AA27" s="22">
        <v>-7.5836200000000001E-3</v>
      </c>
      <c r="AB27" s="22">
        <v>17</v>
      </c>
      <c r="AC27" s="22">
        <v>1.6671800000000001</v>
      </c>
      <c r="AD27">
        <f t="shared" si="4"/>
        <v>7.5836199999999998</v>
      </c>
      <c r="AE27">
        <f t="shared" si="5"/>
        <v>12.697634147</v>
      </c>
      <c r="AF27" s="9"/>
      <c r="AG27" s="22">
        <v>-1.43433E-2</v>
      </c>
      <c r="AH27" s="22">
        <v>197.49</v>
      </c>
      <c r="AI27" s="22">
        <v>-1.7010500000000001E-2</v>
      </c>
      <c r="AJ27" s="22">
        <v>17</v>
      </c>
      <c r="AK27" s="22">
        <v>-1.44653E-2</v>
      </c>
      <c r="AL27">
        <f t="shared" si="6"/>
        <v>17.0105</v>
      </c>
      <c r="AM27">
        <f t="shared" si="7"/>
        <v>-0.24398670465</v>
      </c>
      <c r="AP27" s="9"/>
      <c r="AQ27" s="22">
        <v>1.67435</v>
      </c>
      <c r="AR27" s="22">
        <v>246.77199999999999</v>
      </c>
      <c r="AS27" s="22">
        <v>-7.1868899999999996E-3</v>
      </c>
      <c r="AT27" s="22">
        <v>17</v>
      </c>
      <c r="AU27" s="22">
        <v>1.6735800000000001</v>
      </c>
      <c r="AV27">
        <f t="shared" si="8"/>
        <v>7.18689</v>
      </c>
      <c r="AW27">
        <f t="shared" si="9"/>
        <v>12.0333692715</v>
      </c>
      <c r="AX27" s="9"/>
      <c r="AY27" s="22">
        <v>-1.43433E-2</v>
      </c>
      <c r="AZ27" s="22">
        <v>296.13900000000001</v>
      </c>
      <c r="BA27" s="22">
        <v>-1.7080700000000001E-2</v>
      </c>
      <c r="BB27" s="22">
        <v>17</v>
      </c>
      <c r="BC27" s="22">
        <v>-1.45203E-2</v>
      </c>
      <c r="BD27">
        <f t="shared" si="10"/>
        <v>17.0807</v>
      </c>
      <c r="BE27">
        <f t="shared" si="11"/>
        <v>-0.24499360431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1.6693100000000001</v>
      </c>
      <c r="H28" s="22">
        <v>49.487400000000001</v>
      </c>
      <c r="I28" s="22">
        <v>-1.18225E-2</v>
      </c>
      <c r="J28" s="22">
        <v>18</v>
      </c>
      <c r="K28" s="22">
        <v>1.6680900000000001</v>
      </c>
      <c r="L28">
        <f t="shared" si="0"/>
        <v>11.8225</v>
      </c>
      <c r="M28">
        <f t="shared" si="1"/>
        <v>19.735417475000002</v>
      </c>
      <c r="N28" s="9"/>
      <c r="O28" s="22">
        <v>-9.3078599999999994E-3</v>
      </c>
      <c r="P28" s="22">
        <v>98.730800000000002</v>
      </c>
      <c r="Q28" s="22">
        <v>-1.6995199999999999E-2</v>
      </c>
      <c r="R28" s="22">
        <v>18</v>
      </c>
      <c r="S28" s="22">
        <v>-9.4543500000000003E-3</v>
      </c>
      <c r="T28">
        <f t="shared" si="2"/>
        <v>16.995199999999997</v>
      </c>
      <c r="U28">
        <f t="shared" si="3"/>
        <v>-0.15818894227199995</v>
      </c>
      <c r="X28" s="9"/>
      <c r="Y28" s="22">
        <v>1.6693100000000001</v>
      </c>
      <c r="Z28" s="22">
        <v>148.13300000000001</v>
      </c>
      <c r="AA28" s="22">
        <v>-8.1665000000000001E-3</v>
      </c>
      <c r="AB28" s="22">
        <v>18</v>
      </c>
      <c r="AC28" s="22">
        <v>1.6684000000000001</v>
      </c>
      <c r="AD28">
        <f t="shared" si="4"/>
        <v>8.166500000000001</v>
      </c>
      <c r="AE28">
        <f t="shared" si="5"/>
        <v>13.632420115000002</v>
      </c>
      <c r="AF28" s="9"/>
      <c r="AG28" s="22">
        <v>-9.3078599999999994E-3</v>
      </c>
      <c r="AH28" s="22">
        <v>197.5</v>
      </c>
      <c r="AI28" s="22">
        <v>-1.7007399999999999E-2</v>
      </c>
      <c r="AJ28" s="22">
        <v>18</v>
      </c>
      <c r="AK28" s="22">
        <v>-9.5886200000000008E-3</v>
      </c>
      <c r="AL28">
        <f t="shared" si="6"/>
        <v>17.007400000000001</v>
      </c>
      <c r="AM28">
        <f t="shared" si="7"/>
        <v>-0.15830249816399999</v>
      </c>
      <c r="AP28" s="9"/>
      <c r="AQ28" s="22">
        <v>1.6693100000000001</v>
      </c>
      <c r="AR28" s="22">
        <v>246.78200000000001</v>
      </c>
      <c r="AS28" s="22">
        <v>-8.0566400000000003E-3</v>
      </c>
      <c r="AT28" s="22">
        <v>18</v>
      </c>
      <c r="AU28" s="22">
        <v>1.6674800000000001</v>
      </c>
      <c r="AV28">
        <f t="shared" si="8"/>
        <v>8.0566399999999998</v>
      </c>
      <c r="AW28">
        <f t="shared" si="9"/>
        <v>13.4490297184</v>
      </c>
      <c r="AX28" s="9"/>
      <c r="AY28" s="22">
        <v>-9.3078599999999994E-3</v>
      </c>
      <c r="AZ28" s="22">
        <v>296.149</v>
      </c>
      <c r="BA28" s="22">
        <v>-1.7077599999999998E-2</v>
      </c>
      <c r="BB28" s="22">
        <v>18</v>
      </c>
      <c r="BC28" s="22">
        <v>-9.6404999999999998E-3</v>
      </c>
      <c r="BD28">
        <f t="shared" si="10"/>
        <v>17.077599999999997</v>
      </c>
      <c r="BE28">
        <f t="shared" si="11"/>
        <v>-0.15895590993599995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1.66428</v>
      </c>
      <c r="H29" s="22">
        <v>49.497500000000002</v>
      </c>
      <c r="I29" s="22">
        <v>-1.2383999999999999E-2</v>
      </c>
      <c r="J29" s="22">
        <v>19</v>
      </c>
      <c r="K29" s="22">
        <v>1.6632100000000001</v>
      </c>
      <c r="L29">
        <f t="shared" si="0"/>
        <v>12.383999999999999</v>
      </c>
      <c r="M29">
        <f t="shared" si="1"/>
        <v>20.610443519999997</v>
      </c>
      <c r="N29" s="9"/>
      <c r="O29" s="22">
        <v>-4.2724599999999996E-3</v>
      </c>
      <c r="P29" s="22">
        <v>98.740899999999996</v>
      </c>
      <c r="Q29" s="22">
        <v>-1.6995199999999999E-2</v>
      </c>
      <c r="R29" s="22">
        <v>19</v>
      </c>
      <c r="S29" s="22">
        <v>-4.3823200000000003E-3</v>
      </c>
      <c r="T29">
        <f t="shared" si="2"/>
        <v>16.995199999999997</v>
      </c>
      <c r="U29">
        <f t="shared" si="3"/>
        <v>-7.2611312191999983E-2</v>
      </c>
      <c r="X29" s="9"/>
      <c r="Y29" s="22">
        <v>1.66428</v>
      </c>
      <c r="Z29" s="22">
        <v>148.143</v>
      </c>
      <c r="AA29" s="22">
        <v>-9.1857899999999992E-3</v>
      </c>
      <c r="AB29" s="22">
        <v>19</v>
      </c>
      <c r="AC29" s="22">
        <v>1.66351</v>
      </c>
      <c r="AD29">
        <f t="shared" si="4"/>
        <v>9.185789999999999</v>
      </c>
      <c r="AE29">
        <f t="shared" si="5"/>
        <v>15.287726581199998</v>
      </c>
      <c r="AF29" s="9"/>
      <c r="AG29" s="22">
        <v>-4.2724599999999996E-3</v>
      </c>
      <c r="AH29" s="22">
        <v>197.51</v>
      </c>
      <c r="AI29" s="22">
        <v>-1.7013500000000001E-2</v>
      </c>
      <c r="AJ29" s="22">
        <v>19</v>
      </c>
      <c r="AK29" s="22">
        <v>-5.18799E-3</v>
      </c>
      <c r="AL29">
        <f t="shared" si="6"/>
        <v>17.013500000000001</v>
      </c>
      <c r="AM29">
        <f t="shared" si="7"/>
        <v>-7.2689498209999995E-2</v>
      </c>
      <c r="AP29" s="9"/>
      <c r="AQ29" s="22">
        <v>1.66428</v>
      </c>
      <c r="AR29" s="22">
        <v>246.792</v>
      </c>
      <c r="AS29" s="22">
        <v>-8.8012699999999999E-3</v>
      </c>
      <c r="AT29" s="22">
        <v>19</v>
      </c>
      <c r="AU29" s="22">
        <v>1.6629</v>
      </c>
      <c r="AV29">
        <f t="shared" si="8"/>
        <v>8.8012700000000006</v>
      </c>
      <c r="AW29">
        <f t="shared" si="9"/>
        <v>14.647777635600001</v>
      </c>
      <c r="AX29" s="9"/>
      <c r="AY29" s="22">
        <v>-4.2724599999999996E-3</v>
      </c>
      <c r="AZ29" s="22">
        <v>296.15899999999999</v>
      </c>
      <c r="BA29" s="22">
        <v>-1.7077599999999998E-2</v>
      </c>
      <c r="BB29" s="22">
        <v>19</v>
      </c>
      <c r="BC29" s="22">
        <v>-3.9306599999999999E-3</v>
      </c>
      <c r="BD29">
        <f t="shared" si="10"/>
        <v>17.077599999999997</v>
      </c>
      <c r="BE29">
        <f t="shared" si="11"/>
        <v>-7.2963362895999986E-2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1.65924</v>
      </c>
      <c r="H30" s="22">
        <v>49.507599999999996</v>
      </c>
      <c r="I30" s="22">
        <v>-1.2735E-2</v>
      </c>
      <c r="J30" s="22">
        <v>20</v>
      </c>
      <c r="K30" s="22">
        <v>1.65863</v>
      </c>
      <c r="L30">
        <f t="shared" si="0"/>
        <v>12.734999999999999</v>
      </c>
      <c r="M30">
        <f t="shared" si="1"/>
        <v>21.130421399999999</v>
      </c>
      <c r="N30" s="9"/>
      <c r="O30" s="22">
        <v>7.6293900000000002E-4</v>
      </c>
      <c r="P30" s="22">
        <v>98.751000000000005</v>
      </c>
      <c r="Q30" s="22">
        <v>-1.70013E-2</v>
      </c>
      <c r="R30" s="22">
        <v>20</v>
      </c>
      <c r="S30" s="22">
        <v>4.6691899999999999E-4</v>
      </c>
      <c r="T30">
        <f t="shared" si="2"/>
        <v>17.001300000000001</v>
      </c>
      <c r="U30">
        <f t="shared" si="3"/>
        <v>1.2970954820700001E-2</v>
      </c>
      <c r="X30" s="9"/>
      <c r="Y30" s="22">
        <v>1.65924</v>
      </c>
      <c r="Z30" s="22">
        <v>148.15299999999999</v>
      </c>
      <c r="AA30" s="22">
        <v>-1.0083E-2</v>
      </c>
      <c r="AB30" s="22">
        <v>20</v>
      </c>
      <c r="AC30" s="22">
        <v>1.65771</v>
      </c>
      <c r="AD30">
        <f t="shared" si="4"/>
        <v>10.083</v>
      </c>
      <c r="AE30">
        <f t="shared" si="5"/>
        <v>16.73011692</v>
      </c>
      <c r="AF30" s="9"/>
      <c r="AG30" s="22">
        <v>7.6293900000000002E-4</v>
      </c>
      <c r="AH30" s="22">
        <v>197.52</v>
      </c>
      <c r="AI30" s="22">
        <v>-1.7010500000000001E-2</v>
      </c>
      <c r="AJ30" s="22">
        <v>20</v>
      </c>
      <c r="AK30" s="22">
        <v>4.60815E-4</v>
      </c>
      <c r="AL30">
        <f t="shared" si="6"/>
        <v>17.0105</v>
      </c>
      <c r="AM30">
        <f t="shared" si="7"/>
        <v>1.2977973859500001E-2</v>
      </c>
      <c r="AP30" s="9"/>
      <c r="AQ30" s="22">
        <v>1.65924</v>
      </c>
      <c r="AR30" s="22">
        <v>246.80199999999999</v>
      </c>
      <c r="AS30" s="22">
        <v>-9.4665500000000007E-3</v>
      </c>
      <c r="AT30" s="22">
        <v>20</v>
      </c>
      <c r="AU30" s="22">
        <v>1.65741</v>
      </c>
      <c r="AV30">
        <f t="shared" si="8"/>
        <v>9.4665499999999998</v>
      </c>
      <c r="AW30">
        <f t="shared" si="9"/>
        <v>15.707278422</v>
      </c>
      <c r="AX30" s="9"/>
      <c r="AY30" s="22">
        <v>7.6293900000000002E-4</v>
      </c>
      <c r="AZ30" s="22">
        <v>296.16899999999998</v>
      </c>
      <c r="BA30" s="22">
        <v>-1.7074599999999999E-2</v>
      </c>
      <c r="BB30" s="22">
        <v>20</v>
      </c>
      <c r="BC30" s="22">
        <v>-1.32446E-3</v>
      </c>
      <c r="BD30">
        <f t="shared" si="10"/>
        <v>17.0746</v>
      </c>
      <c r="BE30">
        <f t="shared" si="11"/>
        <v>1.3026878249400001E-2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1.65421</v>
      </c>
      <c r="H31" s="22">
        <v>49.517600000000002</v>
      </c>
      <c r="I31" s="22">
        <v>-1.3070699999999999E-2</v>
      </c>
      <c r="J31" s="22">
        <v>21</v>
      </c>
      <c r="K31" s="22">
        <v>1.6531400000000001</v>
      </c>
      <c r="L31">
        <f t="shared" si="0"/>
        <v>13.070699999999999</v>
      </c>
      <c r="M31">
        <f t="shared" si="1"/>
        <v>21.621682646999997</v>
      </c>
      <c r="N31" s="9"/>
      <c r="O31" s="22">
        <v>5.7983399999999999E-3</v>
      </c>
      <c r="P31" s="22">
        <v>98.761099999999999</v>
      </c>
      <c r="Q31" s="22">
        <v>-1.6998300000000001E-2</v>
      </c>
      <c r="R31" s="22">
        <v>21</v>
      </c>
      <c r="S31" s="22">
        <v>5.4962199999999996E-3</v>
      </c>
      <c r="T31">
        <f t="shared" si="2"/>
        <v>16.9983</v>
      </c>
      <c r="U31">
        <f t="shared" si="3"/>
        <v>9.8561922822000006E-2</v>
      </c>
      <c r="X31" s="9"/>
      <c r="Y31" s="22">
        <v>1.65421</v>
      </c>
      <c r="Z31" s="22">
        <v>148.16300000000001</v>
      </c>
      <c r="AA31" s="22">
        <v>-1.0626200000000001E-2</v>
      </c>
      <c r="AB31" s="22">
        <v>21</v>
      </c>
      <c r="AC31" s="22">
        <v>1.6531400000000001</v>
      </c>
      <c r="AD31">
        <f t="shared" si="4"/>
        <v>10.626200000000001</v>
      </c>
      <c r="AE31">
        <f t="shared" si="5"/>
        <v>17.577966302</v>
      </c>
      <c r="AF31" s="9"/>
      <c r="AG31" s="22">
        <v>5.7983399999999999E-3</v>
      </c>
      <c r="AH31" s="22">
        <v>197.53</v>
      </c>
      <c r="AI31" s="22">
        <v>-1.7004399999999999E-2</v>
      </c>
      <c r="AJ31" s="22">
        <v>21</v>
      </c>
      <c r="AK31" s="22">
        <v>5.7251000000000003E-3</v>
      </c>
      <c r="AL31">
        <f t="shared" si="6"/>
        <v>17.0044</v>
      </c>
      <c r="AM31">
        <f t="shared" si="7"/>
        <v>9.8597292695999997E-2</v>
      </c>
      <c r="AP31" s="9"/>
      <c r="AQ31" s="22">
        <v>1.65421</v>
      </c>
      <c r="AR31" s="22">
        <v>246.81200000000001</v>
      </c>
      <c r="AS31" s="22">
        <v>-1.0052500000000001E-2</v>
      </c>
      <c r="AT31" s="22">
        <v>21</v>
      </c>
      <c r="AU31" s="22">
        <v>1.65283</v>
      </c>
      <c r="AV31">
        <f t="shared" si="8"/>
        <v>10.0525</v>
      </c>
      <c r="AW31">
        <f t="shared" si="9"/>
        <v>16.628946025000001</v>
      </c>
      <c r="AX31" s="9"/>
      <c r="AY31" s="22">
        <v>5.7983399999999999E-3</v>
      </c>
      <c r="AZ31" s="22">
        <v>296.17899999999997</v>
      </c>
      <c r="BA31" s="22">
        <v>-1.7077599999999998E-2</v>
      </c>
      <c r="BB31" s="22">
        <v>21</v>
      </c>
      <c r="BC31" s="22">
        <v>6.4514200000000002E-3</v>
      </c>
      <c r="BD31">
        <f t="shared" si="10"/>
        <v>17.077599999999997</v>
      </c>
      <c r="BE31">
        <f t="shared" si="11"/>
        <v>9.9021731183999984E-2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1.64917</v>
      </c>
      <c r="H32" s="22">
        <v>49.527700000000003</v>
      </c>
      <c r="I32" s="22">
        <v>-1.33759E-2</v>
      </c>
      <c r="J32" s="22">
        <v>22</v>
      </c>
      <c r="K32" s="22">
        <v>1.64825</v>
      </c>
      <c r="L32">
        <f t="shared" si="0"/>
        <v>13.3759</v>
      </c>
      <c r="M32">
        <f t="shared" si="1"/>
        <v>22.059133002999999</v>
      </c>
      <c r="N32" s="9"/>
      <c r="O32" s="22">
        <v>1.08337E-2</v>
      </c>
      <c r="P32" s="22">
        <v>98.771100000000004</v>
      </c>
      <c r="Q32" s="22">
        <v>-1.6998300000000001E-2</v>
      </c>
      <c r="R32" s="22">
        <v>22</v>
      </c>
      <c r="S32" s="22">
        <v>1.04828E-2</v>
      </c>
      <c r="T32">
        <f t="shared" si="2"/>
        <v>16.9983</v>
      </c>
      <c r="U32">
        <f t="shared" si="3"/>
        <v>0.18415448271000001</v>
      </c>
      <c r="X32" s="9"/>
      <c r="Y32" s="22">
        <v>1.64917</v>
      </c>
      <c r="Z32" s="22">
        <v>148.17400000000001</v>
      </c>
      <c r="AA32" s="22">
        <v>-1.09406E-2</v>
      </c>
      <c r="AB32" s="22">
        <v>22</v>
      </c>
      <c r="AC32" s="22">
        <v>1.64703</v>
      </c>
      <c r="AD32">
        <f t="shared" si="4"/>
        <v>10.9406</v>
      </c>
      <c r="AE32">
        <f t="shared" si="5"/>
        <v>18.042909302000002</v>
      </c>
      <c r="AF32" s="9"/>
      <c r="AG32" s="22">
        <v>1.08337E-2</v>
      </c>
      <c r="AH32" s="22">
        <v>197.54</v>
      </c>
      <c r="AI32" s="22">
        <v>-1.70013E-2</v>
      </c>
      <c r="AJ32" s="22">
        <v>22</v>
      </c>
      <c r="AK32" s="22">
        <v>1.0278300000000001E-2</v>
      </c>
      <c r="AL32">
        <f t="shared" si="6"/>
        <v>17.001300000000001</v>
      </c>
      <c r="AM32">
        <f t="shared" si="7"/>
        <v>0.18418698381000001</v>
      </c>
      <c r="AP32" s="9"/>
      <c r="AQ32" s="22">
        <v>1.64917</v>
      </c>
      <c r="AR32" s="22">
        <v>246.822</v>
      </c>
      <c r="AS32" s="22">
        <v>-1.05957E-2</v>
      </c>
      <c r="AT32" s="22">
        <v>22</v>
      </c>
      <c r="AU32" s="22">
        <v>1.64825</v>
      </c>
      <c r="AV32">
        <f t="shared" si="8"/>
        <v>10.595699999999999</v>
      </c>
      <c r="AW32">
        <f t="shared" si="9"/>
        <v>17.474110568999997</v>
      </c>
      <c r="AX32" s="9"/>
      <c r="AY32" s="22">
        <v>1.08337E-2</v>
      </c>
      <c r="AZ32" s="22">
        <v>296.18900000000002</v>
      </c>
      <c r="BA32" s="22">
        <v>-1.7074599999999999E-2</v>
      </c>
      <c r="BB32" s="22">
        <v>22</v>
      </c>
      <c r="BC32" s="22">
        <v>9.1400100000000005E-3</v>
      </c>
      <c r="BD32">
        <f t="shared" si="10"/>
        <v>17.0746</v>
      </c>
      <c r="BE32">
        <f t="shared" si="11"/>
        <v>0.18498109402000001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1.6441300000000001</v>
      </c>
      <c r="H33" s="22">
        <v>49.537799999999997</v>
      </c>
      <c r="I33" s="22">
        <v>-1.3583400000000001E-2</v>
      </c>
      <c r="J33" s="22">
        <v>23</v>
      </c>
      <c r="K33" s="22">
        <v>1.64337</v>
      </c>
      <c r="L33">
        <f t="shared" si="0"/>
        <v>13.583400000000001</v>
      </c>
      <c r="M33">
        <f t="shared" si="1"/>
        <v>22.332875442000002</v>
      </c>
      <c r="N33" s="9"/>
      <c r="O33" s="22">
        <v>1.5869100000000001E-2</v>
      </c>
      <c r="P33" s="22">
        <v>98.781199999999998</v>
      </c>
      <c r="Q33" s="22">
        <v>-1.6998300000000001E-2</v>
      </c>
      <c r="R33" s="22">
        <v>23</v>
      </c>
      <c r="S33" s="22">
        <v>1.5808099999999999E-2</v>
      </c>
      <c r="T33">
        <f t="shared" si="2"/>
        <v>16.9983</v>
      </c>
      <c r="U33">
        <f t="shared" si="3"/>
        <v>0.26974772253000001</v>
      </c>
      <c r="X33" s="9"/>
      <c r="Y33" s="22">
        <v>1.6441300000000001</v>
      </c>
      <c r="Z33" s="22">
        <v>148.184</v>
      </c>
      <c r="AA33" s="22">
        <v>-1.16089E-2</v>
      </c>
      <c r="AB33" s="22">
        <v>23</v>
      </c>
      <c r="AC33" s="22">
        <v>1.64337</v>
      </c>
      <c r="AD33">
        <f t="shared" si="4"/>
        <v>11.6089</v>
      </c>
      <c r="AE33">
        <f t="shared" si="5"/>
        <v>19.086540757000002</v>
      </c>
      <c r="AF33" s="9"/>
      <c r="AG33" s="22">
        <v>1.5869100000000001E-2</v>
      </c>
      <c r="AH33" s="22">
        <v>197.55</v>
      </c>
      <c r="AI33" s="22">
        <v>-1.6995199999999999E-2</v>
      </c>
      <c r="AJ33" s="22">
        <v>23</v>
      </c>
      <c r="AK33" s="22">
        <v>1.5673800000000002E-2</v>
      </c>
      <c r="AL33">
        <f t="shared" si="6"/>
        <v>16.995199999999997</v>
      </c>
      <c r="AM33">
        <f t="shared" si="7"/>
        <v>0.26969852831999996</v>
      </c>
      <c r="AP33" s="9"/>
      <c r="AQ33" s="22">
        <v>1.6441300000000001</v>
      </c>
      <c r="AR33" s="22">
        <v>246.833</v>
      </c>
      <c r="AS33" s="22">
        <v>-1.1065699999999999E-2</v>
      </c>
      <c r="AT33" s="22">
        <v>23</v>
      </c>
      <c r="AU33" s="22">
        <v>1.64276</v>
      </c>
      <c r="AV33">
        <f t="shared" si="8"/>
        <v>11.0657</v>
      </c>
      <c r="AW33">
        <f t="shared" si="9"/>
        <v>18.193449341000001</v>
      </c>
      <c r="AX33" s="9"/>
      <c r="AY33" s="22">
        <v>1.5869100000000001E-2</v>
      </c>
      <c r="AZ33" s="22">
        <v>296.19900000000001</v>
      </c>
      <c r="BA33" s="22">
        <v>-1.7077599999999998E-2</v>
      </c>
      <c r="BB33" s="22">
        <v>23</v>
      </c>
      <c r="BC33" s="22">
        <v>1.61285E-2</v>
      </c>
      <c r="BD33">
        <f t="shared" si="10"/>
        <v>17.077599999999997</v>
      </c>
      <c r="BE33">
        <f t="shared" si="11"/>
        <v>0.27100614215999996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1.6391</v>
      </c>
      <c r="H34" s="22">
        <v>49.547800000000002</v>
      </c>
      <c r="I34" s="22">
        <v>-1.3809200000000001E-2</v>
      </c>
      <c r="J34" s="22">
        <v>24</v>
      </c>
      <c r="K34" s="22">
        <v>1.63727</v>
      </c>
      <c r="L34">
        <f t="shared" si="0"/>
        <v>13.809200000000001</v>
      </c>
      <c r="M34">
        <f t="shared" si="1"/>
        <v>22.634659720000002</v>
      </c>
      <c r="N34" s="9"/>
      <c r="O34" s="22">
        <v>2.0904499999999999E-2</v>
      </c>
      <c r="P34" s="22">
        <v>98.791300000000007</v>
      </c>
      <c r="Q34" s="22">
        <v>-1.6992199999999999E-2</v>
      </c>
      <c r="R34" s="22">
        <v>24</v>
      </c>
      <c r="S34" s="22">
        <v>2.0379600000000001E-2</v>
      </c>
      <c r="T34">
        <f t="shared" si="2"/>
        <v>16.9922</v>
      </c>
      <c r="U34">
        <f t="shared" si="3"/>
        <v>0.35521344490000001</v>
      </c>
      <c r="X34" s="9"/>
      <c r="Y34" s="22">
        <v>1.6391</v>
      </c>
      <c r="Z34" s="22">
        <v>148.19399999999999</v>
      </c>
      <c r="AA34" s="22">
        <v>-1.20056E-2</v>
      </c>
      <c r="AB34" s="22">
        <v>24</v>
      </c>
      <c r="AC34" s="22">
        <v>1.63849</v>
      </c>
      <c r="AD34">
        <f t="shared" si="4"/>
        <v>12.005599999999999</v>
      </c>
      <c r="AE34">
        <f t="shared" si="5"/>
        <v>19.67837896</v>
      </c>
      <c r="AF34" s="9"/>
      <c r="AG34" s="22">
        <v>2.0904499999999999E-2</v>
      </c>
      <c r="AH34" s="22">
        <v>197.56</v>
      </c>
      <c r="AI34" s="22">
        <v>-1.6995199999999999E-2</v>
      </c>
      <c r="AJ34" s="22">
        <v>24</v>
      </c>
      <c r="AK34" s="22">
        <v>2.0864899999999999E-2</v>
      </c>
      <c r="AL34">
        <f t="shared" si="6"/>
        <v>16.995199999999997</v>
      </c>
      <c r="AM34">
        <f t="shared" si="7"/>
        <v>0.35527615839999993</v>
      </c>
      <c r="AP34" s="9"/>
      <c r="AQ34" s="22">
        <v>1.6391</v>
      </c>
      <c r="AR34" s="22">
        <v>246.84299999999999</v>
      </c>
      <c r="AS34" s="22">
        <v>-1.1511199999999999E-2</v>
      </c>
      <c r="AT34" s="22">
        <v>24</v>
      </c>
      <c r="AU34" s="22">
        <v>1.63788</v>
      </c>
      <c r="AV34">
        <f t="shared" si="8"/>
        <v>11.511199999999999</v>
      </c>
      <c r="AW34">
        <f t="shared" si="9"/>
        <v>18.868007919999997</v>
      </c>
      <c r="AX34" s="9"/>
      <c r="AY34" s="22">
        <v>2.0904499999999999E-2</v>
      </c>
      <c r="AZ34" s="22">
        <v>296.209</v>
      </c>
      <c r="BA34" s="22">
        <v>-1.7074599999999999E-2</v>
      </c>
      <c r="BB34" s="22">
        <v>24</v>
      </c>
      <c r="BC34" s="22">
        <v>2.04529E-2</v>
      </c>
      <c r="BD34">
        <f t="shared" si="10"/>
        <v>17.0746</v>
      </c>
      <c r="BE34">
        <f t="shared" si="11"/>
        <v>0.35693597570000002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1.6340600000000001</v>
      </c>
      <c r="H35" s="22">
        <v>49.557899999999997</v>
      </c>
      <c r="I35" s="22">
        <v>-1.4065599999999999E-2</v>
      </c>
      <c r="J35" s="22">
        <v>25</v>
      </c>
      <c r="K35" s="22">
        <v>1.63391</v>
      </c>
      <c r="L35">
        <f t="shared" si="0"/>
        <v>14.0656</v>
      </c>
      <c r="M35">
        <f t="shared" si="1"/>
        <v>22.984034336000001</v>
      </c>
      <c r="N35" s="9"/>
      <c r="O35" s="22">
        <v>2.5939899999999998E-2</v>
      </c>
      <c r="P35" s="22">
        <v>98.801299999999998</v>
      </c>
      <c r="Q35" s="22">
        <v>-1.6992199999999999E-2</v>
      </c>
      <c r="R35" s="22">
        <v>25</v>
      </c>
      <c r="S35" s="22">
        <v>2.5726300000000001E-2</v>
      </c>
      <c r="T35">
        <f t="shared" si="2"/>
        <v>16.9922</v>
      </c>
      <c r="U35">
        <f t="shared" si="3"/>
        <v>0.44077596877999997</v>
      </c>
      <c r="X35" s="9"/>
      <c r="Y35" s="22">
        <v>1.6340600000000001</v>
      </c>
      <c r="Z35" s="22">
        <v>148.20400000000001</v>
      </c>
      <c r="AA35" s="22">
        <v>-1.2356600000000001E-2</v>
      </c>
      <c r="AB35" s="22">
        <v>25</v>
      </c>
      <c r="AC35" s="22">
        <v>1.633</v>
      </c>
      <c r="AD35">
        <f t="shared" si="4"/>
        <v>12.3566</v>
      </c>
      <c r="AE35">
        <f t="shared" si="5"/>
        <v>20.191425796000001</v>
      </c>
      <c r="AF35" s="9"/>
      <c r="AG35" s="22">
        <v>2.5939899999999998E-2</v>
      </c>
      <c r="AH35" s="22">
        <v>197.57</v>
      </c>
      <c r="AI35" s="22">
        <v>-1.6992199999999999E-2</v>
      </c>
      <c r="AJ35" s="22">
        <v>25</v>
      </c>
      <c r="AK35" s="22">
        <v>2.61902E-2</v>
      </c>
      <c r="AL35">
        <f t="shared" si="6"/>
        <v>16.9922</v>
      </c>
      <c r="AM35">
        <f t="shared" si="7"/>
        <v>0.44077596877999997</v>
      </c>
      <c r="AP35" s="9"/>
      <c r="AQ35" s="22">
        <v>1.6340600000000001</v>
      </c>
      <c r="AR35" s="22">
        <v>246.85300000000001</v>
      </c>
      <c r="AS35" s="22">
        <v>-1.19141E-2</v>
      </c>
      <c r="AT35" s="22">
        <v>25</v>
      </c>
      <c r="AU35" s="22">
        <v>1.63361</v>
      </c>
      <c r="AV35">
        <f t="shared" si="8"/>
        <v>11.914100000000001</v>
      </c>
      <c r="AW35">
        <f t="shared" si="9"/>
        <v>19.468354246000004</v>
      </c>
      <c r="AX35" s="9"/>
      <c r="AY35" s="22">
        <v>2.5939899999999998E-2</v>
      </c>
      <c r="AZ35" s="22">
        <v>296.21899999999999</v>
      </c>
      <c r="BA35" s="22">
        <v>-1.7065400000000001E-2</v>
      </c>
      <c r="BB35" s="22">
        <v>25</v>
      </c>
      <c r="BC35" s="22">
        <v>2.5622599999999999E-2</v>
      </c>
      <c r="BD35">
        <f t="shared" si="10"/>
        <v>17.0654</v>
      </c>
      <c r="BE35">
        <f t="shared" si="11"/>
        <v>0.44267476946000001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1.62903</v>
      </c>
      <c r="H36" s="22">
        <v>49.567999999999998</v>
      </c>
      <c r="I36" s="22">
        <v>-1.4279200000000001E-2</v>
      </c>
      <c r="J36" s="22">
        <v>26</v>
      </c>
      <c r="K36" s="22">
        <v>1.62781</v>
      </c>
      <c r="L36">
        <f t="shared" si="0"/>
        <v>14.279200000000001</v>
      </c>
      <c r="M36">
        <f t="shared" si="1"/>
        <v>23.261245176000003</v>
      </c>
      <c r="N36" s="9"/>
      <c r="O36" s="22">
        <v>3.0975300000000001E-2</v>
      </c>
      <c r="P36" s="22">
        <v>98.811400000000006</v>
      </c>
      <c r="Q36" s="22">
        <v>-1.6992199999999999E-2</v>
      </c>
      <c r="R36" s="22">
        <v>26</v>
      </c>
      <c r="S36" s="22">
        <v>3.0822800000000001E-2</v>
      </c>
      <c r="T36">
        <f t="shared" si="2"/>
        <v>16.9922</v>
      </c>
      <c r="U36">
        <f t="shared" si="3"/>
        <v>0.52633849265999999</v>
      </c>
      <c r="X36" s="9"/>
      <c r="Y36" s="22">
        <v>1.62903</v>
      </c>
      <c r="Z36" s="22">
        <v>148.214</v>
      </c>
      <c r="AA36" s="22">
        <v>-1.26923E-2</v>
      </c>
      <c r="AB36" s="22">
        <v>26</v>
      </c>
      <c r="AC36" s="22">
        <v>1.62842</v>
      </c>
      <c r="AD36">
        <f t="shared" si="4"/>
        <v>12.692299999999999</v>
      </c>
      <c r="AE36">
        <f t="shared" si="5"/>
        <v>20.676137469</v>
      </c>
      <c r="AF36" s="9"/>
      <c r="AG36" s="22">
        <v>3.0975300000000001E-2</v>
      </c>
      <c r="AH36" s="22">
        <v>197.58</v>
      </c>
      <c r="AI36" s="22">
        <v>-1.6992199999999999E-2</v>
      </c>
      <c r="AJ36" s="22">
        <v>26</v>
      </c>
      <c r="AK36" s="22">
        <v>3.0835000000000001E-2</v>
      </c>
      <c r="AL36">
        <f t="shared" si="6"/>
        <v>16.9922</v>
      </c>
      <c r="AM36">
        <f t="shared" si="7"/>
        <v>0.52633849265999999</v>
      </c>
      <c r="AP36" s="9"/>
      <c r="AQ36" s="22">
        <v>1.62903</v>
      </c>
      <c r="AR36" s="22">
        <v>246.863</v>
      </c>
      <c r="AS36" s="22">
        <v>-1.2268100000000001E-2</v>
      </c>
      <c r="AT36" s="22">
        <v>26</v>
      </c>
      <c r="AU36" s="22">
        <v>1.6281099999999999</v>
      </c>
      <c r="AV36">
        <f t="shared" si="8"/>
        <v>12.2681</v>
      </c>
      <c r="AW36">
        <f t="shared" si="9"/>
        <v>19.985102943000001</v>
      </c>
      <c r="AX36" s="9"/>
      <c r="AY36" s="22">
        <v>3.0975300000000001E-2</v>
      </c>
      <c r="AZ36" s="22">
        <v>296.22899999999998</v>
      </c>
      <c r="BA36" s="22">
        <v>-1.7053200000000001E-2</v>
      </c>
      <c r="BB36" s="22">
        <v>26</v>
      </c>
      <c r="BC36" s="22">
        <v>3.05817E-2</v>
      </c>
      <c r="BD36">
        <f t="shared" si="10"/>
        <v>17.0532</v>
      </c>
      <c r="BE36">
        <f t="shared" si="11"/>
        <v>0.52822798595999998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1.62399</v>
      </c>
      <c r="H37" s="22">
        <v>49.578099999999999</v>
      </c>
      <c r="I37" s="22">
        <v>-1.4477500000000001E-2</v>
      </c>
      <c r="J37" s="22">
        <v>27</v>
      </c>
      <c r="K37" s="22">
        <v>1.62354</v>
      </c>
      <c r="L37">
        <f t="shared" si="0"/>
        <v>14.477500000000001</v>
      </c>
      <c r="M37">
        <f t="shared" si="1"/>
        <v>23.511315225000001</v>
      </c>
      <c r="N37" s="9"/>
      <c r="O37" s="22">
        <v>3.60107E-2</v>
      </c>
      <c r="P37" s="22">
        <v>98.8215</v>
      </c>
      <c r="Q37" s="22">
        <v>-1.69891E-2</v>
      </c>
      <c r="R37" s="22">
        <v>27</v>
      </c>
      <c r="S37" s="22">
        <v>3.5839799999999998E-2</v>
      </c>
      <c r="T37">
        <f t="shared" si="2"/>
        <v>16.989100000000001</v>
      </c>
      <c r="U37">
        <f t="shared" si="3"/>
        <v>0.61178938337</v>
      </c>
      <c r="X37" s="9"/>
      <c r="Y37" s="22">
        <v>1.62399</v>
      </c>
      <c r="Z37" s="22">
        <v>148.22399999999999</v>
      </c>
      <c r="AA37" s="22">
        <v>-1.3018800000000001E-2</v>
      </c>
      <c r="AB37" s="22">
        <v>27</v>
      </c>
      <c r="AC37" s="22">
        <v>1.62323</v>
      </c>
      <c r="AD37">
        <f t="shared" si="4"/>
        <v>13.018800000000001</v>
      </c>
      <c r="AE37">
        <f t="shared" si="5"/>
        <v>21.142401012000001</v>
      </c>
      <c r="AF37" s="9"/>
      <c r="AG37" s="22">
        <v>3.60107E-2</v>
      </c>
      <c r="AH37" s="22">
        <v>197.59</v>
      </c>
      <c r="AI37" s="22">
        <v>-1.6992199999999999E-2</v>
      </c>
      <c r="AJ37" s="22">
        <v>27</v>
      </c>
      <c r="AK37" s="22">
        <v>3.6187700000000003E-2</v>
      </c>
      <c r="AL37">
        <f t="shared" si="6"/>
        <v>16.9922</v>
      </c>
      <c r="AM37">
        <f t="shared" si="7"/>
        <v>0.61190101654000006</v>
      </c>
      <c r="AP37" s="9"/>
      <c r="AQ37" s="22">
        <v>1.62399</v>
      </c>
      <c r="AR37" s="22">
        <v>246.87299999999999</v>
      </c>
      <c r="AS37" s="22">
        <v>-1.25854E-2</v>
      </c>
      <c r="AT37" s="22">
        <v>27</v>
      </c>
      <c r="AU37" s="22">
        <v>1.6229199999999999</v>
      </c>
      <c r="AV37">
        <f t="shared" si="8"/>
        <v>12.5854</v>
      </c>
      <c r="AW37">
        <f t="shared" si="9"/>
        <v>20.438563746</v>
      </c>
      <c r="AX37" s="9"/>
      <c r="AY37" s="22">
        <v>3.60107E-2</v>
      </c>
      <c r="AZ37" s="22">
        <v>296.23899999999998</v>
      </c>
      <c r="BA37" s="22">
        <v>-1.7053200000000001E-2</v>
      </c>
      <c r="BB37" s="22">
        <v>27</v>
      </c>
      <c r="BC37" s="22">
        <v>3.6206099999999998E-2</v>
      </c>
      <c r="BD37">
        <f t="shared" si="10"/>
        <v>17.0532</v>
      </c>
      <c r="BE37">
        <f t="shared" si="11"/>
        <v>0.61409766923999998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1.61896</v>
      </c>
      <c r="H38" s="22">
        <v>49.588099999999997</v>
      </c>
      <c r="I38" s="22">
        <v>-1.4639299999999999E-2</v>
      </c>
      <c r="J38" s="22">
        <v>28</v>
      </c>
      <c r="K38" s="22">
        <v>1.61774</v>
      </c>
      <c r="L38">
        <f t="shared" si="0"/>
        <v>14.639299999999999</v>
      </c>
      <c r="M38">
        <f t="shared" si="1"/>
        <v>23.700441127999998</v>
      </c>
      <c r="N38" s="9"/>
      <c r="O38" s="22">
        <v>4.1046100000000002E-2</v>
      </c>
      <c r="P38" s="22">
        <v>98.831599999999995</v>
      </c>
      <c r="Q38" s="22">
        <v>-1.6986100000000001E-2</v>
      </c>
      <c r="R38" s="22">
        <v>28</v>
      </c>
      <c r="S38" s="22">
        <v>4.09973E-2</v>
      </c>
      <c r="T38">
        <f t="shared" si="2"/>
        <v>16.9861</v>
      </c>
      <c r="U38">
        <f t="shared" si="3"/>
        <v>0.69721315921000004</v>
      </c>
      <c r="X38" s="9"/>
      <c r="Y38" s="22">
        <v>1.61896</v>
      </c>
      <c r="Z38" s="22">
        <v>148.23400000000001</v>
      </c>
      <c r="AA38" s="22">
        <v>-1.3290400000000001E-2</v>
      </c>
      <c r="AB38" s="22">
        <v>28</v>
      </c>
      <c r="AC38" s="22">
        <v>1.61774</v>
      </c>
      <c r="AD38">
        <f t="shared" si="4"/>
        <v>13.2904</v>
      </c>
      <c r="AE38">
        <f t="shared" si="5"/>
        <v>21.516625984000001</v>
      </c>
      <c r="AF38" s="9"/>
      <c r="AG38" s="22">
        <v>4.1046100000000002E-2</v>
      </c>
      <c r="AH38" s="22">
        <v>197.6</v>
      </c>
      <c r="AI38" s="22">
        <v>-1.69891E-2</v>
      </c>
      <c r="AJ38" s="22">
        <v>28</v>
      </c>
      <c r="AK38" s="22">
        <v>4.03168E-2</v>
      </c>
      <c r="AL38">
        <f t="shared" si="6"/>
        <v>16.989100000000001</v>
      </c>
      <c r="AM38">
        <f t="shared" si="7"/>
        <v>0.69733629751000004</v>
      </c>
      <c r="AP38" s="9"/>
      <c r="AQ38" s="22">
        <v>1.61896</v>
      </c>
      <c r="AR38" s="22">
        <v>246.88300000000001</v>
      </c>
      <c r="AS38" s="22">
        <v>-1.28906E-2</v>
      </c>
      <c r="AT38" s="22">
        <v>28</v>
      </c>
      <c r="AU38" s="22">
        <v>1.6174299999999999</v>
      </c>
      <c r="AV38">
        <f t="shared" si="8"/>
        <v>12.890600000000001</v>
      </c>
      <c r="AW38">
        <f t="shared" si="9"/>
        <v>20.869365776000002</v>
      </c>
      <c r="AX38" s="9"/>
      <c r="AY38" s="22">
        <v>4.1046100000000002E-2</v>
      </c>
      <c r="AZ38" s="22">
        <v>296.24900000000002</v>
      </c>
      <c r="BA38" s="22">
        <v>-1.70441E-2</v>
      </c>
      <c r="BB38" s="22">
        <v>28</v>
      </c>
      <c r="BC38" s="22">
        <v>4.0463300000000001E-2</v>
      </c>
      <c r="BD38">
        <f t="shared" si="10"/>
        <v>17.0441</v>
      </c>
      <c r="BE38">
        <f t="shared" si="11"/>
        <v>0.69959383301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1.61392</v>
      </c>
      <c r="H39" s="22">
        <v>49.598199999999999</v>
      </c>
      <c r="I39" s="22">
        <v>-1.4816299999999999E-2</v>
      </c>
      <c r="J39" s="22">
        <v>29</v>
      </c>
      <c r="K39" s="22">
        <v>1.6131599999999999</v>
      </c>
      <c r="L39">
        <f t="shared" si="0"/>
        <v>14.8163</v>
      </c>
      <c r="M39">
        <f t="shared" si="1"/>
        <v>23.912322895999999</v>
      </c>
      <c r="N39" s="9"/>
      <c r="O39" s="22">
        <v>4.6081499999999997E-2</v>
      </c>
      <c r="P39" s="22">
        <v>98.8416</v>
      </c>
      <c r="Q39" s="22">
        <v>-1.69891E-2</v>
      </c>
      <c r="R39" s="22">
        <v>29</v>
      </c>
      <c r="S39" s="22">
        <v>4.5843500000000002E-2</v>
      </c>
      <c r="T39">
        <f t="shared" si="2"/>
        <v>16.989100000000001</v>
      </c>
      <c r="U39">
        <f t="shared" si="3"/>
        <v>0.78288321164999997</v>
      </c>
      <c r="X39" s="9"/>
      <c r="Y39" s="22">
        <v>1.61392</v>
      </c>
      <c r="Z39" s="22">
        <v>148.244</v>
      </c>
      <c r="AA39" s="22">
        <v>-1.3339200000000001E-2</v>
      </c>
      <c r="AB39" s="22">
        <v>29</v>
      </c>
      <c r="AC39" s="22">
        <v>1.6131599999999999</v>
      </c>
      <c r="AD39">
        <f t="shared" si="4"/>
        <v>13.3392</v>
      </c>
      <c r="AE39">
        <f t="shared" si="5"/>
        <v>21.528401664</v>
      </c>
      <c r="AF39" s="9"/>
      <c r="AG39" s="22">
        <v>4.6081499999999997E-2</v>
      </c>
      <c r="AH39" s="22">
        <v>197.61</v>
      </c>
      <c r="AI39" s="22">
        <v>-1.6983000000000002E-2</v>
      </c>
      <c r="AJ39" s="22">
        <v>29</v>
      </c>
      <c r="AK39" s="22">
        <v>4.6200600000000001E-2</v>
      </c>
      <c r="AL39">
        <f t="shared" si="6"/>
        <v>16.983000000000001</v>
      </c>
      <c r="AM39">
        <f t="shared" si="7"/>
        <v>0.78260211449999995</v>
      </c>
      <c r="AP39" s="9"/>
      <c r="AQ39" s="22">
        <v>1.61392</v>
      </c>
      <c r="AR39" s="22">
        <v>246.893</v>
      </c>
      <c r="AS39" s="22">
        <v>-1.31714E-2</v>
      </c>
      <c r="AT39" s="22">
        <v>29</v>
      </c>
      <c r="AU39" s="22">
        <v>1.6131599999999999</v>
      </c>
      <c r="AV39">
        <f t="shared" si="8"/>
        <v>13.1714</v>
      </c>
      <c r="AW39">
        <f t="shared" si="9"/>
        <v>21.257585888000001</v>
      </c>
      <c r="AX39" s="9"/>
      <c r="AY39" s="22">
        <v>4.6081499999999997E-2</v>
      </c>
      <c r="AZ39" s="22">
        <v>296.25900000000001</v>
      </c>
      <c r="BA39" s="22">
        <v>-1.7041000000000001E-2</v>
      </c>
      <c r="BB39" s="22">
        <v>29</v>
      </c>
      <c r="BC39" s="22">
        <v>4.6014399999999997E-2</v>
      </c>
      <c r="BD39">
        <f t="shared" si="10"/>
        <v>17.041</v>
      </c>
      <c r="BE39">
        <f t="shared" si="11"/>
        <v>0.78527484149999993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1.6088899999999999</v>
      </c>
      <c r="H40" s="22">
        <v>49.6083</v>
      </c>
      <c r="I40" s="22">
        <v>-1.49719E-2</v>
      </c>
      <c r="J40" s="22">
        <v>30</v>
      </c>
      <c r="K40" s="22">
        <v>1.6079699999999999</v>
      </c>
      <c r="L40">
        <f t="shared" si="0"/>
        <v>14.9719</v>
      </c>
      <c r="M40">
        <f t="shared" si="1"/>
        <v>24.088140190999997</v>
      </c>
      <c r="N40" s="9"/>
      <c r="O40" s="22">
        <v>5.11169E-2</v>
      </c>
      <c r="P40" s="22">
        <v>98.851699999999994</v>
      </c>
      <c r="Q40" s="22">
        <v>-1.6983000000000002E-2</v>
      </c>
      <c r="R40" s="22">
        <v>30</v>
      </c>
      <c r="S40" s="22">
        <v>5.1034499999999997E-2</v>
      </c>
      <c r="T40">
        <f t="shared" si="2"/>
        <v>16.983000000000001</v>
      </c>
      <c r="U40">
        <f t="shared" si="3"/>
        <v>0.86811831270000006</v>
      </c>
      <c r="X40" s="9"/>
      <c r="Y40" s="22">
        <v>1.6088899999999999</v>
      </c>
      <c r="Z40" s="22">
        <v>148.25399999999999</v>
      </c>
      <c r="AA40" s="22">
        <v>-1.3699299999999999E-2</v>
      </c>
      <c r="AB40" s="22">
        <v>30</v>
      </c>
      <c r="AC40" s="22">
        <v>1.6094999999999999</v>
      </c>
      <c r="AD40">
        <f t="shared" si="4"/>
        <v>13.699299999999999</v>
      </c>
      <c r="AE40">
        <f t="shared" si="5"/>
        <v>22.040666776999998</v>
      </c>
      <c r="AF40" s="9"/>
      <c r="AG40" s="22">
        <v>5.11169E-2</v>
      </c>
      <c r="AH40" s="22">
        <v>197.62100000000001</v>
      </c>
      <c r="AI40" s="22">
        <v>-1.6983000000000002E-2</v>
      </c>
      <c r="AJ40" s="22">
        <v>30</v>
      </c>
      <c r="AK40" s="22">
        <v>5.0997899999999999E-2</v>
      </c>
      <c r="AL40">
        <f t="shared" si="6"/>
        <v>16.983000000000001</v>
      </c>
      <c r="AM40">
        <f t="shared" si="7"/>
        <v>0.86811831270000006</v>
      </c>
      <c r="AP40" s="9"/>
      <c r="AQ40" s="22">
        <v>1.6088899999999999</v>
      </c>
      <c r="AR40" s="22">
        <v>246.90299999999999</v>
      </c>
      <c r="AS40" s="22">
        <v>-1.34369E-2</v>
      </c>
      <c r="AT40" s="22">
        <v>30</v>
      </c>
      <c r="AU40" s="22">
        <v>1.6079699999999999</v>
      </c>
      <c r="AV40">
        <f t="shared" si="8"/>
        <v>13.4369</v>
      </c>
      <c r="AW40">
        <f t="shared" si="9"/>
        <v>21.618494040999998</v>
      </c>
      <c r="AX40" s="9"/>
      <c r="AY40" s="22">
        <v>5.11169E-2</v>
      </c>
      <c r="AZ40" s="22">
        <v>296.26900000000001</v>
      </c>
      <c r="BA40" s="22">
        <v>-1.7031899999999999E-2</v>
      </c>
      <c r="BB40" s="22">
        <v>30</v>
      </c>
      <c r="BC40" s="22">
        <v>5.0830100000000003E-2</v>
      </c>
      <c r="BD40">
        <f t="shared" si="10"/>
        <v>17.0319</v>
      </c>
      <c r="BE40">
        <f t="shared" si="11"/>
        <v>0.87061792911000002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1.60385</v>
      </c>
      <c r="H41" s="22">
        <v>49.618299999999998</v>
      </c>
      <c r="I41" s="22">
        <v>-1.5081799999999999E-2</v>
      </c>
      <c r="J41" s="22">
        <v>31</v>
      </c>
      <c r="K41" s="22">
        <v>1.6030899999999999</v>
      </c>
      <c r="L41">
        <f t="shared" si="0"/>
        <v>15.081799999999999</v>
      </c>
      <c r="M41">
        <f t="shared" si="1"/>
        <v>24.188944929999998</v>
      </c>
      <c r="N41" s="9"/>
      <c r="O41" s="22">
        <v>5.6152300000000002E-2</v>
      </c>
      <c r="P41" s="22">
        <v>98.861800000000002</v>
      </c>
      <c r="Q41" s="22">
        <v>-1.6983000000000002E-2</v>
      </c>
      <c r="R41" s="22">
        <v>31</v>
      </c>
      <c r="S41" s="22">
        <v>5.5542000000000001E-2</v>
      </c>
      <c r="T41">
        <f t="shared" si="2"/>
        <v>16.983000000000001</v>
      </c>
      <c r="U41">
        <f t="shared" si="3"/>
        <v>0.95363451090000007</v>
      </c>
      <c r="X41" s="9"/>
      <c r="Y41" s="22">
        <v>1.60385</v>
      </c>
      <c r="Z41" s="22">
        <v>148.26400000000001</v>
      </c>
      <c r="AA41" s="22">
        <v>-1.39709E-2</v>
      </c>
      <c r="AB41" s="22">
        <v>31</v>
      </c>
      <c r="AC41" s="22">
        <v>1.6027800000000001</v>
      </c>
      <c r="AD41">
        <f t="shared" si="4"/>
        <v>13.9709</v>
      </c>
      <c r="AE41">
        <f t="shared" si="5"/>
        <v>22.407227965000001</v>
      </c>
      <c r="AF41" s="9"/>
      <c r="AG41" s="22">
        <v>5.6152300000000002E-2</v>
      </c>
      <c r="AH41" s="22">
        <v>197.631</v>
      </c>
      <c r="AI41" s="22">
        <v>-1.6979999999999999E-2</v>
      </c>
      <c r="AJ41" s="22">
        <v>31</v>
      </c>
      <c r="AK41" s="22">
        <v>5.5816699999999997E-2</v>
      </c>
      <c r="AL41">
        <f t="shared" si="6"/>
        <v>16.979999999999997</v>
      </c>
      <c r="AM41">
        <f t="shared" si="7"/>
        <v>0.95346605399999984</v>
      </c>
      <c r="AP41" s="9"/>
      <c r="AQ41" s="22">
        <v>1.60385</v>
      </c>
      <c r="AR41" s="22">
        <v>246.91300000000001</v>
      </c>
      <c r="AS41" s="22">
        <v>-1.36688E-2</v>
      </c>
      <c r="AT41" s="22">
        <v>31</v>
      </c>
      <c r="AU41" s="22">
        <v>1.6030899999999999</v>
      </c>
      <c r="AV41">
        <f t="shared" si="8"/>
        <v>13.668799999999999</v>
      </c>
      <c r="AW41">
        <f t="shared" si="9"/>
        <v>21.922704879999998</v>
      </c>
      <c r="AX41" s="9"/>
      <c r="AY41" s="22">
        <v>5.6152300000000002E-2</v>
      </c>
      <c r="AZ41" s="22">
        <v>296.27999999999997</v>
      </c>
      <c r="BA41" s="22">
        <v>-1.7031899999999999E-2</v>
      </c>
      <c r="BB41" s="22">
        <v>31</v>
      </c>
      <c r="BC41" s="22">
        <v>5.6610099999999997E-2</v>
      </c>
      <c r="BD41">
        <f t="shared" si="10"/>
        <v>17.0319</v>
      </c>
      <c r="BE41">
        <f t="shared" si="11"/>
        <v>0.95638035837000002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1.5988199999999999</v>
      </c>
      <c r="H42" s="22">
        <v>49.628399999999999</v>
      </c>
      <c r="I42" s="22">
        <v>-1.52649E-2</v>
      </c>
      <c r="J42" s="22">
        <v>32</v>
      </c>
      <c r="K42" s="22">
        <v>1.5982099999999999</v>
      </c>
      <c r="L42">
        <f t="shared" si="0"/>
        <v>15.264899999999999</v>
      </c>
      <c r="M42">
        <f t="shared" si="1"/>
        <v>24.405827417999998</v>
      </c>
      <c r="N42" s="9"/>
      <c r="O42" s="22">
        <v>6.1187699999999998E-2</v>
      </c>
      <c r="P42" s="22">
        <v>98.871799999999993</v>
      </c>
      <c r="Q42" s="22">
        <v>-1.6986100000000001E-2</v>
      </c>
      <c r="R42" s="22">
        <v>32</v>
      </c>
      <c r="S42" s="22">
        <v>6.0424800000000001E-2</v>
      </c>
      <c r="T42">
        <f t="shared" si="2"/>
        <v>16.9861</v>
      </c>
      <c r="U42">
        <f t="shared" si="3"/>
        <v>1.0393403909700001</v>
      </c>
      <c r="X42" s="9"/>
      <c r="Y42" s="22">
        <v>1.5988199999999999</v>
      </c>
      <c r="Z42" s="22">
        <v>148.274</v>
      </c>
      <c r="AA42" s="22">
        <v>-1.4208999999999999E-2</v>
      </c>
      <c r="AB42" s="22">
        <v>32</v>
      </c>
      <c r="AC42" s="22">
        <v>1.5982099999999999</v>
      </c>
      <c r="AD42">
        <f t="shared" si="4"/>
        <v>14.209</v>
      </c>
      <c r="AE42">
        <f t="shared" si="5"/>
        <v>22.717633379999999</v>
      </c>
      <c r="AF42" s="9"/>
      <c r="AG42" s="22">
        <v>6.1187699999999998E-2</v>
      </c>
      <c r="AH42" s="22">
        <v>197.64099999999999</v>
      </c>
      <c r="AI42" s="22">
        <v>-1.69769E-2</v>
      </c>
      <c r="AJ42" s="22">
        <v>32</v>
      </c>
      <c r="AK42" s="22">
        <v>6.0852099999999999E-2</v>
      </c>
      <c r="AL42">
        <f t="shared" si="6"/>
        <v>16.976900000000001</v>
      </c>
      <c r="AM42">
        <f t="shared" si="7"/>
        <v>1.03877746413</v>
      </c>
      <c r="AP42" s="9"/>
      <c r="AQ42" s="22">
        <v>1.5988199999999999</v>
      </c>
      <c r="AR42" s="22">
        <v>246.923</v>
      </c>
      <c r="AS42" s="22">
        <v>-1.38855E-2</v>
      </c>
      <c r="AT42" s="22">
        <v>32</v>
      </c>
      <c r="AU42" s="22">
        <v>1.5982099999999999</v>
      </c>
      <c r="AV42">
        <f t="shared" si="8"/>
        <v>13.8855</v>
      </c>
      <c r="AW42">
        <f t="shared" si="9"/>
        <v>22.200415109999998</v>
      </c>
      <c r="AX42" s="9"/>
      <c r="AY42" s="22">
        <v>6.1187699999999998E-2</v>
      </c>
      <c r="AZ42" s="22">
        <v>296.29000000000002</v>
      </c>
      <c r="BA42" s="22">
        <v>-1.7025800000000001E-2</v>
      </c>
      <c r="BB42" s="22">
        <v>32</v>
      </c>
      <c r="BC42" s="22">
        <v>6.0272199999999998E-2</v>
      </c>
      <c r="BD42">
        <f t="shared" si="10"/>
        <v>17.0258</v>
      </c>
      <c r="BE42">
        <f t="shared" si="11"/>
        <v>1.04176954266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1.59378</v>
      </c>
      <c r="H43" s="22">
        <v>49.638500000000001</v>
      </c>
      <c r="I43" s="22">
        <v>-1.53778E-2</v>
      </c>
      <c r="J43" s="22">
        <v>33</v>
      </c>
      <c r="K43" s="22">
        <v>1.5924100000000001</v>
      </c>
      <c r="L43">
        <f t="shared" si="0"/>
        <v>15.377800000000001</v>
      </c>
      <c r="M43">
        <f t="shared" si="1"/>
        <v>24.508830084</v>
      </c>
      <c r="N43" s="9"/>
      <c r="O43" s="22">
        <v>6.6223099999999993E-2</v>
      </c>
      <c r="P43" s="22">
        <v>98.881900000000002</v>
      </c>
      <c r="Q43" s="22">
        <v>-1.6979999999999999E-2</v>
      </c>
      <c r="R43" s="22">
        <v>33</v>
      </c>
      <c r="S43" s="22">
        <v>6.5551799999999993E-2</v>
      </c>
      <c r="T43">
        <f t="shared" si="2"/>
        <v>16.979999999999997</v>
      </c>
      <c r="U43">
        <f t="shared" si="3"/>
        <v>1.1244682379999997</v>
      </c>
      <c r="X43" s="9"/>
      <c r="Y43" s="22">
        <v>1.59378</v>
      </c>
      <c r="Z43" s="22">
        <v>148.28399999999999</v>
      </c>
      <c r="AA43" s="22">
        <v>-1.4413499999999999E-2</v>
      </c>
      <c r="AB43" s="22">
        <v>33</v>
      </c>
      <c r="AC43" s="22">
        <v>1.5924100000000001</v>
      </c>
      <c r="AD43">
        <f t="shared" si="4"/>
        <v>14.413499999999999</v>
      </c>
      <c r="AE43">
        <f t="shared" si="5"/>
        <v>22.971948029999997</v>
      </c>
      <c r="AF43" s="9"/>
      <c r="AG43" s="22">
        <v>6.6223099999999993E-2</v>
      </c>
      <c r="AH43" s="22">
        <v>197.65100000000001</v>
      </c>
      <c r="AI43" s="22">
        <v>-1.69739E-2</v>
      </c>
      <c r="AJ43" s="22">
        <v>33</v>
      </c>
      <c r="AK43" s="22">
        <v>6.5246600000000002E-2</v>
      </c>
      <c r="AL43">
        <f t="shared" si="6"/>
        <v>16.9739</v>
      </c>
      <c r="AM43">
        <f t="shared" si="7"/>
        <v>1.12406427709</v>
      </c>
      <c r="AP43" s="9"/>
      <c r="AQ43" s="22">
        <v>1.59378</v>
      </c>
      <c r="AR43" s="22">
        <v>246.93299999999999</v>
      </c>
      <c r="AS43" s="22">
        <v>-1.409E-2</v>
      </c>
      <c r="AT43" s="22">
        <v>33</v>
      </c>
      <c r="AU43" s="22">
        <v>1.5927100000000001</v>
      </c>
      <c r="AV43">
        <f t="shared" si="8"/>
        <v>14.09</v>
      </c>
      <c r="AW43">
        <f t="shared" si="9"/>
        <v>22.456360199999999</v>
      </c>
      <c r="AX43" s="9"/>
      <c r="AY43" s="22">
        <v>6.6223099999999993E-2</v>
      </c>
      <c r="AZ43" s="22">
        <v>296.3</v>
      </c>
      <c r="BA43" s="22">
        <v>-1.7022700000000002E-2</v>
      </c>
      <c r="BB43" s="22">
        <v>33</v>
      </c>
      <c r="BC43" s="22">
        <v>6.5307599999999993E-2</v>
      </c>
      <c r="BD43">
        <f t="shared" si="10"/>
        <v>17.0227</v>
      </c>
      <c r="BE43">
        <f t="shared" si="11"/>
        <v>1.12729596437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1.5887500000000001</v>
      </c>
      <c r="H44" s="22">
        <v>49.648600000000002</v>
      </c>
      <c r="I44" s="22">
        <v>-1.54907E-2</v>
      </c>
      <c r="J44" s="22">
        <v>34</v>
      </c>
      <c r="K44" s="22">
        <v>1.5872200000000001</v>
      </c>
      <c r="L44">
        <f t="shared" si="0"/>
        <v>15.4907</v>
      </c>
      <c r="M44">
        <f t="shared" si="1"/>
        <v>24.610849625000004</v>
      </c>
      <c r="N44" s="9"/>
      <c r="O44" s="22">
        <v>7.1258500000000002E-2</v>
      </c>
      <c r="P44" s="22">
        <v>98.891999999999996</v>
      </c>
      <c r="Q44" s="22">
        <v>-1.69769E-2</v>
      </c>
      <c r="R44" s="22">
        <v>34</v>
      </c>
      <c r="S44" s="22">
        <v>7.0678699999999997E-2</v>
      </c>
      <c r="T44">
        <f t="shared" si="2"/>
        <v>16.976900000000001</v>
      </c>
      <c r="U44">
        <f t="shared" si="3"/>
        <v>1.20974842865</v>
      </c>
      <c r="X44" s="9"/>
      <c r="Y44" s="22">
        <v>1.5887500000000001</v>
      </c>
      <c r="Z44" s="22">
        <v>148.29400000000001</v>
      </c>
      <c r="AA44" s="22">
        <v>-1.4624E-2</v>
      </c>
      <c r="AB44" s="22">
        <v>34</v>
      </c>
      <c r="AC44" s="22">
        <v>1.58691</v>
      </c>
      <c r="AD44">
        <f t="shared" si="4"/>
        <v>14.624000000000001</v>
      </c>
      <c r="AE44">
        <f t="shared" si="5"/>
        <v>23.233880000000003</v>
      </c>
      <c r="AF44" s="9"/>
      <c r="AG44" s="22">
        <v>7.1258500000000002E-2</v>
      </c>
      <c r="AH44" s="22">
        <v>197.661</v>
      </c>
      <c r="AI44" s="22">
        <v>-1.69769E-2</v>
      </c>
      <c r="AJ44" s="22">
        <v>34</v>
      </c>
      <c r="AK44" s="22">
        <v>7.04346E-2</v>
      </c>
      <c r="AL44">
        <f t="shared" si="6"/>
        <v>16.976900000000001</v>
      </c>
      <c r="AM44">
        <f t="shared" si="7"/>
        <v>1.20974842865</v>
      </c>
      <c r="AP44" s="9"/>
      <c r="AQ44" s="22">
        <v>1.5887500000000001</v>
      </c>
      <c r="AR44" s="22">
        <v>246.94300000000001</v>
      </c>
      <c r="AS44" s="22">
        <v>-1.42822E-2</v>
      </c>
      <c r="AT44" s="22">
        <v>34</v>
      </c>
      <c r="AU44" s="22">
        <v>1.5878300000000001</v>
      </c>
      <c r="AV44">
        <f t="shared" si="8"/>
        <v>14.2822</v>
      </c>
      <c r="AW44">
        <f t="shared" si="9"/>
        <v>22.690845250000002</v>
      </c>
      <c r="AX44" s="9"/>
      <c r="AY44" s="22">
        <v>7.1258500000000002E-2</v>
      </c>
      <c r="AZ44" s="22">
        <v>296.31</v>
      </c>
      <c r="BA44" s="22">
        <v>-1.7022700000000002E-2</v>
      </c>
      <c r="BB44" s="22">
        <v>34</v>
      </c>
      <c r="BC44" s="22">
        <v>7.1106000000000003E-2</v>
      </c>
      <c r="BD44">
        <f t="shared" si="10"/>
        <v>17.0227</v>
      </c>
      <c r="BE44">
        <f t="shared" si="11"/>
        <v>1.2130120679500001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1.58371</v>
      </c>
      <c r="H45" s="22">
        <v>49.6586</v>
      </c>
      <c r="I45" s="22">
        <v>-1.5588400000000001E-2</v>
      </c>
      <c r="J45" s="22">
        <v>35</v>
      </c>
      <c r="K45" s="22">
        <v>1.5823400000000001</v>
      </c>
      <c r="L45">
        <f t="shared" si="0"/>
        <v>15.5884</v>
      </c>
      <c r="M45">
        <f t="shared" si="1"/>
        <v>24.687504963999999</v>
      </c>
      <c r="N45" s="9"/>
      <c r="O45" s="22">
        <v>7.6293899999999998E-2</v>
      </c>
      <c r="P45" s="22">
        <v>98.902000000000001</v>
      </c>
      <c r="Q45" s="22">
        <v>-1.6970800000000001E-2</v>
      </c>
      <c r="R45" s="22">
        <v>35</v>
      </c>
      <c r="S45" s="22">
        <v>7.6019299999999998E-2</v>
      </c>
      <c r="T45">
        <f t="shared" si="2"/>
        <v>16.970800000000001</v>
      </c>
      <c r="U45">
        <f t="shared" si="3"/>
        <v>1.2947685181199999</v>
      </c>
      <c r="X45" s="9"/>
      <c r="Y45" s="22">
        <v>1.58371</v>
      </c>
      <c r="Z45" s="22">
        <v>148.304</v>
      </c>
      <c r="AA45" s="22">
        <v>-1.47919E-2</v>
      </c>
      <c r="AB45" s="22">
        <v>35</v>
      </c>
      <c r="AC45" s="22">
        <v>1.5829500000000001</v>
      </c>
      <c r="AD45">
        <f t="shared" si="4"/>
        <v>14.7919</v>
      </c>
      <c r="AE45">
        <f t="shared" si="5"/>
        <v>23.426079948999998</v>
      </c>
      <c r="AF45" s="9"/>
      <c r="AG45" s="22">
        <v>7.6293899999999998E-2</v>
      </c>
      <c r="AH45" s="22">
        <v>197.67099999999999</v>
      </c>
      <c r="AI45" s="22">
        <v>-1.69739E-2</v>
      </c>
      <c r="AJ45" s="22">
        <v>35</v>
      </c>
      <c r="AK45" s="22">
        <v>7.5653100000000001E-2</v>
      </c>
      <c r="AL45">
        <f t="shared" si="6"/>
        <v>16.9739</v>
      </c>
      <c r="AM45">
        <f t="shared" si="7"/>
        <v>1.2950050292099999</v>
      </c>
      <c r="AP45" s="9"/>
      <c r="AQ45" s="22">
        <v>1.58371</v>
      </c>
      <c r="AR45" s="22">
        <v>246.953</v>
      </c>
      <c r="AS45" s="22">
        <v>-1.44531E-2</v>
      </c>
      <c r="AT45" s="22">
        <v>35</v>
      </c>
      <c r="AU45" s="22">
        <v>1.5829500000000001</v>
      </c>
      <c r="AV45">
        <f t="shared" si="8"/>
        <v>14.453099999999999</v>
      </c>
      <c r="AW45">
        <f t="shared" si="9"/>
        <v>22.889519000999996</v>
      </c>
      <c r="AX45" s="9"/>
      <c r="AY45" s="22">
        <v>7.6293899999999998E-2</v>
      </c>
      <c r="AZ45" s="22">
        <v>296.32</v>
      </c>
      <c r="BA45" s="22">
        <v>-1.70166E-2</v>
      </c>
      <c r="BB45" s="22">
        <v>35</v>
      </c>
      <c r="BC45" s="22">
        <v>7.5683600000000004E-2</v>
      </c>
      <c r="BD45">
        <f t="shared" si="10"/>
        <v>17.0166</v>
      </c>
      <c r="BE45">
        <f t="shared" si="11"/>
        <v>1.2982627787400001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1.57867</v>
      </c>
      <c r="H46" s="22">
        <v>49.668700000000001</v>
      </c>
      <c r="I46" s="22">
        <v>-1.5698199999999999E-2</v>
      </c>
      <c r="J46" s="22">
        <v>36</v>
      </c>
      <c r="K46" s="22">
        <v>1.57806</v>
      </c>
      <c r="L46">
        <f t="shared" si="0"/>
        <v>15.698199999999998</v>
      </c>
      <c r="M46">
        <f t="shared" si="1"/>
        <v>24.782277393999998</v>
      </c>
      <c r="N46" s="9"/>
      <c r="O46" s="22">
        <v>8.1329299999999993E-2</v>
      </c>
      <c r="P46" s="22">
        <v>98.912099999999995</v>
      </c>
      <c r="Q46" s="22">
        <v>-1.6964699999999999E-2</v>
      </c>
      <c r="R46" s="22">
        <v>36</v>
      </c>
      <c r="S46" s="22">
        <v>8.0780000000000005E-2</v>
      </c>
      <c r="T46">
        <f t="shared" si="2"/>
        <v>16.964700000000001</v>
      </c>
      <c r="U46">
        <f t="shared" si="3"/>
        <v>1.37972717571</v>
      </c>
      <c r="X46" s="9"/>
      <c r="Y46" s="22">
        <v>1.57867</v>
      </c>
      <c r="Z46" s="22">
        <v>148.315</v>
      </c>
      <c r="AA46" s="22">
        <v>-1.4917E-2</v>
      </c>
      <c r="AB46" s="22">
        <v>36</v>
      </c>
      <c r="AC46" s="22">
        <v>1.57745</v>
      </c>
      <c r="AD46">
        <f t="shared" si="4"/>
        <v>14.917</v>
      </c>
      <c r="AE46">
        <f t="shared" si="5"/>
        <v>23.549020389999999</v>
      </c>
      <c r="AF46" s="9"/>
      <c r="AG46" s="22">
        <v>8.1329299999999993E-2</v>
      </c>
      <c r="AH46" s="22">
        <v>197.68100000000001</v>
      </c>
      <c r="AI46" s="22">
        <v>-1.6967800000000002E-2</v>
      </c>
      <c r="AJ46" s="22">
        <v>36</v>
      </c>
      <c r="AK46" s="22">
        <v>8.0780000000000005E-2</v>
      </c>
      <c r="AL46">
        <f t="shared" si="6"/>
        <v>16.9678</v>
      </c>
      <c r="AM46">
        <f t="shared" si="7"/>
        <v>1.37997929654</v>
      </c>
      <c r="AP46" s="9"/>
      <c r="AQ46" s="22">
        <v>1.57867</v>
      </c>
      <c r="AR46" s="22">
        <v>246.96299999999999</v>
      </c>
      <c r="AS46" s="22">
        <v>-1.46301E-2</v>
      </c>
      <c r="AT46" s="22">
        <v>36</v>
      </c>
      <c r="AU46" s="22">
        <v>1.57745</v>
      </c>
      <c r="AV46">
        <f t="shared" si="8"/>
        <v>14.630100000000001</v>
      </c>
      <c r="AW46">
        <f t="shared" si="9"/>
        <v>23.096099967000001</v>
      </c>
      <c r="AX46" s="9"/>
      <c r="AY46" s="22">
        <v>8.1329299999999993E-2</v>
      </c>
      <c r="AZ46" s="22">
        <v>296.33</v>
      </c>
      <c r="BA46" s="22">
        <v>-1.70166E-2</v>
      </c>
      <c r="BB46" s="22">
        <v>36</v>
      </c>
      <c r="BC46" s="22">
        <v>8.1024200000000005E-2</v>
      </c>
      <c r="BD46">
        <f t="shared" si="10"/>
        <v>17.0166</v>
      </c>
      <c r="BE46">
        <f t="shared" si="11"/>
        <v>1.38394816638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1.5736399999999999</v>
      </c>
      <c r="H47" s="22">
        <v>49.678800000000003</v>
      </c>
      <c r="I47" s="22">
        <v>-1.5792799999999999E-2</v>
      </c>
      <c r="J47" s="22">
        <v>37</v>
      </c>
      <c r="K47" s="22">
        <v>1.5728800000000001</v>
      </c>
      <c r="L47">
        <f t="shared" si="0"/>
        <v>15.7928</v>
      </c>
      <c r="M47">
        <f t="shared" si="1"/>
        <v>24.852181792</v>
      </c>
      <c r="N47" s="9"/>
      <c r="O47" s="22">
        <v>8.6364700000000003E-2</v>
      </c>
      <c r="P47" s="22">
        <v>98.922200000000004</v>
      </c>
      <c r="Q47" s="22">
        <v>-1.6964699999999999E-2</v>
      </c>
      <c r="R47" s="22">
        <v>37</v>
      </c>
      <c r="S47" s="22">
        <v>8.5693400000000003E-2</v>
      </c>
      <c r="T47">
        <f t="shared" si="2"/>
        <v>16.964700000000001</v>
      </c>
      <c r="U47">
        <f t="shared" si="3"/>
        <v>1.4651512260900001</v>
      </c>
      <c r="X47" s="9"/>
      <c r="Y47" s="22">
        <v>1.5736399999999999</v>
      </c>
      <c r="Z47" s="22">
        <v>148.32499999999999</v>
      </c>
      <c r="AA47" s="22">
        <v>-1.50452E-2</v>
      </c>
      <c r="AB47" s="22">
        <v>37</v>
      </c>
      <c r="AC47" s="22">
        <v>1.5722700000000001</v>
      </c>
      <c r="AD47">
        <f t="shared" si="4"/>
        <v>15.045199999999999</v>
      </c>
      <c r="AE47">
        <f t="shared" si="5"/>
        <v>23.675728527999997</v>
      </c>
      <c r="AF47" s="9"/>
      <c r="AG47" s="22">
        <v>8.6364700000000003E-2</v>
      </c>
      <c r="AH47" s="22">
        <v>197.691</v>
      </c>
      <c r="AI47" s="22">
        <v>-1.6958600000000001E-2</v>
      </c>
      <c r="AJ47" s="22">
        <v>37</v>
      </c>
      <c r="AK47" s="22">
        <v>8.5388199999999997E-2</v>
      </c>
      <c r="AL47">
        <f t="shared" si="6"/>
        <v>16.958600000000001</v>
      </c>
      <c r="AM47">
        <f t="shared" si="7"/>
        <v>1.4646244014200001</v>
      </c>
      <c r="AP47" s="9"/>
      <c r="AQ47" s="22">
        <v>1.5736399999999999</v>
      </c>
      <c r="AR47" s="22">
        <v>246.97300000000001</v>
      </c>
      <c r="AS47" s="22">
        <v>-1.47888E-2</v>
      </c>
      <c r="AT47" s="22">
        <v>37</v>
      </c>
      <c r="AU47" s="22">
        <v>1.57257</v>
      </c>
      <c r="AV47">
        <f t="shared" si="8"/>
        <v>14.7888</v>
      </c>
      <c r="AW47">
        <f t="shared" si="9"/>
        <v>23.272247231999998</v>
      </c>
      <c r="AX47" s="9"/>
      <c r="AY47" s="22">
        <v>8.6364700000000003E-2</v>
      </c>
      <c r="AZ47" s="22">
        <v>296.33999999999997</v>
      </c>
      <c r="BA47" s="22">
        <v>-1.7013500000000001E-2</v>
      </c>
      <c r="BB47" s="22">
        <v>37</v>
      </c>
      <c r="BC47" s="22">
        <v>8.4625199999999998E-2</v>
      </c>
      <c r="BD47">
        <f t="shared" si="10"/>
        <v>17.013500000000001</v>
      </c>
      <c r="BE47">
        <f t="shared" si="11"/>
        <v>1.46936582345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1.5686</v>
      </c>
      <c r="H48" s="22">
        <v>49.688800000000001</v>
      </c>
      <c r="I48" s="22">
        <v>-1.5869100000000001E-2</v>
      </c>
      <c r="J48" s="22">
        <v>38</v>
      </c>
      <c r="K48" s="22">
        <v>1.56769</v>
      </c>
      <c r="L48">
        <f t="shared" si="0"/>
        <v>15.869100000000001</v>
      </c>
      <c r="M48">
        <f t="shared" si="1"/>
        <v>24.892270260000004</v>
      </c>
      <c r="N48" s="9"/>
      <c r="O48" s="22">
        <v>9.1400099999999998E-2</v>
      </c>
      <c r="P48" s="22">
        <v>98.932299999999998</v>
      </c>
      <c r="Q48" s="22">
        <v>-1.6955600000000001E-2</v>
      </c>
      <c r="R48" s="22">
        <v>38</v>
      </c>
      <c r="S48" s="22">
        <v>9.0820300000000007E-2</v>
      </c>
      <c r="T48">
        <f t="shared" si="2"/>
        <v>16.9556</v>
      </c>
      <c r="U48">
        <f t="shared" si="3"/>
        <v>1.54974353556</v>
      </c>
      <c r="X48" s="9"/>
      <c r="Y48" s="22">
        <v>1.5686</v>
      </c>
      <c r="Z48" s="22">
        <v>148.33500000000001</v>
      </c>
      <c r="AA48" s="22">
        <v>-1.5179399999999999E-2</v>
      </c>
      <c r="AB48" s="22">
        <v>38</v>
      </c>
      <c r="AC48" s="22">
        <v>1.56738</v>
      </c>
      <c r="AD48">
        <f t="shared" si="4"/>
        <v>15.179399999999999</v>
      </c>
      <c r="AE48">
        <f t="shared" si="5"/>
        <v>23.810406839999999</v>
      </c>
      <c r="AF48" s="9"/>
      <c r="AG48" s="22">
        <v>9.1400099999999998E-2</v>
      </c>
      <c r="AH48" s="22">
        <v>197.70099999999999</v>
      </c>
      <c r="AI48" s="22">
        <v>-1.6958600000000001E-2</v>
      </c>
      <c r="AJ48" s="22">
        <v>38</v>
      </c>
      <c r="AK48" s="22">
        <v>9.1003399999999998E-2</v>
      </c>
      <c r="AL48">
        <f t="shared" si="6"/>
        <v>16.958600000000001</v>
      </c>
      <c r="AM48">
        <f t="shared" si="7"/>
        <v>1.55001773586</v>
      </c>
      <c r="AP48" s="9"/>
      <c r="AQ48" s="22">
        <v>1.5686</v>
      </c>
      <c r="AR48" s="22">
        <v>246.98400000000001</v>
      </c>
      <c r="AS48" s="22">
        <v>-1.49353E-2</v>
      </c>
      <c r="AT48" s="22">
        <v>38</v>
      </c>
      <c r="AU48" s="22">
        <v>1.56799</v>
      </c>
      <c r="AV48">
        <f t="shared" si="8"/>
        <v>14.9353</v>
      </c>
      <c r="AW48">
        <f t="shared" si="9"/>
        <v>23.427511580000001</v>
      </c>
      <c r="AX48" s="9"/>
      <c r="AY48" s="22">
        <v>9.1400099999999998E-2</v>
      </c>
      <c r="AZ48" s="22">
        <v>296.35000000000002</v>
      </c>
      <c r="BA48" s="22">
        <v>-1.7013500000000001E-2</v>
      </c>
      <c r="BB48" s="22">
        <v>38</v>
      </c>
      <c r="BC48" s="22">
        <v>9.1278100000000001E-2</v>
      </c>
      <c r="BD48">
        <f t="shared" si="10"/>
        <v>17.013500000000001</v>
      </c>
      <c r="BE48">
        <f t="shared" si="11"/>
        <v>1.55503560135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1.5635699999999999</v>
      </c>
      <c r="H49" s="22">
        <v>49.698900000000002</v>
      </c>
      <c r="I49" s="22">
        <v>-1.59515E-2</v>
      </c>
      <c r="J49" s="22">
        <v>39</v>
      </c>
      <c r="K49" s="22">
        <v>1.5625</v>
      </c>
      <c r="L49">
        <f t="shared" si="0"/>
        <v>15.951500000000001</v>
      </c>
      <c r="M49">
        <f t="shared" si="1"/>
        <v>24.941286855000001</v>
      </c>
      <c r="N49" s="9"/>
      <c r="O49" s="22">
        <v>9.6435499999999993E-2</v>
      </c>
      <c r="P49" s="22">
        <v>98.942300000000003</v>
      </c>
      <c r="Q49" s="22">
        <v>-1.6955600000000001E-2</v>
      </c>
      <c r="R49" s="22">
        <v>39</v>
      </c>
      <c r="S49" s="22">
        <v>9.5855700000000002E-2</v>
      </c>
      <c r="T49">
        <f t="shared" si="2"/>
        <v>16.9556</v>
      </c>
      <c r="U49">
        <f t="shared" si="3"/>
        <v>1.6351217638</v>
      </c>
      <c r="X49" s="9"/>
      <c r="Y49" s="22">
        <v>1.5635699999999999</v>
      </c>
      <c r="Z49" s="22">
        <v>148.345</v>
      </c>
      <c r="AA49" s="22">
        <v>-1.5301500000000001E-2</v>
      </c>
      <c r="AB49" s="22">
        <v>39</v>
      </c>
      <c r="AC49" s="22">
        <v>1.56342</v>
      </c>
      <c r="AD49">
        <f t="shared" si="4"/>
        <v>15.301500000000001</v>
      </c>
      <c r="AE49">
        <f t="shared" si="5"/>
        <v>23.924966354999999</v>
      </c>
      <c r="AF49" s="9"/>
      <c r="AG49" s="22">
        <v>9.6435499999999993E-2</v>
      </c>
      <c r="AH49" s="22">
        <v>197.71100000000001</v>
      </c>
      <c r="AI49" s="22">
        <v>-1.6955600000000001E-2</v>
      </c>
      <c r="AJ49" s="22">
        <v>39</v>
      </c>
      <c r="AK49" s="22">
        <v>9.5703099999999999E-2</v>
      </c>
      <c r="AL49">
        <f t="shared" si="6"/>
        <v>16.9556</v>
      </c>
      <c r="AM49">
        <f t="shared" si="7"/>
        <v>1.6351217638</v>
      </c>
      <c r="AP49" s="9"/>
      <c r="AQ49" s="22">
        <v>1.5635699999999999</v>
      </c>
      <c r="AR49" s="22">
        <v>246.994</v>
      </c>
      <c r="AS49" s="22">
        <v>-1.5063500000000001E-2</v>
      </c>
      <c r="AT49" s="22">
        <v>39</v>
      </c>
      <c r="AU49" s="22">
        <v>1.56311</v>
      </c>
      <c r="AV49">
        <f t="shared" si="8"/>
        <v>15.063500000000001</v>
      </c>
      <c r="AW49">
        <f t="shared" si="9"/>
        <v>23.552836695</v>
      </c>
      <c r="AX49" s="9"/>
      <c r="AY49" s="22">
        <v>9.6435499999999993E-2</v>
      </c>
      <c r="AZ49" s="22">
        <v>296.36</v>
      </c>
      <c r="BA49" s="22">
        <v>-1.7010500000000001E-2</v>
      </c>
      <c r="BB49" s="22">
        <v>39</v>
      </c>
      <c r="BC49" s="22">
        <v>9.6252400000000002E-2</v>
      </c>
      <c r="BD49">
        <f t="shared" si="10"/>
        <v>17.0105</v>
      </c>
      <c r="BE49">
        <f t="shared" si="11"/>
        <v>1.6404160727499999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1.55853</v>
      </c>
      <c r="H50" s="22">
        <v>49.709000000000003</v>
      </c>
      <c r="I50" s="22">
        <v>-1.60187E-2</v>
      </c>
      <c r="J50" s="22">
        <v>40</v>
      </c>
      <c r="K50" s="22">
        <v>1.55762</v>
      </c>
      <c r="L50">
        <f t="shared" si="0"/>
        <v>16.018699999999999</v>
      </c>
      <c r="M50">
        <f t="shared" si="1"/>
        <v>24.965624510999998</v>
      </c>
      <c r="N50" s="9"/>
      <c r="O50" s="22">
        <v>0.10147100000000001</v>
      </c>
      <c r="P50" s="22">
        <v>98.952399999999997</v>
      </c>
      <c r="Q50" s="22">
        <v>-1.6949499999999999E-2</v>
      </c>
      <c r="R50" s="22">
        <v>40</v>
      </c>
      <c r="S50" s="22">
        <v>0.100983</v>
      </c>
      <c r="T50">
        <f t="shared" si="2"/>
        <v>16.9495</v>
      </c>
      <c r="U50">
        <f t="shared" si="3"/>
        <v>1.7198827145000002</v>
      </c>
      <c r="X50" s="9"/>
      <c r="Y50" s="22">
        <v>1.55853</v>
      </c>
      <c r="Z50" s="22">
        <v>148.35499999999999</v>
      </c>
      <c r="AA50" s="22">
        <v>-1.54083E-2</v>
      </c>
      <c r="AB50" s="22">
        <v>40</v>
      </c>
      <c r="AC50" s="22">
        <v>1.55731</v>
      </c>
      <c r="AD50">
        <f t="shared" si="4"/>
        <v>15.408300000000001</v>
      </c>
      <c r="AE50">
        <f t="shared" si="5"/>
        <v>24.014297799000001</v>
      </c>
      <c r="AF50" s="9"/>
      <c r="AG50" s="22">
        <v>0.10147100000000001</v>
      </c>
      <c r="AH50" s="22">
        <v>197.721</v>
      </c>
      <c r="AI50" s="22">
        <v>-1.6952499999999999E-2</v>
      </c>
      <c r="AJ50" s="22">
        <v>40</v>
      </c>
      <c r="AK50" s="22">
        <v>0.100677</v>
      </c>
      <c r="AL50">
        <f t="shared" si="6"/>
        <v>16.952500000000001</v>
      </c>
      <c r="AM50">
        <f t="shared" si="7"/>
        <v>1.7201871275000002</v>
      </c>
      <c r="AP50" s="9"/>
      <c r="AQ50" s="22">
        <v>1.55853</v>
      </c>
      <c r="AR50" s="22">
        <v>247.00399999999999</v>
      </c>
      <c r="AS50" s="22">
        <v>-1.51947E-2</v>
      </c>
      <c r="AT50" s="22">
        <v>40</v>
      </c>
      <c r="AU50" s="22">
        <v>1.55701</v>
      </c>
      <c r="AV50">
        <f t="shared" si="8"/>
        <v>15.194700000000001</v>
      </c>
      <c r="AW50">
        <f t="shared" si="9"/>
        <v>23.681395791</v>
      </c>
      <c r="AX50" s="9"/>
      <c r="AY50" s="22">
        <v>0.10147100000000001</v>
      </c>
      <c r="AZ50" s="22">
        <v>296.37</v>
      </c>
      <c r="BA50" s="22">
        <v>-1.7007399999999999E-2</v>
      </c>
      <c r="BB50" s="22">
        <v>40</v>
      </c>
      <c r="BC50" s="22">
        <v>0.100952</v>
      </c>
      <c r="BD50">
        <f t="shared" si="10"/>
        <v>17.007400000000001</v>
      </c>
      <c r="BE50">
        <f t="shared" si="11"/>
        <v>1.7257578854000002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1.5535000000000001</v>
      </c>
      <c r="H51" s="22">
        <v>49.719099999999997</v>
      </c>
      <c r="I51" s="22">
        <v>-1.6076699999999999E-2</v>
      </c>
      <c r="J51" s="22">
        <v>41</v>
      </c>
      <c r="K51" s="22">
        <v>1.5527299999999999</v>
      </c>
      <c r="L51">
        <f t="shared" si="0"/>
        <v>16.076699999999999</v>
      </c>
      <c r="M51">
        <f t="shared" si="1"/>
        <v>24.975153450000001</v>
      </c>
      <c r="N51" s="9"/>
      <c r="O51" s="22">
        <v>0.106506</v>
      </c>
      <c r="P51" s="22">
        <v>98.962500000000006</v>
      </c>
      <c r="Q51" s="22">
        <v>-1.69464E-2</v>
      </c>
      <c r="R51" s="22">
        <v>41</v>
      </c>
      <c r="S51" s="22">
        <v>0.105988</v>
      </c>
      <c r="T51">
        <f t="shared" si="2"/>
        <v>16.946400000000001</v>
      </c>
      <c r="U51">
        <f t="shared" si="3"/>
        <v>1.8048932784</v>
      </c>
      <c r="X51" s="9"/>
      <c r="Y51" s="22">
        <v>1.5535000000000001</v>
      </c>
      <c r="Z51" s="22">
        <v>148.36500000000001</v>
      </c>
      <c r="AA51" s="22">
        <v>-1.5506000000000001E-2</v>
      </c>
      <c r="AB51" s="22">
        <v>41</v>
      </c>
      <c r="AC51" s="22">
        <v>1.5527299999999999</v>
      </c>
      <c r="AD51">
        <f t="shared" si="4"/>
        <v>15.506</v>
      </c>
      <c r="AE51">
        <f t="shared" si="5"/>
        <v>24.088571000000002</v>
      </c>
      <c r="AF51" s="9"/>
      <c r="AG51" s="22">
        <v>0.106506</v>
      </c>
      <c r="AH51" s="22">
        <v>197.73099999999999</v>
      </c>
      <c r="AI51" s="22">
        <v>-1.69464E-2</v>
      </c>
      <c r="AJ51" s="22">
        <v>41</v>
      </c>
      <c r="AK51" s="22">
        <v>0.105682</v>
      </c>
      <c r="AL51">
        <f t="shared" si="6"/>
        <v>16.946400000000001</v>
      </c>
      <c r="AM51">
        <f t="shared" si="7"/>
        <v>1.8048932784</v>
      </c>
      <c r="AP51" s="9"/>
      <c r="AQ51" s="22">
        <v>1.5535000000000001</v>
      </c>
      <c r="AR51" s="22">
        <v>247.01400000000001</v>
      </c>
      <c r="AS51" s="22">
        <v>-1.53137E-2</v>
      </c>
      <c r="AT51" s="22">
        <v>41</v>
      </c>
      <c r="AU51" s="22">
        <v>1.5521199999999999</v>
      </c>
      <c r="AV51">
        <f t="shared" si="8"/>
        <v>15.313699999999999</v>
      </c>
      <c r="AW51">
        <f t="shared" si="9"/>
        <v>23.789832950000001</v>
      </c>
      <c r="AX51" s="9"/>
      <c r="AY51" s="22">
        <v>0.106506</v>
      </c>
      <c r="AZ51" s="22">
        <v>296.38</v>
      </c>
      <c r="BA51" s="22">
        <v>-1.7004399999999999E-2</v>
      </c>
      <c r="BB51" s="22">
        <v>41</v>
      </c>
      <c r="BC51" s="22">
        <v>0.10495</v>
      </c>
      <c r="BD51">
        <f t="shared" si="10"/>
        <v>17.0044</v>
      </c>
      <c r="BE51">
        <f t="shared" si="11"/>
        <v>1.8110706264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1.5484599999999999</v>
      </c>
      <c r="H52" s="22">
        <v>49.729100000000003</v>
      </c>
      <c r="I52" s="22">
        <v>-1.6137700000000001E-2</v>
      </c>
      <c r="J52" s="22">
        <v>42</v>
      </c>
      <c r="K52" s="22">
        <v>1.5472399999999999</v>
      </c>
      <c r="L52">
        <f t="shared" si="0"/>
        <v>16.137700000000002</v>
      </c>
      <c r="M52">
        <f t="shared" si="1"/>
        <v>24.988582942000004</v>
      </c>
      <c r="N52" s="9"/>
      <c r="O52" s="22">
        <v>0.111542</v>
      </c>
      <c r="P52" s="22">
        <v>98.972499999999997</v>
      </c>
      <c r="Q52" s="22">
        <v>-1.6952499999999999E-2</v>
      </c>
      <c r="R52" s="22">
        <v>42</v>
      </c>
      <c r="S52" s="22">
        <v>0.110901</v>
      </c>
      <c r="T52">
        <f t="shared" si="2"/>
        <v>16.952500000000001</v>
      </c>
      <c r="U52">
        <f t="shared" si="3"/>
        <v>1.8909157550000002</v>
      </c>
      <c r="X52" s="9"/>
      <c r="Y52" s="22">
        <v>1.5484599999999999</v>
      </c>
      <c r="Z52" s="22">
        <v>148.375</v>
      </c>
      <c r="AA52" s="22">
        <v>-1.5628099999999999E-2</v>
      </c>
      <c r="AB52" s="22">
        <v>42</v>
      </c>
      <c r="AC52" s="22">
        <v>1.5472399999999999</v>
      </c>
      <c r="AD52">
        <f t="shared" si="4"/>
        <v>15.628099999999998</v>
      </c>
      <c r="AE52">
        <f t="shared" si="5"/>
        <v>24.199487725999997</v>
      </c>
      <c r="AF52" s="9"/>
      <c r="AG52" s="22">
        <v>0.111542</v>
      </c>
      <c r="AH52" s="22">
        <v>197.74100000000001</v>
      </c>
      <c r="AI52" s="22">
        <v>-1.6943400000000001E-2</v>
      </c>
      <c r="AJ52" s="22">
        <v>42</v>
      </c>
      <c r="AK52" s="22">
        <v>0.110931</v>
      </c>
      <c r="AL52">
        <f t="shared" si="6"/>
        <v>16.9434</v>
      </c>
      <c r="AM52">
        <f t="shared" si="7"/>
        <v>1.8899007228</v>
      </c>
      <c r="AP52" s="9"/>
      <c r="AQ52" s="22">
        <v>1.5484599999999999</v>
      </c>
      <c r="AR52" s="22">
        <v>247.024</v>
      </c>
      <c r="AS52" s="22">
        <v>-1.54266E-2</v>
      </c>
      <c r="AT52" s="22">
        <v>42</v>
      </c>
      <c r="AU52" s="22">
        <v>1.5478499999999999</v>
      </c>
      <c r="AV52">
        <f t="shared" si="8"/>
        <v>15.426600000000001</v>
      </c>
      <c r="AW52">
        <f t="shared" si="9"/>
        <v>23.887473035999999</v>
      </c>
      <c r="AX52" s="9"/>
      <c r="AY52" s="22">
        <v>0.111542</v>
      </c>
      <c r="AZ52" s="22">
        <v>296.39</v>
      </c>
      <c r="BA52" s="22">
        <v>-1.7004399999999999E-2</v>
      </c>
      <c r="BB52" s="22">
        <v>42</v>
      </c>
      <c r="BC52" s="22">
        <v>0.111359</v>
      </c>
      <c r="BD52">
        <f t="shared" si="10"/>
        <v>17.0044</v>
      </c>
      <c r="BE52">
        <f t="shared" si="11"/>
        <v>1.8967047848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1.5434300000000001</v>
      </c>
      <c r="H53" s="22">
        <v>49.739199999999997</v>
      </c>
      <c r="I53" s="22">
        <v>-1.6189599999999998E-2</v>
      </c>
      <c r="J53" s="22">
        <v>43</v>
      </c>
      <c r="K53" s="22">
        <v>1.5420499999999999</v>
      </c>
      <c r="L53">
        <f t="shared" si="0"/>
        <v>16.189599999999999</v>
      </c>
      <c r="M53">
        <f t="shared" si="1"/>
        <v>24.987514328</v>
      </c>
      <c r="N53" s="9"/>
      <c r="O53" s="22">
        <v>0.116577</v>
      </c>
      <c r="P53" s="22">
        <v>98.982600000000005</v>
      </c>
      <c r="Q53" s="22">
        <v>-1.6943400000000001E-2</v>
      </c>
      <c r="R53" s="22">
        <v>43</v>
      </c>
      <c r="S53" s="22">
        <v>0.11605799999999999</v>
      </c>
      <c r="T53">
        <f t="shared" si="2"/>
        <v>16.9434</v>
      </c>
      <c r="U53">
        <f t="shared" si="3"/>
        <v>1.9752107418</v>
      </c>
      <c r="X53" s="9"/>
      <c r="Y53" s="22">
        <v>1.5434300000000001</v>
      </c>
      <c r="Z53" s="22">
        <v>148.38499999999999</v>
      </c>
      <c r="AA53" s="22">
        <v>-1.5716600000000001E-2</v>
      </c>
      <c r="AB53" s="22">
        <v>43</v>
      </c>
      <c r="AC53" s="22">
        <v>1.5420499999999999</v>
      </c>
      <c r="AD53">
        <f t="shared" si="4"/>
        <v>15.716600000000001</v>
      </c>
      <c r="AE53">
        <f t="shared" si="5"/>
        <v>24.257471938000002</v>
      </c>
      <c r="AF53" s="9"/>
      <c r="AG53" s="22">
        <v>0.116577</v>
      </c>
      <c r="AH53" s="22">
        <v>197.751</v>
      </c>
      <c r="AI53" s="22">
        <v>-1.6943400000000001E-2</v>
      </c>
      <c r="AJ53" s="22">
        <v>43</v>
      </c>
      <c r="AK53" s="22">
        <v>0.116272</v>
      </c>
      <c r="AL53">
        <f t="shared" si="6"/>
        <v>16.9434</v>
      </c>
      <c r="AM53">
        <f t="shared" si="7"/>
        <v>1.9752107418</v>
      </c>
      <c r="AP53" s="9"/>
      <c r="AQ53" s="22">
        <v>1.5434300000000001</v>
      </c>
      <c r="AR53" s="22">
        <v>247.03399999999999</v>
      </c>
      <c r="AS53" s="22">
        <v>-1.5527300000000001E-2</v>
      </c>
      <c r="AT53" s="22">
        <v>43</v>
      </c>
      <c r="AU53" s="22">
        <v>1.5420499999999999</v>
      </c>
      <c r="AV53">
        <f t="shared" si="8"/>
        <v>15.5273</v>
      </c>
      <c r="AW53">
        <f t="shared" si="9"/>
        <v>23.965300639000002</v>
      </c>
      <c r="AX53" s="9"/>
      <c r="AY53" s="22">
        <v>0.116577</v>
      </c>
      <c r="AZ53" s="22">
        <v>296.39999999999998</v>
      </c>
      <c r="BA53" s="22">
        <v>-1.70013E-2</v>
      </c>
      <c r="BB53" s="22">
        <v>43</v>
      </c>
      <c r="BC53" s="22">
        <v>0.115448</v>
      </c>
      <c r="BD53">
        <f t="shared" si="10"/>
        <v>17.001300000000001</v>
      </c>
      <c r="BE53">
        <f t="shared" si="11"/>
        <v>1.9819605501000002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1.5383899999999999</v>
      </c>
      <c r="H54" s="22">
        <v>49.749299999999998</v>
      </c>
      <c r="I54" s="22">
        <v>-1.6235400000000001E-2</v>
      </c>
      <c r="J54" s="22">
        <v>44</v>
      </c>
      <c r="K54" s="22">
        <v>1.5371699999999999</v>
      </c>
      <c r="L54">
        <f t="shared" si="0"/>
        <v>16.235400000000002</v>
      </c>
      <c r="M54">
        <f t="shared" si="1"/>
        <v>24.976377006000003</v>
      </c>
      <c r="N54" s="9"/>
      <c r="O54" s="22">
        <v>0.121613</v>
      </c>
      <c r="P54" s="22">
        <v>98.992699999999999</v>
      </c>
      <c r="Q54" s="22">
        <v>-1.6940299999999998E-2</v>
      </c>
      <c r="R54" s="22">
        <v>44</v>
      </c>
      <c r="S54" s="22">
        <v>0.12094100000000001</v>
      </c>
      <c r="T54">
        <f t="shared" si="2"/>
        <v>16.940299999999997</v>
      </c>
      <c r="U54">
        <f t="shared" si="3"/>
        <v>2.0601607038999998</v>
      </c>
      <c r="X54" s="9"/>
      <c r="Y54" s="22">
        <v>1.5383899999999999</v>
      </c>
      <c r="Z54" s="22">
        <v>148.39500000000001</v>
      </c>
      <c r="AA54" s="22">
        <v>-1.5756200000000001E-2</v>
      </c>
      <c r="AB54" s="22">
        <v>44</v>
      </c>
      <c r="AC54" s="22">
        <v>1.5362499999999999</v>
      </c>
      <c r="AD54">
        <f t="shared" si="4"/>
        <v>15.756200000000002</v>
      </c>
      <c r="AE54">
        <f t="shared" si="5"/>
        <v>24.239180518000001</v>
      </c>
      <c r="AF54" s="9"/>
      <c r="AG54" s="22">
        <v>0.121613</v>
      </c>
      <c r="AH54" s="22">
        <v>197.762</v>
      </c>
      <c r="AI54" s="22">
        <v>-1.69342E-2</v>
      </c>
      <c r="AJ54" s="22">
        <v>44</v>
      </c>
      <c r="AK54" s="22">
        <v>0.120575</v>
      </c>
      <c r="AL54">
        <f t="shared" si="6"/>
        <v>16.934200000000001</v>
      </c>
      <c r="AM54">
        <f t="shared" si="7"/>
        <v>2.0594188646</v>
      </c>
      <c r="AP54" s="9"/>
      <c r="AQ54" s="22">
        <v>1.5383899999999999</v>
      </c>
      <c r="AR54" s="22">
        <v>247.04400000000001</v>
      </c>
      <c r="AS54" s="22">
        <v>-1.5621899999999999E-2</v>
      </c>
      <c r="AT54" s="22">
        <v>44</v>
      </c>
      <c r="AU54" s="22">
        <v>1.5377799999999999</v>
      </c>
      <c r="AV54">
        <f t="shared" si="8"/>
        <v>15.6219</v>
      </c>
      <c r="AW54">
        <f t="shared" si="9"/>
        <v>24.032574740999998</v>
      </c>
      <c r="AX54" s="9"/>
      <c r="AY54" s="22">
        <v>0.121613</v>
      </c>
      <c r="AZ54" s="22">
        <v>296.41000000000003</v>
      </c>
      <c r="BA54" s="22">
        <v>-1.6992199999999999E-2</v>
      </c>
      <c r="BB54" s="22">
        <v>44</v>
      </c>
      <c r="BC54" s="22">
        <v>0.121368</v>
      </c>
      <c r="BD54">
        <f t="shared" si="10"/>
        <v>16.9922</v>
      </c>
      <c r="BE54">
        <f t="shared" si="11"/>
        <v>2.0664724186000001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1.5333600000000001</v>
      </c>
      <c r="H55" s="22">
        <v>49.759300000000003</v>
      </c>
      <c r="I55" s="22">
        <v>-1.6275000000000001E-2</v>
      </c>
      <c r="J55" s="22">
        <v>45</v>
      </c>
      <c r="K55" s="22">
        <v>1.5335099999999999</v>
      </c>
      <c r="L55">
        <f t="shared" si="0"/>
        <v>16.275000000000002</v>
      </c>
      <c r="M55">
        <f t="shared" si="1"/>
        <v>24.955434000000004</v>
      </c>
      <c r="N55" s="9"/>
      <c r="O55" s="22">
        <v>0.12664800000000001</v>
      </c>
      <c r="P55" s="22">
        <v>99.002799999999993</v>
      </c>
      <c r="Q55" s="22">
        <v>-1.6940299999999998E-2</v>
      </c>
      <c r="R55" s="22">
        <v>45</v>
      </c>
      <c r="S55" s="22">
        <v>0.12612899999999999</v>
      </c>
      <c r="T55">
        <f t="shared" si="2"/>
        <v>16.940299999999997</v>
      </c>
      <c r="U55">
        <f t="shared" si="3"/>
        <v>2.1454551143999998</v>
      </c>
      <c r="X55" s="9"/>
      <c r="Y55" s="22">
        <v>1.5333600000000001</v>
      </c>
      <c r="Z55" s="22">
        <v>148.405</v>
      </c>
      <c r="AA55" s="22">
        <v>-1.58569E-2</v>
      </c>
      <c r="AB55" s="22">
        <v>45</v>
      </c>
      <c r="AC55" s="22">
        <v>1.5325899999999999</v>
      </c>
      <c r="AD55">
        <f t="shared" si="4"/>
        <v>15.8569</v>
      </c>
      <c r="AE55">
        <f t="shared" si="5"/>
        <v>24.314336184000002</v>
      </c>
      <c r="AF55" s="9"/>
      <c r="AG55" s="22">
        <v>0.12664800000000001</v>
      </c>
      <c r="AH55" s="22">
        <v>197.77199999999999</v>
      </c>
      <c r="AI55" s="22">
        <v>-1.69312E-2</v>
      </c>
      <c r="AJ55" s="22">
        <v>45</v>
      </c>
      <c r="AK55" s="22">
        <v>0.12631200000000001</v>
      </c>
      <c r="AL55">
        <f t="shared" si="6"/>
        <v>16.9312</v>
      </c>
      <c r="AM55">
        <f t="shared" si="7"/>
        <v>2.1443026176000002</v>
      </c>
      <c r="AP55" s="9"/>
      <c r="AQ55" s="22">
        <v>1.5333600000000001</v>
      </c>
      <c r="AR55" s="22">
        <v>247.054</v>
      </c>
      <c r="AS55" s="22">
        <v>-1.57074E-2</v>
      </c>
      <c r="AT55" s="22">
        <v>45</v>
      </c>
      <c r="AU55" s="22">
        <v>1.5325899999999999</v>
      </c>
      <c r="AV55">
        <f t="shared" si="8"/>
        <v>15.7074</v>
      </c>
      <c r="AW55">
        <f t="shared" si="9"/>
        <v>24.085098863999999</v>
      </c>
      <c r="AX55" s="9"/>
      <c r="AY55" s="22">
        <v>0.12664800000000001</v>
      </c>
      <c r="AZ55" s="22">
        <v>296.42</v>
      </c>
      <c r="BA55" s="22">
        <v>-1.6992199999999999E-2</v>
      </c>
      <c r="BB55" s="22">
        <v>45</v>
      </c>
      <c r="BC55" s="22">
        <v>0.12573200000000001</v>
      </c>
      <c r="BD55">
        <f t="shared" si="10"/>
        <v>16.9922</v>
      </c>
      <c r="BE55">
        <f t="shared" si="11"/>
        <v>2.1520281456000001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1.5283199999999999</v>
      </c>
      <c r="H56" s="22">
        <v>49.769399999999997</v>
      </c>
      <c r="I56" s="22">
        <v>-1.63208E-2</v>
      </c>
      <c r="J56" s="22">
        <v>46</v>
      </c>
      <c r="K56" s="22">
        <v>1.5274000000000001</v>
      </c>
      <c r="L56">
        <f t="shared" si="0"/>
        <v>16.320799999999998</v>
      </c>
      <c r="M56">
        <f t="shared" si="1"/>
        <v>24.943405055999996</v>
      </c>
      <c r="N56" s="9"/>
      <c r="O56" s="22">
        <v>0.13168299999999999</v>
      </c>
      <c r="P56" s="22">
        <v>99.012799999999999</v>
      </c>
      <c r="Q56" s="22">
        <v>-1.69342E-2</v>
      </c>
      <c r="R56" s="22">
        <v>46</v>
      </c>
      <c r="S56" s="22">
        <v>0.131134</v>
      </c>
      <c r="T56">
        <f t="shared" si="2"/>
        <v>16.934200000000001</v>
      </c>
      <c r="U56">
        <f t="shared" si="3"/>
        <v>2.2299462586000001</v>
      </c>
      <c r="X56" s="9"/>
      <c r="Y56" s="22">
        <v>1.5283199999999999</v>
      </c>
      <c r="Z56" s="22">
        <v>148.41499999999999</v>
      </c>
      <c r="AA56" s="22">
        <v>-1.5933200000000002E-2</v>
      </c>
      <c r="AB56" s="22">
        <v>46</v>
      </c>
      <c r="AC56" s="22">
        <v>1.5280199999999999</v>
      </c>
      <c r="AD56">
        <f t="shared" si="4"/>
        <v>15.933200000000001</v>
      </c>
      <c r="AE56">
        <f t="shared" si="5"/>
        <v>24.351028224</v>
      </c>
      <c r="AF56" s="9"/>
      <c r="AG56" s="22">
        <v>0.13168299999999999</v>
      </c>
      <c r="AH56" s="22">
        <v>197.78200000000001</v>
      </c>
      <c r="AI56" s="22">
        <v>-1.69312E-2</v>
      </c>
      <c r="AJ56" s="22">
        <v>46</v>
      </c>
      <c r="AK56" s="22">
        <v>0.13159199999999999</v>
      </c>
      <c r="AL56">
        <f t="shared" si="6"/>
        <v>16.9312</v>
      </c>
      <c r="AM56">
        <f t="shared" si="7"/>
        <v>2.2295512095999999</v>
      </c>
      <c r="AP56" s="9"/>
      <c r="AQ56" s="22">
        <v>1.5283199999999999</v>
      </c>
      <c r="AR56" s="22">
        <v>247.06399999999999</v>
      </c>
      <c r="AS56" s="22">
        <v>-1.57898E-2</v>
      </c>
      <c r="AT56" s="22">
        <v>46</v>
      </c>
      <c r="AU56" s="22">
        <v>1.5277099999999999</v>
      </c>
      <c r="AV56">
        <f t="shared" si="8"/>
        <v>15.7898</v>
      </c>
      <c r="AW56">
        <f t="shared" si="9"/>
        <v>24.131867135999997</v>
      </c>
      <c r="AX56" s="9"/>
      <c r="AY56" s="22">
        <v>0.13168299999999999</v>
      </c>
      <c r="AZ56" s="22">
        <v>296.43099999999998</v>
      </c>
      <c r="BA56" s="22">
        <v>-1.69891E-2</v>
      </c>
      <c r="BB56" s="22">
        <v>46</v>
      </c>
      <c r="BC56" s="22">
        <v>0.13089000000000001</v>
      </c>
      <c r="BD56">
        <f t="shared" si="10"/>
        <v>16.989100000000001</v>
      </c>
      <c r="BE56">
        <f t="shared" si="11"/>
        <v>2.2371756553000002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1.52328</v>
      </c>
      <c r="H57" s="22">
        <v>49.779499999999999</v>
      </c>
      <c r="I57" s="22">
        <v>-1.63635E-2</v>
      </c>
      <c r="J57" s="22">
        <v>47</v>
      </c>
      <c r="K57" s="22">
        <v>1.5225200000000001</v>
      </c>
      <c r="L57">
        <f t="shared" si="0"/>
        <v>16.363499999999998</v>
      </c>
      <c r="M57">
        <f t="shared" si="1"/>
        <v>24.926192279999999</v>
      </c>
      <c r="N57" s="9"/>
      <c r="O57" s="22">
        <v>0.13671900000000001</v>
      </c>
      <c r="P57" s="22">
        <v>99.022900000000007</v>
      </c>
      <c r="Q57" s="22">
        <v>-1.6928100000000001E-2</v>
      </c>
      <c r="R57" s="22">
        <v>47</v>
      </c>
      <c r="S57" s="22">
        <v>0.136658</v>
      </c>
      <c r="T57">
        <f t="shared" si="2"/>
        <v>16.928100000000001</v>
      </c>
      <c r="U57">
        <f t="shared" si="3"/>
        <v>2.3143929039000004</v>
      </c>
      <c r="X57" s="9"/>
      <c r="Y57" s="22">
        <v>1.52328</v>
      </c>
      <c r="Z57" s="22">
        <v>148.42500000000001</v>
      </c>
      <c r="AA57" s="22">
        <v>-1.6003400000000001E-2</v>
      </c>
      <c r="AB57" s="22">
        <v>47</v>
      </c>
      <c r="AC57" s="22">
        <v>1.5216099999999999</v>
      </c>
      <c r="AD57">
        <f t="shared" si="4"/>
        <v>16.003399999999999</v>
      </c>
      <c r="AE57">
        <f t="shared" si="5"/>
        <v>24.377659152</v>
      </c>
      <c r="AF57" s="9"/>
      <c r="AG57" s="22">
        <v>0.13671900000000001</v>
      </c>
      <c r="AH57" s="22">
        <v>197.792</v>
      </c>
      <c r="AI57" s="22">
        <v>-1.6928100000000001E-2</v>
      </c>
      <c r="AJ57" s="22">
        <v>47</v>
      </c>
      <c r="AK57" s="22">
        <v>0.13592499999999999</v>
      </c>
      <c r="AL57">
        <f t="shared" si="6"/>
        <v>16.928100000000001</v>
      </c>
      <c r="AM57">
        <f t="shared" si="7"/>
        <v>2.3143929039000004</v>
      </c>
      <c r="AP57" s="9"/>
      <c r="AQ57" s="22">
        <v>1.52328</v>
      </c>
      <c r="AR57" s="22">
        <v>247.07400000000001</v>
      </c>
      <c r="AS57" s="22">
        <v>-1.5878300000000001E-2</v>
      </c>
      <c r="AT57" s="22">
        <v>47</v>
      </c>
      <c r="AU57" s="22">
        <v>1.5222199999999999</v>
      </c>
      <c r="AV57">
        <f t="shared" si="8"/>
        <v>15.878300000000001</v>
      </c>
      <c r="AW57">
        <f t="shared" si="9"/>
        <v>24.187096824000001</v>
      </c>
      <c r="AX57" s="9"/>
      <c r="AY57" s="22">
        <v>0.13671900000000001</v>
      </c>
      <c r="AZ57" s="22">
        <v>296.44099999999997</v>
      </c>
      <c r="BA57" s="22">
        <v>-1.6979999999999999E-2</v>
      </c>
      <c r="BB57" s="22">
        <v>47</v>
      </c>
      <c r="BC57" s="22">
        <v>0.136993</v>
      </c>
      <c r="BD57">
        <f t="shared" si="10"/>
        <v>16.979999999999997</v>
      </c>
      <c r="BE57">
        <f t="shared" si="11"/>
        <v>2.3214886199999998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1.5182500000000001</v>
      </c>
      <c r="H58" s="22">
        <v>49.789499999999997</v>
      </c>
      <c r="I58" s="22">
        <v>-1.6393999999999999E-2</v>
      </c>
      <c r="J58" s="22">
        <v>48</v>
      </c>
      <c r="K58" s="22">
        <v>1.5173300000000001</v>
      </c>
      <c r="L58">
        <f t="shared" si="0"/>
        <v>16.393999999999998</v>
      </c>
      <c r="M58">
        <f t="shared" si="1"/>
        <v>24.890190499999999</v>
      </c>
      <c r="N58" s="9"/>
      <c r="O58" s="22">
        <v>0.14175399999999999</v>
      </c>
      <c r="P58" s="22">
        <v>99.033000000000001</v>
      </c>
      <c r="Q58" s="22">
        <v>-1.6928100000000001E-2</v>
      </c>
      <c r="R58" s="22">
        <v>48</v>
      </c>
      <c r="S58" s="22">
        <v>0.14105200000000001</v>
      </c>
      <c r="T58">
        <f t="shared" si="2"/>
        <v>16.928100000000001</v>
      </c>
      <c r="U58">
        <f t="shared" si="3"/>
        <v>2.3996258874</v>
      </c>
      <c r="X58" s="9"/>
      <c r="Y58" s="22">
        <v>1.5182500000000001</v>
      </c>
      <c r="Z58" s="22">
        <v>148.435</v>
      </c>
      <c r="AA58" s="22">
        <v>-1.6082800000000001E-2</v>
      </c>
      <c r="AB58" s="22">
        <v>48</v>
      </c>
      <c r="AC58" s="22">
        <v>1.5170300000000001</v>
      </c>
      <c r="AD58">
        <f t="shared" si="4"/>
        <v>16.082800000000002</v>
      </c>
      <c r="AE58">
        <f t="shared" si="5"/>
        <v>24.417711100000005</v>
      </c>
      <c r="AF58" s="9"/>
      <c r="AG58" s="22">
        <v>0.14175399999999999</v>
      </c>
      <c r="AH58" s="22">
        <v>197.80199999999999</v>
      </c>
      <c r="AI58" s="22">
        <v>-1.6924999999999999E-2</v>
      </c>
      <c r="AJ58" s="22">
        <v>48</v>
      </c>
      <c r="AK58" s="22">
        <v>0.14160200000000001</v>
      </c>
      <c r="AL58">
        <f t="shared" si="6"/>
        <v>16.925000000000001</v>
      </c>
      <c r="AM58">
        <f t="shared" si="7"/>
        <v>2.3991864499999997</v>
      </c>
      <c r="AP58" s="9"/>
      <c r="AQ58" s="22">
        <v>1.5182500000000001</v>
      </c>
      <c r="AR58" s="22">
        <v>247.084</v>
      </c>
      <c r="AS58" s="22">
        <v>-1.59515E-2</v>
      </c>
      <c r="AT58" s="22">
        <v>48</v>
      </c>
      <c r="AU58" s="22">
        <v>1.5176400000000001</v>
      </c>
      <c r="AV58">
        <f t="shared" si="8"/>
        <v>15.951500000000001</v>
      </c>
      <c r="AW58">
        <f t="shared" si="9"/>
        <v>24.218364875000002</v>
      </c>
      <c r="AX58" s="9"/>
      <c r="AY58" s="22">
        <v>0.14175399999999999</v>
      </c>
      <c r="AZ58" s="22">
        <v>296.45100000000002</v>
      </c>
      <c r="BA58" s="22">
        <v>-1.69769E-2</v>
      </c>
      <c r="BB58" s="22">
        <v>48</v>
      </c>
      <c r="BC58" s="22">
        <v>0.140961</v>
      </c>
      <c r="BD58">
        <f t="shared" si="10"/>
        <v>16.976900000000001</v>
      </c>
      <c r="BE58">
        <f t="shared" si="11"/>
        <v>2.4065434826000001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1.5132099999999999</v>
      </c>
      <c r="H59" s="22">
        <v>49.799599999999998</v>
      </c>
      <c r="I59" s="22">
        <v>-1.6424600000000001E-2</v>
      </c>
      <c r="J59" s="22">
        <v>49</v>
      </c>
      <c r="K59" s="22">
        <v>1.5127600000000001</v>
      </c>
      <c r="L59">
        <f t="shared" si="0"/>
        <v>16.424600000000002</v>
      </c>
      <c r="M59">
        <f t="shared" si="1"/>
        <v>24.853868966</v>
      </c>
      <c r="N59" s="9"/>
      <c r="O59" s="22">
        <v>0.14679</v>
      </c>
      <c r="P59" s="22">
        <v>99.043000000000006</v>
      </c>
      <c r="Q59" s="22">
        <v>-1.6924999999999999E-2</v>
      </c>
      <c r="R59" s="22">
        <v>49</v>
      </c>
      <c r="S59" s="22">
        <v>0.14630099999999999</v>
      </c>
      <c r="T59">
        <f t="shared" si="2"/>
        <v>16.925000000000001</v>
      </c>
      <c r="U59">
        <f t="shared" si="3"/>
        <v>2.48442075</v>
      </c>
      <c r="X59" s="9"/>
      <c r="Y59" s="22">
        <v>1.5132099999999999</v>
      </c>
      <c r="Z59" s="22">
        <v>148.44499999999999</v>
      </c>
      <c r="AA59" s="22">
        <v>-1.61438E-2</v>
      </c>
      <c r="AB59" s="22">
        <v>49</v>
      </c>
      <c r="AC59" s="22">
        <v>1.5121500000000001</v>
      </c>
      <c r="AD59">
        <f t="shared" si="4"/>
        <v>16.143799999999999</v>
      </c>
      <c r="AE59">
        <f t="shared" si="5"/>
        <v>24.428959597999999</v>
      </c>
      <c r="AF59" s="9"/>
      <c r="AG59" s="22">
        <v>0.14679</v>
      </c>
      <c r="AH59" s="22">
        <v>197.81200000000001</v>
      </c>
      <c r="AI59" s="22">
        <v>-1.6922E-2</v>
      </c>
      <c r="AJ59" s="22">
        <v>49</v>
      </c>
      <c r="AK59" s="22">
        <v>0.145813</v>
      </c>
      <c r="AL59">
        <f t="shared" si="6"/>
        <v>16.922000000000001</v>
      </c>
      <c r="AM59">
        <f t="shared" si="7"/>
        <v>2.4839803800000002</v>
      </c>
      <c r="AP59" s="9"/>
      <c r="AQ59" s="22">
        <v>1.5132099999999999</v>
      </c>
      <c r="AR59" s="22">
        <v>247.09399999999999</v>
      </c>
      <c r="AS59" s="22">
        <v>-1.6024799999999999E-2</v>
      </c>
      <c r="AT59" s="22">
        <v>49</v>
      </c>
      <c r="AU59" s="22">
        <v>1.5124500000000001</v>
      </c>
      <c r="AV59">
        <f t="shared" si="8"/>
        <v>16.024799999999999</v>
      </c>
      <c r="AW59">
        <f t="shared" si="9"/>
        <v>24.248887607999997</v>
      </c>
      <c r="AX59" s="9"/>
      <c r="AY59" s="22">
        <v>0.14679</v>
      </c>
      <c r="AZ59" s="22">
        <v>296.46100000000001</v>
      </c>
      <c r="BA59" s="22">
        <v>-1.6970800000000001E-2</v>
      </c>
      <c r="BB59" s="22">
        <v>49</v>
      </c>
      <c r="BC59" s="22">
        <v>0.14559900000000001</v>
      </c>
      <c r="BD59">
        <f t="shared" si="10"/>
        <v>16.970800000000001</v>
      </c>
      <c r="BE59">
        <f t="shared" si="11"/>
        <v>2.4911437320000003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1.5081800000000001</v>
      </c>
      <c r="H60" s="22">
        <v>49.809699999999999</v>
      </c>
      <c r="I60" s="22">
        <v>-1.6461199999999999E-2</v>
      </c>
      <c r="J60" s="22">
        <v>50</v>
      </c>
      <c r="K60" s="22">
        <v>1.50665</v>
      </c>
      <c r="L60">
        <f t="shared" si="0"/>
        <v>16.461199999999998</v>
      </c>
      <c r="M60">
        <f t="shared" si="1"/>
        <v>24.826452615999997</v>
      </c>
      <c r="N60" s="9"/>
      <c r="O60" s="22">
        <v>0.15182499999999999</v>
      </c>
      <c r="P60" s="22">
        <v>99.053100000000001</v>
      </c>
      <c r="Q60" s="22">
        <v>-1.6918900000000001E-2</v>
      </c>
      <c r="R60" s="22">
        <v>50</v>
      </c>
      <c r="S60" s="22">
        <v>0.151337</v>
      </c>
      <c r="T60">
        <f t="shared" si="2"/>
        <v>16.918900000000001</v>
      </c>
      <c r="U60">
        <f t="shared" si="3"/>
        <v>2.5687119924999999</v>
      </c>
      <c r="X60" s="9"/>
      <c r="Y60" s="22">
        <v>1.5081800000000001</v>
      </c>
      <c r="Z60" s="22">
        <v>148.45599999999999</v>
      </c>
      <c r="AA60" s="22">
        <v>-1.6207900000000001E-2</v>
      </c>
      <c r="AB60" s="22">
        <v>50</v>
      </c>
      <c r="AC60" s="22">
        <v>1.50665</v>
      </c>
      <c r="AD60">
        <f t="shared" si="4"/>
        <v>16.207900000000002</v>
      </c>
      <c r="AE60">
        <f t="shared" si="5"/>
        <v>24.444430622000006</v>
      </c>
      <c r="AF60" s="9"/>
      <c r="AG60" s="22">
        <v>0.15182499999999999</v>
      </c>
      <c r="AH60" s="22">
        <v>197.822</v>
      </c>
      <c r="AI60" s="22">
        <v>-1.6918900000000001E-2</v>
      </c>
      <c r="AJ60" s="22">
        <v>50</v>
      </c>
      <c r="AK60" s="22">
        <v>0.151306</v>
      </c>
      <c r="AL60">
        <f t="shared" si="6"/>
        <v>16.918900000000001</v>
      </c>
      <c r="AM60">
        <f t="shared" si="7"/>
        <v>2.5687119924999999</v>
      </c>
      <c r="AP60" s="9"/>
      <c r="AQ60" s="22">
        <v>1.5081800000000001</v>
      </c>
      <c r="AR60" s="22">
        <v>247.10400000000001</v>
      </c>
      <c r="AS60" s="22">
        <v>-1.6076699999999999E-2</v>
      </c>
      <c r="AT60" s="22">
        <v>50</v>
      </c>
      <c r="AU60" s="22">
        <v>1.50787</v>
      </c>
      <c r="AV60">
        <f t="shared" si="8"/>
        <v>16.076699999999999</v>
      </c>
      <c r="AW60">
        <f t="shared" si="9"/>
        <v>24.246557406000001</v>
      </c>
      <c r="AX60" s="9"/>
      <c r="AY60" s="22">
        <v>0.15182499999999999</v>
      </c>
      <c r="AZ60" s="22">
        <v>296.471</v>
      </c>
      <c r="BA60" s="22">
        <v>-1.6967800000000002E-2</v>
      </c>
      <c r="BB60" s="22">
        <v>50</v>
      </c>
      <c r="BC60" s="22">
        <v>0.15109300000000001</v>
      </c>
      <c r="BD60">
        <f t="shared" si="10"/>
        <v>16.9678</v>
      </c>
      <c r="BE60">
        <f t="shared" si="11"/>
        <v>2.5761362349999999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1.5031399999999999</v>
      </c>
      <c r="H61" s="22">
        <v>49.819800000000001</v>
      </c>
      <c r="I61" s="22">
        <v>-1.6488599999999999E-2</v>
      </c>
      <c r="J61" s="22">
        <v>51</v>
      </c>
      <c r="K61" s="22">
        <v>1.5020800000000001</v>
      </c>
      <c r="L61">
        <f t="shared" si="0"/>
        <v>16.488599999999998</v>
      </c>
      <c r="M61">
        <f t="shared" si="1"/>
        <v>24.784674203999995</v>
      </c>
      <c r="N61" s="9"/>
      <c r="O61" s="22">
        <v>0.15686</v>
      </c>
      <c r="P61" s="22">
        <v>99.063199999999995</v>
      </c>
      <c r="Q61" s="22">
        <v>-1.6915900000000001E-2</v>
      </c>
      <c r="R61" s="22">
        <v>51</v>
      </c>
      <c r="S61" s="22">
        <v>0.15615799999999999</v>
      </c>
      <c r="T61">
        <f t="shared" si="2"/>
        <v>16.915900000000001</v>
      </c>
      <c r="U61">
        <f t="shared" si="3"/>
        <v>2.6534280740000002</v>
      </c>
      <c r="X61" s="9"/>
      <c r="Y61" s="22">
        <v>1.5031399999999999</v>
      </c>
      <c r="Z61" s="22">
        <v>148.46600000000001</v>
      </c>
      <c r="AA61" s="22">
        <v>-1.6241499999999999E-2</v>
      </c>
      <c r="AB61" s="22">
        <v>51</v>
      </c>
      <c r="AC61" s="22">
        <v>1.50146</v>
      </c>
      <c r="AD61">
        <f t="shared" si="4"/>
        <v>16.241499999999998</v>
      </c>
      <c r="AE61">
        <f t="shared" si="5"/>
        <v>24.413248309999997</v>
      </c>
      <c r="AF61" s="9"/>
      <c r="AG61" s="22">
        <v>0.15686</v>
      </c>
      <c r="AH61" s="22">
        <v>197.83199999999999</v>
      </c>
      <c r="AI61" s="22">
        <v>-1.6918900000000001E-2</v>
      </c>
      <c r="AJ61" s="22">
        <v>51</v>
      </c>
      <c r="AK61" s="22">
        <v>0.15640299999999999</v>
      </c>
      <c r="AL61">
        <f t="shared" si="6"/>
        <v>16.918900000000001</v>
      </c>
      <c r="AM61">
        <f t="shared" si="7"/>
        <v>2.6538986540000002</v>
      </c>
      <c r="AP61" s="9"/>
      <c r="AQ61" s="22">
        <v>1.5031399999999999</v>
      </c>
      <c r="AR61" s="22">
        <v>247.114</v>
      </c>
      <c r="AS61" s="22">
        <v>-1.6134599999999999E-2</v>
      </c>
      <c r="AT61" s="22">
        <v>51</v>
      </c>
      <c r="AU61" s="22">
        <v>1.50177</v>
      </c>
      <c r="AV61">
        <f t="shared" si="8"/>
        <v>16.134599999999999</v>
      </c>
      <c r="AW61">
        <f t="shared" si="9"/>
        <v>24.252562643999998</v>
      </c>
      <c r="AX61" s="9"/>
      <c r="AY61" s="22">
        <v>0.15686</v>
      </c>
      <c r="AZ61" s="22">
        <v>296.48099999999999</v>
      </c>
      <c r="BA61" s="22">
        <v>-1.6955600000000001E-2</v>
      </c>
      <c r="BB61" s="22">
        <v>51</v>
      </c>
      <c r="BC61" s="22">
        <v>0.15625</v>
      </c>
      <c r="BD61">
        <f t="shared" si="10"/>
        <v>16.9556</v>
      </c>
      <c r="BE61">
        <f t="shared" si="11"/>
        <v>2.6596554160000001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1.4981100000000001</v>
      </c>
      <c r="H62" s="22">
        <v>49.829799999999999</v>
      </c>
      <c r="I62" s="22">
        <v>-1.6513099999999999E-2</v>
      </c>
      <c r="J62" s="22">
        <v>52</v>
      </c>
      <c r="K62" s="22">
        <v>1.4968900000000001</v>
      </c>
      <c r="L62">
        <f t="shared" si="0"/>
        <v>16.513099999999998</v>
      </c>
      <c r="M62">
        <f t="shared" si="1"/>
        <v>24.738440240999999</v>
      </c>
      <c r="N62" s="9"/>
      <c r="O62" s="22">
        <v>0.16189600000000001</v>
      </c>
      <c r="P62" s="22">
        <v>99.073300000000003</v>
      </c>
      <c r="Q62" s="22">
        <v>-1.6918900000000001E-2</v>
      </c>
      <c r="R62" s="22">
        <v>52</v>
      </c>
      <c r="S62" s="22">
        <v>0.16137699999999999</v>
      </c>
      <c r="T62">
        <f t="shared" si="2"/>
        <v>16.918900000000001</v>
      </c>
      <c r="U62">
        <f t="shared" si="3"/>
        <v>2.7391022344000002</v>
      </c>
      <c r="X62" s="9"/>
      <c r="Y62" s="22">
        <v>1.4981100000000001</v>
      </c>
      <c r="Z62" s="22">
        <v>148.476</v>
      </c>
      <c r="AA62" s="22">
        <v>-1.6296399999999999E-2</v>
      </c>
      <c r="AB62" s="22">
        <v>52</v>
      </c>
      <c r="AC62" s="22">
        <v>1.4975000000000001</v>
      </c>
      <c r="AD62">
        <f t="shared" si="4"/>
        <v>16.296399999999998</v>
      </c>
      <c r="AE62">
        <f t="shared" si="5"/>
        <v>24.413799804</v>
      </c>
      <c r="AF62" s="9"/>
      <c r="AG62" s="22">
        <v>0.16189600000000001</v>
      </c>
      <c r="AH62" s="22">
        <v>197.84200000000001</v>
      </c>
      <c r="AI62" s="22">
        <v>-1.6912799999999999E-2</v>
      </c>
      <c r="AJ62" s="22">
        <v>52</v>
      </c>
      <c r="AK62" s="22">
        <v>0.16168199999999999</v>
      </c>
      <c r="AL62">
        <f t="shared" si="6"/>
        <v>16.912799999999997</v>
      </c>
      <c r="AM62">
        <f t="shared" si="7"/>
        <v>2.7381146687999998</v>
      </c>
      <c r="AP62" s="9"/>
      <c r="AQ62" s="22">
        <v>1.4981100000000001</v>
      </c>
      <c r="AR62" s="22">
        <v>247.125</v>
      </c>
      <c r="AS62" s="22">
        <v>-1.6177400000000002E-2</v>
      </c>
      <c r="AT62" s="22">
        <v>52</v>
      </c>
      <c r="AU62" s="22">
        <v>1.4978</v>
      </c>
      <c r="AV62">
        <f t="shared" si="8"/>
        <v>16.177400000000002</v>
      </c>
      <c r="AW62">
        <f t="shared" si="9"/>
        <v>24.235524714000004</v>
      </c>
      <c r="AX62" s="9"/>
      <c r="AY62" s="22">
        <v>0.16189600000000001</v>
      </c>
      <c r="AZ62" s="22">
        <v>296.49099999999999</v>
      </c>
      <c r="BA62" s="22">
        <v>-1.6949499999999999E-2</v>
      </c>
      <c r="BB62" s="22">
        <v>52</v>
      </c>
      <c r="BC62" s="22">
        <v>0.160553</v>
      </c>
      <c r="BD62">
        <f t="shared" si="10"/>
        <v>16.9495</v>
      </c>
      <c r="BE62">
        <f t="shared" si="11"/>
        <v>2.7440562520000005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1.4930699999999999</v>
      </c>
      <c r="H63" s="22">
        <v>49.8399</v>
      </c>
      <c r="I63" s="22">
        <v>-1.65375E-2</v>
      </c>
      <c r="J63" s="22">
        <v>53</v>
      </c>
      <c r="K63" s="22">
        <v>1.49231</v>
      </c>
      <c r="L63">
        <f t="shared" si="0"/>
        <v>16.537500000000001</v>
      </c>
      <c r="M63">
        <f t="shared" si="1"/>
        <v>24.691645125000001</v>
      </c>
      <c r="N63" s="9"/>
      <c r="O63" s="22">
        <v>0.166931</v>
      </c>
      <c r="P63" s="22">
        <v>99.083299999999994</v>
      </c>
      <c r="Q63" s="22">
        <v>-1.6915900000000001E-2</v>
      </c>
      <c r="R63" s="22">
        <v>53</v>
      </c>
      <c r="S63" s="22">
        <v>0.16592399999999999</v>
      </c>
      <c r="T63">
        <f t="shared" si="2"/>
        <v>16.915900000000001</v>
      </c>
      <c r="U63">
        <f t="shared" si="3"/>
        <v>2.8237881029</v>
      </c>
      <c r="X63" s="9"/>
      <c r="Y63" s="22">
        <v>1.4930699999999999</v>
      </c>
      <c r="Z63" s="22">
        <v>148.48599999999999</v>
      </c>
      <c r="AA63" s="22">
        <v>-1.6342200000000001E-2</v>
      </c>
      <c r="AB63" s="22">
        <v>53</v>
      </c>
      <c r="AC63" s="22">
        <v>1.492</v>
      </c>
      <c r="AD63">
        <f t="shared" si="4"/>
        <v>16.342200000000002</v>
      </c>
      <c r="AE63">
        <f t="shared" si="5"/>
        <v>24.400048554000001</v>
      </c>
      <c r="AF63" s="9"/>
      <c r="AG63" s="22">
        <v>0.166931</v>
      </c>
      <c r="AH63" s="22">
        <v>197.852</v>
      </c>
      <c r="AI63" s="22">
        <v>-1.69067E-2</v>
      </c>
      <c r="AJ63" s="22">
        <v>53</v>
      </c>
      <c r="AK63" s="22">
        <v>0.16622899999999999</v>
      </c>
      <c r="AL63">
        <f t="shared" si="6"/>
        <v>16.906700000000001</v>
      </c>
      <c r="AM63">
        <f t="shared" si="7"/>
        <v>2.8222523377000002</v>
      </c>
      <c r="AP63" s="9"/>
      <c r="AQ63" s="22">
        <v>1.4930699999999999</v>
      </c>
      <c r="AR63" s="22">
        <v>247.13499999999999</v>
      </c>
      <c r="AS63" s="22">
        <v>-1.62262E-2</v>
      </c>
      <c r="AT63" s="22">
        <v>53</v>
      </c>
      <c r="AU63" s="22">
        <v>1.49231</v>
      </c>
      <c r="AV63">
        <f t="shared" si="8"/>
        <v>16.226199999999999</v>
      </c>
      <c r="AW63">
        <f t="shared" si="9"/>
        <v>24.226852433999998</v>
      </c>
      <c r="AX63" s="9"/>
      <c r="AY63" s="22">
        <v>0.166931</v>
      </c>
      <c r="AZ63" s="22">
        <v>296.50099999999998</v>
      </c>
      <c r="BA63" s="22">
        <v>-1.6949499999999999E-2</v>
      </c>
      <c r="BB63" s="22">
        <v>53</v>
      </c>
      <c r="BC63" s="22">
        <v>0.16650400000000001</v>
      </c>
      <c r="BD63">
        <f t="shared" si="10"/>
        <v>16.9495</v>
      </c>
      <c r="BE63">
        <f t="shared" si="11"/>
        <v>2.8293969845000002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1.48804</v>
      </c>
      <c r="H64" s="22">
        <v>49.85</v>
      </c>
      <c r="I64" s="22">
        <v>-1.6558799999999999E-2</v>
      </c>
      <c r="J64" s="22">
        <v>54</v>
      </c>
      <c r="K64" s="22">
        <v>1.48743</v>
      </c>
      <c r="L64">
        <f t="shared" si="0"/>
        <v>16.558799999999998</v>
      </c>
      <c r="M64">
        <f t="shared" si="1"/>
        <v>24.640156751999996</v>
      </c>
      <c r="N64" s="9"/>
      <c r="O64" s="22">
        <v>0.17196700000000001</v>
      </c>
      <c r="P64" s="22">
        <v>99.093400000000003</v>
      </c>
      <c r="Q64" s="22">
        <v>-1.6909799999999999E-2</v>
      </c>
      <c r="R64" s="22">
        <v>54</v>
      </c>
      <c r="S64" s="22">
        <v>0.171265</v>
      </c>
      <c r="T64">
        <f t="shared" si="2"/>
        <v>16.909800000000001</v>
      </c>
      <c r="U64">
        <f t="shared" si="3"/>
        <v>2.9079275766000001</v>
      </c>
      <c r="X64" s="9"/>
      <c r="Y64" s="22">
        <v>1.48804</v>
      </c>
      <c r="Z64" s="22">
        <v>148.49600000000001</v>
      </c>
      <c r="AA64" s="22">
        <v>-1.6381799999999998E-2</v>
      </c>
      <c r="AB64" s="22">
        <v>54</v>
      </c>
      <c r="AC64" s="22">
        <v>1.48682</v>
      </c>
      <c r="AD64">
        <f t="shared" si="4"/>
        <v>16.381799999999998</v>
      </c>
      <c r="AE64">
        <f t="shared" si="5"/>
        <v>24.376773671999999</v>
      </c>
      <c r="AF64" s="9"/>
      <c r="AG64" s="22">
        <v>0.17196700000000001</v>
      </c>
      <c r="AH64" s="22">
        <v>197.86199999999999</v>
      </c>
      <c r="AI64" s="22">
        <v>-1.6900600000000002E-2</v>
      </c>
      <c r="AJ64" s="22">
        <v>54</v>
      </c>
      <c r="AK64" s="22">
        <v>0.17086799999999999</v>
      </c>
      <c r="AL64">
        <f t="shared" si="6"/>
        <v>16.900600000000001</v>
      </c>
      <c r="AM64">
        <f t="shared" si="7"/>
        <v>2.9063454802000002</v>
      </c>
      <c r="AP64" s="9"/>
      <c r="AQ64" s="22">
        <v>1.48804</v>
      </c>
      <c r="AR64" s="22">
        <v>247.14500000000001</v>
      </c>
      <c r="AS64" s="22">
        <v>-1.62781E-2</v>
      </c>
      <c r="AT64" s="22">
        <v>54</v>
      </c>
      <c r="AU64" s="22">
        <v>1.48773</v>
      </c>
      <c r="AV64">
        <f t="shared" si="8"/>
        <v>16.278099999999998</v>
      </c>
      <c r="AW64">
        <f t="shared" si="9"/>
        <v>24.222463923999999</v>
      </c>
      <c r="AX64" s="9"/>
      <c r="AY64" s="22">
        <v>0.17196700000000001</v>
      </c>
      <c r="AZ64" s="22">
        <v>296.51100000000002</v>
      </c>
      <c r="BA64" s="22">
        <v>-1.6943400000000001E-2</v>
      </c>
      <c r="BB64" s="22">
        <v>54</v>
      </c>
      <c r="BC64" s="22">
        <v>0.17193600000000001</v>
      </c>
      <c r="BD64">
        <f t="shared" si="10"/>
        <v>16.9434</v>
      </c>
      <c r="BE64">
        <f t="shared" si="11"/>
        <v>2.9137056678000004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1.4830000000000001</v>
      </c>
      <c r="H65" s="22">
        <v>49.86</v>
      </c>
      <c r="I65" s="22">
        <v>-1.6577100000000001E-2</v>
      </c>
      <c r="J65" s="22">
        <v>55</v>
      </c>
      <c r="K65" s="22">
        <v>1.48224</v>
      </c>
      <c r="L65">
        <f t="shared" si="0"/>
        <v>16.577100000000002</v>
      </c>
      <c r="M65">
        <f t="shared" si="1"/>
        <v>24.583839300000005</v>
      </c>
      <c r="N65" s="9"/>
      <c r="O65" s="22">
        <v>0.17700199999999999</v>
      </c>
      <c r="P65" s="22">
        <v>99.103499999999997</v>
      </c>
      <c r="Q65" s="22">
        <v>-1.6900600000000002E-2</v>
      </c>
      <c r="R65" s="22">
        <v>55</v>
      </c>
      <c r="S65" s="22">
        <v>0.17639199999999999</v>
      </c>
      <c r="T65">
        <f t="shared" si="2"/>
        <v>16.900600000000001</v>
      </c>
      <c r="U65">
        <f t="shared" si="3"/>
        <v>2.9914400012</v>
      </c>
      <c r="X65" s="9"/>
      <c r="Y65" s="22">
        <v>1.4830000000000001</v>
      </c>
      <c r="Z65" s="22">
        <v>148.506</v>
      </c>
      <c r="AA65" s="22">
        <v>-1.64154E-2</v>
      </c>
      <c r="AB65" s="22">
        <v>55</v>
      </c>
      <c r="AC65" s="22">
        <v>1.48163</v>
      </c>
      <c r="AD65">
        <f t="shared" si="4"/>
        <v>16.415400000000002</v>
      </c>
      <c r="AE65">
        <f t="shared" si="5"/>
        <v>24.344038200000004</v>
      </c>
      <c r="AF65" s="9"/>
      <c r="AG65" s="22">
        <v>0.17700199999999999</v>
      </c>
      <c r="AH65" s="22">
        <v>197.87200000000001</v>
      </c>
      <c r="AI65" s="22">
        <v>-1.6897599999999999E-2</v>
      </c>
      <c r="AJ65" s="22">
        <v>55</v>
      </c>
      <c r="AK65" s="22">
        <v>0.176483</v>
      </c>
      <c r="AL65">
        <f t="shared" si="6"/>
        <v>16.897599999999997</v>
      </c>
      <c r="AM65">
        <f t="shared" si="7"/>
        <v>2.9909089951999994</v>
      </c>
      <c r="AP65" s="9"/>
      <c r="AQ65" s="22">
        <v>1.4830000000000001</v>
      </c>
      <c r="AR65" s="22">
        <v>247.155</v>
      </c>
      <c r="AS65" s="22">
        <v>-1.6333E-2</v>
      </c>
      <c r="AT65" s="22">
        <v>55</v>
      </c>
      <c r="AU65" s="22">
        <v>1.48254</v>
      </c>
      <c r="AV65">
        <f t="shared" si="8"/>
        <v>16.333000000000002</v>
      </c>
      <c r="AW65">
        <f t="shared" si="9"/>
        <v>24.221839000000003</v>
      </c>
      <c r="AX65" s="9"/>
      <c r="AY65" s="22">
        <v>0.17700199999999999</v>
      </c>
      <c r="AZ65" s="22">
        <v>296.52100000000002</v>
      </c>
      <c r="BA65" s="22">
        <v>-1.6943400000000001E-2</v>
      </c>
      <c r="BB65" s="22">
        <v>55</v>
      </c>
      <c r="BC65" s="22">
        <v>0.17630000000000001</v>
      </c>
      <c r="BD65">
        <f t="shared" si="10"/>
        <v>16.9434</v>
      </c>
      <c r="BE65">
        <f t="shared" si="11"/>
        <v>2.9990156868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1.47797</v>
      </c>
      <c r="H66" s="22">
        <v>49.870100000000001</v>
      </c>
      <c r="I66" s="22">
        <v>-1.6595499999999999E-2</v>
      </c>
      <c r="J66" s="22">
        <v>56</v>
      </c>
      <c r="K66" s="22">
        <v>1.47675</v>
      </c>
      <c r="L66">
        <f t="shared" si="0"/>
        <v>16.595499999999998</v>
      </c>
      <c r="M66">
        <f t="shared" si="1"/>
        <v>24.527651134999996</v>
      </c>
      <c r="N66" s="9"/>
      <c r="O66" s="22">
        <v>0.182037</v>
      </c>
      <c r="P66" s="22">
        <v>99.113500000000002</v>
      </c>
      <c r="Q66" s="22">
        <v>-1.6897599999999999E-2</v>
      </c>
      <c r="R66" s="22">
        <v>56</v>
      </c>
      <c r="S66" s="22">
        <v>0.18157999999999999</v>
      </c>
      <c r="T66">
        <f t="shared" si="2"/>
        <v>16.897599999999997</v>
      </c>
      <c r="U66">
        <f t="shared" si="3"/>
        <v>3.0759884111999996</v>
      </c>
      <c r="X66" s="9"/>
      <c r="Y66" s="22">
        <v>1.47797</v>
      </c>
      <c r="Z66" s="22">
        <v>148.51599999999999</v>
      </c>
      <c r="AA66" s="22">
        <v>-1.6467300000000001E-2</v>
      </c>
      <c r="AB66" s="22">
        <v>56</v>
      </c>
      <c r="AC66" s="22">
        <v>1.47705</v>
      </c>
      <c r="AD66">
        <f t="shared" si="4"/>
        <v>16.467300000000002</v>
      </c>
      <c r="AE66">
        <f t="shared" si="5"/>
        <v>24.338175381000003</v>
      </c>
      <c r="AF66" s="9"/>
      <c r="AG66" s="22">
        <v>0.182037</v>
      </c>
      <c r="AH66" s="22">
        <v>197.88200000000001</v>
      </c>
      <c r="AI66" s="22">
        <v>-1.68915E-2</v>
      </c>
      <c r="AJ66" s="22">
        <v>56</v>
      </c>
      <c r="AK66" s="22">
        <v>0.181671</v>
      </c>
      <c r="AL66">
        <f t="shared" si="6"/>
        <v>16.891500000000001</v>
      </c>
      <c r="AM66">
        <f t="shared" si="7"/>
        <v>3.0748779855000001</v>
      </c>
      <c r="AP66" s="9"/>
      <c r="AQ66" s="22">
        <v>1.47797</v>
      </c>
      <c r="AR66" s="22">
        <v>247.16499999999999</v>
      </c>
      <c r="AS66" s="22">
        <v>-1.63757E-2</v>
      </c>
      <c r="AT66" s="22">
        <v>56</v>
      </c>
      <c r="AU66" s="22">
        <v>1.47675</v>
      </c>
      <c r="AV66">
        <f t="shared" si="8"/>
        <v>16.375699999999998</v>
      </c>
      <c r="AW66">
        <f t="shared" si="9"/>
        <v>24.202793328999999</v>
      </c>
      <c r="AX66" s="9"/>
      <c r="AY66" s="22">
        <v>0.182037</v>
      </c>
      <c r="AZ66" s="22">
        <v>296.53100000000001</v>
      </c>
      <c r="BA66" s="22">
        <v>-1.6940299999999998E-2</v>
      </c>
      <c r="BB66" s="22">
        <v>56</v>
      </c>
      <c r="BC66" s="22">
        <v>0.181641</v>
      </c>
      <c r="BD66">
        <f t="shared" si="10"/>
        <v>16.940299999999997</v>
      </c>
      <c r="BE66">
        <f t="shared" si="11"/>
        <v>3.0837613910999995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1.4729300000000001</v>
      </c>
      <c r="H67" s="22">
        <v>49.880200000000002</v>
      </c>
      <c r="I67" s="22">
        <v>-1.6610699999999999E-2</v>
      </c>
      <c r="J67" s="22">
        <v>57</v>
      </c>
      <c r="K67" s="22">
        <v>1.47217</v>
      </c>
      <c r="L67">
        <f t="shared" si="0"/>
        <v>16.610699999999998</v>
      </c>
      <c r="M67">
        <f t="shared" si="1"/>
        <v>24.466398350999999</v>
      </c>
      <c r="N67" s="9"/>
      <c r="O67" s="22">
        <v>0.18707299999999999</v>
      </c>
      <c r="P67" s="22">
        <v>99.123599999999996</v>
      </c>
      <c r="Q67" s="22">
        <v>-1.6897599999999999E-2</v>
      </c>
      <c r="R67" s="22">
        <v>57</v>
      </c>
      <c r="S67" s="22">
        <v>0.186554</v>
      </c>
      <c r="T67">
        <f t="shared" si="2"/>
        <v>16.897599999999997</v>
      </c>
      <c r="U67">
        <f t="shared" si="3"/>
        <v>3.1610847247999994</v>
      </c>
      <c r="X67" s="9"/>
      <c r="Y67" s="22">
        <v>1.4729300000000001</v>
      </c>
      <c r="Z67" s="22">
        <v>148.52600000000001</v>
      </c>
      <c r="AA67" s="22">
        <v>-1.6500899999999999E-2</v>
      </c>
      <c r="AB67" s="22">
        <v>57</v>
      </c>
      <c r="AC67" s="22">
        <v>1.4718599999999999</v>
      </c>
      <c r="AD67">
        <f t="shared" si="4"/>
        <v>16.500899999999998</v>
      </c>
      <c r="AE67">
        <f t="shared" si="5"/>
        <v>24.304670636999997</v>
      </c>
      <c r="AF67" s="9"/>
      <c r="AG67" s="22">
        <v>0.18707299999999999</v>
      </c>
      <c r="AH67" s="22">
        <v>197.892</v>
      </c>
      <c r="AI67" s="22">
        <v>-1.6888400000000001E-2</v>
      </c>
      <c r="AJ67" s="22">
        <v>57</v>
      </c>
      <c r="AK67" s="22">
        <v>0.186584</v>
      </c>
      <c r="AL67">
        <f t="shared" si="6"/>
        <v>16.888400000000001</v>
      </c>
      <c r="AM67">
        <f t="shared" si="7"/>
        <v>3.1593636531999998</v>
      </c>
      <c r="AP67" s="9"/>
      <c r="AQ67" s="22">
        <v>1.4729300000000001</v>
      </c>
      <c r="AR67" s="22">
        <v>247.17500000000001</v>
      </c>
      <c r="AS67" s="22">
        <v>-1.64154E-2</v>
      </c>
      <c r="AT67" s="22">
        <v>57</v>
      </c>
      <c r="AU67" s="22">
        <v>1.4724699999999999</v>
      </c>
      <c r="AV67">
        <f t="shared" si="8"/>
        <v>16.415400000000002</v>
      </c>
      <c r="AW67">
        <f t="shared" si="9"/>
        <v>24.178735122000003</v>
      </c>
      <c r="AX67" s="9"/>
      <c r="AY67" s="22">
        <v>0.18707299999999999</v>
      </c>
      <c r="AZ67" s="22">
        <v>296.541</v>
      </c>
      <c r="BA67" s="22">
        <v>-1.6937299999999999E-2</v>
      </c>
      <c r="BB67" s="22">
        <v>57</v>
      </c>
      <c r="BC67" s="22">
        <v>0.18615699999999999</v>
      </c>
      <c r="BD67">
        <f t="shared" si="10"/>
        <v>16.9373</v>
      </c>
      <c r="BE67">
        <f t="shared" si="11"/>
        <v>3.1685115228999998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1.4679</v>
      </c>
      <c r="H68" s="22">
        <v>49.890300000000003</v>
      </c>
      <c r="I68" s="22">
        <v>-1.6625999999999998E-2</v>
      </c>
      <c r="J68" s="22">
        <v>58</v>
      </c>
      <c r="K68" s="22">
        <v>1.46759</v>
      </c>
      <c r="L68">
        <f t="shared" si="0"/>
        <v>16.625999999999998</v>
      </c>
      <c r="M68">
        <f t="shared" si="1"/>
        <v>24.405305399999996</v>
      </c>
      <c r="N68" s="9"/>
      <c r="O68" s="22">
        <v>0.192108</v>
      </c>
      <c r="P68" s="22">
        <v>99.133700000000005</v>
      </c>
      <c r="Q68" s="22">
        <v>-1.68915E-2</v>
      </c>
      <c r="R68" s="22">
        <v>58</v>
      </c>
      <c r="S68" s="22">
        <v>0.19101000000000001</v>
      </c>
      <c r="T68">
        <f t="shared" si="2"/>
        <v>16.891500000000001</v>
      </c>
      <c r="U68">
        <f t="shared" si="3"/>
        <v>3.2449922820000001</v>
      </c>
      <c r="X68" s="9"/>
      <c r="Y68" s="22">
        <v>1.4679</v>
      </c>
      <c r="Z68" s="22">
        <v>148.536</v>
      </c>
      <c r="AA68" s="22">
        <v>-1.6516099999999999E-2</v>
      </c>
      <c r="AB68" s="22">
        <v>58</v>
      </c>
      <c r="AC68" s="22">
        <v>1.46698</v>
      </c>
      <c r="AD68">
        <f t="shared" si="4"/>
        <v>16.516099999999998</v>
      </c>
      <c r="AE68">
        <f t="shared" si="5"/>
        <v>24.243983189999998</v>
      </c>
      <c r="AF68" s="9"/>
      <c r="AG68" s="22">
        <v>0.192108</v>
      </c>
      <c r="AH68" s="22">
        <v>197.90299999999999</v>
      </c>
      <c r="AI68" s="22">
        <v>-1.6885399999999998E-2</v>
      </c>
      <c r="AJ68" s="22">
        <v>58</v>
      </c>
      <c r="AK68" s="22">
        <v>0.19195599999999999</v>
      </c>
      <c r="AL68">
        <f t="shared" si="6"/>
        <v>16.885399999999997</v>
      </c>
      <c r="AM68">
        <f t="shared" si="7"/>
        <v>3.2438204231999994</v>
      </c>
      <c r="AP68" s="9"/>
      <c r="AQ68" s="22">
        <v>1.4679</v>
      </c>
      <c r="AR68" s="22">
        <v>247.185</v>
      </c>
      <c r="AS68" s="22">
        <v>-1.64429E-2</v>
      </c>
      <c r="AT68" s="22">
        <v>58</v>
      </c>
      <c r="AU68" s="22">
        <v>1.46759</v>
      </c>
      <c r="AV68">
        <f t="shared" si="8"/>
        <v>16.442900000000002</v>
      </c>
      <c r="AW68">
        <f t="shared" si="9"/>
        <v>24.136532910000003</v>
      </c>
      <c r="AX68" s="9"/>
      <c r="AY68" s="22">
        <v>0.192108</v>
      </c>
      <c r="AZ68" s="22">
        <v>296.55099999999999</v>
      </c>
      <c r="BA68" s="22">
        <v>-1.6937299999999999E-2</v>
      </c>
      <c r="BB68" s="22">
        <v>58</v>
      </c>
      <c r="BC68" s="22">
        <v>0.19192500000000001</v>
      </c>
      <c r="BD68">
        <f t="shared" si="10"/>
        <v>16.9373</v>
      </c>
      <c r="BE68">
        <f t="shared" si="11"/>
        <v>3.2537908284000001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1.46286</v>
      </c>
      <c r="H69" s="22">
        <v>49.900300000000001</v>
      </c>
      <c r="I69" s="22">
        <v>-1.6641199999999998E-2</v>
      </c>
      <c r="J69" s="22">
        <v>59</v>
      </c>
      <c r="K69" s="22">
        <v>1.4623999999999999</v>
      </c>
      <c r="L69">
        <f t="shared" si="0"/>
        <v>16.641199999999998</v>
      </c>
      <c r="M69">
        <f t="shared" si="1"/>
        <v>24.343745831999996</v>
      </c>
      <c r="N69" s="9"/>
      <c r="O69" s="22">
        <v>0.19714400000000001</v>
      </c>
      <c r="P69" s="22">
        <v>99.143799999999999</v>
      </c>
      <c r="Q69" s="22">
        <v>-1.6888400000000001E-2</v>
      </c>
      <c r="R69" s="22">
        <v>59</v>
      </c>
      <c r="S69" s="22">
        <v>0.196381</v>
      </c>
      <c r="T69">
        <f t="shared" si="2"/>
        <v>16.888400000000001</v>
      </c>
      <c r="U69">
        <f t="shared" si="3"/>
        <v>3.3294467296000003</v>
      </c>
      <c r="X69" s="9"/>
      <c r="Y69" s="22">
        <v>1.46286</v>
      </c>
      <c r="Z69" s="22">
        <v>148.54599999999999</v>
      </c>
      <c r="AA69" s="22">
        <v>-1.6549700000000001E-2</v>
      </c>
      <c r="AB69" s="22">
        <v>59</v>
      </c>
      <c r="AC69" s="22">
        <v>1.4623999999999999</v>
      </c>
      <c r="AD69">
        <f t="shared" si="4"/>
        <v>16.549700000000001</v>
      </c>
      <c r="AE69">
        <f t="shared" si="5"/>
        <v>24.209894142000003</v>
      </c>
      <c r="AF69" s="9"/>
      <c r="AG69" s="22">
        <v>0.19714400000000001</v>
      </c>
      <c r="AH69" s="22">
        <v>197.91300000000001</v>
      </c>
      <c r="AI69" s="22">
        <v>-1.6882299999999999E-2</v>
      </c>
      <c r="AJ69" s="22">
        <v>59</v>
      </c>
      <c r="AK69" s="22">
        <v>0.19656399999999999</v>
      </c>
      <c r="AL69">
        <f t="shared" si="6"/>
        <v>16.882300000000001</v>
      </c>
      <c r="AM69">
        <f t="shared" si="7"/>
        <v>3.3282441512000003</v>
      </c>
      <c r="AP69" s="9"/>
      <c r="AQ69" s="22">
        <v>1.46286</v>
      </c>
      <c r="AR69" s="22">
        <v>247.19499999999999</v>
      </c>
      <c r="AS69" s="22">
        <v>-1.64856E-2</v>
      </c>
      <c r="AT69" s="22">
        <v>59</v>
      </c>
      <c r="AU69" s="22">
        <v>1.4621</v>
      </c>
      <c r="AV69">
        <f t="shared" si="8"/>
        <v>16.485599999999998</v>
      </c>
      <c r="AW69">
        <f t="shared" si="9"/>
        <v>24.116124815999999</v>
      </c>
      <c r="AX69" s="9"/>
      <c r="AY69" s="22">
        <v>0.19714400000000001</v>
      </c>
      <c r="AZ69" s="22">
        <v>296.56099999999998</v>
      </c>
      <c r="BA69" s="22">
        <v>-1.6928100000000001E-2</v>
      </c>
      <c r="BB69" s="22">
        <v>59</v>
      </c>
      <c r="BC69" s="22">
        <v>0.19692999999999999</v>
      </c>
      <c r="BD69">
        <f t="shared" si="10"/>
        <v>16.928100000000001</v>
      </c>
      <c r="BE69">
        <f t="shared" si="11"/>
        <v>3.3372733464000004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1.4578199999999999</v>
      </c>
      <c r="H70" s="22">
        <v>49.910400000000003</v>
      </c>
      <c r="I70" s="22">
        <v>-1.6650399999999999E-2</v>
      </c>
      <c r="J70" s="22">
        <v>60</v>
      </c>
      <c r="K70" s="22">
        <v>1.4572099999999999</v>
      </c>
      <c r="L70">
        <f t="shared" si="0"/>
        <v>16.650399999999998</v>
      </c>
      <c r="M70">
        <f t="shared" si="1"/>
        <v>24.273286127999995</v>
      </c>
      <c r="N70" s="9"/>
      <c r="O70" s="22">
        <v>0.202179</v>
      </c>
      <c r="P70" s="22">
        <v>99.153800000000004</v>
      </c>
      <c r="Q70" s="22">
        <v>-1.6885399999999998E-2</v>
      </c>
      <c r="R70" s="22">
        <v>60</v>
      </c>
      <c r="S70" s="22">
        <v>0.20163</v>
      </c>
      <c r="T70">
        <f t="shared" si="2"/>
        <v>16.885399999999997</v>
      </c>
      <c r="U70">
        <f t="shared" si="3"/>
        <v>3.4138732865999994</v>
      </c>
      <c r="X70" s="9"/>
      <c r="Y70" s="22">
        <v>1.4578199999999999</v>
      </c>
      <c r="Z70" s="22">
        <v>148.55600000000001</v>
      </c>
      <c r="AA70" s="22">
        <v>-1.65649E-2</v>
      </c>
      <c r="AB70" s="22">
        <v>60</v>
      </c>
      <c r="AC70" s="22">
        <v>1.4575199999999999</v>
      </c>
      <c r="AD70">
        <f t="shared" si="4"/>
        <v>16.564900000000002</v>
      </c>
      <c r="AE70">
        <f t="shared" si="5"/>
        <v>24.148642517999999</v>
      </c>
      <c r="AF70" s="9"/>
      <c r="AG70" s="22">
        <v>0.202179</v>
      </c>
      <c r="AH70" s="22">
        <v>197.923</v>
      </c>
      <c r="AI70" s="22">
        <v>-1.6876200000000001E-2</v>
      </c>
      <c r="AJ70" s="22">
        <v>60</v>
      </c>
      <c r="AK70" s="22">
        <v>0.20166000000000001</v>
      </c>
      <c r="AL70">
        <f t="shared" si="6"/>
        <v>16.876200000000001</v>
      </c>
      <c r="AM70">
        <f t="shared" si="7"/>
        <v>3.4120132398000003</v>
      </c>
      <c r="AP70" s="9"/>
      <c r="AQ70" s="22">
        <v>1.4578199999999999</v>
      </c>
      <c r="AR70" s="22">
        <v>247.20500000000001</v>
      </c>
      <c r="AS70" s="22">
        <v>-1.6513099999999999E-2</v>
      </c>
      <c r="AT70" s="22">
        <v>60</v>
      </c>
      <c r="AU70" s="22">
        <v>1.4569099999999999</v>
      </c>
      <c r="AV70">
        <f t="shared" si="8"/>
        <v>16.513099999999998</v>
      </c>
      <c r="AW70">
        <f t="shared" si="9"/>
        <v>24.073127441999993</v>
      </c>
      <c r="AX70" s="9"/>
      <c r="AY70" s="22">
        <v>0.202179</v>
      </c>
      <c r="AZ70" s="22">
        <v>296.572</v>
      </c>
      <c r="BA70" s="22">
        <v>-1.6924999999999999E-2</v>
      </c>
      <c r="BB70" s="22">
        <v>60</v>
      </c>
      <c r="BC70" s="22">
        <v>0.20147699999999999</v>
      </c>
      <c r="BD70">
        <f t="shared" si="10"/>
        <v>16.925000000000001</v>
      </c>
      <c r="BE70">
        <f t="shared" si="11"/>
        <v>3.4218795750000002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1.45279</v>
      </c>
      <c r="H71" s="22">
        <v>49.920499999999997</v>
      </c>
      <c r="I71" s="22">
        <v>-1.6665599999999999E-2</v>
      </c>
      <c r="J71" s="22">
        <v>61</v>
      </c>
      <c r="K71" s="22">
        <v>1.4517199999999999</v>
      </c>
      <c r="L71">
        <f t="shared" si="0"/>
        <v>16.665599999999998</v>
      </c>
      <c r="M71">
        <f t="shared" si="1"/>
        <v>24.211617023999999</v>
      </c>
      <c r="N71" s="9"/>
      <c r="O71" s="22">
        <v>0.20721400000000001</v>
      </c>
      <c r="P71" s="22">
        <v>99.163899999999998</v>
      </c>
      <c r="Q71" s="22">
        <v>-1.6882299999999999E-2</v>
      </c>
      <c r="R71" s="22">
        <v>61</v>
      </c>
      <c r="S71" s="22">
        <v>0.206482</v>
      </c>
      <c r="T71">
        <f t="shared" si="2"/>
        <v>16.882300000000001</v>
      </c>
      <c r="U71">
        <f t="shared" si="3"/>
        <v>3.4982489122000002</v>
      </c>
      <c r="X71" s="9"/>
      <c r="Y71" s="22">
        <v>1.45279</v>
      </c>
      <c r="Z71" s="22">
        <v>148.566</v>
      </c>
      <c r="AA71" s="22">
        <v>-1.65802E-2</v>
      </c>
      <c r="AB71" s="22">
        <v>61</v>
      </c>
      <c r="AC71" s="22">
        <v>1.4517199999999999</v>
      </c>
      <c r="AD71">
        <f t="shared" si="4"/>
        <v>16.580200000000001</v>
      </c>
      <c r="AE71">
        <f t="shared" si="5"/>
        <v>24.087548758000004</v>
      </c>
      <c r="AF71" s="9"/>
      <c r="AG71" s="22">
        <v>0.20721400000000001</v>
      </c>
      <c r="AH71" s="22">
        <v>197.93299999999999</v>
      </c>
      <c r="AI71" s="22">
        <v>-1.6873200000000001E-2</v>
      </c>
      <c r="AJ71" s="22">
        <v>61</v>
      </c>
      <c r="AK71" s="22">
        <v>0.206787</v>
      </c>
      <c r="AL71">
        <f t="shared" si="6"/>
        <v>16.873200000000001</v>
      </c>
      <c r="AM71">
        <f t="shared" si="7"/>
        <v>3.4963632648000003</v>
      </c>
      <c r="AP71" s="9"/>
      <c r="AQ71" s="22">
        <v>1.45279</v>
      </c>
      <c r="AR71" s="22">
        <v>247.215</v>
      </c>
      <c r="AS71" s="22">
        <v>-1.6549700000000001E-2</v>
      </c>
      <c r="AT71" s="22">
        <v>61</v>
      </c>
      <c r="AU71" s="22">
        <v>1.4520299999999999</v>
      </c>
      <c r="AV71">
        <f t="shared" si="8"/>
        <v>16.549700000000001</v>
      </c>
      <c r="AW71">
        <f t="shared" si="9"/>
        <v>24.043238663000004</v>
      </c>
      <c r="AX71" s="9"/>
      <c r="AY71" s="22">
        <v>0.20721400000000001</v>
      </c>
      <c r="AZ71" s="22">
        <v>296.58199999999999</v>
      </c>
      <c r="BA71" s="22">
        <v>-1.6922E-2</v>
      </c>
      <c r="BB71" s="22">
        <v>61</v>
      </c>
      <c r="BC71" s="22">
        <v>0.207092</v>
      </c>
      <c r="BD71">
        <f t="shared" si="10"/>
        <v>16.922000000000001</v>
      </c>
      <c r="BE71">
        <f t="shared" si="11"/>
        <v>3.5064753080000002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1.4477500000000001</v>
      </c>
      <c r="H72" s="22">
        <v>49.930500000000002</v>
      </c>
      <c r="I72" s="22">
        <v>-1.66748E-2</v>
      </c>
      <c r="J72" s="22">
        <v>62</v>
      </c>
      <c r="K72" s="22">
        <v>1.4474499999999999</v>
      </c>
      <c r="L72">
        <f t="shared" si="0"/>
        <v>16.674800000000001</v>
      </c>
      <c r="M72">
        <f t="shared" si="1"/>
        <v>24.140941700000003</v>
      </c>
      <c r="N72" s="9"/>
      <c r="O72" s="22">
        <v>0.21224999999999999</v>
      </c>
      <c r="P72" s="22">
        <v>99.174000000000007</v>
      </c>
      <c r="Q72" s="22">
        <v>-1.6873200000000001E-2</v>
      </c>
      <c r="R72" s="22">
        <v>62</v>
      </c>
      <c r="S72" s="22">
        <v>0.21151700000000001</v>
      </c>
      <c r="T72">
        <f t="shared" si="2"/>
        <v>16.873200000000001</v>
      </c>
      <c r="U72">
        <f t="shared" si="3"/>
        <v>3.5813367</v>
      </c>
      <c r="X72" s="9"/>
      <c r="Y72" s="22">
        <v>1.4477500000000001</v>
      </c>
      <c r="Z72" s="22">
        <v>148.57599999999999</v>
      </c>
      <c r="AA72" s="22">
        <v>-1.6604600000000001E-2</v>
      </c>
      <c r="AB72" s="22">
        <v>62</v>
      </c>
      <c r="AC72" s="22">
        <v>1.4468399999999999</v>
      </c>
      <c r="AD72">
        <f t="shared" si="4"/>
        <v>16.604600000000001</v>
      </c>
      <c r="AE72">
        <f t="shared" si="5"/>
        <v>24.039309650000003</v>
      </c>
      <c r="AF72" s="9"/>
      <c r="AG72" s="22">
        <v>0.21224999999999999</v>
      </c>
      <c r="AH72" s="22">
        <v>197.94300000000001</v>
      </c>
      <c r="AI72" s="22">
        <v>-1.6870099999999999E-2</v>
      </c>
      <c r="AJ72" s="22">
        <v>62</v>
      </c>
      <c r="AK72" s="22">
        <v>0.21130399999999999</v>
      </c>
      <c r="AL72">
        <f t="shared" si="6"/>
        <v>16.870100000000001</v>
      </c>
      <c r="AM72">
        <f t="shared" si="7"/>
        <v>3.5806787250000003</v>
      </c>
      <c r="AP72" s="9"/>
      <c r="AQ72" s="22">
        <v>1.4477500000000001</v>
      </c>
      <c r="AR72" s="22">
        <v>247.22499999999999</v>
      </c>
      <c r="AS72" s="22">
        <v>-1.6577100000000001E-2</v>
      </c>
      <c r="AT72" s="22">
        <v>62</v>
      </c>
      <c r="AU72" s="22">
        <v>1.4471400000000001</v>
      </c>
      <c r="AV72">
        <f t="shared" si="8"/>
        <v>16.577100000000002</v>
      </c>
      <c r="AW72">
        <f t="shared" si="9"/>
        <v>23.999496525000005</v>
      </c>
      <c r="AX72" s="9"/>
      <c r="AY72" s="22">
        <v>0.21224999999999999</v>
      </c>
      <c r="AZ72" s="22">
        <v>296.59199999999998</v>
      </c>
      <c r="BA72" s="22">
        <v>-1.6915900000000001E-2</v>
      </c>
      <c r="BB72" s="22">
        <v>62</v>
      </c>
      <c r="BC72" s="22">
        <v>0.21160899999999999</v>
      </c>
      <c r="BD72">
        <f t="shared" si="10"/>
        <v>16.915900000000001</v>
      </c>
      <c r="BE72">
        <f t="shared" si="11"/>
        <v>3.5903997749999998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1.44272</v>
      </c>
      <c r="H73" s="22">
        <v>49.940600000000003</v>
      </c>
      <c r="I73" s="22">
        <v>-1.6687E-2</v>
      </c>
      <c r="J73" s="22">
        <v>63</v>
      </c>
      <c r="K73" s="22">
        <v>1.4416500000000001</v>
      </c>
      <c r="L73">
        <f t="shared" si="0"/>
        <v>16.687000000000001</v>
      </c>
      <c r="M73">
        <f t="shared" si="1"/>
        <v>24.074668640000002</v>
      </c>
      <c r="N73" s="9"/>
      <c r="O73" s="22">
        <v>0.21728500000000001</v>
      </c>
      <c r="P73" s="22">
        <v>99.183999999999997</v>
      </c>
      <c r="Q73" s="22">
        <v>-1.6870099999999999E-2</v>
      </c>
      <c r="R73" s="22">
        <v>63</v>
      </c>
      <c r="S73" s="22">
        <v>0.216644</v>
      </c>
      <c r="T73">
        <f t="shared" si="2"/>
        <v>16.870100000000001</v>
      </c>
      <c r="U73">
        <f t="shared" si="3"/>
        <v>3.6656196785000001</v>
      </c>
      <c r="X73" s="9"/>
      <c r="Y73" s="22">
        <v>1.44272</v>
      </c>
      <c r="Z73" s="22">
        <v>148.58600000000001</v>
      </c>
      <c r="AA73" s="22">
        <v>-1.66199E-2</v>
      </c>
      <c r="AB73" s="22">
        <v>63</v>
      </c>
      <c r="AC73" s="22">
        <v>1.4419599999999999</v>
      </c>
      <c r="AD73">
        <f t="shared" si="4"/>
        <v>16.619900000000001</v>
      </c>
      <c r="AE73">
        <f t="shared" si="5"/>
        <v>23.977862128000002</v>
      </c>
      <c r="AF73" s="9"/>
      <c r="AG73" s="22">
        <v>0.21728500000000001</v>
      </c>
      <c r="AH73" s="22">
        <v>197.953</v>
      </c>
      <c r="AI73" s="22">
        <v>-1.6867099999999999E-2</v>
      </c>
      <c r="AJ73" s="22">
        <v>63</v>
      </c>
      <c r="AK73" s="22">
        <v>0.21707199999999999</v>
      </c>
      <c r="AL73">
        <f t="shared" si="6"/>
        <v>16.867100000000001</v>
      </c>
      <c r="AM73">
        <f t="shared" si="7"/>
        <v>3.6649678235000001</v>
      </c>
      <c r="AP73" s="9"/>
      <c r="AQ73" s="22">
        <v>1.44272</v>
      </c>
      <c r="AR73" s="22">
        <v>247.23500000000001</v>
      </c>
      <c r="AS73" s="22">
        <v>-1.6595499999999999E-2</v>
      </c>
      <c r="AT73" s="22">
        <v>63</v>
      </c>
      <c r="AU73" s="22">
        <v>1.4422600000000001</v>
      </c>
      <c r="AV73">
        <f t="shared" si="8"/>
        <v>16.595499999999998</v>
      </c>
      <c r="AW73">
        <f t="shared" si="9"/>
        <v>23.942659759999998</v>
      </c>
      <c r="AX73" s="9"/>
      <c r="AY73" s="22">
        <v>0.21728500000000001</v>
      </c>
      <c r="AZ73" s="22">
        <v>296.60199999999998</v>
      </c>
      <c r="BA73" s="22">
        <v>-1.6912799999999999E-2</v>
      </c>
      <c r="BB73" s="22">
        <v>63</v>
      </c>
      <c r="BC73" s="22">
        <v>0.21746799999999999</v>
      </c>
      <c r="BD73">
        <f t="shared" si="10"/>
        <v>16.912799999999997</v>
      </c>
      <c r="BE73">
        <f t="shared" si="11"/>
        <v>3.6748977479999994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1.4376800000000001</v>
      </c>
      <c r="H74" s="22">
        <v>49.950699999999998</v>
      </c>
      <c r="I74" s="22">
        <v>-1.6693099999999999E-2</v>
      </c>
      <c r="J74" s="22">
        <v>64</v>
      </c>
      <c r="K74" s="22">
        <v>1.4361600000000001</v>
      </c>
      <c r="L74">
        <f t="shared" si="0"/>
        <v>16.693099999999998</v>
      </c>
      <c r="M74">
        <f t="shared" si="1"/>
        <v>23.999336007999997</v>
      </c>
      <c r="N74" s="9"/>
      <c r="O74" s="22">
        <v>0.22232099999999999</v>
      </c>
      <c r="P74" s="22">
        <v>99.194100000000006</v>
      </c>
      <c r="Q74" s="22">
        <v>-1.6861000000000001E-2</v>
      </c>
      <c r="R74" s="22">
        <v>64</v>
      </c>
      <c r="S74" s="22">
        <v>0.221497</v>
      </c>
      <c r="T74">
        <f t="shared" si="2"/>
        <v>16.861000000000001</v>
      </c>
      <c r="U74">
        <f t="shared" si="3"/>
        <v>3.7485543809999999</v>
      </c>
      <c r="X74" s="9"/>
      <c r="Y74" s="22">
        <v>1.4376800000000001</v>
      </c>
      <c r="Z74" s="22">
        <v>148.59700000000001</v>
      </c>
      <c r="AA74" s="22">
        <v>-1.66321E-2</v>
      </c>
      <c r="AB74" s="22">
        <v>64</v>
      </c>
      <c r="AC74" s="22">
        <v>1.4367700000000001</v>
      </c>
      <c r="AD74">
        <f t="shared" si="4"/>
        <v>16.632100000000001</v>
      </c>
      <c r="AE74">
        <f t="shared" si="5"/>
        <v>23.911637528000004</v>
      </c>
      <c r="AF74" s="9"/>
      <c r="AG74" s="22">
        <v>0.22232099999999999</v>
      </c>
      <c r="AH74" s="22">
        <v>197.96299999999999</v>
      </c>
      <c r="AI74" s="22">
        <v>-1.6864000000000001E-2</v>
      </c>
      <c r="AJ74" s="22">
        <v>64</v>
      </c>
      <c r="AK74" s="22">
        <v>0.221802</v>
      </c>
      <c r="AL74">
        <f t="shared" si="6"/>
        <v>16.864000000000001</v>
      </c>
      <c r="AM74">
        <f t="shared" si="7"/>
        <v>3.749221344</v>
      </c>
      <c r="AP74" s="9"/>
      <c r="AQ74" s="22">
        <v>1.4376800000000001</v>
      </c>
      <c r="AR74" s="22">
        <v>247.245</v>
      </c>
      <c r="AS74" s="22">
        <v>-1.6610699999999999E-2</v>
      </c>
      <c r="AT74" s="22">
        <v>64</v>
      </c>
      <c r="AU74" s="22">
        <v>1.4370700000000001</v>
      </c>
      <c r="AV74">
        <f t="shared" si="8"/>
        <v>16.610699999999998</v>
      </c>
      <c r="AW74">
        <f t="shared" si="9"/>
        <v>23.880871175999999</v>
      </c>
      <c r="AX74" s="9"/>
      <c r="AY74" s="22">
        <v>0.22232099999999999</v>
      </c>
      <c r="AZ74" s="22">
        <v>296.61200000000002</v>
      </c>
      <c r="BA74" s="22">
        <v>-1.6909799999999999E-2</v>
      </c>
      <c r="BB74" s="22">
        <v>64</v>
      </c>
      <c r="BC74" s="22">
        <v>0.220947</v>
      </c>
      <c r="BD74">
        <f t="shared" si="10"/>
        <v>16.909800000000001</v>
      </c>
      <c r="BE74">
        <f t="shared" si="11"/>
        <v>3.7594036458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1.43265</v>
      </c>
      <c r="H75" s="22">
        <v>49.960799999999999</v>
      </c>
      <c r="I75" s="22">
        <v>-1.6699200000000001E-2</v>
      </c>
      <c r="J75" s="22">
        <v>65</v>
      </c>
      <c r="K75" s="22">
        <v>1.4315800000000001</v>
      </c>
      <c r="L75">
        <f t="shared" si="0"/>
        <v>16.699200000000001</v>
      </c>
      <c r="M75">
        <f t="shared" si="1"/>
        <v>23.924108880000002</v>
      </c>
      <c r="N75" s="9"/>
      <c r="O75" s="22">
        <v>0.227356</v>
      </c>
      <c r="P75" s="22">
        <v>99.2042</v>
      </c>
      <c r="Q75" s="22">
        <v>-1.6861000000000001E-2</v>
      </c>
      <c r="R75" s="22">
        <v>65</v>
      </c>
      <c r="S75" s="22">
        <v>0.22650100000000001</v>
      </c>
      <c r="T75">
        <f t="shared" si="2"/>
        <v>16.861000000000001</v>
      </c>
      <c r="U75">
        <f t="shared" si="3"/>
        <v>3.8334495160000004</v>
      </c>
      <c r="X75" s="9"/>
      <c r="Y75" s="22">
        <v>1.43265</v>
      </c>
      <c r="Z75" s="22">
        <v>148.607</v>
      </c>
      <c r="AA75" s="22">
        <v>-1.6644300000000001E-2</v>
      </c>
      <c r="AB75" s="22">
        <v>65</v>
      </c>
      <c r="AC75" s="22">
        <v>1.43188</v>
      </c>
      <c r="AD75">
        <f t="shared" si="4"/>
        <v>16.644300000000001</v>
      </c>
      <c r="AE75">
        <f t="shared" si="5"/>
        <v>23.845456395000003</v>
      </c>
      <c r="AF75" s="9"/>
      <c r="AG75" s="22">
        <v>0.227356</v>
      </c>
      <c r="AH75" s="22">
        <v>197.97300000000001</v>
      </c>
      <c r="AI75" s="22">
        <v>-1.6864000000000001E-2</v>
      </c>
      <c r="AJ75" s="22">
        <v>65</v>
      </c>
      <c r="AK75" s="22">
        <v>0.22683700000000001</v>
      </c>
      <c r="AL75">
        <f t="shared" si="6"/>
        <v>16.864000000000001</v>
      </c>
      <c r="AM75">
        <f t="shared" si="7"/>
        <v>3.8341315840000001</v>
      </c>
      <c r="AP75" s="9"/>
      <c r="AQ75" s="22">
        <v>1.43265</v>
      </c>
      <c r="AR75" s="22">
        <v>247.255</v>
      </c>
      <c r="AS75" s="22">
        <v>-1.6625999999999998E-2</v>
      </c>
      <c r="AT75" s="22">
        <v>65</v>
      </c>
      <c r="AU75" s="22">
        <v>1.4315800000000001</v>
      </c>
      <c r="AV75">
        <f t="shared" si="8"/>
        <v>16.625999999999998</v>
      </c>
      <c r="AW75">
        <f t="shared" si="9"/>
        <v>23.819238899999995</v>
      </c>
      <c r="AX75" s="9"/>
      <c r="AY75" s="22">
        <v>0.227356</v>
      </c>
      <c r="AZ75" s="22">
        <v>296.62200000000001</v>
      </c>
      <c r="BA75" s="22">
        <v>-1.6909799999999999E-2</v>
      </c>
      <c r="BB75" s="22">
        <v>65</v>
      </c>
      <c r="BC75" s="22">
        <v>0.22805800000000001</v>
      </c>
      <c r="BD75">
        <f t="shared" si="10"/>
        <v>16.909800000000001</v>
      </c>
      <c r="BE75">
        <f t="shared" si="11"/>
        <v>3.8445444888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1.42761</v>
      </c>
      <c r="H76" s="22">
        <v>49.970799999999997</v>
      </c>
      <c r="I76" s="22">
        <v>-1.6708400000000002E-2</v>
      </c>
      <c r="J76" s="22">
        <v>66</v>
      </c>
      <c r="K76" s="22">
        <v>1.4267000000000001</v>
      </c>
      <c r="L76">
        <f t="shared" ref="L76:L139" si="12">-I76/$F$2*1000</f>
        <v>16.708400000000001</v>
      </c>
      <c r="M76">
        <f t="shared" ref="M76:M139" si="13">L76*G76</f>
        <v>23.853078924000002</v>
      </c>
      <c r="N76" s="9"/>
      <c r="O76" s="22">
        <v>0.23239099999999999</v>
      </c>
      <c r="P76" s="22">
        <v>99.214299999999994</v>
      </c>
      <c r="Q76" s="22">
        <v>-1.6854899999999999E-2</v>
      </c>
      <c r="R76" s="22">
        <v>66</v>
      </c>
      <c r="S76" s="22">
        <v>0.23153699999999999</v>
      </c>
      <c r="T76">
        <f t="shared" ref="T76:T139" si="14">-Q76/$F$2*1000</f>
        <v>16.854900000000001</v>
      </c>
      <c r="U76">
        <f t="shared" ref="U76:U139" si="15">T76*O76</f>
        <v>3.9169270658999999</v>
      </c>
      <c r="X76" s="9"/>
      <c r="Y76" s="22">
        <v>1.42761</v>
      </c>
      <c r="Z76" s="22">
        <v>148.61699999999999</v>
      </c>
      <c r="AA76" s="22">
        <v>-1.6656500000000001E-2</v>
      </c>
      <c r="AB76" s="22">
        <v>66</v>
      </c>
      <c r="AC76" s="22">
        <v>1.4267000000000001</v>
      </c>
      <c r="AD76">
        <f t="shared" ref="AD76:AD139" si="16">-AA76/$F$2*1000</f>
        <v>16.656500000000001</v>
      </c>
      <c r="AE76">
        <f t="shared" ref="AE76:AE139" si="17">AD76*Y76</f>
        <v>23.778985965000004</v>
      </c>
      <c r="AF76" s="9"/>
      <c r="AG76" s="22">
        <v>0.23239099999999999</v>
      </c>
      <c r="AH76" s="22">
        <v>197.983</v>
      </c>
      <c r="AI76" s="22">
        <v>-1.6861000000000001E-2</v>
      </c>
      <c r="AJ76" s="22">
        <v>66</v>
      </c>
      <c r="AK76" s="22">
        <v>0.23150599999999999</v>
      </c>
      <c r="AL76">
        <f t="shared" ref="AL76:AL139" si="18">-AI76/$F$2*1000</f>
        <v>16.861000000000001</v>
      </c>
      <c r="AM76">
        <f t="shared" ref="AM76:AM139" si="19">AL76*AG76</f>
        <v>3.918344651</v>
      </c>
      <c r="AP76" s="9"/>
      <c r="AQ76" s="22">
        <v>1.42761</v>
      </c>
      <c r="AR76" s="22">
        <v>247.26599999999999</v>
      </c>
      <c r="AS76" s="22">
        <v>-1.66351E-2</v>
      </c>
      <c r="AT76" s="22">
        <v>66</v>
      </c>
      <c r="AU76" s="22">
        <v>1.4267000000000001</v>
      </c>
      <c r="AV76">
        <f t="shared" ref="AV76:AV139" si="20">-AS76/$F$2*1000</f>
        <v>16.635100000000001</v>
      </c>
      <c r="AW76">
        <f t="shared" ref="AW76:AW139" si="21">AV76*AQ76</f>
        <v>23.748435111000003</v>
      </c>
      <c r="AX76" s="9"/>
      <c r="AY76" s="22">
        <v>0.23239099999999999</v>
      </c>
      <c r="AZ76" s="22">
        <v>296.63200000000001</v>
      </c>
      <c r="BA76" s="22">
        <v>-1.6903700000000001E-2</v>
      </c>
      <c r="BB76" s="22">
        <v>66</v>
      </c>
      <c r="BC76" s="22">
        <v>0.23150599999999999</v>
      </c>
      <c r="BD76">
        <f t="shared" ref="BD76:BD139" si="22">-BA76/$F$2*1000</f>
        <v>16.903700000000001</v>
      </c>
      <c r="BE76">
        <f t="shared" ref="BE76:BE139" si="23">BD76*AY76</f>
        <v>3.9282677467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1.42258</v>
      </c>
      <c r="H77" s="22">
        <v>49.980899999999998</v>
      </c>
      <c r="I77" s="22">
        <v>-1.6711400000000001E-2</v>
      </c>
      <c r="J77" s="22">
        <v>67</v>
      </c>
      <c r="K77" s="22">
        <v>1.4212</v>
      </c>
      <c r="L77">
        <f t="shared" si="12"/>
        <v>16.711400000000001</v>
      </c>
      <c r="M77">
        <f t="shared" si="13"/>
        <v>23.773303412000001</v>
      </c>
      <c r="N77" s="9"/>
      <c r="O77" s="22">
        <v>0.237427</v>
      </c>
      <c r="P77" s="22">
        <v>99.224299999999999</v>
      </c>
      <c r="Q77" s="22">
        <v>-1.6857899999999999E-2</v>
      </c>
      <c r="R77" s="22">
        <v>67</v>
      </c>
      <c r="S77" s="22">
        <v>0.23702999999999999</v>
      </c>
      <c r="T77">
        <f t="shared" si="14"/>
        <v>16.857899999999997</v>
      </c>
      <c r="U77">
        <f t="shared" si="15"/>
        <v>4.0025206232999997</v>
      </c>
      <c r="X77" s="9"/>
      <c r="Y77" s="22">
        <v>1.42258</v>
      </c>
      <c r="Z77" s="22">
        <v>148.62700000000001</v>
      </c>
      <c r="AA77" s="22">
        <v>-1.6677899999999999E-2</v>
      </c>
      <c r="AB77" s="22">
        <v>67</v>
      </c>
      <c r="AC77" s="22">
        <v>1.4209000000000001</v>
      </c>
      <c r="AD77">
        <f t="shared" si="16"/>
        <v>16.677899999999998</v>
      </c>
      <c r="AE77">
        <f t="shared" si="17"/>
        <v>23.725646981999997</v>
      </c>
      <c r="AF77" s="9"/>
      <c r="AG77" s="22">
        <v>0.237427</v>
      </c>
      <c r="AH77" s="22">
        <v>197.99299999999999</v>
      </c>
      <c r="AI77" s="22">
        <v>-1.6857899999999999E-2</v>
      </c>
      <c r="AJ77" s="22">
        <v>67</v>
      </c>
      <c r="AK77" s="22">
        <v>0.23660300000000001</v>
      </c>
      <c r="AL77">
        <f t="shared" si="18"/>
        <v>16.857899999999997</v>
      </c>
      <c r="AM77">
        <f t="shared" si="19"/>
        <v>4.0025206232999997</v>
      </c>
      <c r="AP77" s="9"/>
      <c r="AQ77" s="22">
        <v>1.42258</v>
      </c>
      <c r="AR77" s="22">
        <v>247.27600000000001</v>
      </c>
      <c r="AS77" s="22">
        <v>-1.6644300000000001E-2</v>
      </c>
      <c r="AT77" s="22">
        <v>67</v>
      </c>
      <c r="AU77" s="22">
        <v>1.4215100000000001</v>
      </c>
      <c r="AV77">
        <f t="shared" si="20"/>
        <v>16.644300000000001</v>
      </c>
      <c r="AW77">
        <f t="shared" si="21"/>
        <v>23.677848294</v>
      </c>
      <c r="AX77" s="9"/>
      <c r="AY77" s="22">
        <v>0.237427</v>
      </c>
      <c r="AZ77" s="22">
        <v>296.642</v>
      </c>
      <c r="BA77" s="22">
        <v>-1.6900600000000002E-2</v>
      </c>
      <c r="BB77" s="22">
        <v>67</v>
      </c>
      <c r="BC77" s="22">
        <v>0.23544300000000001</v>
      </c>
      <c r="BD77">
        <f t="shared" si="22"/>
        <v>16.900600000000001</v>
      </c>
      <c r="BE77">
        <f t="shared" si="23"/>
        <v>4.0126587562000005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1.41754</v>
      </c>
      <c r="H78" s="22">
        <v>49.991</v>
      </c>
      <c r="I78" s="22">
        <v>-1.67175E-2</v>
      </c>
      <c r="J78" s="22">
        <v>68</v>
      </c>
      <c r="K78" s="22">
        <v>1.4166300000000001</v>
      </c>
      <c r="L78">
        <f t="shared" si="12"/>
        <v>16.717500000000001</v>
      </c>
      <c r="M78">
        <f t="shared" si="13"/>
        <v>23.697724950000001</v>
      </c>
      <c r="N78" s="9"/>
      <c r="O78" s="22">
        <v>0.24246200000000001</v>
      </c>
      <c r="P78" s="22">
        <v>99.234399999999994</v>
      </c>
      <c r="Q78" s="22">
        <v>-1.6854899999999999E-2</v>
      </c>
      <c r="R78" s="22">
        <v>68</v>
      </c>
      <c r="S78" s="22">
        <v>0.24166899999999999</v>
      </c>
      <c r="T78">
        <f t="shared" si="14"/>
        <v>16.854900000000001</v>
      </c>
      <c r="U78">
        <f t="shared" si="15"/>
        <v>4.0866727638000002</v>
      </c>
      <c r="X78" s="9"/>
      <c r="Y78" s="22">
        <v>1.41754</v>
      </c>
      <c r="Z78" s="22">
        <v>148.637</v>
      </c>
      <c r="AA78" s="22">
        <v>-1.6687E-2</v>
      </c>
      <c r="AB78" s="22">
        <v>68</v>
      </c>
      <c r="AC78" s="22">
        <v>1.41632</v>
      </c>
      <c r="AD78">
        <f t="shared" si="16"/>
        <v>16.687000000000001</v>
      </c>
      <c r="AE78">
        <f t="shared" si="17"/>
        <v>23.654489980000001</v>
      </c>
      <c r="AF78" s="9"/>
      <c r="AG78" s="22">
        <v>0.24246200000000001</v>
      </c>
      <c r="AH78" s="22">
        <v>198.00299999999999</v>
      </c>
      <c r="AI78" s="22">
        <v>-1.68518E-2</v>
      </c>
      <c r="AJ78" s="22">
        <v>68</v>
      </c>
      <c r="AK78" s="22">
        <v>0.24240100000000001</v>
      </c>
      <c r="AL78">
        <f t="shared" si="18"/>
        <v>16.851800000000001</v>
      </c>
      <c r="AM78">
        <f t="shared" si="19"/>
        <v>4.0859211316000001</v>
      </c>
      <c r="AP78" s="9"/>
      <c r="AQ78" s="22">
        <v>1.41754</v>
      </c>
      <c r="AR78" s="22">
        <v>247.286</v>
      </c>
      <c r="AS78" s="22">
        <v>-1.6650399999999999E-2</v>
      </c>
      <c r="AT78" s="22">
        <v>68</v>
      </c>
      <c r="AU78" s="22">
        <v>1.41693</v>
      </c>
      <c r="AV78">
        <f t="shared" si="20"/>
        <v>16.650399999999998</v>
      </c>
      <c r="AW78">
        <f t="shared" si="21"/>
        <v>23.602608015999998</v>
      </c>
      <c r="AX78" s="9"/>
      <c r="AY78" s="22">
        <v>0.24246200000000001</v>
      </c>
      <c r="AZ78" s="22">
        <v>296.65199999999999</v>
      </c>
      <c r="BA78" s="22">
        <v>-1.68945E-2</v>
      </c>
      <c r="BB78" s="22">
        <v>68</v>
      </c>
      <c r="BC78" s="22">
        <v>0.24133299999999999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1.4125099999999999</v>
      </c>
      <c r="H79" s="22">
        <v>50.000999999999998</v>
      </c>
      <c r="I79" s="22">
        <v>-1.67175E-2</v>
      </c>
      <c r="J79" s="22">
        <v>69</v>
      </c>
      <c r="K79" s="22">
        <v>1.41144</v>
      </c>
      <c r="L79">
        <f t="shared" si="12"/>
        <v>16.717500000000001</v>
      </c>
      <c r="M79">
        <f t="shared" si="13"/>
        <v>23.613635925000001</v>
      </c>
      <c r="N79" s="9"/>
      <c r="O79" s="22">
        <v>0.247498</v>
      </c>
      <c r="P79" s="22">
        <v>99.244500000000002</v>
      </c>
      <c r="Q79" s="22">
        <v>-1.68518E-2</v>
      </c>
      <c r="R79" s="22">
        <v>69</v>
      </c>
      <c r="S79" s="22">
        <v>0.24713099999999999</v>
      </c>
      <c r="T79">
        <f t="shared" si="14"/>
        <v>16.851800000000001</v>
      </c>
      <c r="U79">
        <f t="shared" si="15"/>
        <v>4.1707867963999998</v>
      </c>
      <c r="X79" s="9"/>
      <c r="Y79" s="22">
        <v>1.4125099999999999</v>
      </c>
      <c r="Z79" s="22">
        <v>148.64699999999999</v>
      </c>
      <c r="AA79" s="22">
        <v>-1.6696200000000001E-2</v>
      </c>
      <c r="AB79" s="22">
        <v>69</v>
      </c>
      <c r="AC79" s="22">
        <v>1.41205</v>
      </c>
      <c r="AD79">
        <f t="shared" si="16"/>
        <v>16.696200000000001</v>
      </c>
      <c r="AE79">
        <f t="shared" si="17"/>
        <v>23.583549462000001</v>
      </c>
      <c r="AF79" s="9"/>
      <c r="AG79" s="22">
        <v>0.247498</v>
      </c>
      <c r="AH79" s="22">
        <v>198.01300000000001</v>
      </c>
      <c r="AI79" s="22">
        <v>-1.6845700000000002E-2</v>
      </c>
      <c r="AJ79" s="22">
        <v>69</v>
      </c>
      <c r="AK79" s="22">
        <v>0.24679599999999999</v>
      </c>
      <c r="AL79">
        <f t="shared" si="18"/>
        <v>16.845700000000001</v>
      </c>
      <c r="AM79">
        <f t="shared" si="19"/>
        <v>4.1692770586000005</v>
      </c>
      <c r="AP79" s="9"/>
      <c r="AQ79" s="22">
        <v>1.4125099999999999</v>
      </c>
      <c r="AR79" s="22">
        <v>247.29599999999999</v>
      </c>
      <c r="AS79" s="22">
        <v>-1.6665599999999999E-2</v>
      </c>
      <c r="AT79" s="22">
        <v>69</v>
      </c>
      <c r="AU79" s="22">
        <v>1.41235</v>
      </c>
      <c r="AV79">
        <f t="shared" si="20"/>
        <v>16.665599999999998</v>
      </c>
      <c r="AW79">
        <f t="shared" si="21"/>
        <v>23.540326655999994</v>
      </c>
      <c r="AX79" s="9"/>
      <c r="AY79" s="22">
        <v>0.247498</v>
      </c>
      <c r="AZ79" s="22">
        <v>296.66199999999998</v>
      </c>
      <c r="BA79" s="22">
        <v>-1.68915E-2</v>
      </c>
      <c r="BB79" s="22">
        <v>69</v>
      </c>
      <c r="BC79" s="22">
        <v>0.24700900000000001</v>
      </c>
      <c r="BD79">
        <f t="shared" si="22"/>
        <v>16.891500000000001</v>
      </c>
      <c r="BE79">
        <f t="shared" si="23"/>
        <v>4.1806124670000004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1.40747</v>
      </c>
      <c r="H80" s="22">
        <v>50.011099999999999</v>
      </c>
      <c r="I80" s="22">
        <v>-1.6720599999999999E-2</v>
      </c>
      <c r="J80" s="22">
        <v>70</v>
      </c>
      <c r="K80" s="22">
        <v>1.40656</v>
      </c>
      <c r="L80">
        <f t="shared" si="12"/>
        <v>16.720599999999997</v>
      </c>
      <c r="M80">
        <f t="shared" si="13"/>
        <v>23.533742881999995</v>
      </c>
      <c r="N80" s="9"/>
      <c r="O80" s="22">
        <v>0.25253300000000001</v>
      </c>
      <c r="P80" s="22">
        <v>99.254499999999993</v>
      </c>
      <c r="Q80" s="22">
        <v>-1.6845700000000002E-2</v>
      </c>
      <c r="R80" s="22">
        <v>70</v>
      </c>
      <c r="S80" s="22">
        <v>0.251801</v>
      </c>
      <c r="T80">
        <f t="shared" si="14"/>
        <v>16.845700000000001</v>
      </c>
      <c r="U80">
        <f t="shared" si="15"/>
        <v>4.2540951581000002</v>
      </c>
      <c r="X80" s="9"/>
      <c r="Y80" s="22">
        <v>1.40747</v>
      </c>
      <c r="Z80" s="22">
        <v>148.65700000000001</v>
      </c>
      <c r="AA80" s="22">
        <v>-1.6708400000000002E-2</v>
      </c>
      <c r="AB80" s="22">
        <v>70</v>
      </c>
      <c r="AC80" s="22">
        <v>1.40686</v>
      </c>
      <c r="AD80">
        <f t="shared" si="16"/>
        <v>16.708400000000001</v>
      </c>
      <c r="AE80">
        <f t="shared" si="17"/>
        <v>23.516571748</v>
      </c>
      <c r="AF80" s="9"/>
      <c r="AG80" s="22">
        <v>0.25253300000000001</v>
      </c>
      <c r="AH80" s="22">
        <v>198.023</v>
      </c>
      <c r="AI80" s="22">
        <v>-1.6836500000000001E-2</v>
      </c>
      <c r="AJ80" s="22">
        <v>70</v>
      </c>
      <c r="AK80" s="22">
        <v>0.251892</v>
      </c>
      <c r="AL80">
        <f t="shared" si="18"/>
        <v>16.836500000000001</v>
      </c>
      <c r="AM80">
        <f t="shared" si="19"/>
        <v>4.2517718545000003</v>
      </c>
      <c r="AP80" s="9"/>
      <c r="AQ80" s="22">
        <v>1.40747</v>
      </c>
      <c r="AR80" s="22">
        <v>247.30600000000001</v>
      </c>
      <c r="AS80" s="22">
        <v>-1.6680899999999999E-2</v>
      </c>
      <c r="AT80" s="22">
        <v>70</v>
      </c>
      <c r="AU80" s="22">
        <v>1.40656</v>
      </c>
      <c r="AV80">
        <f t="shared" si="20"/>
        <v>16.680899999999998</v>
      </c>
      <c r="AW80">
        <f t="shared" si="21"/>
        <v>23.477866322999997</v>
      </c>
      <c r="AX80" s="9"/>
      <c r="AY80" s="22">
        <v>0.25253300000000001</v>
      </c>
      <c r="AZ80" s="22">
        <v>296.67200000000003</v>
      </c>
      <c r="BA80" s="22">
        <v>-1.6885399999999998E-2</v>
      </c>
      <c r="BB80" s="22">
        <v>70</v>
      </c>
      <c r="BC80" s="22">
        <v>0.25152600000000003</v>
      </c>
      <c r="BD80">
        <f t="shared" si="22"/>
        <v>16.885399999999997</v>
      </c>
      <c r="BE80">
        <f t="shared" si="23"/>
        <v>4.2641207181999992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1.4024399999999999</v>
      </c>
      <c r="H81" s="22">
        <v>50.0212</v>
      </c>
      <c r="I81" s="22">
        <v>-1.6720599999999999E-2</v>
      </c>
      <c r="J81" s="22">
        <v>71</v>
      </c>
      <c r="K81" s="22">
        <v>1.40167</v>
      </c>
      <c r="L81">
        <f t="shared" si="12"/>
        <v>16.720599999999997</v>
      </c>
      <c r="M81">
        <f t="shared" si="13"/>
        <v>23.449638263999994</v>
      </c>
      <c r="N81" s="9"/>
      <c r="O81" s="22">
        <v>0.25756800000000002</v>
      </c>
      <c r="P81" s="22">
        <v>99.264600000000002</v>
      </c>
      <c r="Q81" s="22">
        <v>-1.68396E-2</v>
      </c>
      <c r="R81" s="22">
        <v>71</v>
      </c>
      <c r="S81" s="22">
        <v>0.25677499999999998</v>
      </c>
      <c r="T81">
        <f t="shared" si="14"/>
        <v>16.839600000000001</v>
      </c>
      <c r="U81">
        <f t="shared" si="15"/>
        <v>4.3373420928000002</v>
      </c>
      <c r="X81" s="9"/>
      <c r="Y81" s="22">
        <v>1.4024399999999999</v>
      </c>
      <c r="Z81" s="22">
        <v>148.667</v>
      </c>
      <c r="AA81" s="22">
        <v>-1.67145E-2</v>
      </c>
      <c r="AB81" s="22">
        <v>71</v>
      </c>
      <c r="AC81" s="22">
        <v>1.40167</v>
      </c>
      <c r="AD81">
        <f t="shared" si="16"/>
        <v>16.714500000000001</v>
      </c>
      <c r="AE81">
        <f t="shared" si="17"/>
        <v>23.441083379999998</v>
      </c>
      <c r="AF81" s="9"/>
      <c r="AG81" s="22">
        <v>0.25756800000000002</v>
      </c>
      <c r="AH81" s="22">
        <v>198.03299999999999</v>
      </c>
      <c r="AI81" s="22">
        <v>-1.6833500000000001E-2</v>
      </c>
      <c r="AJ81" s="22">
        <v>71</v>
      </c>
      <c r="AK81" s="22">
        <v>0.25650000000000001</v>
      </c>
      <c r="AL81">
        <f t="shared" si="18"/>
        <v>16.833500000000001</v>
      </c>
      <c r="AM81">
        <f t="shared" si="19"/>
        <v>4.3357709280000005</v>
      </c>
      <c r="AP81" s="9"/>
      <c r="AQ81" s="22">
        <v>1.4024399999999999</v>
      </c>
      <c r="AR81" s="22">
        <v>247.316</v>
      </c>
      <c r="AS81" s="22">
        <v>-1.6705299999999999E-2</v>
      </c>
      <c r="AT81" s="22">
        <v>71</v>
      </c>
      <c r="AU81" s="22">
        <v>1.40137</v>
      </c>
      <c r="AV81">
        <f t="shared" si="20"/>
        <v>16.705299999999998</v>
      </c>
      <c r="AW81">
        <f t="shared" si="21"/>
        <v>23.428180931999997</v>
      </c>
      <c r="AX81" s="9"/>
      <c r="AY81" s="22">
        <v>0.25756800000000002</v>
      </c>
      <c r="AZ81" s="22">
        <v>296.68200000000002</v>
      </c>
      <c r="BA81" s="22">
        <v>-1.6876200000000001E-2</v>
      </c>
      <c r="BB81" s="22">
        <v>71</v>
      </c>
      <c r="BC81" s="22">
        <v>0.25680500000000001</v>
      </c>
      <c r="BD81">
        <f t="shared" si="22"/>
        <v>16.876200000000001</v>
      </c>
      <c r="BE81">
        <f t="shared" si="23"/>
        <v>4.3467690816000006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1.3974</v>
      </c>
      <c r="H82" s="22">
        <v>50.031300000000002</v>
      </c>
      <c r="I82" s="22">
        <v>-1.6726700000000001E-2</v>
      </c>
      <c r="J82" s="22">
        <v>72</v>
      </c>
      <c r="K82" s="22">
        <v>1.3964799999999999</v>
      </c>
      <c r="L82">
        <f t="shared" si="12"/>
        <v>16.726700000000001</v>
      </c>
      <c r="M82">
        <f t="shared" si="13"/>
        <v>23.373890580000001</v>
      </c>
      <c r="N82" s="9"/>
      <c r="O82" s="22">
        <v>0.262604</v>
      </c>
      <c r="P82" s="22">
        <v>99.274699999999996</v>
      </c>
      <c r="Q82" s="22">
        <v>-1.6836500000000001E-2</v>
      </c>
      <c r="R82" s="22">
        <v>72</v>
      </c>
      <c r="S82" s="22">
        <v>0.262604</v>
      </c>
      <c r="T82">
        <f t="shared" si="14"/>
        <v>16.836500000000001</v>
      </c>
      <c r="U82">
        <f t="shared" si="15"/>
        <v>4.4213322460000004</v>
      </c>
      <c r="X82" s="9"/>
      <c r="Y82" s="22">
        <v>1.3974</v>
      </c>
      <c r="Z82" s="22">
        <v>148.67699999999999</v>
      </c>
      <c r="AA82" s="22">
        <v>-1.6711400000000001E-2</v>
      </c>
      <c r="AB82" s="22">
        <v>72</v>
      </c>
      <c r="AC82" s="22">
        <v>1.3958699999999999</v>
      </c>
      <c r="AD82">
        <f t="shared" si="16"/>
        <v>16.711400000000001</v>
      </c>
      <c r="AE82">
        <f t="shared" si="17"/>
        <v>23.35251036</v>
      </c>
      <c r="AF82" s="9"/>
      <c r="AG82" s="22">
        <v>0.262604</v>
      </c>
      <c r="AH82" s="22">
        <v>198.04400000000001</v>
      </c>
      <c r="AI82" s="22">
        <v>-1.68243E-2</v>
      </c>
      <c r="AJ82" s="22">
        <v>72</v>
      </c>
      <c r="AK82" s="22">
        <v>0.26202399999999998</v>
      </c>
      <c r="AL82">
        <f t="shared" si="18"/>
        <v>16.824300000000001</v>
      </c>
      <c r="AM82">
        <f t="shared" si="19"/>
        <v>4.4181284772000007</v>
      </c>
      <c r="AP82" s="9"/>
      <c r="AQ82" s="22">
        <v>1.3974</v>
      </c>
      <c r="AR82" s="22">
        <v>247.32599999999999</v>
      </c>
      <c r="AS82" s="22">
        <v>-1.6705299999999999E-2</v>
      </c>
      <c r="AT82" s="22">
        <v>72</v>
      </c>
      <c r="AU82" s="22">
        <v>1.39618</v>
      </c>
      <c r="AV82">
        <f t="shared" si="20"/>
        <v>16.705299999999998</v>
      </c>
      <c r="AW82">
        <f t="shared" si="21"/>
        <v>23.343986219999998</v>
      </c>
      <c r="AX82" s="9"/>
      <c r="AY82" s="22">
        <v>0.262604</v>
      </c>
      <c r="AZ82" s="22">
        <v>296.69200000000001</v>
      </c>
      <c r="BA82" s="22">
        <v>-1.6867099999999999E-2</v>
      </c>
      <c r="BB82" s="22">
        <v>72</v>
      </c>
      <c r="BC82" s="22">
        <v>0.26156600000000002</v>
      </c>
      <c r="BD82">
        <f t="shared" si="22"/>
        <v>16.867100000000001</v>
      </c>
      <c r="BE82">
        <f t="shared" si="23"/>
        <v>4.4293679284000005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1.39236</v>
      </c>
      <c r="H83" s="22">
        <v>50.0413</v>
      </c>
      <c r="I83" s="22">
        <v>-1.67297E-2</v>
      </c>
      <c r="J83" s="22">
        <v>73</v>
      </c>
      <c r="K83" s="22">
        <v>1.3913</v>
      </c>
      <c r="L83">
        <f t="shared" si="12"/>
        <v>16.729700000000001</v>
      </c>
      <c r="M83">
        <f t="shared" si="13"/>
        <v>23.293765092000001</v>
      </c>
      <c r="N83" s="9"/>
      <c r="O83" s="22">
        <v>0.26763900000000002</v>
      </c>
      <c r="P83" s="22">
        <v>99.284700000000001</v>
      </c>
      <c r="Q83" s="22">
        <v>-1.6833500000000001E-2</v>
      </c>
      <c r="R83" s="22">
        <v>73</v>
      </c>
      <c r="S83" s="22">
        <v>0.26733400000000002</v>
      </c>
      <c r="T83">
        <f t="shared" si="14"/>
        <v>16.833500000000001</v>
      </c>
      <c r="U83">
        <f t="shared" si="15"/>
        <v>4.5053011065000002</v>
      </c>
      <c r="X83" s="9"/>
      <c r="Y83" s="22">
        <v>1.39236</v>
      </c>
      <c r="Z83" s="22">
        <v>148.68700000000001</v>
      </c>
      <c r="AA83" s="22">
        <v>-1.67145E-2</v>
      </c>
      <c r="AB83" s="22">
        <v>73</v>
      </c>
      <c r="AC83" s="22">
        <v>1.3915999999999999</v>
      </c>
      <c r="AD83">
        <f t="shared" si="16"/>
        <v>16.714500000000001</v>
      </c>
      <c r="AE83">
        <f t="shared" si="17"/>
        <v>23.272601220000002</v>
      </c>
      <c r="AF83" s="9"/>
      <c r="AG83" s="22">
        <v>0.26763900000000002</v>
      </c>
      <c r="AH83" s="22">
        <v>198.054</v>
      </c>
      <c r="AI83" s="22">
        <v>-1.68243E-2</v>
      </c>
      <c r="AJ83" s="22">
        <v>73</v>
      </c>
      <c r="AK83" s="22">
        <v>0.26660200000000001</v>
      </c>
      <c r="AL83">
        <f t="shared" si="18"/>
        <v>16.824300000000001</v>
      </c>
      <c r="AM83">
        <f t="shared" si="19"/>
        <v>4.5028388277000007</v>
      </c>
      <c r="AP83" s="9"/>
      <c r="AQ83" s="22">
        <v>1.39236</v>
      </c>
      <c r="AR83" s="22">
        <v>247.33600000000001</v>
      </c>
      <c r="AS83" s="22">
        <v>-1.6711400000000001E-2</v>
      </c>
      <c r="AT83" s="22">
        <v>73</v>
      </c>
      <c r="AU83" s="22">
        <v>1.3915999999999999</v>
      </c>
      <c r="AV83">
        <f t="shared" si="20"/>
        <v>16.711400000000001</v>
      </c>
      <c r="AW83">
        <f t="shared" si="21"/>
        <v>23.268284904000001</v>
      </c>
      <c r="AX83" s="9"/>
      <c r="AY83" s="22">
        <v>0.26763900000000002</v>
      </c>
      <c r="AZ83" s="22">
        <v>296.702</v>
      </c>
      <c r="BA83" s="22">
        <v>-1.6861000000000001E-2</v>
      </c>
      <c r="BB83" s="22">
        <v>73</v>
      </c>
      <c r="BC83" s="22">
        <v>0.26712000000000002</v>
      </c>
      <c r="BD83">
        <f t="shared" si="22"/>
        <v>16.861000000000001</v>
      </c>
      <c r="BE83">
        <f t="shared" si="23"/>
        <v>4.5126611790000002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1.38733</v>
      </c>
      <c r="H84" s="22">
        <v>50.051400000000001</v>
      </c>
      <c r="I84" s="22">
        <v>-1.6735799999999999E-2</v>
      </c>
      <c r="J84" s="22">
        <v>74</v>
      </c>
      <c r="K84" s="22">
        <v>1.3864099999999999</v>
      </c>
      <c r="L84">
        <f t="shared" si="12"/>
        <v>16.735799999999998</v>
      </c>
      <c r="M84">
        <f t="shared" si="13"/>
        <v>23.218077413999996</v>
      </c>
      <c r="N84" s="9"/>
      <c r="O84" s="22">
        <v>0.272675</v>
      </c>
      <c r="P84" s="22">
        <v>99.294799999999995</v>
      </c>
      <c r="Q84" s="22">
        <v>-1.6833500000000001E-2</v>
      </c>
      <c r="R84" s="22">
        <v>74</v>
      </c>
      <c r="S84" s="22">
        <v>0.27227800000000002</v>
      </c>
      <c r="T84">
        <f t="shared" si="14"/>
        <v>16.833500000000001</v>
      </c>
      <c r="U84">
        <f t="shared" si="15"/>
        <v>4.5900746125000005</v>
      </c>
      <c r="X84" s="9"/>
      <c r="Y84" s="22">
        <v>1.38733</v>
      </c>
      <c r="Z84" s="22">
        <v>148.697</v>
      </c>
      <c r="AA84" s="22">
        <v>-1.6720599999999999E-2</v>
      </c>
      <c r="AB84" s="22">
        <v>74</v>
      </c>
      <c r="AC84" s="22">
        <v>1.3864099999999999</v>
      </c>
      <c r="AD84">
        <f t="shared" si="16"/>
        <v>16.720599999999997</v>
      </c>
      <c r="AE84">
        <f t="shared" si="17"/>
        <v>23.196989997999996</v>
      </c>
      <c r="AF84" s="9"/>
      <c r="AG84" s="22">
        <v>0.272675</v>
      </c>
      <c r="AH84" s="22">
        <v>198.06399999999999</v>
      </c>
      <c r="AI84" s="22">
        <v>-1.6818199999999998E-2</v>
      </c>
      <c r="AJ84" s="22">
        <v>74</v>
      </c>
      <c r="AK84" s="22">
        <v>0.271698</v>
      </c>
      <c r="AL84">
        <f t="shared" si="18"/>
        <v>16.818199999999997</v>
      </c>
      <c r="AM84">
        <f t="shared" si="19"/>
        <v>4.5859026849999989</v>
      </c>
      <c r="AP84" s="9"/>
      <c r="AQ84" s="22">
        <v>1.38733</v>
      </c>
      <c r="AR84" s="22">
        <v>247.346</v>
      </c>
      <c r="AS84" s="22">
        <v>-1.67175E-2</v>
      </c>
      <c r="AT84" s="22">
        <v>74</v>
      </c>
      <c r="AU84" s="22">
        <v>1.3864099999999999</v>
      </c>
      <c r="AV84">
        <f t="shared" si="20"/>
        <v>16.717500000000001</v>
      </c>
      <c r="AW84">
        <f t="shared" si="21"/>
        <v>23.192689274999999</v>
      </c>
      <c r="AX84" s="9"/>
      <c r="AY84" s="22">
        <v>0.272675</v>
      </c>
      <c r="AZ84" s="22">
        <v>296.71300000000002</v>
      </c>
      <c r="BA84" s="22">
        <v>-1.6857899999999999E-2</v>
      </c>
      <c r="BB84" s="22">
        <v>74</v>
      </c>
      <c r="BC84" s="22">
        <v>0.27252199999999999</v>
      </c>
      <c r="BD84">
        <f t="shared" si="22"/>
        <v>16.857899999999997</v>
      </c>
      <c r="BE84">
        <f t="shared" si="23"/>
        <v>4.5967278824999989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1.38229</v>
      </c>
      <c r="H85" s="22">
        <v>50.061500000000002</v>
      </c>
      <c r="I85" s="22">
        <v>-1.6744999999999999E-2</v>
      </c>
      <c r="J85" s="22">
        <v>75</v>
      </c>
      <c r="K85" s="22">
        <v>1.38123</v>
      </c>
      <c r="L85">
        <f t="shared" si="12"/>
        <v>16.745000000000001</v>
      </c>
      <c r="M85">
        <f t="shared" si="13"/>
        <v>23.146446050000002</v>
      </c>
      <c r="N85" s="9"/>
      <c r="O85" s="22">
        <v>0.27771000000000001</v>
      </c>
      <c r="P85" s="22">
        <v>99.304900000000004</v>
      </c>
      <c r="Q85" s="22">
        <v>-1.68396E-2</v>
      </c>
      <c r="R85" s="22">
        <v>75</v>
      </c>
      <c r="S85" s="22">
        <v>0.27771000000000001</v>
      </c>
      <c r="T85">
        <f t="shared" si="14"/>
        <v>16.839600000000001</v>
      </c>
      <c r="U85">
        <f t="shared" si="15"/>
        <v>4.6765253160000002</v>
      </c>
      <c r="X85" s="9"/>
      <c r="Y85" s="22">
        <v>1.38229</v>
      </c>
      <c r="Z85" s="22">
        <v>148.70699999999999</v>
      </c>
      <c r="AA85" s="22">
        <v>-1.6726700000000001E-2</v>
      </c>
      <c r="AB85" s="22">
        <v>75</v>
      </c>
      <c r="AC85" s="22">
        <v>1.3815299999999999</v>
      </c>
      <c r="AD85">
        <f t="shared" si="16"/>
        <v>16.726700000000001</v>
      </c>
      <c r="AE85">
        <f t="shared" si="17"/>
        <v>23.121150143000001</v>
      </c>
      <c r="AF85" s="9"/>
      <c r="AG85" s="22">
        <v>0.27771000000000001</v>
      </c>
      <c r="AH85" s="22">
        <v>198.07400000000001</v>
      </c>
      <c r="AI85" s="22">
        <v>-1.6821300000000001E-2</v>
      </c>
      <c r="AJ85" s="22">
        <v>75</v>
      </c>
      <c r="AK85" s="22">
        <v>0.27710000000000001</v>
      </c>
      <c r="AL85">
        <f t="shared" si="18"/>
        <v>16.821300000000001</v>
      </c>
      <c r="AM85">
        <f t="shared" si="19"/>
        <v>4.6714432230000007</v>
      </c>
      <c r="AP85" s="9"/>
      <c r="AQ85" s="22">
        <v>1.38229</v>
      </c>
      <c r="AR85" s="22">
        <v>247.35599999999999</v>
      </c>
      <c r="AS85" s="22">
        <v>-1.6723600000000002E-2</v>
      </c>
      <c r="AT85" s="22">
        <v>75</v>
      </c>
      <c r="AU85" s="22">
        <v>1.3815299999999999</v>
      </c>
      <c r="AV85">
        <f t="shared" si="20"/>
        <v>16.723600000000001</v>
      </c>
      <c r="AW85">
        <f t="shared" si="21"/>
        <v>23.116865044000001</v>
      </c>
      <c r="AX85" s="9"/>
      <c r="AY85" s="22">
        <v>0.27771000000000001</v>
      </c>
      <c r="AZ85" s="22">
        <v>296.72300000000001</v>
      </c>
      <c r="BA85" s="22">
        <v>-1.6854899999999999E-2</v>
      </c>
      <c r="BB85" s="22">
        <v>75</v>
      </c>
      <c r="BC85" s="22">
        <v>0.276642</v>
      </c>
      <c r="BD85">
        <f t="shared" si="22"/>
        <v>16.854900000000001</v>
      </c>
      <c r="BE85">
        <f t="shared" si="23"/>
        <v>4.6807742790000004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1.3772599999999999</v>
      </c>
      <c r="H86" s="22">
        <v>50.0715</v>
      </c>
      <c r="I86" s="22">
        <v>-2.54517E-4</v>
      </c>
      <c r="J86" s="22">
        <v>76</v>
      </c>
      <c r="K86" s="22">
        <v>1.3790899999999999</v>
      </c>
      <c r="L86">
        <f t="shared" si="12"/>
        <v>0.25451699999999999</v>
      </c>
      <c r="M86">
        <f t="shared" si="13"/>
        <v>0.35053608341999998</v>
      </c>
      <c r="N86" s="9"/>
      <c r="O86" s="22">
        <v>0.28274500000000002</v>
      </c>
      <c r="P86" s="22">
        <v>99.314999999999998</v>
      </c>
      <c r="Q86" s="22">
        <v>-1.6836500000000001E-2</v>
      </c>
      <c r="R86" s="22">
        <v>76</v>
      </c>
      <c r="S86" s="22">
        <v>0.28210400000000002</v>
      </c>
      <c r="T86">
        <f t="shared" si="14"/>
        <v>16.836500000000001</v>
      </c>
      <c r="U86">
        <f t="shared" si="15"/>
        <v>4.7604361925000003</v>
      </c>
      <c r="X86" s="9"/>
      <c r="Y86" s="22">
        <v>1.3772599999999999</v>
      </c>
      <c r="Z86" s="22">
        <v>148.71700000000001</v>
      </c>
      <c r="AA86" s="22">
        <v>-1.6732799999999999E-2</v>
      </c>
      <c r="AB86" s="22">
        <v>76</v>
      </c>
      <c r="AC86" s="22">
        <v>1.3766499999999999</v>
      </c>
      <c r="AD86">
        <f t="shared" si="16"/>
        <v>16.732799999999997</v>
      </c>
      <c r="AE86">
        <f t="shared" si="17"/>
        <v>23.045416127999996</v>
      </c>
      <c r="AF86" s="9"/>
      <c r="AG86" s="22">
        <v>0.28274500000000002</v>
      </c>
      <c r="AH86" s="22">
        <v>198.084</v>
      </c>
      <c r="AI86" s="22">
        <v>-1.6821300000000001E-2</v>
      </c>
      <c r="AJ86" s="22">
        <v>76</v>
      </c>
      <c r="AK86" s="22">
        <v>0.28271499999999999</v>
      </c>
      <c r="AL86">
        <f t="shared" si="18"/>
        <v>16.821300000000001</v>
      </c>
      <c r="AM86">
        <f t="shared" si="19"/>
        <v>4.7561384685000005</v>
      </c>
      <c r="AP86" s="9"/>
      <c r="AQ86" s="22">
        <v>1.3772599999999999</v>
      </c>
      <c r="AR86" s="22">
        <v>247.36600000000001</v>
      </c>
      <c r="AS86" s="22">
        <v>-1.6735799999999999E-2</v>
      </c>
      <c r="AT86" s="22">
        <v>76</v>
      </c>
      <c r="AU86" s="22">
        <v>1.3760399999999999</v>
      </c>
      <c r="AV86">
        <f t="shared" si="20"/>
        <v>16.735799999999998</v>
      </c>
      <c r="AW86">
        <f t="shared" si="21"/>
        <v>23.049547907999994</v>
      </c>
      <c r="AX86" s="9"/>
      <c r="AY86" s="22">
        <v>0.28274500000000002</v>
      </c>
      <c r="AZ86" s="22">
        <v>296.733</v>
      </c>
      <c r="BA86" s="22">
        <v>-1.6848800000000001E-2</v>
      </c>
      <c r="BB86" s="22">
        <v>76</v>
      </c>
      <c r="BC86" s="22">
        <v>0.28253200000000001</v>
      </c>
      <c r="BD86">
        <f t="shared" si="22"/>
        <v>16.848800000000001</v>
      </c>
      <c r="BE86">
        <f t="shared" si="23"/>
        <v>4.7639139560000006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1.37222</v>
      </c>
      <c r="H87" s="22">
        <v>50.081600000000002</v>
      </c>
      <c r="I87" s="22">
        <v>-6.2774700000000003E-3</v>
      </c>
      <c r="J87" s="22">
        <v>77</v>
      </c>
      <c r="K87" s="22">
        <v>1.3711500000000001</v>
      </c>
      <c r="L87">
        <f t="shared" si="12"/>
        <v>6.2774700000000001</v>
      </c>
      <c r="M87">
        <f t="shared" si="13"/>
        <v>8.6140698834000009</v>
      </c>
      <c r="N87" s="9"/>
      <c r="O87" s="22">
        <v>0.28778100000000001</v>
      </c>
      <c r="P87" s="22">
        <v>99.325000000000003</v>
      </c>
      <c r="Q87" s="22">
        <v>-1.6830399999999999E-2</v>
      </c>
      <c r="R87" s="22">
        <v>77</v>
      </c>
      <c r="S87" s="22">
        <v>0.28686499999999998</v>
      </c>
      <c r="T87">
        <f t="shared" si="14"/>
        <v>16.830399999999997</v>
      </c>
      <c r="U87">
        <f t="shared" si="15"/>
        <v>4.8434693423999997</v>
      </c>
      <c r="X87" s="9"/>
      <c r="Y87" s="22">
        <v>1.37222</v>
      </c>
      <c r="Z87" s="22">
        <v>148.727</v>
      </c>
      <c r="AA87" s="22">
        <v>-1.6741900000000001E-2</v>
      </c>
      <c r="AB87" s="22">
        <v>77</v>
      </c>
      <c r="AC87" s="22">
        <v>1.3714599999999999</v>
      </c>
      <c r="AD87">
        <f t="shared" si="16"/>
        <v>16.741900000000001</v>
      </c>
      <c r="AE87">
        <f t="shared" si="17"/>
        <v>22.973570018</v>
      </c>
      <c r="AF87" s="9"/>
      <c r="AG87" s="22">
        <v>0.28778100000000001</v>
      </c>
      <c r="AH87" s="22">
        <v>198.09399999999999</v>
      </c>
      <c r="AI87" s="22">
        <v>-1.6818199999999998E-2</v>
      </c>
      <c r="AJ87" s="22">
        <v>77</v>
      </c>
      <c r="AK87" s="22">
        <v>0.28653000000000001</v>
      </c>
      <c r="AL87">
        <f t="shared" si="18"/>
        <v>16.818199999999997</v>
      </c>
      <c r="AM87">
        <f t="shared" si="19"/>
        <v>4.8399584141999998</v>
      </c>
      <c r="AP87" s="9"/>
      <c r="AQ87" s="22">
        <v>1.37222</v>
      </c>
      <c r="AR87" s="22">
        <v>247.376</v>
      </c>
      <c r="AS87" s="22">
        <v>-1.6741900000000001E-2</v>
      </c>
      <c r="AT87" s="22">
        <v>77</v>
      </c>
      <c r="AU87" s="22">
        <v>1.3711500000000001</v>
      </c>
      <c r="AV87">
        <f t="shared" si="20"/>
        <v>16.741900000000001</v>
      </c>
      <c r="AW87">
        <f t="shared" si="21"/>
        <v>22.973570018</v>
      </c>
      <c r="AX87" s="9"/>
      <c r="AY87" s="22">
        <v>0.28778100000000001</v>
      </c>
      <c r="AZ87" s="22">
        <v>296.74299999999999</v>
      </c>
      <c r="BA87" s="22">
        <v>-1.6848800000000001E-2</v>
      </c>
      <c r="BB87" s="22">
        <v>77</v>
      </c>
      <c r="BC87" s="22">
        <v>0.28677399999999997</v>
      </c>
      <c r="BD87">
        <f t="shared" si="22"/>
        <v>16.848800000000001</v>
      </c>
      <c r="BE87">
        <f t="shared" si="23"/>
        <v>4.8487645128000008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1.3671899999999999</v>
      </c>
      <c r="H88" s="22">
        <v>50.091700000000003</v>
      </c>
      <c r="I88" s="22">
        <v>-7.3028600000000004E-3</v>
      </c>
      <c r="J88" s="22">
        <v>78</v>
      </c>
      <c r="K88" s="22">
        <v>1.3662700000000001</v>
      </c>
      <c r="L88">
        <f t="shared" si="12"/>
        <v>7.3028600000000008</v>
      </c>
      <c r="M88">
        <f t="shared" si="13"/>
        <v>9.9843971634000006</v>
      </c>
      <c r="N88" s="9"/>
      <c r="O88" s="22">
        <v>0.29281600000000002</v>
      </c>
      <c r="P88" s="22">
        <v>99.335099999999997</v>
      </c>
      <c r="Q88" s="22">
        <v>-1.6821300000000001E-2</v>
      </c>
      <c r="R88" s="22">
        <v>78</v>
      </c>
      <c r="S88" s="22">
        <v>0.29220600000000002</v>
      </c>
      <c r="T88">
        <f t="shared" si="14"/>
        <v>16.821300000000001</v>
      </c>
      <c r="U88">
        <f t="shared" si="15"/>
        <v>4.9255457808000003</v>
      </c>
      <c r="X88" s="9"/>
      <c r="Y88" s="22">
        <v>1.3671899999999999</v>
      </c>
      <c r="Z88" s="22">
        <v>148.738</v>
      </c>
      <c r="AA88" s="22">
        <v>-1.6741900000000001E-2</v>
      </c>
      <c r="AB88" s="22">
        <v>78</v>
      </c>
      <c r="AC88" s="22">
        <v>1.3671899999999999</v>
      </c>
      <c r="AD88">
        <f t="shared" si="16"/>
        <v>16.741900000000001</v>
      </c>
      <c r="AE88">
        <f t="shared" si="17"/>
        <v>22.889358261000002</v>
      </c>
      <c r="AF88" s="9"/>
      <c r="AG88" s="22">
        <v>0.29281600000000002</v>
      </c>
      <c r="AH88" s="22">
        <v>198.10400000000001</v>
      </c>
      <c r="AI88" s="22">
        <v>-1.6821300000000001E-2</v>
      </c>
      <c r="AJ88" s="22">
        <v>78</v>
      </c>
      <c r="AK88" s="22">
        <v>0.291962</v>
      </c>
      <c r="AL88">
        <f t="shared" si="18"/>
        <v>16.821300000000001</v>
      </c>
      <c r="AM88">
        <f t="shared" si="19"/>
        <v>4.9255457808000003</v>
      </c>
      <c r="AP88" s="9"/>
      <c r="AQ88" s="22">
        <v>1.3671899999999999</v>
      </c>
      <c r="AR88" s="22">
        <v>247.386</v>
      </c>
      <c r="AS88" s="22">
        <v>-1.6747999999999999E-2</v>
      </c>
      <c r="AT88" s="22">
        <v>78</v>
      </c>
      <c r="AU88" s="22">
        <v>1.3665799999999999</v>
      </c>
      <c r="AV88">
        <f t="shared" si="20"/>
        <v>16.747999999999998</v>
      </c>
      <c r="AW88">
        <f t="shared" si="21"/>
        <v>22.897698119999994</v>
      </c>
      <c r="AX88" s="9"/>
      <c r="AY88" s="22">
        <v>0.29281600000000002</v>
      </c>
      <c r="AZ88" s="22">
        <v>296.75299999999999</v>
      </c>
      <c r="BA88" s="22">
        <v>-1.6848800000000001E-2</v>
      </c>
      <c r="BB88" s="22">
        <v>78</v>
      </c>
      <c r="BC88" s="22">
        <v>0.29251100000000002</v>
      </c>
      <c r="BD88">
        <f t="shared" si="22"/>
        <v>16.848800000000001</v>
      </c>
      <c r="BE88">
        <f t="shared" si="23"/>
        <v>4.9335982208000004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1.36215</v>
      </c>
      <c r="H89" s="22">
        <v>50.101799999999997</v>
      </c>
      <c r="I89" s="22">
        <v>-8.3709700000000001E-3</v>
      </c>
      <c r="J89" s="22">
        <v>79</v>
      </c>
      <c r="K89" s="22">
        <v>1.3604700000000001</v>
      </c>
      <c r="L89">
        <f t="shared" si="12"/>
        <v>8.3709699999999998</v>
      </c>
      <c r="M89">
        <f t="shared" si="13"/>
        <v>11.4025167855</v>
      </c>
      <c r="N89" s="9"/>
      <c r="O89" s="22">
        <v>0.29785200000000001</v>
      </c>
      <c r="P89" s="22">
        <v>99.345200000000006</v>
      </c>
      <c r="Q89" s="22">
        <v>-1.68243E-2</v>
      </c>
      <c r="R89" s="22">
        <v>79</v>
      </c>
      <c r="S89" s="22">
        <v>0.29705799999999999</v>
      </c>
      <c r="T89">
        <f t="shared" si="14"/>
        <v>16.824300000000001</v>
      </c>
      <c r="U89">
        <f t="shared" si="15"/>
        <v>5.0111514036000004</v>
      </c>
      <c r="X89" s="9"/>
      <c r="Y89" s="22">
        <v>1.36215</v>
      </c>
      <c r="Z89" s="22">
        <v>148.74799999999999</v>
      </c>
      <c r="AA89" s="22">
        <v>-1.6747999999999999E-2</v>
      </c>
      <c r="AB89" s="22">
        <v>79</v>
      </c>
      <c r="AC89" s="22">
        <v>1.3610800000000001</v>
      </c>
      <c r="AD89">
        <f t="shared" si="16"/>
        <v>16.747999999999998</v>
      </c>
      <c r="AE89">
        <f t="shared" si="17"/>
        <v>22.813288199999995</v>
      </c>
      <c r="AF89" s="9"/>
      <c r="AG89" s="22">
        <v>0.29785200000000001</v>
      </c>
      <c r="AH89" s="22">
        <v>198.114</v>
      </c>
      <c r="AI89" s="22">
        <v>-1.6815199999999999E-2</v>
      </c>
      <c r="AJ89" s="22">
        <v>79</v>
      </c>
      <c r="AK89" s="22">
        <v>0.297211</v>
      </c>
      <c r="AL89">
        <f t="shared" si="18"/>
        <v>16.815199999999997</v>
      </c>
      <c r="AM89">
        <f t="shared" si="19"/>
        <v>5.0084409503999989</v>
      </c>
      <c r="AP89" s="9"/>
      <c r="AQ89" s="22">
        <v>1.36215</v>
      </c>
      <c r="AR89" s="22">
        <v>247.39599999999999</v>
      </c>
      <c r="AS89" s="22">
        <v>-1.6747999999999999E-2</v>
      </c>
      <c r="AT89" s="22">
        <v>79</v>
      </c>
      <c r="AU89" s="22">
        <v>1.3607800000000001</v>
      </c>
      <c r="AV89">
        <f t="shared" si="20"/>
        <v>16.747999999999998</v>
      </c>
      <c r="AW89">
        <f t="shared" si="21"/>
        <v>22.813288199999995</v>
      </c>
      <c r="AX89" s="9"/>
      <c r="AY89" s="22">
        <v>0.29785200000000001</v>
      </c>
      <c r="AZ89" s="22">
        <v>296.76299999999998</v>
      </c>
      <c r="BA89" s="22">
        <v>-1.6845700000000002E-2</v>
      </c>
      <c r="BB89" s="22">
        <v>79</v>
      </c>
      <c r="BC89" s="22">
        <v>0.298126</v>
      </c>
      <c r="BD89">
        <f t="shared" si="22"/>
        <v>16.845700000000001</v>
      </c>
      <c r="BE89">
        <f t="shared" si="23"/>
        <v>5.0175254364000006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1.3571200000000001</v>
      </c>
      <c r="H90" s="22">
        <v>50.111800000000002</v>
      </c>
      <c r="I90" s="22">
        <v>-9.3994100000000004E-3</v>
      </c>
      <c r="J90" s="22">
        <v>80</v>
      </c>
      <c r="K90" s="22">
        <v>1.3559000000000001</v>
      </c>
      <c r="L90">
        <f t="shared" si="12"/>
        <v>9.3994099999999996</v>
      </c>
      <c r="M90">
        <f t="shared" si="13"/>
        <v>12.756127299200001</v>
      </c>
      <c r="N90" s="9"/>
      <c r="O90" s="22">
        <v>0.30288700000000002</v>
      </c>
      <c r="P90" s="22">
        <v>99.355199999999996</v>
      </c>
      <c r="Q90" s="22">
        <v>-1.6815199999999999E-2</v>
      </c>
      <c r="R90" s="22">
        <v>80</v>
      </c>
      <c r="S90" s="22">
        <v>0.30200199999999999</v>
      </c>
      <c r="T90">
        <f t="shared" si="14"/>
        <v>16.815199999999997</v>
      </c>
      <c r="U90">
        <f t="shared" si="15"/>
        <v>5.0931054823999995</v>
      </c>
      <c r="X90" s="9"/>
      <c r="Y90" s="22">
        <v>1.3571200000000001</v>
      </c>
      <c r="Z90" s="22">
        <v>148.75800000000001</v>
      </c>
      <c r="AA90" s="22">
        <v>-1.6747999999999999E-2</v>
      </c>
      <c r="AB90" s="22">
        <v>80</v>
      </c>
      <c r="AC90" s="22">
        <v>1.3565100000000001</v>
      </c>
      <c r="AD90">
        <f t="shared" si="16"/>
        <v>16.747999999999998</v>
      </c>
      <c r="AE90">
        <f t="shared" si="17"/>
        <v>22.729045759999998</v>
      </c>
      <c r="AF90" s="9"/>
      <c r="AG90" s="22">
        <v>0.30288700000000002</v>
      </c>
      <c r="AH90" s="22">
        <v>198.124</v>
      </c>
      <c r="AI90" s="22">
        <v>-1.68091E-2</v>
      </c>
      <c r="AJ90" s="22">
        <v>80</v>
      </c>
      <c r="AK90" s="22">
        <v>0.302429</v>
      </c>
      <c r="AL90">
        <f t="shared" si="18"/>
        <v>16.809100000000001</v>
      </c>
      <c r="AM90">
        <f t="shared" si="19"/>
        <v>5.0912578717000008</v>
      </c>
      <c r="AP90" s="9"/>
      <c r="AQ90" s="22">
        <v>1.3571200000000001</v>
      </c>
      <c r="AR90" s="22">
        <v>247.40700000000001</v>
      </c>
      <c r="AS90" s="22">
        <v>-1.6751100000000001E-2</v>
      </c>
      <c r="AT90" s="22">
        <v>80</v>
      </c>
      <c r="AU90" s="22">
        <v>1.3562000000000001</v>
      </c>
      <c r="AV90">
        <f t="shared" si="20"/>
        <v>16.751100000000001</v>
      </c>
      <c r="AW90">
        <f t="shared" si="21"/>
        <v>22.733252832000002</v>
      </c>
      <c r="AX90" s="9"/>
      <c r="AY90" s="22">
        <v>0.30288700000000002</v>
      </c>
      <c r="AZ90" s="22">
        <v>296.77300000000002</v>
      </c>
      <c r="BA90" s="22">
        <v>-1.6842699999999999E-2</v>
      </c>
      <c r="BB90" s="22">
        <v>80</v>
      </c>
      <c r="BC90" s="22">
        <v>0.30236800000000003</v>
      </c>
      <c r="BD90">
        <f t="shared" si="22"/>
        <v>16.842699999999997</v>
      </c>
      <c r="BE90">
        <f t="shared" si="23"/>
        <v>5.1014348748999998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1.3520799999999999</v>
      </c>
      <c r="H91" s="22">
        <v>50.121899999999997</v>
      </c>
      <c r="I91" s="22">
        <v>-1.01166E-2</v>
      </c>
      <c r="J91" s="22">
        <v>81</v>
      </c>
      <c r="K91" s="22">
        <v>1.3513200000000001</v>
      </c>
      <c r="L91">
        <f t="shared" si="12"/>
        <v>10.1166</v>
      </c>
      <c r="M91">
        <f t="shared" si="13"/>
        <v>13.678452527999999</v>
      </c>
      <c r="N91" s="9"/>
      <c r="O91" s="22">
        <v>0.30792199999999997</v>
      </c>
      <c r="P91" s="22">
        <v>99.365300000000005</v>
      </c>
      <c r="Q91" s="22">
        <v>-1.68091E-2</v>
      </c>
      <c r="R91" s="22">
        <v>81</v>
      </c>
      <c r="S91" s="22">
        <v>0.30740400000000001</v>
      </c>
      <c r="T91">
        <f t="shared" si="14"/>
        <v>16.809100000000001</v>
      </c>
      <c r="U91">
        <f t="shared" si="15"/>
        <v>5.1758916901999994</v>
      </c>
      <c r="X91" s="9"/>
      <c r="Y91" s="22">
        <v>1.3520799999999999</v>
      </c>
      <c r="Z91" s="22">
        <v>148.768</v>
      </c>
      <c r="AA91" s="22">
        <v>-1.6751100000000001E-2</v>
      </c>
      <c r="AB91" s="22">
        <v>81</v>
      </c>
      <c r="AC91" s="22">
        <v>1.3507100000000001</v>
      </c>
      <c r="AD91">
        <f t="shared" si="16"/>
        <v>16.751100000000001</v>
      </c>
      <c r="AE91">
        <f t="shared" si="17"/>
        <v>22.648827288</v>
      </c>
      <c r="AF91" s="9"/>
      <c r="AG91" s="22">
        <v>0.30792199999999997</v>
      </c>
      <c r="AH91" s="22">
        <v>198.13399999999999</v>
      </c>
      <c r="AI91" s="22">
        <v>-1.6802999999999998E-2</v>
      </c>
      <c r="AJ91" s="22">
        <v>81</v>
      </c>
      <c r="AK91" s="22">
        <v>0.307587</v>
      </c>
      <c r="AL91">
        <f t="shared" si="18"/>
        <v>16.802999999999997</v>
      </c>
      <c r="AM91">
        <f t="shared" si="19"/>
        <v>5.1740133659999987</v>
      </c>
      <c r="AP91" s="9"/>
      <c r="AQ91" s="22">
        <v>1.3520799999999999</v>
      </c>
      <c r="AR91" s="22">
        <v>247.417</v>
      </c>
      <c r="AS91" s="22">
        <v>-1.6760299999999999E-2</v>
      </c>
      <c r="AT91" s="22">
        <v>81</v>
      </c>
      <c r="AU91" s="22">
        <v>1.35101</v>
      </c>
      <c r="AV91">
        <f t="shared" si="20"/>
        <v>16.760299999999997</v>
      </c>
      <c r="AW91">
        <f t="shared" si="21"/>
        <v>22.661266423999997</v>
      </c>
      <c r="AX91" s="9"/>
      <c r="AY91" s="22">
        <v>0.30792199999999997</v>
      </c>
      <c r="AZ91" s="22">
        <v>296.78300000000002</v>
      </c>
      <c r="BA91" s="22">
        <v>-1.6836500000000001E-2</v>
      </c>
      <c r="BB91" s="22">
        <v>81</v>
      </c>
      <c r="BC91" s="22">
        <v>0.30688500000000002</v>
      </c>
      <c r="BD91">
        <f t="shared" si="22"/>
        <v>16.836500000000001</v>
      </c>
      <c r="BE91">
        <f t="shared" si="23"/>
        <v>5.184328753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1.3470500000000001</v>
      </c>
      <c r="H92" s="22">
        <v>50.131999999999998</v>
      </c>
      <c r="I92" s="22">
        <v>-1.0855099999999999E-2</v>
      </c>
      <c r="J92" s="22">
        <v>82</v>
      </c>
      <c r="K92" s="22">
        <v>1.34674</v>
      </c>
      <c r="L92">
        <f t="shared" si="12"/>
        <v>10.8551</v>
      </c>
      <c r="M92">
        <f t="shared" si="13"/>
        <v>14.622362455000001</v>
      </c>
      <c r="N92" s="9"/>
      <c r="O92" s="22">
        <v>0.31295800000000001</v>
      </c>
      <c r="P92" s="22">
        <v>99.375399999999999</v>
      </c>
      <c r="Q92" s="22">
        <v>-1.6802999999999998E-2</v>
      </c>
      <c r="R92" s="22">
        <v>82</v>
      </c>
      <c r="S92" s="22">
        <v>0.312195</v>
      </c>
      <c r="T92">
        <f t="shared" si="14"/>
        <v>16.802999999999997</v>
      </c>
      <c r="U92">
        <f t="shared" si="15"/>
        <v>5.2586332739999992</v>
      </c>
      <c r="X92" s="9"/>
      <c r="Y92" s="22">
        <v>1.3470500000000001</v>
      </c>
      <c r="Z92" s="22">
        <v>148.77799999999999</v>
      </c>
      <c r="AA92" s="22">
        <v>-1.67572E-2</v>
      </c>
      <c r="AB92" s="22">
        <v>82</v>
      </c>
      <c r="AC92" s="22">
        <v>1.3458300000000001</v>
      </c>
      <c r="AD92">
        <f t="shared" si="16"/>
        <v>16.757200000000001</v>
      </c>
      <c r="AE92">
        <f t="shared" si="17"/>
        <v>22.572786260000004</v>
      </c>
      <c r="AF92" s="9"/>
      <c r="AG92" s="22">
        <v>0.31295800000000001</v>
      </c>
      <c r="AH92" s="22">
        <v>198.14400000000001</v>
      </c>
      <c r="AI92" s="22">
        <v>-1.67999E-2</v>
      </c>
      <c r="AJ92" s="22">
        <v>82</v>
      </c>
      <c r="AK92" s="22">
        <v>0.31191999999999998</v>
      </c>
      <c r="AL92">
        <f t="shared" si="18"/>
        <v>16.799900000000001</v>
      </c>
      <c r="AM92">
        <f t="shared" si="19"/>
        <v>5.2576631042000006</v>
      </c>
      <c r="AP92" s="9"/>
      <c r="AQ92" s="22">
        <v>1.3470500000000001</v>
      </c>
      <c r="AR92" s="22">
        <v>247.42699999999999</v>
      </c>
      <c r="AS92" s="22">
        <v>-1.6763299999999998E-2</v>
      </c>
      <c r="AT92" s="22">
        <v>82</v>
      </c>
      <c r="AU92" s="22">
        <v>1.3458300000000001</v>
      </c>
      <c r="AV92">
        <f t="shared" si="20"/>
        <v>16.763299999999997</v>
      </c>
      <c r="AW92">
        <f t="shared" si="21"/>
        <v>22.581003265</v>
      </c>
      <c r="AX92" s="9"/>
      <c r="AY92" s="22">
        <v>0.31295800000000001</v>
      </c>
      <c r="AZ92" s="22">
        <v>296.79300000000001</v>
      </c>
      <c r="BA92" s="22">
        <v>-1.6836500000000001E-2</v>
      </c>
      <c r="BB92" s="22">
        <v>82</v>
      </c>
      <c r="BC92" s="22">
        <v>0.31304900000000002</v>
      </c>
      <c r="BD92">
        <f t="shared" si="22"/>
        <v>16.836500000000001</v>
      </c>
      <c r="BE92">
        <f t="shared" si="23"/>
        <v>5.2691173670000007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1.3420099999999999</v>
      </c>
      <c r="H93" s="22">
        <v>50.142000000000003</v>
      </c>
      <c r="I93" s="22">
        <v>-1.15601E-2</v>
      </c>
      <c r="J93" s="22">
        <v>83</v>
      </c>
      <c r="K93" s="22">
        <v>1.3412500000000001</v>
      </c>
      <c r="L93">
        <f t="shared" si="12"/>
        <v>11.5601</v>
      </c>
      <c r="M93">
        <f t="shared" si="13"/>
        <v>15.513769800999999</v>
      </c>
      <c r="N93" s="9"/>
      <c r="O93" s="22">
        <v>0.31799300000000003</v>
      </c>
      <c r="P93" s="22">
        <v>99.385499999999993</v>
      </c>
      <c r="Q93" s="22">
        <v>-1.67969E-2</v>
      </c>
      <c r="R93" s="22">
        <v>83</v>
      </c>
      <c r="S93" s="22">
        <v>0.31716899999999998</v>
      </c>
      <c r="T93">
        <f t="shared" si="14"/>
        <v>16.796900000000001</v>
      </c>
      <c r="U93">
        <f t="shared" si="15"/>
        <v>5.3412966217000006</v>
      </c>
      <c r="X93" s="9"/>
      <c r="Y93" s="22">
        <v>1.3420099999999999</v>
      </c>
      <c r="Z93" s="22">
        <v>148.78800000000001</v>
      </c>
      <c r="AA93" s="22">
        <v>-1.67572E-2</v>
      </c>
      <c r="AB93" s="22">
        <v>83</v>
      </c>
      <c r="AC93" s="22">
        <v>1.3406400000000001</v>
      </c>
      <c r="AD93">
        <f t="shared" si="16"/>
        <v>16.757200000000001</v>
      </c>
      <c r="AE93">
        <f t="shared" si="17"/>
        <v>22.488329971999999</v>
      </c>
      <c r="AF93" s="9"/>
      <c r="AG93" s="22">
        <v>0.31799300000000003</v>
      </c>
      <c r="AH93" s="22">
        <v>198.154</v>
      </c>
      <c r="AI93" s="22">
        <v>-1.6793800000000001E-2</v>
      </c>
      <c r="AJ93" s="22">
        <v>83</v>
      </c>
      <c r="AK93" s="22">
        <v>0.31747399999999998</v>
      </c>
      <c r="AL93">
        <f t="shared" si="18"/>
        <v>16.793800000000001</v>
      </c>
      <c r="AM93">
        <f t="shared" si="19"/>
        <v>5.3403108434000011</v>
      </c>
      <c r="AP93" s="9"/>
      <c r="AQ93" s="22">
        <v>1.3420099999999999</v>
      </c>
      <c r="AR93" s="22">
        <v>247.43700000000001</v>
      </c>
      <c r="AS93" s="22">
        <v>-1.67694E-2</v>
      </c>
      <c r="AT93" s="22">
        <v>83</v>
      </c>
      <c r="AU93" s="22">
        <v>1.34155</v>
      </c>
      <c r="AV93">
        <f t="shared" si="20"/>
        <v>16.769400000000001</v>
      </c>
      <c r="AW93">
        <f t="shared" si="21"/>
        <v>22.504702494</v>
      </c>
      <c r="AX93" s="9"/>
      <c r="AY93" s="22">
        <v>0.31799300000000003</v>
      </c>
      <c r="AZ93" s="22">
        <v>296.803</v>
      </c>
      <c r="BA93" s="22">
        <v>-1.6827399999999999E-2</v>
      </c>
      <c r="BB93" s="22">
        <v>83</v>
      </c>
      <c r="BC93" s="22">
        <v>0.31732199999999999</v>
      </c>
      <c r="BD93">
        <f t="shared" si="22"/>
        <v>16.827400000000001</v>
      </c>
      <c r="BE93">
        <f t="shared" si="23"/>
        <v>5.3509954082000011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1.3369800000000001</v>
      </c>
      <c r="H94" s="22">
        <v>50.152099999999997</v>
      </c>
      <c r="I94" s="22">
        <v>-1.19965E-2</v>
      </c>
      <c r="J94" s="22">
        <v>84</v>
      </c>
      <c r="K94" s="22">
        <v>1.33636</v>
      </c>
      <c r="L94">
        <f t="shared" si="12"/>
        <v>11.996500000000001</v>
      </c>
      <c r="M94">
        <f t="shared" si="13"/>
        <v>16.039080570000003</v>
      </c>
      <c r="N94" s="9"/>
      <c r="O94" s="22">
        <v>0.32302900000000001</v>
      </c>
      <c r="P94" s="22">
        <v>99.395499999999998</v>
      </c>
      <c r="Q94" s="22">
        <v>-1.6790800000000002E-2</v>
      </c>
      <c r="R94" s="22">
        <v>84</v>
      </c>
      <c r="S94" s="22">
        <v>0.32214399999999999</v>
      </c>
      <c r="T94">
        <f t="shared" si="14"/>
        <v>16.790800000000001</v>
      </c>
      <c r="U94">
        <f t="shared" si="15"/>
        <v>5.4239153332000001</v>
      </c>
      <c r="X94" s="9"/>
      <c r="Y94" s="22">
        <v>1.3369800000000001</v>
      </c>
      <c r="Z94" s="22">
        <v>148.798</v>
      </c>
      <c r="AA94" s="22">
        <v>-1.6766400000000001E-2</v>
      </c>
      <c r="AB94" s="22">
        <v>84</v>
      </c>
      <c r="AC94" s="22">
        <v>1.33545</v>
      </c>
      <c r="AD94">
        <f t="shared" si="16"/>
        <v>16.766400000000001</v>
      </c>
      <c r="AE94">
        <f t="shared" si="17"/>
        <v>22.416341472000003</v>
      </c>
      <c r="AF94" s="9"/>
      <c r="AG94" s="22">
        <v>0.32302900000000001</v>
      </c>
      <c r="AH94" s="22">
        <v>198.16399999999999</v>
      </c>
      <c r="AI94" s="22">
        <v>-1.6787699999999999E-2</v>
      </c>
      <c r="AJ94" s="22">
        <v>84</v>
      </c>
      <c r="AK94" s="22">
        <v>0.32211299999999998</v>
      </c>
      <c r="AL94">
        <f t="shared" si="18"/>
        <v>16.787699999999997</v>
      </c>
      <c r="AM94">
        <f t="shared" si="19"/>
        <v>5.4229139432999993</v>
      </c>
      <c r="AP94" s="9"/>
      <c r="AQ94" s="22">
        <v>1.3369800000000001</v>
      </c>
      <c r="AR94" s="22">
        <v>247.447</v>
      </c>
      <c r="AS94" s="22">
        <v>-1.6766400000000001E-2</v>
      </c>
      <c r="AT94" s="22">
        <v>84</v>
      </c>
      <c r="AU94" s="22">
        <v>1.33606</v>
      </c>
      <c r="AV94">
        <f t="shared" si="20"/>
        <v>16.766400000000001</v>
      </c>
      <c r="AW94">
        <f t="shared" si="21"/>
        <v>22.416341472000003</v>
      </c>
      <c r="AX94" s="9"/>
      <c r="AY94" s="22">
        <v>0.32302900000000001</v>
      </c>
      <c r="AZ94" s="22">
        <v>296.81299999999999</v>
      </c>
      <c r="BA94" s="22">
        <v>-1.6827399999999999E-2</v>
      </c>
      <c r="BB94" s="22">
        <v>84</v>
      </c>
      <c r="BC94" s="22">
        <v>0.32192999999999999</v>
      </c>
      <c r="BD94">
        <f t="shared" si="22"/>
        <v>16.827400000000001</v>
      </c>
      <c r="BE94">
        <f t="shared" si="23"/>
        <v>5.4357381946000007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1.3319399999999999</v>
      </c>
      <c r="H95" s="22">
        <v>50.162199999999999</v>
      </c>
      <c r="I95" s="22">
        <v>-1.2558E-2</v>
      </c>
      <c r="J95" s="22">
        <v>85</v>
      </c>
      <c r="K95" s="22">
        <v>1.33087</v>
      </c>
      <c r="L95">
        <f t="shared" si="12"/>
        <v>12.558</v>
      </c>
      <c r="M95">
        <f t="shared" si="13"/>
        <v>16.726502519999997</v>
      </c>
      <c r="N95" s="9"/>
      <c r="O95" s="22">
        <v>0.32806400000000002</v>
      </c>
      <c r="P95" s="22">
        <v>99.405600000000007</v>
      </c>
      <c r="Q95" s="22">
        <v>-1.6781600000000001E-2</v>
      </c>
      <c r="R95" s="22">
        <v>85</v>
      </c>
      <c r="S95" s="22">
        <v>0.32754499999999998</v>
      </c>
      <c r="T95">
        <f t="shared" si="14"/>
        <v>16.781600000000001</v>
      </c>
      <c r="U95">
        <f t="shared" si="15"/>
        <v>5.5054388224000004</v>
      </c>
      <c r="X95" s="9"/>
      <c r="Y95" s="22">
        <v>1.3319399999999999</v>
      </c>
      <c r="Z95" s="22">
        <v>148.80799999999999</v>
      </c>
      <c r="AA95" s="22">
        <v>-1.6772499999999999E-2</v>
      </c>
      <c r="AB95" s="22">
        <v>85</v>
      </c>
      <c r="AC95" s="22">
        <v>1.33087</v>
      </c>
      <c r="AD95">
        <f t="shared" si="16"/>
        <v>16.772500000000001</v>
      </c>
      <c r="AE95">
        <f t="shared" si="17"/>
        <v>22.339963649999998</v>
      </c>
      <c r="AF95" s="9"/>
      <c r="AG95" s="22">
        <v>0.32806400000000002</v>
      </c>
      <c r="AH95" s="22">
        <v>198.17400000000001</v>
      </c>
      <c r="AI95" s="22">
        <v>-1.67847E-2</v>
      </c>
      <c r="AJ95" s="22">
        <v>85</v>
      </c>
      <c r="AK95" s="22">
        <v>0.32714799999999999</v>
      </c>
      <c r="AL95">
        <f t="shared" si="18"/>
        <v>16.784700000000001</v>
      </c>
      <c r="AM95">
        <f t="shared" si="19"/>
        <v>5.5064558208000003</v>
      </c>
      <c r="AP95" s="9"/>
      <c r="AQ95" s="22">
        <v>1.3319399999999999</v>
      </c>
      <c r="AR95" s="22">
        <v>247.45699999999999</v>
      </c>
      <c r="AS95" s="22">
        <v>-1.6775499999999999E-2</v>
      </c>
      <c r="AT95" s="22">
        <v>85</v>
      </c>
      <c r="AU95" s="22">
        <v>1.33148</v>
      </c>
      <c r="AV95">
        <f t="shared" si="20"/>
        <v>16.775499999999997</v>
      </c>
      <c r="AW95">
        <f t="shared" si="21"/>
        <v>22.343959469999994</v>
      </c>
      <c r="AX95" s="9"/>
      <c r="AY95" s="22">
        <v>0.32806400000000002</v>
      </c>
      <c r="AZ95" s="22">
        <v>296.82299999999998</v>
      </c>
      <c r="BA95" s="22">
        <v>-1.68243E-2</v>
      </c>
      <c r="BB95" s="22">
        <v>85</v>
      </c>
      <c r="BC95" s="22">
        <v>0.32782</v>
      </c>
      <c r="BD95">
        <f t="shared" si="22"/>
        <v>16.824300000000001</v>
      </c>
      <c r="BE95">
        <f t="shared" si="23"/>
        <v>5.5194471552000008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1.3269</v>
      </c>
      <c r="H96" s="22">
        <v>50.172199999999997</v>
      </c>
      <c r="I96" s="22">
        <v>-1.30157E-2</v>
      </c>
      <c r="J96" s="22">
        <v>86</v>
      </c>
      <c r="K96" s="22">
        <v>1.32599</v>
      </c>
      <c r="L96">
        <f t="shared" si="12"/>
        <v>13.015700000000001</v>
      </c>
      <c r="M96">
        <f t="shared" si="13"/>
        <v>17.270532330000002</v>
      </c>
      <c r="N96" s="9"/>
      <c r="O96" s="22">
        <v>0.33309899999999998</v>
      </c>
      <c r="P96" s="22">
        <v>99.415700000000001</v>
      </c>
      <c r="Q96" s="22">
        <v>-1.6778600000000001E-2</v>
      </c>
      <c r="R96" s="22">
        <v>86</v>
      </c>
      <c r="S96" s="22">
        <v>0.33227499999999999</v>
      </c>
      <c r="T96">
        <f t="shared" si="14"/>
        <v>16.778600000000001</v>
      </c>
      <c r="U96">
        <f t="shared" si="15"/>
        <v>5.5889348814000002</v>
      </c>
      <c r="X96" s="9"/>
      <c r="Y96" s="22">
        <v>1.3269</v>
      </c>
      <c r="Z96" s="22">
        <v>148.81800000000001</v>
      </c>
      <c r="AA96" s="22">
        <v>-1.67694E-2</v>
      </c>
      <c r="AB96" s="22">
        <v>86</v>
      </c>
      <c r="AC96" s="22">
        <v>1.32568</v>
      </c>
      <c r="AD96">
        <f t="shared" si="16"/>
        <v>16.769400000000001</v>
      </c>
      <c r="AE96">
        <f t="shared" si="17"/>
        <v>22.251316859999999</v>
      </c>
      <c r="AF96" s="9"/>
      <c r="AG96" s="22">
        <v>0.33309899999999998</v>
      </c>
      <c r="AH96" s="22">
        <v>198.185</v>
      </c>
      <c r="AI96" s="22">
        <v>-1.6781600000000001E-2</v>
      </c>
      <c r="AJ96" s="22">
        <v>86</v>
      </c>
      <c r="AK96" s="22">
        <v>0.33194000000000001</v>
      </c>
      <c r="AL96">
        <f t="shared" si="18"/>
        <v>16.781600000000001</v>
      </c>
      <c r="AM96">
        <f t="shared" si="19"/>
        <v>5.5899341784000001</v>
      </c>
      <c r="AP96" s="9"/>
      <c r="AQ96" s="22">
        <v>1.3269</v>
      </c>
      <c r="AR96" s="22">
        <v>247.46700000000001</v>
      </c>
      <c r="AS96" s="22">
        <v>-1.6775499999999999E-2</v>
      </c>
      <c r="AT96" s="22">
        <v>86</v>
      </c>
      <c r="AU96" s="22">
        <v>1.32599</v>
      </c>
      <c r="AV96">
        <f t="shared" si="20"/>
        <v>16.775499999999997</v>
      </c>
      <c r="AW96">
        <f t="shared" si="21"/>
        <v>22.259410949999996</v>
      </c>
      <c r="AX96" s="9"/>
      <c r="AY96" s="22">
        <v>0.33309899999999998</v>
      </c>
      <c r="AZ96" s="22">
        <v>296.83300000000003</v>
      </c>
      <c r="BA96" s="22">
        <v>-1.6818199999999998E-2</v>
      </c>
      <c r="BB96" s="22">
        <v>86</v>
      </c>
      <c r="BC96" s="22">
        <v>0.33236700000000002</v>
      </c>
      <c r="BD96">
        <f t="shared" si="22"/>
        <v>16.818199999999997</v>
      </c>
      <c r="BE96">
        <f t="shared" si="23"/>
        <v>5.6021256017999992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1.3218700000000001</v>
      </c>
      <c r="H97" s="22">
        <v>50.182299999999998</v>
      </c>
      <c r="I97" s="22">
        <v>-1.3369799999999999E-2</v>
      </c>
      <c r="J97" s="22">
        <v>87</v>
      </c>
      <c r="K97" s="22">
        <v>1.32111</v>
      </c>
      <c r="L97">
        <f t="shared" si="12"/>
        <v>13.3698</v>
      </c>
      <c r="M97">
        <f t="shared" si="13"/>
        <v>17.673137526000001</v>
      </c>
      <c r="N97" s="9"/>
      <c r="O97" s="22">
        <v>0.33813500000000002</v>
      </c>
      <c r="P97" s="22">
        <v>99.425700000000006</v>
      </c>
      <c r="Q97" s="22">
        <v>-1.6775499999999999E-2</v>
      </c>
      <c r="R97" s="22">
        <v>87</v>
      </c>
      <c r="S97" s="22">
        <v>0.337341</v>
      </c>
      <c r="T97">
        <f t="shared" si="14"/>
        <v>16.775499999999997</v>
      </c>
      <c r="U97">
        <f t="shared" si="15"/>
        <v>5.6723836924999995</v>
      </c>
      <c r="X97" s="9"/>
      <c r="Y97" s="22">
        <v>1.3218700000000001</v>
      </c>
      <c r="Z97" s="22">
        <v>148.828</v>
      </c>
      <c r="AA97" s="22">
        <v>-1.6772499999999999E-2</v>
      </c>
      <c r="AB97" s="22">
        <v>87</v>
      </c>
      <c r="AC97" s="22">
        <v>1.3205</v>
      </c>
      <c r="AD97">
        <f t="shared" si="16"/>
        <v>16.772500000000001</v>
      </c>
      <c r="AE97">
        <f t="shared" si="17"/>
        <v>22.171064575000003</v>
      </c>
      <c r="AF97" s="9"/>
      <c r="AG97" s="22">
        <v>0.33813500000000002</v>
      </c>
      <c r="AH97" s="22">
        <v>198.19499999999999</v>
      </c>
      <c r="AI97" s="22">
        <v>-1.6778600000000001E-2</v>
      </c>
      <c r="AJ97" s="22">
        <v>87</v>
      </c>
      <c r="AK97" s="22">
        <v>0.33810400000000002</v>
      </c>
      <c r="AL97">
        <f t="shared" si="18"/>
        <v>16.778600000000001</v>
      </c>
      <c r="AM97">
        <f t="shared" si="19"/>
        <v>5.6734319110000007</v>
      </c>
      <c r="AP97" s="9"/>
      <c r="AQ97" s="22">
        <v>1.3218700000000001</v>
      </c>
      <c r="AR97" s="22">
        <v>247.477</v>
      </c>
      <c r="AS97" s="22">
        <v>-1.6781600000000001E-2</v>
      </c>
      <c r="AT97" s="22">
        <v>87</v>
      </c>
      <c r="AU97" s="22">
        <v>1.32111</v>
      </c>
      <c r="AV97">
        <f t="shared" si="20"/>
        <v>16.781600000000001</v>
      </c>
      <c r="AW97">
        <f t="shared" si="21"/>
        <v>22.183093592000002</v>
      </c>
      <c r="AX97" s="9"/>
      <c r="AY97" s="22">
        <v>0.33813500000000002</v>
      </c>
      <c r="AZ97" s="22">
        <v>296.84300000000002</v>
      </c>
      <c r="BA97" s="22">
        <v>-1.6815199999999999E-2</v>
      </c>
      <c r="BB97" s="22">
        <v>87</v>
      </c>
      <c r="BC97" s="22">
        <v>0.33740199999999998</v>
      </c>
      <c r="BD97">
        <f t="shared" si="22"/>
        <v>16.815199999999997</v>
      </c>
      <c r="BE97">
        <f t="shared" si="23"/>
        <v>5.6858076519999994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1.3168299999999999</v>
      </c>
      <c r="H98" s="22">
        <v>50.192399999999999</v>
      </c>
      <c r="I98" s="22">
        <v>-1.3806199999999999E-2</v>
      </c>
      <c r="J98" s="22">
        <v>88</v>
      </c>
      <c r="K98" s="22">
        <v>1.31592</v>
      </c>
      <c r="L98">
        <f t="shared" si="12"/>
        <v>13.806199999999999</v>
      </c>
      <c r="M98">
        <f t="shared" si="13"/>
        <v>18.180418345999996</v>
      </c>
      <c r="N98" s="9"/>
      <c r="O98" s="22">
        <v>0.34316999999999998</v>
      </c>
      <c r="P98" s="22">
        <v>99.4358</v>
      </c>
      <c r="Q98" s="22">
        <v>-1.6775499999999999E-2</v>
      </c>
      <c r="R98" s="22">
        <v>88</v>
      </c>
      <c r="S98" s="22">
        <v>0.34268199999999999</v>
      </c>
      <c r="T98">
        <f t="shared" si="14"/>
        <v>16.775499999999997</v>
      </c>
      <c r="U98">
        <f t="shared" si="15"/>
        <v>5.756848334999999</v>
      </c>
      <c r="X98" s="9"/>
      <c r="Y98" s="22">
        <v>1.3168299999999999</v>
      </c>
      <c r="Z98" s="22">
        <v>148.83799999999999</v>
      </c>
      <c r="AA98" s="22">
        <v>-1.6781600000000001E-2</v>
      </c>
      <c r="AB98" s="22">
        <v>88</v>
      </c>
      <c r="AC98" s="22">
        <v>1.3156099999999999</v>
      </c>
      <c r="AD98">
        <f t="shared" si="16"/>
        <v>16.781600000000001</v>
      </c>
      <c r="AE98">
        <f t="shared" si="17"/>
        <v>22.098514328</v>
      </c>
      <c r="AF98" s="9"/>
      <c r="AG98" s="22">
        <v>0.34316999999999998</v>
      </c>
      <c r="AH98" s="22">
        <v>198.20500000000001</v>
      </c>
      <c r="AI98" s="22">
        <v>-1.67694E-2</v>
      </c>
      <c r="AJ98" s="22">
        <v>88</v>
      </c>
      <c r="AK98" s="22">
        <v>0.34289599999999998</v>
      </c>
      <c r="AL98">
        <f t="shared" si="18"/>
        <v>16.769400000000001</v>
      </c>
      <c r="AM98">
        <f t="shared" si="19"/>
        <v>5.7547549980000001</v>
      </c>
      <c r="AP98" s="9"/>
      <c r="AQ98" s="22">
        <v>1.3168299999999999</v>
      </c>
      <c r="AR98" s="22">
        <v>247.48699999999999</v>
      </c>
      <c r="AS98" s="22">
        <v>-1.6787699999999999E-2</v>
      </c>
      <c r="AT98" s="22">
        <v>88</v>
      </c>
      <c r="AU98" s="22">
        <v>1.3162199999999999</v>
      </c>
      <c r="AV98">
        <f t="shared" si="20"/>
        <v>16.787699999999997</v>
      </c>
      <c r="AW98">
        <f t="shared" si="21"/>
        <v>22.106546990999995</v>
      </c>
      <c r="AX98" s="9"/>
      <c r="AY98" s="22">
        <v>0.34316999999999998</v>
      </c>
      <c r="AZ98" s="22">
        <v>296.85399999999998</v>
      </c>
      <c r="BA98" s="22">
        <v>-1.68091E-2</v>
      </c>
      <c r="BB98" s="22">
        <v>88</v>
      </c>
      <c r="BC98" s="22">
        <v>0.34246799999999999</v>
      </c>
      <c r="BD98">
        <f t="shared" si="22"/>
        <v>16.809100000000001</v>
      </c>
      <c r="BE98">
        <f t="shared" si="23"/>
        <v>5.7683788470000001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1.3118000000000001</v>
      </c>
      <c r="H99" s="22">
        <v>50.202500000000001</v>
      </c>
      <c r="I99" s="22">
        <v>-1.41449E-2</v>
      </c>
      <c r="J99" s="22">
        <v>89</v>
      </c>
      <c r="K99" s="22">
        <v>1.31073</v>
      </c>
      <c r="L99">
        <f t="shared" si="12"/>
        <v>14.1449</v>
      </c>
      <c r="M99">
        <f t="shared" si="13"/>
        <v>18.555279819999999</v>
      </c>
      <c r="N99" s="9"/>
      <c r="O99" s="22">
        <v>0.34820600000000002</v>
      </c>
      <c r="P99" s="22">
        <v>99.445899999999995</v>
      </c>
      <c r="Q99" s="22">
        <v>-1.6772499999999999E-2</v>
      </c>
      <c r="R99" s="22">
        <v>89</v>
      </c>
      <c r="S99" s="22">
        <v>0.34719800000000001</v>
      </c>
      <c r="T99">
        <f t="shared" si="14"/>
        <v>16.772500000000001</v>
      </c>
      <c r="U99">
        <f t="shared" si="15"/>
        <v>5.8402851350000002</v>
      </c>
      <c r="X99" s="9"/>
      <c r="Y99" s="22">
        <v>1.3118000000000001</v>
      </c>
      <c r="Z99" s="22">
        <v>148.84800000000001</v>
      </c>
      <c r="AA99" s="22">
        <v>-1.67847E-2</v>
      </c>
      <c r="AB99" s="22">
        <v>89</v>
      </c>
      <c r="AC99" s="22">
        <v>1.31104</v>
      </c>
      <c r="AD99">
        <f t="shared" si="16"/>
        <v>16.784700000000001</v>
      </c>
      <c r="AE99">
        <f t="shared" si="17"/>
        <v>22.018169460000003</v>
      </c>
      <c r="AF99" s="9"/>
      <c r="AG99" s="22">
        <v>0.34820600000000002</v>
      </c>
      <c r="AH99" s="22">
        <v>198.215</v>
      </c>
      <c r="AI99" s="22">
        <v>-1.6763299999999998E-2</v>
      </c>
      <c r="AJ99" s="22">
        <v>89</v>
      </c>
      <c r="AK99" s="22">
        <v>0.34713699999999997</v>
      </c>
      <c r="AL99">
        <f t="shared" si="18"/>
        <v>16.763299999999997</v>
      </c>
      <c r="AM99">
        <f t="shared" si="19"/>
        <v>5.8370816397999992</v>
      </c>
      <c r="AP99" s="9"/>
      <c r="AQ99" s="22">
        <v>1.3118000000000001</v>
      </c>
      <c r="AR99" s="22">
        <v>247.49700000000001</v>
      </c>
      <c r="AS99" s="22">
        <v>-1.6787699999999999E-2</v>
      </c>
      <c r="AT99" s="22">
        <v>89</v>
      </c>
      <c r="AU99" s="22">
        <v>1.31073</v>
      </c>
      <c r="AV99">
        <f t="shared" si="20"/>
        <v>16.787699999999997</v>
      </c>
      <c r="AW99">
        <f t="shared" si="21"/>
        <v>22.022104859999999</v>
      </c>
      <c r="AX99" s="9"/>
      <c r="AY99" s="22">
        <v>0.34820600000000002</v>
      </c>
      <c r="AZ99" s="22">
        <v>296.86399999999998</v>
      </c>
      <c r="BA99" s="22">
        <v>-1.6806000000000001E-2</v>
      </c>
      <c r="BB99" s="22">
        <v>89</v>
      </c>
      <c r="BC99" s="22">
        <v>0.34811399999999998</v>
      </c>
      <c r="BD99">
        <f t="shared" si="22"/>
        <v>16.806000000000001</v>
      </c>
      <c r="BE99">
        <f t="shared" si="23"/>
        <v>5.8519500360000007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1.3067599999999999</v>
      </c>
      <c r="H100" s="22">
        <v>50.212499999999999</v>
      </c>
      <c r="I100" s="22">
        <v>-1.4401199999999999E-2</v>
      </c>
      <c r="J100" s="22">
        <v>90</v>
      </c>
      <c r="K100" s="22">
        <v>1.3061499999999999</v>
      </c>
      <c r="L100">
        <f t="shared" si="12"/>
        <v>14.401199999999999</v>
      </c>
      <c r="M100">
        <f t="shared" si="13"/>
        <v>18.818912112</v>
      </c>
      <c r="N100" s="9"/>
      <c r="O100" s="22">
        <v>0.35324100000000003</v>
      </c>
      <c r="P100" s="22">
        <v>99.456000000000003</v>
      </c>
      <c r="Q100" s="22">
        <v>-1.6766400000000001E-2</v>
      </c>
      <c r="R100" s="22">
        <v>90</v>
      </c>
      <c r="S100" s="22">
        <v>0.35253899999999999</v>
      </c>
      <c r="T100">
        <f t="shared" si="14"/>
        <v>16.766400000000001</v>
      </c>
      <c r="U100">
        <f t="shared" si="15"/>
        <v>5.9225799024000008</v>
      </c>
      <c r="X100" s="9"/>
      <c r="Y100" s="22">
        <v>1.3067599999999999</v>
      </c>
      <c r="Z100" s="22">
        <v>148.858</v>
      </c>
      <c r="AA100" s="22">
        <v>-1.67847E-2</v>
      </c>
      <c r="AB100" s="22">
        <v>90</v>
      </c>
      <c r="AC100" s="22">
        <v>1.30585</v>
      </c>
      <c r="AD100">
        <f t="shared" si="16"/>
        <v>16.784700000000001</v>
      </c>
      <c r="AE100">
        <f t="shared" si="17"/>
        <v>21.933574572000001</v>
      </c>
      <c r="AF100" s="9"/>
      <c r="AG100" s="22">
        <v>0.35324100000000003</v>
      </c>
      <c r="AH100" s="22">
        <v>198.22499999999999</v>
      </c>
      <c r="AI100" s="22">
        <v>-1.6760299999999999E-2</v>
      </c>
      <c r="AJ100" s="22">
        <v>90</v>
      </c>
      <c r="AK100" s="22">
        <v>0.35202</v>
      </c>
      <c r="AL100">
        <f t="shared" si="18"/>
        <v>16.760299999999997</v>
      </c>
      <c r="AM100">
        <f t="shared" si="19"/>
        <v>5.9204251322999992</v>
      </c>
      <c r="AP100" s="9"/>
      <c r="AQ100" s="22">
        <v>1.3067599999999999</v>
      </c>
      <c r="AR100" s="22">
        <v>247.50700000000001</v>
      </c>
      <c r="AS100" s="22">
        <v>-1.67999E-2</v>
      </c>
      <c r="AT100" s="22">
        <v>90</v>
      </c>
      <c r="AU100" s="22">
        <v>1.3055399999999999</v>
      </c>
      <c r="AV100">
        <f t="shared" si="20"/>
        <v>16.799900000000001</v>
      </c>
      <c r="AW100">
        <f t="shared" si="21"/>
        <v>21.953437323999999</v>
      </c>
      <c r="AX100" s="9"/>
      <c r="AY100" s="22">
        <v>0.35324100000000003</v>
      </c>
      <c r="AZ100" s="22">
        <v>296.87400000000002</v>
      </c>
      <c r="BA100" s="22">
        <v>-1.67969E-2</v>
      </c>
      <c r="BB100" s="22">
        <v>90</v>
      </c>
      <c r="BC100" s="22">
        <v>0.35199000000000003</v>
      </c>
      <c r="BD100">
        <f t="shared" si="22"/>
        <v>16.796900000000001</v>
      </c>
      <c r="BE100">
        <f t="shared" si="23"/>
        <v>5.9333537529000004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1.3017300000000001</v>
      </c>
      <c r="H101" s="22">
        <v>50.2226</v>
      </c>
      <c r="I101" s="22">
        <v>-1.46698E-2</v>
      </c>
      <c r="J101" s="22">
        <v>91</v>
      </c>
      <c r="K101" s="22">
        <v>1.2991299999999999</v>
      </c>
      <c r="L101">
        <f t="shared" si="12"/>
        <v>14.6698</v>
      </c>
      <c r="M101">
        <f t="shared" si="13"/>
        <v>19.096118754000003</v>
      </c>
      <c r="N101" s="9"/>
      <c r="O101" s="22">
        <v>0.35827599999999998</v>
      </c>
      <c r="P101" s="22">
        <v>99.465999999999994</v>
      </c>
      <c r="Q101" s="22">
        <v>-1.67694E-2</v>
      </c>
      <c r="R101" s="22">
        <v>91</v>
      </c>
      <c r="S101" s="22">
        <v>0.35797099999999998</v>
      </c>
      <c r="T101">
        <f t="shared" si="14"/>
        <v>16.769400000000001</v>
      </c>
      <c r="U101">
        <f t="shared" si="15"/>
        <v>6.0080735544000001</v>
      </c>
      <c r="X101" s="9"/>
      <c r="Y101" s="22">
        <v>1.3017300000000001</v>
      </c>
      <c r="Z101" s="22">
        <v>148.86799999999999</v>
      </c>
      <c r="AA101" s="22">
        <v>-1.6787699999999999E-2</v>
      </c>
      <c r="AB101" s="22">
        <v>91</v>
      </c>
      <c r="AC101" s="22">
        <v>1.3009599999999999</v>
      </c>
      <c r="AD101">
        <f t="shared" si="16"/>
        <v>16.787699999999997</v>
      </c>
      <c r="AE101">
        <f t="shared" si="17"/>
        <v>21.853052720999997</v>
      </c>
      <c r="AF101" s="9"/>
      <c r="AG101" s="22">
        <v>0.35827599999999998</v>
      </c>
      <c r="AH101" s="22">
        <v>198.23500000000001</v>
      </c>
      <c r="AI101" s="22">
        <v>-1.67542E-2</v>
      </c>
      <c r="AJ101" s="22">
        <v>91</v>
      </c>
      <c r="AK101" s="22">
        <v>0.35778799999999999</v>
      </c>
      <c r="AL101">
        <f t="shared" si="18"/>
        <v>16.754200000000001</v>
      </c>
      <c r="AM101">
        <f t="shared" si="19"/>
        <v>6.0026277592000001</v>
      </c>
      <c r="AP101" s="9"/>
      <c r="AQ101" s="22">
        <v>1.3017300000000001</v>
      </c>
      <c r="AR101" s="22">
        <v>247.517</v>
      </c>
      <c r="AS101" s="22">
        <v>-1.6802999999999998E-2</v>
      </c>
      <c r="AT101" s="22">
        <v>91</v>
      </c>
      <c r="AU101" s="22">
        <v>1.3009599999999999</v>
      </c>
      <c r="AV101">
        <f t="shared" si="20"/>
        <v>16.802999999999997</v>
      </c>
      <c r="AW101">
        <f t="shared" si="21"/>
        <v>21.872969189999996</v>
      </c>
      <c r="AX101" s="9"/>
      <c r="AY101" s="22">
        <v>0.35827599999999998</v>
      </c>
      <c r="AZ101" s="22">
        <v>296.88400000000001</v>
      </c>
      <c r="BA101" s="22">
        <v>-1.67969E-2</v>
      </c>
      <c r="BB101" s="22">
        <v>91</v>
      </c>
      <c r="BC101" s="22">
        <v>0.35791000000000001</v>
      </c>
      <c r="BD101">
        <f t="shared" si="22"/>
        <v>16.796900000000001</v>
      </c>
      <c r="BE101">
        <f t="shared" si="23"/>
        <v>6.0179261443999996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1.2966899999999999</v>
      </c>
      <c r="H102" s="22">
        <v>50.232700000000001</v>
      </c>
      <c r="I102" s="22">
        <v>-1.67999E-2</v>
      </c>
      <c r="J102" s="22">
        <v>92</v>
      </c>
      <c r="K102" s="22">
        <v>1.2960799999999999</v>
      </c>
      <c r="L102">
        <f t="shared" si="12"/>
        <v>16.799900000000001</v>
      </c>
      <c r="M102">
        <f t="shared" si="13"/>
        <v>21.784262331000001</v>
      </c>
      <c r="N102" s="9"/>
      <c r="O102" s="22">
        <v>0.36331200000000002</v>
      </c>
      <c r="P102" s="22">
        <v>99.476100000000002</v>
      </c>
      <c r="Q102" s="22">
        <v>-1.67694E-2</v>
      </c>
      <c r="R102" s="22">
        <v>92</v>
      </c>
      <c r="S102" s="22">
        <v>0.36279299999999998</v>
      </c>
      <c r="T102">
        <f t="shared" si="14"/>
        <v>16.769400000000001</v>
      </c>
      <c r="U102">
        <f t="shared" si="15"/>
        <v>6.0925242528000005</v>
      </c>
      <c r="X102" s="9"/>
      <c r="Y102" s="22">
        <v>1.2966899999999999</v>
      </c>
      <c r="Z102" s="22">
        <v>148.87899999999999</v>
      </c>
      <c r="AA102" s="22">
        <v>-1.6793800000000001E-2</v>
      </c>
      <c r="AB102" s="22">
        <v>92</v>
      </c>
      <c r="AC102" s="22">
        <v>1.2966899999999999</v>
      </c>
      <c r="AD102">
        <f t="shared" si="16"/>
        <v>16.793800000000001</v>
      </c>
      <c r="AE102">
        <f t="shared" si="17"/>
        <v>21.776352522</v>
      </c>
      <c r="AF102" s="9"/>
      <c r="AG102" s="22">
        <v>0.36331200000000002</v>
      </c>
      <c r="AH102" s="22">
        <v>198.245</v>
      </c>
      <c r="AI102" s="22">
        <v>-1.67542E-2</v>
      </c>
      <c r="AJ102" s="22">
        <v>92</v>
      </c>
      <c r="AK102" s="22">
        <v>0.36288500000000001</v>
      </c>
      <c r="AL102">
        <f t="shared" si="18"/>
        <v>16.754200000000001</v>
      </c>
      <c r="AM102">
        <f t="shared" si="19"/>
        <v>6.0870019104000006</v>
      </c>
      <c r="AP102" s="9"/>
      <c r="AQ102" s="22">
        <v>1.2966899999999999</v>
      </c>
      <c r="AR102" s="22">
        <v>247.52699999999999</v>
      </c>
      <c r="AS102" s="22">
        <v>-1.6802999999999998E-2</v>
      </c>
      <c r="AT102" s="22">
        <v>92</v>
      </c>
      <c r="AU102" s="22">
        <v>1.2954699999999999</v>
      </c>
      <c r="AV102">
        <f t="shared" si="20"/>
        <v>16.802999999999997</v>
      </c>
      <c r="AW102">
        <f t="shared" si="21"/>
        <v>21.788282069999994</v>
      </c>
      <c r="AX102" s="9"/>
      <c r="AY102" s="22">
        <v>0.36331200000000002</v>
      </c>
      <c r="AZ102" s="22">
        <v>296.89400000000001</v>
      </c>
      <c r="BA102" s="22">
        <v>-1.67969E-2</v>
      </c>
      <c r="BB102" s="22">
        <v>92</v>
      </c>
      <c r="BC102" s="22">
        <v>0.36285400000000001</v>
      </c>
      <c r="BD102">
        <f t="shared" si="22"/>
        <v>16.796900000000001</v>
      </c>
      <c r="BE102">
        <f t="shared" si="23"/>
        <v>6.1025153328000004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1.29166</v>
      </c>
      <c r="H103" s="22">
        <v>50.242699999999999</v>
      </c>
      <c r="I103" s="22">
        <v>-1.68091E-2</v>
      </c>
      <c r="J103" s="22">
        <v>93</v>
      </c>
      <c r="K103" s="22">
        <v>1.2908900000000001</v>
      </c>
      <c r="L103">
        <f t="shared" si="12"/>
        <v>16.809100000000001</v>
      </c>
      <c r="M103">
        <f t="shared" si="13"/>
        <v>21.711642106000003</v>
      </c>
      <c r="N103" s="9"/>
      <c r="O103" s="22">
        <v>0.36834699999999998</v>
      </c>
      <c r="P103" s="22">
        <v>99.486199999999997</v>
      </c>
      <c r="Q103" s="22">
        <v>-1.6766400000000001E-2</v>
      </c>
      <c r="R103" s="22">
        <v>93</v>
      </c>
      <c r="S103" s="22">
        <v>0.36776700000000001</v>
      </c>
      <c r="T103">
        <f t="shared" si="14"/>
        <v>16.766400000000001</v>
      </c>
      <c r="U103">
        <f t="shared" si="15"/>
        <v>6.1758531408000001</v>
      </c>
      <c r="X103" s="9"/>
      <c r="Y103" s="22">
        <v>1.29166</v>
      </c>
      <c r="Z103" s="22">
        <v>148.88900000000001</v>
      </c>
      <c r="AA103" s="22">
        <v>-1.67999E-2</v>
      </c>
      <c r="AB103" s="22">
        <v>93</v>
      </c>
      <c r="AC103" s="22">
        <v>1.2911999999999999</v>
      </c>
      <c r="AD103">
        <f t="shared" si="16"/>
        <v>16.799900000000001</v>
      </c>
      <c r="AE103">
        <f t="shared" si="17"/>
        <v>21.699758834000001</v>
      </c>
      <c r="AF103" s="9"/>
      <c r="AG103" s="22">
        <v>0.36834699999999998</v>
      </c>
      <c r="AH103" s="22">
        <v>198.255</v>
      </c>
      <c r="AI103" s="22">
        <v>-1.6751100000000001E-2</v>
      </c>
      <c r="AJ103" s="22">
        <v>93</v>
      </c>
      <c r="AK103" s="22">
        <v>0.367645</v>
      </c>
      <c r="AL103">
        <f t="shared" si="18"/>
        <v>16.751100000000001</v>
      </c>
      <c r="AM103">
        <f t="shared" si="19"/>
        <v>6.1702174317000003</v>
      </c>
      <c r="AP103" s="9"/>
      <c r="AQ103" s="22">
        <v>1.29166</v>
      </c>
      <c r="AR103" s="22">
        <v>247.53700000000001</v>
      </c>
      <c r="AS103" s="22">
        <v>-1.6802999999999998E-2</v>
      </c>
      <c r="AT103" s="22">
        <v>93</v>
      </c>
      <c r="AU103" s="22">
        <v>1.2905899999999999</v>
      </c>
      <c r="AV103">
        <f t="shared" si="20"/>
        <v>16.802999999999997</v>
      </c>
      <c r="AW103">
        <f t="shared" si="21"/>
        <v>21.703762979999997</v>
      </c>
      <c r="AX103" s="9"/>
      <c r="AY103" s="22">
        <v>0.36834699999999998</v>
      </c>
      <c r="AZ103" s="22">
        <v>296.904</v>
      </c>
      <c r="BA103" s="22">
        <v>-1.6790800000000002E-2</v>
      </c>
      <c r="BB103" s="22">
        <v>93</v>
      </c>
      <c r="BC103" s="22">
        <v>0.36813400000000002</v>
      </c>
      <c r="BD103">
        <f t="shared" si="22"/>
        <v>16.790800000000001</v>
      </c>
      <c r="BE103">
        <f t="shared" si="23"/>
        <v>6.1848408075999997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1.2866200000000001</v>
      </c>
      <c r="H104" s="22">
        <v>50.252800000000001</v>
      </c>
      <c r="I104" s="22">
        <v>-1.68121E-2</v>
      </c>
      <c r="J104" s="22">
        <v>94</v>
      </c>
      <c r="K104" s="22">
        <v>1.2860100000000001</v>
      </c>
      <c r="L104">
        <f t="shared" si="12"/>
        <v>16.812100000000001</v>
      </c>
      <c r="M104">
        <f t="shared" si="13"/>
        <v>21.630784102000003</v>
      </c>
      <c r="N104" s="9"/>
      <c r="O104" s="22">
        <v>0.37338300000000002</v>
      </c>
      <c r="P104" s="22">
        <v>99.496200000000002</v>
      </c>
      <c r="Q104" s="22">
        <v>-1.67694E-2</v>
      </c>
      <c r="R104" s="22">
        <v>94</v>
      </c>
      <c r="S104" s="22">
        <v>0.372498</v>
      </c>
      <c r="T104">
        <f t="shared" si="14"/>
        <v>16.769400000000001</v>
      </c>
      <c r="U104">
        <f t="shared" si="15"/>
        <v>6.2614088802000003</v>
      </c>
      <c r="X104" s="9"/>
      <c r="Y104" s="22">
        <v>1.2866200000000001</v>
      </c>
      <c r="Z104" s="22">
        <v>148.899</v>
      </c>
      <c r="AA104" s="22">
        <v>-1.6802999999999998E-2</v>
      </c>
      <c r="AB104" s="22">
        <v>94</v>
      </c>
      <c r="AC104" s="22">
        <v>1.2866200000000001</v>
      </c>
      <c r="AD104">
        <f t="shared" si="16"/>
        <v>16.802999999999997</v>
      </c>
      <c r="AE104">
        <f t="shared" si="17"/>
        <v>21.619075859999999</v>
      </c>
      <c r="AF104" s="9"/>
      <c r="AG104" s="22">
        <v>0.37338300000000002</v>
      </c>
      <c r="AH104" s="22">
        <v>198.26499999999999</v>
      </c>
      <c r="AI104" s="22">
        <v>-1.6747999999999999E-2</v>
      </c>
      <c r="AJ104" s="22">
        <v>94</v>
      </c>
      <c r="AK104" s="22">
        <v>0.37246699999999999</v>
      </c>
      <c r="AL104">
        <f t="shared" si="18"/>
        <v>16.747999999999998</v>
      </c>
      <c r="AM104">
        <f t="shared" si="19"/>
        <v>6.2534184839999991</v>
      </c>
      <c r="AP104" s="9"/>
      <c r="AQ104" s="22">
        <v>1.2866200000000001</v>
      </c>
      <c r="AR104" s="22">
        <v>247.548</v>
      </c>
      <c r="AS104" s="22">
        <v>-1.67999E-2</v>
      </c>
      <c r="AT104" s="22">
        <v>94</v>
      </c>
      <c r="AU104" s="22">
        <v>1.2863199999999999</v>
      </c>
      <c r="AV104">
        <f t="shared" si="20"/>
        <v>16.799900000000001</v>
      </c>
      <c r="AW104">
        <f t="shared" si="21"/>
        <v>21.615087338000002</v>
      </c>
      <c r="AX104" s="9"/>
      <c r="AY104" s="22">
        <v>0.37338300000000002</v>
      </c>
      <c r="AZ104" s="22">
        <v>296.91399999999999</v>
      </c>
      <c r="BA104" s="22">
        <v>-1.6790800000000002E-2</v>
      </c>
      <c r="BB104" s="22">
        <v>94</v>
      </c>
      <c r="BC104" s="22">
        <v>0.37353500000000001</v>
      </c>
      <c r="BD104">
        <f t="shared" si="22"/>
        <v>16.790800000000001</v>
      </c>
      <c r="BE104">
        <f t="shared" si="23"/>
        <v>6.2693992764000006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1.28159</v>
      </c>
      <c r="H105" s="22">
        <v>50.262900000000002</v>
      </c>
      <c r="I105" s="22">
        <v>-1.6818199999999998E-2</v>
      </c>
      <c r="J105" s="22">
        <v>95</v>
      </c>
      <c r="K105" s="22">
        <v>1.2811300000000001</v>
      </c>
      <c r="L105">
        <f t="shared" si="12"/>
        <v>16.818199999999997</v>
      </c>
      <c r="M105">
        <f t="shared" si="13"/>
        <v>21.554036937999996</v>
      </c>
      <c r="N105" s="9"/>
      <c r="O105" s="22">
        <v>0.37841799999999998</v>
      </c>
      <c r="P105" s="22">
        <v>99.506299999999996</v>
      </c>
      <c r="Q105" s="22">
        <v>-1.6760299999999999E-2</v>
      </c>
      <c r="R105" s="22">
        <v>95</v>
      </c>
      <c r="S105" s="22">
        <v>0.37759399999999999</v>
      </c>
      <c r="T105">
        <f t="shared" si="14"/>
        <v>16.760299999999997</v>
      </c>
      <c r="U105">
        <f t="shared" si="15"/>
        <v>6.3423992053999987</v>
      </c>
      <c r="X105" s="9"/>
      <c r="Y105" s="22">
        <v>1.28159</v>
      </c>
      <c r="Z105" s="22">
        <v>148.90899999999999</v>
      </c>
      <c r="AA105" s="22">
        <v>-1.68091E-2</v>
      </c>
      <c r="AB105" s="22">
        <v>95</v>
      </c>
      <c r="AC105" s="22">
        <v>1.2811300000000001</v>
      </c>
      <c r="AD105">
        <f t="shared" si="16"/>
        <v>16.809100000000001</v>
      </c>
      <c r="AE105">
        <f t="shared" si="17"/>
        <v>21.542374469000002</v>
      </c>
      <c r="AF105" s="9"/>
      <c r="AG105" s="22">
        <v>0.37841799999999998</v>
      </c>
      <c r="AH105" s="22">
        <v>198.27500000000001</v>
      </c>
      <c r="AI105" s="22">
        <v>-1.6744999999999999E-2</v>
      </c>
      <c r="AJ105" s="22">
        <v>95</v>
      </c>
      <c r="AK105" s="22">
        <v>0.37792999999999999</v>
      </c>
      <c r="AL105">
        <f t="shared" si="18"/>
        <v>16.745000000000001</v>
      </c>
      <c r="AM105">
        <f t="shared" si="19"/>
        <v>6.3366094100000003</v>
      </c>
      <c r="AP105" s="9"/>
      <c r="AQ105" s="22">
        <v>1.28159</v>
      </c>
      <c r="AR105" s="22">
        <v>247.55799999999999</v>
      </c>
      <c r="AS105" s="22">
        <v>-1.6806000000000001E-2</v>
      </c>
      <c r="AT105" s="22">
        <v>95</v>
      </c>
      <c r="AU105" s="22">
        <v>1.2808200000000001</v>
      </c>
      <c r="AV105">
        <f t="shared" si="20"/>
        <v>16.806000000000001</v>
      </c>
      <c r="AW105">
        <f t="shared" si="21"/>
        <v>21.538401540000002</v>
      </c>
      <c r="AX105" s="9"/>
      <c r="AY105" s="22">
        <v>0.37841799999999998</v>
      </c>
      <c r="AZ105" s="22">
        <v>296.92399999999998</v>
      </c>
      <c r="BA105" s="22">
        <v>-1.6781600000000001E-2</v>
      </c>
      <c r="BB105" s="22">
        <v>95</v>
      </c>
      <c r="BC105" s="22">
        <v>0.376801</v>
      </c>
      <c r="BD105">
        <f t="shared" si="22"/>
        <v>16.781600000000001</v>
      </c>
      <c r="BE105">
        <f t="shared" si="23"/>
        <v>6.3504595088000002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1.2765500000000001</v>
      </c>
      <c r="H106" s="22">
        <v>50.273000000000003</v>
      </c>
      <c r="I106" s="22">
        <v>-1.68243E-2</v>
      </c>
      <c r="J106" s="22">
        <v>96</v>
      </c>
      <c r="K106" s="22">
        <v>1.2753300000000001</v>
      </c>
      <c r="L106">
        <f t="shared" si="12"/>
        <v>16.824300000000001</v>
      </c>
      <c r="M106">
        <f t="shared" si="13"/>
        <v>21.477060165000001</v>
      </c>
      <c r="N106" s="9"/>
      <c r="O106" s="22">
        <v>0.38345299999999999</v>
      </c>
      <c r="P106" s="22">
        <v>99.516400000000004</v>
      </c>
      <c r="Q106" s="22">
        <v>-1.67572E-2</v>
      </c>
      <c r="R106" s="22">
        <v>96</v>
      </c>
      <c r="S106" s="22">
        <v>0.38214100000000001</v>
      </c>
      <c r="T106">
        <f t="shared" si="14"/>
        <v>16.757200000000001</v>
      </c>
      <c r="U106">
        <f t="shared" si="15"/>
        <v>6.4255986115999999</v>
      </c>
      <c r="X106" s="9"/>
      <c r="Y106" s="22">
        <v>1.2765500000000001</v>
      </c>
      <c r="Z106" s="22">
        <v>148.91900000000001</v>
      </c>
      <c r="AA106" s="22">
        <v>-1.6806000000000001E-2</v>
      </c>
      <c r="AB106" s="22">
        <v>96</v>
      </c>
      <c r="AC106" s="22">
        <v>1.2753300000000001</v>
      </c>
      <c r="AD106">
        <f t="shared" si="16"/>
        <v>16.806000000000001</v>
      </c>
      <c r="AE106">
        <f t="shared" si="17"/>
        <v>21.453699300000004</v>
      </c>
      <c r="AF106" s="9"/>
      <c r="AG106" s="22">
        <v>0.38345299999999999</v>
      </c>
      <c r="AH106" s="22">
        <v>198.285</v>
      </c>
      <c r="AI106" s="22">
        <v>-1.6741900000000001E-2</v>
      </c>
      <c r="AJ106" s="22">
        <v>96</v>
      </c>
      <c r="AK106" s="22">
        <v>0.38327</v>
      </c>
      <c r="AL106">
        <f t="shared" si="18"/>
        <v>16.741900000000001</v>
      </c>
      <c r="AM106">
        <f t="shared" si="19"/>
        <v>6.4197317807000003</v>
      </c>
      <c r="AP106" s="9"/>
      <c r="AQ106" s="22">
        <v>1.2765500000000001</v>
      </c>
      <c r="AR106" s="22">
        <v>247.56800000000001</v>
      </c>
      <c r="AS106" s="22">
        <v>-1.68091E-2</v>
      </c>
      <c r="AT106" s="22">
        <v>96</v>
      </c>
      <c r="AU106" s="22">
        <v>1.27563</v>
      </c>
      <c r="AV106">
        <f t="shared" si="20"/>
        <v>16.809100000000001</v>
      </c>
      <c r="AW106">
        <f t="shared" si="21"/>
        <v>21.457656605000004</v>
      </c>
      <c r="AX106" s="9"/>
      <c r="AY106" s="22">
        <v>0.38345299999999999</v>
      </c>
      <c r="AZ106" s="22">
        <v>296.93400000000003</v>
      </c>
      <c r="BA106" s="22">
        <v>-1.6775499999999999E-2</v>
      </c>
      <c r="BB106" s="22">
        <v>96</v>
      </c>
      <c r="BC106" s="22">
        <v>0.382355</v>
      </c>
      <c r="BD106">
        <f t="shared" si="22"/>
        <v>16.775499999999997</v>
      </c>
      <c r="BE106">
        <f t="shared" si="23"/>
        <v>6.432615801499999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1.2715099999999999</v>
      </c>
      <c r="H107" s="22">
        <v>50.283000000000001</v>
      </c>
      <c r="I107" s="22">
        <v>-1.6827399999999999E-2</v>
      </c>
      <c r="J107" s="22">
        <v>97</v>
      </c>
      <c r="K107" s="22">
        <v>1.2704500000000001</v>
      </c>
      <c r="L107">
        <f t="shared" si="12"/>
        <v>16.827400000000001</v>
      </c>
      <c r="M107">
        <f t="shared" si="13"/>
        <v>21.396207373999999</v>
      </c>
      <c r="N107" s="9"/>
      <c r="O107" s="22">
        <v>0.38848899999999997</v>
      </c>
      <c r="P107" s="22">
        <v>99.526499999999999</v>
      </c>
      <c r="Q107" s="22">
        <v>-1.6751100000000001E-2</v>
      </c>
      <c r="R107" s="22">
        <v>97</v>
      </c>
      <c r="S107" s="22">
        <v>0.38778699999999999</v>
      </c>
      <c r="T107">
        <f t="shared" si="14"/>
        <v>16.751100000000001</v>
      </c>
      <c r="U107">
        <f t="shared" si="15"/>
        <v>6.5076180879000001</v>
      </c>
      <c r="X107" s="9"/>
      <c r="Y107" s="22">
        <v>1.2715099999999999</v>
      </c>
      <c r="Z107" s="22">
        <v>148.929</v>
      </c>
      <c r="AA107" s="22">
        <v>-1.6802999999999998E-2</v>
      </c>
      <c r="AB107" s="22">
        <v>97</v>
      </c>
      <c r="AC107" s="22">
        <v>1.2710600000000001</v>
      </c>
      <c r="AD107">
        <f t="shared" si="16"/>
        <v>16.802999999999997</v>
      </c>
      <c r="AE107">
        <f t="shared" si="17"/>
        <v>21.365182529999995</v>
      </c>
      <c r="AF107" s="9"/>
      <c r="AG107" s="22">
        <v>0.38848899999999997</v>
      </c>
      <c r="AH107" s="22">
        <v>198.29499999999999</v>
      </c>
      <c r="AI107" s="22">
        <v>-1.6732799999999999E-2</v>
      </c>
      <c r="AJ107" s="22">
        <v>97</v>
      </c>
      <c r="AK107" s="22">
        <v>0.38735999999999998</v>
      </c>
      <c r="AL107">
        <f t="shared" si="18"/>
        <v>16.732799999999997</v>
      </c>
      <c r="AM107">
        <f t="shared" si="19"/>
        <v>6.5005087391999989</v>
      </c>
      <c r="AP107" s="9"/>
      <c r="AQ107" s="22">
        <v>1.2715099999999999</v>
      </c>
      <c r="AR107" s="22">
        <v>247.578</v>
      </c>
      <c r="AS107" s="22">
        <v>-1.6815199999999999E-2</v>
      </c>
      <c r="AT107" s="22">
        <v>97</v>
      </c>
      <c r="AU107" s="22">
        <v>1.27075</v>
      </c>
      <c r="AV107">
        <f t="shared" si="20"/>
        <v>16.815199999999997</v>
      </c>
      <c r="AW107">
        <f t="shared" si="21"/>
        <v>21.380694951999995</v>
      </c>
      <c r="AX107" s="9"/>
      <c r="AY107" s="22">
        <v>0.38848899999999997</v>
      </c>
      <c r="AZ107" s="22">
        <v>296.94400000000002</v>
      </c>
      <c r="BA107" s="22">
        <v>-1.6772499999999999E-2</v>
      </c>
      <c r="BB107" s="22">
        <v>97</v>
      </c>
      <c r="BC107" s="22">
        <v>0.38806200000000002</v>
      </c>
      <c r="BD107">
        <f t="shared" si="22"/>
        <v>16.772500000000001</v>
      </c>
      <c r="BE107">
        <f t="shared" si="23"/>
        <v>6.5159317525000002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1.2664800000000001</v>
      </c>
      <c r="H108" s="22">
        <v>50.293100000000003</v>
      </c>
      <c r="I108" s="22">
        <v>-1.6833500000000001E-2</v>
      </c>
      <c r="J108" s="22">
        <v>98</v>
      </c>
      <c r="K108" s="22">
        <v>1.26556</v>
      </c>
      <c r="L108">
        <f t="shared" si="12"/>
        <v>16.833500000000001</v>
      </c>
      <c r="M108">
        <f t="shared" si="13"/>
        <v>21.319291080000003</v>
      </c>
      <c r="N108" s="9"/>
      <c r="O108" s="22">
        <v>0.39352399999999998</v>
      </c>
      <c r="P108" s="22">
        <v>99.536500000000004</v>
      </c>
      <c r="Q108" s="22">
        <v>-1.6744999999999999E-2</v>
      </c>
      <c r="R108" s="22">
        <v>98</v>
      </c>
      <c r="S108" s="22">
        <v>0.39321899999999999</v>
      </c>
      <c r="T108">
        <f t="shared" si="14"/>
        <v>16.745000000000001</v>
      </c>
      <c r="U108">
        <f t="shared" si="15"/>
        <v>6.5895593799999999</v>
      </c>
      <c r="X108" s="9"/>
      <c r="Y108" s="22">
        <v>1.2664800000000001</v>
      </c>
      <c r="Z108" s="22">
        <v>148.93899999999999</v>
      </c>
      <c r="AA108" s="22">
        <v>-1.68091E-2</v>
      </c>
      <c r="AB108" s="22">
        <v>98</v>
      </c>
      <c r="AC108" s="22">
        <v>1.2652600000000001</v>
      </c>
      <c r="AD108">
        <f t="shared" si="16"/>
        <v>16.809100000000001</v>
      </c>
      <c r="AE108">
        <f t="shared" si="17"/>
        <v>21.288388968000003</v>
      </c>
      <c r="AF108" s="9"/>
      <c r="AG108" s="22">
        <v>0.39352399999999998</v>
      </c>
      <c r="AH108" s="22">
        <v>198.30500000000001</v>
      </c>
      <c r="AI108" s="22">
        <v>-1.67297E-2</v>
      </c>
      <c r="AJ108" s="22">
        <v>98</v>
      </c>
      <c r="AK108" s="22">
        <v>0.39331100000000002</v>
      </c>
      <c r="AL108">
        <f t="shared" si="18"/>
        <v>16.729700000000001</v>
      </c>
      <c r="AM108">
        <f t="shared" si="19"/>
        <v>6.5835384628</v>
      </c>
      <c r="AP108" s="9"/>
      <c r="AQ108" s="22">
        <v>1.2664800000000001</v>
      </c>
      <c r="AR108" s="22">
        <v>247.58799999999999</v>
      </c>
      <c r="AS108" s="22">
        <v>-1.68121E-2</v>
      </c>
      <c r="AT108" s="22">
        <v>98</v>
      </c>
      <c r="AU108" s="22">
        <v>1.26434</v>
      </c>
      <c r="AV108">
        <f t="shared" si="20"/>
        <v>16.812100000000001</v>
      </c>
      <c r="AW108">
        <f t="shared" si="21"/>
        <v>21.292188408000001</v>
      </c>
      <c r="AX108" s="9"/>
      <c r="AY108" s="22">
        <v>0.39352399999999998</v>
      </c>
      <c r="AZ108" s="22">
        <v>296.95400000000001</v>
      </c>
      <c r="BA108" s="22">
        <v>-1.67694E-2</v>
      </c>
      <c r="BB108" s="22">
        <v>98</v>
      </c>
      <c r="BC108" s="22">
        <v>0.39245600000000003</v>
      </c>
      <c r="BD108">
        <f t="shared" si="22"/>
        <v>16.769400000000001</v>
      </c>
      <c r="BE108">
        <f t="shared" si="23"/>
        <v>6.5991613656000006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1.2614399999999999</v>
      </c>
      <c r="H109" s="22">
        <v>50.303199999999997</v>
      </c>
      <c r="I109" s="22">
        <v>-1.68396E-2</v>
      </c>
      <c r="J109" s="22">
        <v>99</v>
      </c>
      <c r="K109" s="22">
        <v>1.26068</v>
      </c>
      <c r="L109">
        <f t="shared" si="12"/>
        <v>16.839600000000001</v>
      </c>
      <c r="M109">
        <f t="shared" si="13"/>
        <v>21.242145023999999</v>
      </c>
      <c r="N109" s="9"/>
      <c r="O109" s="22">
        <v>0.39856000000000003</v>
      </c>
      <c r="P109" s="22">
        <v>99.546599999999998</v>
      </c>
      <c r="Q109" s="22">
        <v>-1.6741900000000001E-2</v>
      </c>
      <c r="R109" s="22">
        <v>99</v>
      </c>
      <c r="S109" s="22">
        <v>0.397644</v>
      </c>
      <c r="T109">
        <f t="shared" si="14"/>
        <v>16.741900000000001</v>
      </c>
      <c r="U109">
        <f t="shared" si="15"/>
        <v>6.6726516640000009</v>
      </c>
      <c r="X109" s="9"/>
      <c r="Y109" s="22">
        <v>1.2614399999999999</v>
      </c>
      <c r="Z109" s="22">
        <v>148.94900000000001</v>
      </c>
      <c r="AA109" s="22">
        <v>-1.68091E-2</v>
      </c>
      <c r="AB109" s="22">
        <v>99</v>
      </c>
      <c r="AC109" s="22">
        <v>1.26007</v>
      </c>
      <c r="AD109">
        <f t="shared" si="16"/>
        <v>16.809100000000001</v>
      </c>
      <c r="AE109">
        <f t="shared" si="17"/>
        <v>21.203671103999998</v>
      </c>
      <c r="AF109" s="9"/>
      <c r="AG109" s="22">
        <v>0.39856000000000003</v>
      </c>
      <c r="AH109" s="22">
        <v>198.315</v>
      </c>
      <c r="AI109" s="22">
        <v>-1.6726700000000001E-2</v>
      </c>
      <c r="AJ109" s="22">
        <v>99</v>
      </c>
      <c r="AK109" s="22">
        <v>0.39758300000000002</v>
      </c>
      <c r="AL109">
        <f t="shared" si="18"/>
        <v>16.726700000000001</v>
      </c>
      <c r="AM109">
        <f t="shared" si="19"/>
        <v>6.666593552000001</v>
      </c>
      <c r="AP109" s="9"/>
      <c r="AQ109" s="22">
        <v>1.2614399999999999</v>
      </c>
      <c r="AR109" s="22">
        <v>247.59800000000001</v>
      </c>
      <c r="AS109" s="22">
        <v>-1.6815199999999999E-2</v>
      </c>
      <c r="AT109" s="22">
        <v>99</v>
      </c>
      <c r="AU109" s="22">
        <v>1.26068</v>
      </c>
      <c r="AV109">
        <f t="shared" si="20"/>
        <v>16.815199999999997</v>
      </c>
      <c r="AW109">
        <f t="shared" si="21"/>
        <v>21.211365887999996</v>
      </c>
      <c r="AX109" s="9"/>
      <c r="AY109" s="22">
        <v>0.39856000000000003</v>
      </c>
      <c r="AZ109" s="22">
        <v>296.964</v>
      </c>
      <c r="BA109" s="22">
        <v>-1.6763299999999998E-2</v>
      </c>
      <c r="BB109" s="22">
        <v>99</v>
      </c>
      <c r="BC109" s="22">
        <v>0.39831499999999997</v>
      </c>
      <c r="BD109">
        <f t="shared" si="22"/>
        <v>16.763299999999997</v>
      </c>
      <c r="BE109">
        <f t="shared" si="23"/>
        <v>6.6811808479999995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1.25641</v>
      </c>
      <c r="H110" s="22">
        <v>50.313200000000002</v>
      </c>
      <c r="I110" s="22">
        <v>-1.6842699999999999E-2</v>
      </c>
      <c r="J110" s="22">
        <v>100</v>
      </c>
      <c r="K110" s="22">
        <v>1.25519</v>
      </c>
      <c r="L110">
        <f t="shared" si="12"/>
        <v>16.842699999999997</v>
      </c>
      <c r="M110">
        <f t="shared" si="13"/>
        <v>21.161336706999997</v>
      </c>
      <c r="N110" s="9"/>
      <c r="O110" s="22">
        <v>0.40359499999999998</v>
      </c>
      <c r="P110" s="22">
        <v>99.556700000000006</v>
      </c>
      <c r="Q110" s="22">
        <v>-1.6732799999999999E-2</v>
      </c>
      <c r="R110" s="22">
        <v>100</v>
      </c>
      <c r="S110" s="22">
        <v>0.40298499999999998</v>
      </c>
      <c r="T110">
        <f t="shared" si="14"/>
        <v>16.732799999999997</v>
      </c>
      <c r="U110">
        <f t="shared" si="15"/>
        <v>6.7532744159999982</v>
      </c>
      <c r="X110" s="9"/>
      <c r="Y110" s="22">
        <v>1.25641</v>
      </c>
      <c r="Z110" s="22">
        <v>148.959</v>
      </c>
      <c r="AA110" s="22">
        <v>-1.68121E-2</v>
      </c>
      <c r="AB110" s="22">
        <v>100</v>
      </c>
      <c r="AC110" s="22">
        <v>1.25519</v>
      </c>
      <c r="AD110">
        <f t="shared" si="16"/>
        <v>16.812100000000001</v>
      </c>
      <c r="AE110">
        <f t="shared" si="17"/>
        <v>21.122890561000002</v>
      </c>
      <c r="AF110" s="9"/>
      <c r="AG110" s="22">
        <v>0.40359499999999998</v>
      </c>
      <c r="AH110" s="22">
        <v>198.32599999999999</v>
      </c>
      <c r="AI110" s="22">
        <v>-1.6720599999999999E-2</v>
      </c>
      <c r="AJ110" s="22">
        <v>100</v>
      </c>
      <c r="AK110" s="22">
        <v>0.40283200000000002</v>
      </c>
      <c r="AL110">
        <f t="shared" si="18"/>
        <v>16.720599999999997</v>
      </c>
      <c r="AM110">
        <f t="shared" si="19"/>
        <v>6.7483505569999984</v>
      </c>
      <c r="AP110" s="9"/>
      <c r="AQ110" s="22">
        <v>1.25641</v>
      </c>
      <c r="AR110" s="22">
        <v>247.608</v>
      </c>
      <c r="AS110" s="22">
        <v>-1.6821300000000001E-2</v>
      </c>
      <c r="AT110" s="22">
        <v>100</v>
      </c>
      <c r="AU110" s="22">
        <v>1.2558</v>
      </c>
      <c r="AV110">
        <f t="shared" si="20"/>
        <v>16.821300000000001</v>
      </c>
      <c r="AW110">
        <f t="shared" si="21"/>
        <v>21.134449533000002</v>
      </c>
      <c r="AX110" s="9"/>
      <c r="AY110" s="22">
        <v>0.40359499999999998</v>
      </c>
      <c r="AZ110" s="22">
        <v>296.97399999999999</v>
      </c>
      <c r="BA110" s="22">
        <v>-1.6763299999999998E-2</v>
      </c>
      <c r="BB110" s="22">
        <v>100</v>
      </c>
      <c r="BC110" s="22">
        <v>0.40304600000000002</v>
      </c>
      <c r="BD110">
        <f t="shared" si="22"/>
        <v>16.763299999999997</v>
      </c>
      <c r="BE110">
        <f t="shared" si="23"/>
        <v>6.7655840634999986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1.2513700000000001</v>
      </c>
      <c r="H111" s="22">
        <v>50.323300000000003</v>
      </c>
      <c r="I111" s="22">
        <v>-1.68396E-2</v>
      </c>
      <c r="J111" s="22">
        <v>101</v>
      </c>
      <c r="K111" s="22">
        <v>1.25031</v>
      </c>
      <c r="L111">
        <f t="shared" si="12"/>
        <v>16.839600000000001</v>
      </c>
      <c r="M111">
        <f t="shared" si="13"/>
        <v>21.072570252000002</v>
      </c>
      <c r="N111" s="9"/>
      <c r="O111" s="22">
        <v>0.40862999999999999</v>
      </c>
      <c r="P111" s="22">
        <v>99.566699999999997</v>
      </c>
      <c r="Q111" s="22">
        <v>-1.67297E-2</v>
      </c>
      <c r="R111" s="22">
        <v>101</v>
      </c>
      <c r="S111" s="22">
        <v>0.40820299999999998</v>
      </c>
      <c r="T111">
        <f t="shared" si="14"/>
        <v>16.729700000000001</v>
      </c>
      <c r="U111">
        <f t="shared" si="15"/>
        <v>6.8362573110000007</v>
      </c>
      <c r="X111" s="9"/>
      <c r="Y111" s="22">
        <v>1.2513700000000001</v>
      </c>
      <c r="Z111" s="22">
        <v>148.96899999999999</v>
      </c>
      <c r="AA111" s="22">
        <v>-1.68121E-2</v>
      </c>
      <c r="AB111" s="22">
        <v>101</v>
      </c>
      <c r="AC111" s="22">
        <v>1.25061</v>
      </c>
      <c r="AD111">
        <f t="shared" si="16"/>
        <v>16.812100000000001</v>
      </c>
      <c r="AE111">
        <f t="shared" si="17"/>
        <v>21.038157577000003</v>
      </c>
      <c r="AF111" s="9"/>
      <c r="AG111" s="22">
        <v>0.40862999999999999</v>
      </c>
      <c r="AH111" s="22">
        <v>198.33600000000001</v>
      </c>
      <c r="AI111" s="22">
        <v>-1.67175E-2</v>
      </c>
      <c r="AJ111" s="22">
        <v>101</v>
      </c>
      <c r="AK111" s="22">
        <v>0.407806</v>
      </c>
      <c r="AL111">
        <f t="shared" si="18"/>
        <v>16.717500000000001</v>
      </c>
      <c r="AM111">
        <f t="shared" si="19"/>
        <v>6.8312720250000005</v>
      </c>
      <c r="AP111" s="9"/>
      <c r="AQ111" s="22">
        <v>1.2513700000000001</v>
      </c>
      <c r="AR111" s="22">
        <v>247.61799999999999</v>
      </c>
      <c r="AS111" s="22">
        <v>-1.68243E-2</v>
      </c>
      <c r="AT111" s="22">
        <v>101</v>
      </c>
      <c r="AU111" s="22">
        <v>1.25031</v>
      </c>
      <c r="AV111">
        <f t="shared" si="20"/>
        <v>16.824300000000001</v>
      </c>
      <c r="AW111">
        <f t="shared" si="21"/>
        <v>21.053424291000002</v>
      </c>
      <c r="AX111" s="9"/>
      <c r="AY111" s="22">
        <v>0.40862999999999999</v>
      </c>
      <c r="AZ111" s="22">
        <v>296.98399999999998</v>
      </c>
      <c r="BA111" s="22">
        <v>-1.6760299999999999E-2</v>
      </c>
      <c r="BB111" s="22">
        <v>101</v>
      </c>
      <c r="BC111" s="22">
        <v>0.40817300000000001</v>
      </c>
      <c r="BD111">
        <f t="shared" si="22"/>
        <v>16.760299999999997</v>
      </c>
      <c r="BE111">
        <f t="shared" si="23"/>
        <v>6.848761388999999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1.24634</v>
      </c>
      <c r="H112" s="22">
        <v>50.333399999999997</v>
      </c>
      <c r="I112" s="22">
        <v>-1.6842699999999999E-2</v>
      </c>
      <c r="J112" s="22">
        <v>102</v>
      </c>
      <c r="K112" s="22">
        <v>1.24512</v>
      </c>
      <c r="L112">
        <f t="shared" si="12"/>
        <v>16.842699999999997</v>
      </c>
      <c r="M112">
        <f t="shared" si="13"/>
        <v>20.991730717999996</v>
      </c>
      <c r="N112" s="9"/>
      <c r="O112" s="22">
        <v>0.41366599999999998</v>
      </c>
      <c r="P112" s="22">
        <v>99.576800000000006</v>
      </c>
      <c r="Q112" s="22">
        <v>-1.67297E-2</v>
      </c>
      <c r="R112" s="22">
        <v>102</v>
      </c>
      <c r="S112" s="22">
        <v>0.412354</v>
      </c>
      <c r="T112">
        <f t="shared" si="14"/>
        <v>16.729700000000001</v>
      </c>
      <c r="U112">
        <f t="shared" si="15"/>
        <v>6.9205080802000003</v>
      </c>
      <c r="X112" s="9"/>
      <c r="Y112" s="22">
        <v>1.24634</v>
      </c>
      <c r="Z112" s="22">
        <v>148.97900000000001</v>
      </c>
      <c r="AA112" s="22">
        <v>-1.6815199999999999E-2</v>
      </c>
      <c r="AB112" s="22">
        <v>102</v>
      </c>
      <c r="AC112" s="22">
        <v>1.24573</v>
      </c>
      <c r="AD112">
        <f t="shared" si="16"/>
        <v>16.815199999999997</v>
      </c>
      <c r="AE112">
        <f t="shared" si="17"/>
        <v>20.957456367999995</v>
      </c>
      <c r="AF112" s="9"/>
      <c r="AG112" s="22">
        <v>0.41366599999999998</v>
      </c>
      <c r="AH112" s="22">
        <v>198.346</v>
      </c>
      <c r="AI112" s="22">
        <v>-1.6711400000000001E-2</v>
      </c>
      <c r="AJ112" s="22">
        <v>102</v>
      </c>
      <c r="AK112" s="22">
        <v>0.41314699999999999</v>
      </c>
      <c r="AL112">
        <f t="shared" si="18"/>
        <v>16.711400000000001</v>
      </c>
      <c r="AM112">
        <f t="shared" si="19"/>
        <v>6.9129379923999998</v>
      </c>
      <c r="AP112" s="9"/>
      <c r="AQ112" s="22">
        <v>1.24634</v>
      </c>
      <c r="AR112" s="22">
        <v>247.62799999999999</v>
      </c>
      <c r="AS112" s="22">
        <v>-1.6830399999999999E-2</v>
      </c>
      <c r="AT112" s="22">
        <v>102</v>
      </c>
      <c r="AU112" s="22">
        <v>1.24512</v>
      </c>
      <c r="AV112">
        <f t="shared" si="20"/>
        <v>16.830399999999997</v>
      </c>
      <c r="AW112">
        <f t="shared" si="21"/>
        <v>20.976400735999995</v>
      </c>
      <c r="AX112" s="9"/>
      <c r="AY112" s="22">
        <v>0.41366599999999998</v>
      </c>
      <c r="AZ112" s="22">
        <v>296.995</v>
      </c>
      <c r="BA112" s="22">
        <v>-1.67572E-2</v>
      </c>
      <c r="BB112" s="22">
        <v>102</v>
      </c>
      <c r="BC112" s="22">
        <v>0.41384900000000002</v>
      </c>
      <c r="BD112">
        <f t="shared" si="22"/>
        <v>16.757200000000001</v>
      </c>
      <c r="BE112">
        <f t="shared" si="23"/>
        <v>6.9318838952000004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1.2413000000000001</v>
      </c>
      <c r="H113" s="22">
        <v>50.343499999999999</v>
      </c>
      <c r="I113" s="22">
        <v>-1.6845700000000002E-2</v>
      </c>
      <c r="J113" s="22">
        <v>103</v>
      </c>
      <c r="K113" s="22">
        <v>1.2408399999999999</v>
      </c>
      <c r="L113">
        <f t="shared" si="12"/>
        <v>16.845700000000001</v>
      </c>
      <c r="M113">
        <f t="shared" si="13"/>
        <v>20.910567410000002</v>
      </c>
      <c r="N113" s="9"/>
      <c r="O113" s="22">
        <v>0.41870099999999999</v>
      </c>
      <c r="P113" s="22">
        <v>99.5869</v>
      </c>
      <c r="Q113" s="22">
        <v>-1.6726700000000001E-2</v>
      </c>
      <c r="R113" s="22">
        <v>103</v>
      </c>
      <c r="S113" s="22">
        <v>0.418213</v>
      </c>
      <c r="T113">
        <f t="shared" si="14"/>
        <v>16.726700000000001</v>
      </c>
      <c r="U113">
        <f t="shared" si="15"/>
        <v>7.0034860167000001</v>
      </c>
      <c r="X113" s="9"/>
      <c r="Y113" s="22">
        <v>1.2413000000000001</v>
      </c>
      <c r="Z113" s="22">
        <v>148.989</v>
      </c>
      <c r="AA113" s="22">
        <v>-1.6815199999999999E-2</v>
      </c>
      <c r="AB113" s="22">
        <v>103</v>
      </c>
      <c r="AC113" s="22">
        <v>1.24054</v>
      </c>
      <c r="AD113">
        <f t="shared" si="16"/>
        <v>16.815199999999997</v>
      </c>
      <c r="AE113">
        <f t="shared" si="17"/>
        <v>20.872707759999997</v>
      </c>
      <c r="AF113" s="9"/>
      <c r="AG113" s="22">
        <v>0.41870099999999999</v>
      </c>
      <c r="AH113" s="22">
        <v>198.35599999999999</v>
      </c>
      <c r="AI113" s="22">
        <v>-1.6705299999999999E-2</v>
      </c>
      <c r="AJ113" s="22">
        <v>103</v>
      </c>
      <c r="AK113" s="22">
        <v>0.417908</v>
      </c>
      <c r="AL113">
        <f t="shared" si="18"/>
        <v>16.705299999999998</v>
      </c>
      <c r="AM113">
        <f t="shared" si="19"/>
        <v>6.9945258152999985</v>
      </c>
      <c r="AP113" s="9"/>
      <c r="AQ113" s="22">
        <v>1.2413000000000001</v>
      </c>
      <c r="AR113" s="22">
        <v>247.63800000000001</v>
      </c>
      <c r="AS113" s="22">
        <v>-1.6833500000000001E-2</v>
      </c>
      <c r="AT113" s="22">
        <v>103</v>
      </c>
      <c r="AU113" s="22">
        <v>1.24054</v>
      </c>
      <c r="AV113">
        <f t="shared" si="20"/>
        <v>16.833500000000001</v>
      </c>
      <c r="AW113">
        <f t="shared" si="21"/>
        <v>20.895423550000004</v>
      </c>
      <c r="AX113" s="9"/>
      <c r="AY113" s="22">
        <v>0.41870099999999999</v>
      </c>
      <c r="AZ113" s="22">
        <v>297.005</v>
      </c>
      <c r="BA113" s="22">
        <v>-1.6751100000000001E-2</v>
      </c>
      <c r="BB113" s="22">
        <v>103</v>
      </c>
      <c r="BC113" s="22">
        <v>0.41827399999999998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1.23627</v>
      </c>
      <c r="H114" s="22">
        <v>50.353499999999997</v>
      </c>
      <c r="I114" s="22">
        <v>-1.6848800000000001E-2</v>
      </c>
      <c r="J114" s="22">
        <v>104</v>
      </c>
      <c r="K114" s="22">
        <v>1.2353499999999999</v>
      </c>
      <c r="L114">
        <f t="shared" si="12"/>
        <v>16.848800000000001</v>
      </c>
      <c r="M114">
        <f t="shared" si="13"/>
        <v>20.829665976000001</v>
      </c>
      <c r="N114" s="9"/>
      <c r="O114" s="22">
        <v>0.42373699999999997</v>
      </c>
      <c r="P114" s="22">
        <v>99.596900000000005</v>
      </c>
      <c r="Q114" s="22">
        <v>-1.6726700000000001E-2</v>
      </c>
      <c r="R114" s="22">
        <v>104</v>
      </c>
      <c r="S114" s="22">
        <v>0.42309600000000003</v>
      </c>
      <c r="T114">
        <f t="shared" si="14"/>
        <v>16.726700000000001</v>
      </c>
      <c r="U114">
        <f t="shared" si="15"/>
        <v>7.0877216779000003</v>
      </c>
      <c r="X114" s="9"/>
      <c r="Y114" s="22">
        <v>1.23627</v>
      </c>
      <c r="Z114" s="22">
        <v>148.999</v>
      </c>
      <c r="AA114" s="22">
        <v>-1.6818199999999998E-2</v>
      </c>
      <c r="AB114" s="22">
        <v>104</v>
      </c>
      <c r="AC114" s="22">
        <v>1.2353499999999999</v>
      </c>
      <c r="AD114">
        <f t="shared" si="16"/>
        <v>16.818199999999997</v>
      </c>
      <c r="AE114">
        <f t="shared" si="17"/>
        <v>20.791836113999995</v>
      </c>
      <c r="AF114" s="9"/>
      <c r="AG114" s="22">
        <v>0.42373699999999997</v>
      </c>
      <c r="AH114" s="22">
        <v>198.36600000000001</v>
      </c>
      <c r="AI114" s="22">
        <v>-1.6705299999999999E-2</v>
      </c>
      <c r="AJ114" s="22">
        <v>104</v>
      </c>
      <c r="AK114" s="22">
        <v>0.42330899999999999</v>
      </c>
      <c r="AL114">
        <f t="shared" si="18"/>
        <v>16.705299999999998</v>
      </c>
      <c r="AM114">
        <f t="shared" si="19"/>
        <v>7.078653706099999</v>
      </c>
      <c r="AP114" s="9"/>
      <c r="AQ114" s="22">
        <v>1.23627</v>
      </c>
      <c r="AR114" s="22">
        <v>247.648</v>
      </c>
      <c r="AS114" s="22">
        <v>-1.6836500000000001E-2</v>
      </c>
      <c r="AT114" s="22">
        <v>104</v>
      </c>
      <c r="AU114" s="22">
        <v>1.2353499999999999</v>
      </c>
      <c r="AV114">
        <f t="shared" si="20"/>
        <v>16.836500000000001</v>
      </c>
      <c r="AW114">
        <f t="shared" si="21"/>
        <v>20.814459854999999</v>
      </c>
      <c r="AX114" s="9"/>
      <c r="AY114" s="22">
        <v>0.42373699999999997</v>
      </c>
      <c r="AZ114" s="22">
        <v>297.01499999999999</v>
      </c>
      <c r="BA114" s="22">
        <v>-1.6751100000000001E-2</v>
      </c>
      <c r="BB114" s="22">
        <v>104</v>
      </c>
      <c r="BC114" s="22">
        <v>0.42333999999999999</v>
      </c>
      <c r="BD114">
        <f t="shared" si="22"/>
        <v>16.751100000000001</v>
      </c>
      <c r="BE114">
        <f t="shared" si="23"/>
        <v>7.0980608607000004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1.23123</v>
      </c>
      <c r="H115" s="22">
        <v>50.363599999999998</v>
      </c>
      <c r="I115" s="22">
        <v>-1.68518E-2</v>
      </c>
      <c r="J115" s="22">
        <v>105</v>
      </c>
      <c r="K115" s="22">
        <v>1.23047</v>
      </c>
      <c r="L115">
        <f t="shared" si="12"/>
        <v>16.851800000000001</v>
      </c>
      <c r="M115">
        <f t="shared" si="13"/>
        <v>20.748441714000002</v>
      </c>
      <c r="N115" s="9"/>
      <c r="O115" s="22">
        <v>0.42877199999999999</v>
      </c>
      <c r="P115" s="22">
        <v>99.606999999999999</v>
      </c>
      <c r="Q115" s="22">
        <v>-1.67175E-2</v>
      </c>
      <c r="R115" s="22">
        <v>105</v>
      </c>
      <c r="S115" s="22">
        <v>0.42861900000000003</v>
      </c>
      <c r="T115">
        <f t="shared" si="14"/>
        <v>16.717500000000001</v>
      </c>
      <c r="U115">
        <f t="shared" si="15"/>
        <v>7.1679959100000001</v>
      </c>
      <c r="X115" s="9"/>
      <c r="Y115" s="22">
        <v>1.23123</v>
      </c>
      <c r="Z115" s="22">
        <v>149.00899999999999</v>
      </c>
      <c r="AA115" s="22">
        <v>-1.6821300000000001E-2</v>
      </c>
      <c r="AB115" s="22">
        <v>105</v>
      </c>
      <c r="AC115" s="22">
        <v>1.23047</v>
      </c>
      <c r="AD115">
        <f t="shared" si="16"/>
        <v>16.821300000000001</v>
      </c>
      <c r="AE115">
        <f t="shared" si="17"/>
        <v>20.710889199</v>
      </c>
      <c r="AF115" s="9"/>
      <c r="AG115" s="22">
        <v>0.42877199999999999</v>
      </c>
      <c r="AH115" s="22">
        <v>198.376</v>
      </c>
      <c r="AI115" s="22">
        <v>-1.6699200000000001E-2</v>
      </c>
      <c r="AJ115" s="22">
        <v>105</v>
      </c>
      <c r="AK115" s="22">
        <v>0.42779499999999998</v>
      </c>
      <c r="AL115">
        <f t="shared" si="18"/>
        <v>16.699200000000001</v>
      </c>
      <c r="AM115">
        <f t="shared" si="19"/>
        <v>7.1601493824000002</v>
      </c>
      <c r="AP115" s="9"/>
      <c r="AQ115" s="22">
        <v>1.23123</v>
      </c>
      <c r="AR115" s="22">
        <v>247.65799999999999</v>
      </c>
      <c r="AS115" s="22">
        <v>-1.6845700000000002E-2</v>
      </c>
      <c r="AT115" s="22">
        <v>105</v>
      </c>
      <c r="AU115" s="22">
        <v>1.2301599999999999</v>
      </c>
      <c r="AV115">
        <f t="shared" si="20"/>
        <v>16.845700000000001</v>
      </c>
      <c r="AW115">
        <f t="shared" si="21"/>
        <v>20.740931211000003</v>
      </c>
      <c r="AX115" s="9"/>
      <c r="AY115" s="22">
        <v>0.42877199999999999</v>
      </c>
      <c r="AZ115" s="22">
        <v>297.02499999999998</v>
      </c>
      <c r="BA115" s="22">
        <v>-1.6741900000000001E-2</v>
      </c>
      <c r="BB115" s="22">
        <v>105</v>
      </c>
      <c r="BC115" s="22">
        <v>0.42874099999999998</v>
      </c>
      <c r="BD115">
        <f t="shared" si="22"/>
        <v>16.741900000000001</v>
      </c>
      <c r="BE115">
        <f t="shared" si="23"/>
        <v>7.1784579468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1.2262</v>
      </c>
      <c r="H116" s="22">
        <v>50.373699999999999</v>
      </c>
      <c r="I116" s="22">
        <v>-1.6854899999999999E-2</v>
      </c>
      <c r="J116" s="22">
        <v>106</v>
      </c>
      <c r="K116" s="22">
        <v>1.22498</v>
      </c>
      <c r="L116">
        <f t="shared" si="12"/>
        <v>16.854900000000001</v>
      </c>
      <c r="M116">
        <f t="shared" si="13"/>
        <v>20.667478379999999</v>
      </c>
      <c r="N116" s="9"/>
      <c r="O116" s="22">
        <v>0.433807</v>
      </c>
      <c r="P116" s="22">
        <v>99.617099999999994</v>
      </c>
      <c r="Q116" s="22">
        <v>-1.67145E-2</v>
      </c>
      <c r="R116" s="22">
        <v>106</v>
      </c>
      <c r="S116" s="22">
        <v>0.43313600000000002</v>
      </c>
      <c r="T116">
        <f t="shared" si="14"/>
        <v>16.714500000000001</v>
      </c>
      <c r="U116">
        <f t="shared" si="15"/>
        <v>7.2508671015000008</v>
      </c>
      <c r="X116" s="9"/>
      <c r="Y116" s="22">
        <v>1.2262</v>
      </c>
      <c r="Z116" s="22">
        <v>149.02000000000001</v>
      </c>
      <c r="AA116" s="22">
        <v>-1.68243E-2</v>
      </c>
      <c r="AB116" s="22">
        <v>106</v>
      </c>
      <c r="AC116" s="22">
        <v>1.2246699999999999</v>
      </c>
      <c r="AD116">
        <f t="shared" si="16"/>
        <v>16.824300000000001</v>
      </c>
      <c r="AE116">
        <f t="shared" si="17"/>
        <v>20.629956660000001</v>
      </c>
      <c r="AF116" s="9"/>
      <c r="AG116" s="22">
        <v>0.433807</v>
      </c>
      <c r="AH116" s="22">
        <v>198.386</v>
      </c>
      <c r="AI116" s="22">
        <v>-1.6696200000000001E-2</v>
      </c>
      <c r="AJ116" s="22">
        <v>106</v>
      </c>
      <c r="AK116" s="22">
        <v>0.433228</v>
      </c>
      <c r="AL116">
        <f t="shared" si="18"/>
        <v>16.696200000000001</v>
      </c>
      <c r="AM116">
        <f t="shared" si="19"/>
        <v>7.2429284334000004</v>
      </c>
      <c r="AP116" s="9"/>
      <c r="AQ116" s="22">
        <v>1.2262</v>
      </c>
      <c r="AR116" s="22">
        <v>247.66800000000001</v>
      </c>
      <c r="AS116" s="22">
        <v>-1.68518E-2</v>
      </c>
      <c r="AT116" s="22">
        <v>106</v>
      </c>
      <c r="AU116" s="22">
        <v>1.2258899999999999</v>
      </c>
      <c r="AV116">
        <f t="shared" si="20"/>
        <v>16.851800000000001</v>
      </c>
      <c r="AW116">
        <f t="shared" si="21"/>
        <v>20.663677159999999</v>
      </c>
      <c r="AX116" s="9"/>
      <c r="AY116" s="22">
        <v>0.433807</v>
      </c>
      <c r="AZ116" s="22">
        <v>297.03500000000003</v>
      </c>
      <c r="BA116" s="22">
        <v>-1.6738900000000001E-2</v>
      </c>
      <c r="BB116" s="22">
        <v>106</v>
      </c>
      <c r="BC116" s="22">
        <v>0.43331900000000001</v>
      </c>
      <c r="BD116">
        <f t="shared" si="22"/>
        <v>16.738900000000001</v>
      </c>
      <c r="BE116">
        <f t="shared" si="23"/>
        <v>7.2614519923000005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1.22116</v>
      </c>
      <c r="H117" s="22">
        <v>50.383699999999997</v>
      </c>
      <c r="I117" s="22">
        <v>-1.6861000000000001E-2</v>
      </c>
      <c r="J117" s="22">
        <v>107</v>
      </c>
      <c r="K117" s="22">
        <v>1.2200899999999999</v>
      </c>
      <c r="L117">
        <f t="shared" si="12"/>
        <v>16.861000000000001</v>
      </c>
      <c r="M117">
        <f t="shared" si="13"/>
        <v>20.589978760000001</v>
      </c>
      <c r="N117" s="9"/>
      <c r="O117" s="22">
        <v>0.43884299999999998</v>
      </c>
      <c r="P117" s="22">
        <v>99.627200000000002</v>
      </c>
      <c r="Q117" s="22">
        <v>-1.6705299999999999E-2</v>
      </c>
      <c r="R117" s="22">
        <v>107</v>
      </c>
      <c r="S117" s="22">
        <v>0.43841599999999997</v>
      </c>
      <c r="T117">
        <f t="shared" si="14"/>
        <v>16.705299999999998</v>
      </c>
      <c r="U117">
        <f t="shared" si="15"/>
        <v>7.3310039678999983</v>
      </c>
      <c r="X117" s="9"/>
      <c r="Y117" s="22">
        <v>1.22116</v>
      </c>
      <c r="Z117" s="22">
        <v>149.03</v>
      </c>
      <c r="AA117" s="22">
        <v>-1.6827399999999999E-2</v>
      </c>
      <c r="AB117" s="22">
        <v>107</v>
      </c>
      <c r="AC117" s="22">
        <v>1.2203999999999999</v>
      </c>
      <c r="AD117">
        <f t="shared" si="16"/>
        <v>16.827400000000001</v>
      </c>
      <c r="AE117">
        <f t="shared" si="17"/>
        <v>20.548947784000003</v>
      </c>
      <c r="AF117" s="9"/>
      <c r="AG117" s="22">
        <v>0.43884299999999998</v>
      </c>
      <c r="AH117" s="22">
        <v>198.39599999999999</v>
      </c>
      <c r="AI117" s="22">
        <v>-1.6696200000000001E-2</v>
      </c>
      <c r="AJ117" s="22">
        <v>107</v>
      </c>
      <c r="AK117" s="22">
        <v>0.43890400000000002</v>
      </c>
      <c r="AL117">
        <f t="shared" si="18"/>
        <v>16.696200000000001</v>
      </c>
      <c r="AM117">
        <f t="shared" si="19"/>
        <v>7.3270104965999998</v>
      </c>
      <c r="AP117" s="9"/>
      <c r="AQ117" s="22">
        <v>1.22116</v>
      </c>
      <c r="AR117" s="22">
        <v>247.678</v>
      </c>
      <c r="AS117" s="22">
        <v>-1.6854899999999999E-2</v>
      </c>
      <c r="AT117" s="22">
        <v>107</v>
      </c>
      <c r="AU117" s="22">
        <v>1.2203999999999999</v>
      </c>
      <c r="AV117">
        <f t="shared" si="20"/>
        <v>16.854900000000001</v>
      </c>
      <c r="AW117">
        <f t="shared" si="21"/>
        <v>20.582529684000001</v>
      </c>
      <c r="AX117" s="9"/>
      <c r="AY117" s="22">
        <v>0.43884299999999998</v>
      </c>
      <c r="AZ117" s="22">
        <v>297.04500000000002</v>
      </c>
      <c r="BA117" s="22">
        <v>-1.6735799999999999E-2</v>
      </c>
      <c r="BB117" s="22">
        <v>107</v>
      </c>
      <c r="BC117" s="22">
        <v>0.43835400000000002</v>
      </c>
      <c r="BD117">
        <f t="shared" si="22"/>
        <v>16.735799999999998</v>
      </c>
      <c r="BE117">
        <f t="shared" si="23"/>
        <v>7.3443886793999988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1.2161299999999999</v>
      </c>
      <c r="H118" s="22">
        <v>50.393799999999999</v>
      </c>
      <c r="I118" s="22">
        <v>-1.6870099999999999E-2</v>
      </c>
      <c r="J118" s="22">
        <v>108</v>
      </c>
      <c r="K118" s="22">
        <v>1.2149000000000001</v>
      </c>
      <c r="L118">
        <f t="shared" si="12"/>
        <v>16.870100000000001</v>
      </c>
      <c r="M118">
        <f t="shared" si="13"/>
        <v>20.516234712999999</v>
      </c>
      <c r="N118" s="9"/>
      <c r="O118" s="22">
        <v>0.44387799999999999</v>
      </c>
      <c r="P118" s="22">
        <v>99.637200000000007</v>
      </c>
      <c r="Q118" s="22">
        <v>-1.67023E-2</v>
      </c>
      <c r="R118" s="22">
        <v>108</v>
      </c>
      <c r="S118" s="22">
        <v>0.443359</v>
      </c>
      <c r="T118">
        <f t="shared" si="14"/>
        <v>16.702300000000001</v>
      </c>
      <c r="U118">
        <f t="shared" si="15"/>
        <v>7.4137835194000008</v>
      </c>
      <c r="X118" s="9"/>
      <c r="Y118" s="22">
        <v>1.2161299999999999</v>
      </c>
      <c r="Z118" s="22">
        <v>149.04</v>
      </c>
      <c r="AA118" s="22">
        <v>-1.6830399999999999E-2</v>
      </c>
      <c r="AB118" s="22">
        <v>108</v>
      </c>
      <c r="AC118" s="22">
        <v>1.2158199999999999</v>
      </c>
      <c r="AD118">
        <f t="shared" si="16"/>
        <v>16.830399999999997</v>
      </c>
      <c r="AE118">
        <f t="shared" si="17"/>
        <v>20.467954351999996</v>
      </c>
      <c r="AF118" s="9"/>
      <c r="AG118" s="22">
        <v>0.44387799999999999</v>
      </c>
      <c r="AH118" s="22">
        <v>198.40600000000001</v>
      </c>
      <c r="AI118" s="22">
        <v>-1.6693099999999999E-2</v>
      </c>
      <c r="AJ118" s="22">
        <v>108</v>
      </c>
      <c r="AK118" s="22">
        <v>0.442749</v>
      </c>
      <c r="AL118">
        <f t="shared" si="18"/>
        <v>16.693099999999998</v>
      </c>
      <c r="AM118">
        <f t="shared" si="19"/>
        <v>7.4096998417999984</v>
      </c>
      <c r="AP118" s="9"/>
      <c r="AQ118" s="22">
        <v>1.2161299999999999</v>
      </c>
      <c r="AR118" s="22">
        <v>247.68899999999999</v>
      </c>
      <c r="AS118" s="22">
        <v>-1.68518E-2</v>
      </c>
      <c r="AT118" s="22">
        <v>108</v>
      </c>
      <c r="AU118" s="22">
        <v>1.2149000000000001</v>
      </c>
      <c r="AV118">
        <f t="shared" si="20"/>
        <v>16.851800000000001</v>
      </c>
      <c r="AW118">
        <f t="shared" si="21"/>
        <v>20.493979534000001</v>
      </c>
      <c r="AX118" s="9"/>
      <c r="AY118" s="22">
        <v>0.44387799999999999</v>
      </c>
      <c r="AZ118" s="22">
        <v>297.05500000000001</v>
      </c>
      <c r="BA118" s="22">
        <v>-1.67297E-2</v>
      </c>
      <c r="BB118" s="22">
        <v>108</v>
      </c>
      <c r="BC118" s="22">
        <v>0.44409199999999999</v>
      </c>
      <c r="BD118">
        <f t="shared" si="22"/>
        <v>16.729700000000001</v>
      </c>
      <c r="BE118">
        <f t="shared" si="23"/>
        <v>7.4259457766000008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1.21109</v>
      </c>
      <c r="H119" s="22">
        <v>50.4039</v>
      </c>
      <c r="I119" s="22">
        <v>-1.6876200000000001E-2</v>
      </c>
      <c r="J119" s="22">
        <v>109</v>
      </c>
      <c r="K119" s="22">
        <v>1.2100200000000001</v>
      </c>
      <c r="L119">
        <f t="shared" si="12"/>
        <v>16.876200000000001</v>
      </c>
      <c r="M119">
        <f t="shared" si="13"/>
        <v>20.438597057999999</v>
      </c>
      <c r="N119" s="9"/>
      <c r="O119" s="22">
        <v>0.44891399999999998</v>
      </c>
      <c r="P119" s="22">
        <v>99.647300000000001</v>
      </c>
      <c r="Q119" s="22">
        <v>-1.67023E-2</v>
      </c>
      <c r="R119" s="22">
        <v>109</v>
      </c>
      <c r="S119" s="22">
        <v>0.44839499999999999</v>
      </c>
      <c r="T119">
        <f t="shared" si="14"/>
        <v>16.702300000000001</v>
      </c>
      <c r="U119">
        <f t="shared" si="15"/>
        <v>7.4978963022</v>
      </c>
      <c r="X119" s="9"/>
      <c r="Y119" s="22">
        <v>1.21109</v>
      </c>
      <c r="Z119" s="22">
        <v>149.05000000000001</v>
      </c>
      <c r="AA119" s="22">
        <v>-1.6833500000000001E-2</v>
      </c>
      <c r="AB119" s="22">
        <v>109</v>
      </c>
      <c r="AC119" s="22">
        <v>1.2100200000000001</v>
      </c>
      <c r="AD119">
        <f t="shared" si="16"/>
        <v>16.833500000000001</v>
      </c>
      <c r="AE119">
        <f t="shared" si="17"/>
        <v>20.386883515000001</v>
      </c>
      <c r="AF119" s="9"/>
      <c r="AG119" s="22">
        <v>0.44891399999999998</v>
      </c>
      <c r="AH119" s="22">
        <v>198.416</v>
      </c>
      <c r="AI119" s="22">
        <v>-1.6690099999999999E-2</v>
      </c>
      <c r="AJ119" s="22">
        <v>109</v>
      </c>
      <c r="AK119" s="22">
        <v>0.44751000000000002</v>
      </c>
      <c r="AL119">
        <f t="shared" si="18"/>
        <v>16.690100000000001</v>
      </c>
      <c r="AM119">
        <f t="shared" si="19"/>
        <v>7.4924195514000003</v>
      </c>
      <c r="AP119" s="9"/>
      <c r="AQ119" s="22">
        <v>1.21109</v>
      </c>
      <c r="AR119" s="22">
        <v>247.69900000000001</v>
      </c>
      <c r="AS119" s="22">
        <v>-1.6854899999999999E-2</v>
      </c>
      <c r="AT119" s="22">
        <v>109</v>
      </c>
      <c r="AU119" s="22">
        <v>1.2097199999999999</v>
      </c>
      <c r="AV119">
        <f t="shared" si="20"/>
        <v>16.854900000000001</v>
      </c>
      <c r="AW119">
        <f t="shared" si="21"/>
        <v>20.412800840999999</v>
      </c>
      <c r="AX119" s="9"/>
      <c r="AY119" s="22">
        <v>0.44891399999999998</v>
      </c>
      <c r="AZ119" s="22">
        <v>297.065</v>
      </c>
      <c r="BA119" s="22">
        <v>-1.6723600000000002E-2</v>
      </c>
      <c r="BB119" s="22">
        <v>109</v>
      </c>
      <c r="BC119" s="22">
        <v>0.44793699999999997</v>
      </c>
      <c r="BD119">
        <f t="shared" si="22"/>
        <v>16.723600000000001</v>
      </c>
      <c r="BE119">
        <f t="shared" si="23"/>
        <v>7.5074581704000005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1.2060500000000001</v>
      </c>
      <c r="H120" s="22">
        <v>50.414000000000001</v>
      </c>
      <c r="I120" s="22">
        <v>-1.68793E-2</v>
      </c>
      <c r="J120" s="22">
        <v>110</v>
      </c>
      <c r="K120" s="22">
        <v>1.2042200000000001</v>
      </c>
      <c r="L120">
        <f t="shared" si="12"/>
        <v>16.879300000000001</v>
      </c>
      <c r="M120">
        <f t="shared" si="13"/>
        <v>20.357279765000001</v>
      </c>
      <c r="N120" s="9"/>
      <c r="O120" s="22">
        <v>0.45394899999999999</v>
      </c>
      <c r="P120" s="22">
        <v>99.657399999999996</v>
      </c>
      <c r="Q120" s="22">
        <v>-1.6696200000000001E-2</v>
      </c>
      <c r="R120" s="22">
        <v>110</v>
      </c>
      <c r="S120" s="22">
        <v>0.45297199999999999</v>
      </c>
      <c r="T120">
        <f t="shared" si="14"/>
        <v>16.696200000000001</v>
      </c>
      <c r="U120">
        <f t="shared" si="15"/>
        <v>7.5792232938000001</v>
      </c>
      <c r="X120" s="9"/>
      <c r="Y120" s="22">
        <v>1.2060500000000001</v>
      </c>
      <c r="Z120" s="22">
        <v>149.06</v>
      </c>
      <c r="AA120" s="22">
        <v>-1.68396E-2</v>
      </c>
      <c r="AB120" s="22">
        <v>110</v>
      </c>
      <c r="AC120" s="22">
        <v>1.2054400000000001</v>
      </c>
      <c r="AD120">
        <f t="shared" si="16"/>
        <v>16.839600000000001</v>
      </c>
      <c r="AE120">
        <f t="shared" si="17"/>
        <v>20.309399580000001</v>
      </c>
      <c r="AF120" s="9"/>
      <c r="AG120" s="22">
        <v>0.45394899999999999</v>
      </c>
      <c r="AH120" s="22">
        <v>198.42599999999999</v>
      </c>
      <c r="AI120" s="22">
        <v>-1.6687E-2</v>
      </c>
      <c r="AJ120" s="22">
        <v>110</v>
      </c>
      <c r="AK120" s="22">
        <v>0.45388800000000001</v>
      </c>
      <c r="AL120">
        <f t="shared" si="18"/>
        <v>16.687000000000001</v>
      </c>
      <c r="AM120">
        <f t="shared" si="19"/>
        <v>7.5750469630000001</v>
      </c>
      <c r="AP120" s="9"/>
      <c r="AQ120" s="22">
        <v>1.2060500000000001</v>
      </c>
      <c r="AR120" s="22">
        <v>247.709</v>
      </c>
      <c r="AS120" s="22">
        <v>-1.6854899999999999E-2</v>
      </c>
      <c r="AT120" s="22">
        <v>110</v>
      </c>
      <c r="AU120" s="22">
        <v>1.2051400000000001</v>
      </c>
      <c r="AV120">
        <f t="shared" si="20"/>
        <v>16.854900000000001</v>
      </c>
      <c r="AW120">
        <f t="shared" si="21"/>
        <v>20.327852145000001</v>
      </c>
      <c r="AX120" s="9"/>
      <c r="AY120" s="22">
        <v>0.45394899999999999</v>
      </c>
      <c r="AZ120" s="22">
        <v>297.07499999999999</v>
      </c>
      <c r="BA120" s="22">
        <v>-1.67175E-2</v>
      </c>
      <c r="BB120" s="22">
        <v>110</v>
      </c>
      <c r="BC120" s="22">
        <v>0.45340000000000003</v>
      </c>
      <c r="BD120">
        <f t="shared" si="22"/>
        <v>16.717500000000001</v>
      </c>
      <c r="BE120">
        <f t="shared" si="23"/>
        <v>7.5888924075000004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1.20102</v>
      </c>
      <c r="H121" s="22">
        <v>50.423999999999999</v>
      </c>
      <c r="I121" s="22">
        <v>-1.6885399999999998E-2</v>
      </c>
      <c r="J121" s="22">
        <v>111</v>
      </c>
      <c r="K121" s="22">
        <v>1.1996500000000001</v>
      </c>
      <c r="L121">
        <f t="shared" si="12"/>
        <v>16.885399999999997</v>
      </c>
      <c r="M121">
        <f t="shared" si="13"/>
        <v>20.279703107999996</v>
      </c>
      <c r="N121" s="9"/>
      <c r="O121" s="22">
        <v>0.458984</v>
      </c>
      <c r="P121" s="22">
        <v>99.667400000000001</v>
      </c>
      <c r="Q121" s="22">
        <v>-1.6690099999999999E-2</v>
      </c>
      <c r="R121" s="22">
        <v>111</v>
      </c>
      <c r="S121" s="22">
        <v>0.45834399999999997</v>
      </c>
      <c r="T121">
        <f t="shared" si="14"/>
        <v>16.690100000000001</v>
      </c>
      <c r="U121">
        <f t="shared" si="15"/>
        <v>7.6604888584000008</v>
      </c>
      <c r="X121" s="9"/>
      <c r="Y121" s="22">
        <v>1.20102</v>
      </c>
      <c r="Z121" s="22">
        <v>149.07</v>
      </c>
      <c r="AA121" s="22">
        <v>-1.6848800000000001E-2</v>
      </c>
      <c r="AB121" s="22">
        <v>111</v>
      </c>
      <c r="AC121" s="22">
        <v>1.1996500000000001</v>
      </c>
      <c r="AD121">
        <f t="shared" si="16"/>
        <v>16.848800000000001</v>
      </c>
      <c r="AE121">
        <f t="shared" si="17"/>
        <v>20.235745776000002</v>
      </c>
      <c r="AF121" s="9"/>
      <c r="AG121" s="22">
        <v>0.458984</v>
      </c>
      <c r="AH121" s="22">
        <v>198.43600000000001</v>
      </c>
      <c r="AI121" s="22">
        <v>-1.6680899999999999E-2</v>
      </c>
      <c r="AJ121" s="22">
        <v>111</v>
      </c>
      <c r="AK121" s="22">
        <v>0.45819100000000001</v>
      </c>
      <c r="AL121">
        <f t="shared" si="18"/>
        <v>16.680899999999998</v>
      </c>
      <c r="AM121">
        <f t="shared" si="19"/>
        <v>7.6562662055999988</v>
      </c>
      <c r="AP121" s="9"/>
      <c r="AQ121" s="22">
        <v>1.20102</v>
      </c>
      <c r="AR121" s="22">
        <v>247.71899999999999</v>
      </c>
      <c r="AS121" s="22">
        <v>-1.6861000000000001E-2</v>
      </c>
      <c r="AT121" s="22">
        <v>111</v>
      </c>
      <c r="AU121" s="22">
        <v>1.1996500000000001</v>
      </c>
      <c r="AV121">
        <f t="shared" si="20"/>
        <v>16.861000000000001</v>
      </c>
      <c r="AW121">
        <f t="shared" si="21"/>
        <v>20.250398220000001</v>
      </c>
      <c r="AX121" s="9"/>
      <c r="AY121" s="22">
        <v>0.458984</v>
      </c>
      <c r="AZ121" s="22">
        <v>297.08499999999998</v>
      </c>
      <c r="BA121" s="22">
        <v>-1.67175E-2</v>
      </c>
      <c r="BB121" s="22">
        <v>111</v>
      </c>
      <c r="BC121" s="22">
        <v>0.45758100000000002</v>
      </c>
      <c r="BD121">
        <f t="shared" si="22"/>
        <v>16.717500000000001</v>
      </c>
      <c r="BE121">
        <f t="shared" si="23"/>
        <v>7.673065020000001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1.19598</v>
      </c>
      <c r="H122" s="22">
        <v>50.434100000000001</v>
      </c>
      <c r="I122" s="22">
        <v>-1.68915E-2</v>
      </c>
      <c r="J122" s="22">
        <v>112</v>
      </c>
      <c r="K122" s="22">
        <v>1.19476</v>
      </c>
      <c r="L122">
        <f t="shared" si="12"/>
        <v>16.891500000000001</v>
      </c>
      <c r="M122">
        <f t="shared" si="13"/>
        <v>20.201896170000001</v>
      </c>
      <c r="N122" s="9"/>
      <c r="O122" s="22">
        <v>0.46401999999999999</v>
      </c>
      <c r="P122" s="22">
        <v>99.677499999999995</v>
      </c>
      <c r="Q122" s="22">
        <v>-1.6684000000000001E-2</v>
      </c>
      <c r="R122" s="22">
        <v>112</v>
      </c>
      <c r="S122" s="22">
        <v>0.46301300000000001</v>
      </c>
      <c r="T122">
        <f t="shared" si="14"/>
        <v>16.684000000000001</v>
      </c>
      <c r="U122">
        <f t="shared" si="15"/>
        <v>7.7417096800000005</v>
      </c>
      <c r="X122" s="9"/>
      <c r="Y122" s="22">
        <v>1.19598</v>
      </c>
      <c r="Z122" s="22">
        <v>149.08000000000001</v>
      </c>
      <c r="AA122" s="22">
        <v>-1.6854899999999999E-2</v>
      </c>
      <c r="AB122" s="22">
        <v>112</v>
      </c>
      <c r="AC122" s="22">
        <v>1.19537</v>
      </c>
      <c r="AD122">
        <f t="shared" si="16"/>
        <v>16.854900000000001</v>
      </c>
      <c r="AE122">
        <f t="shared" si="17"/>
        <v>20.158123302</v>
      </c>
      <c r="AF122" s="9"/>
      <c r="AG122" s="22">
        <v>0.46401999999999999</v>
      </c>
      <c r="AH122" s="22">
        <v>198.446</v>
      </c>
      <c r="AI122" s="22">
        <v>-1.6677899999999999E-2</v>
      </c>
      <c r="AJ122" s="22">
        <v>112</v>
      </c>
      <c r="AK122" s="22">
        <v>0.462891</v>
      </c>
      <c r="AL122">
        <f t="shared" si="18"/>
        <v>16.677899999999998</v>
      </c>
      <c r="AM122">
        <f t="shared" si="19"/>
        <v>7.7388791579999987</v>
      </c>
      <c r="AP122" s="9"/>
      <c r="AQ122" s="22">
        <v>1.19598</v>
      </c>
      <c r="AR122" s="22">
        <v>247.72900000000001</v>
      </c>
      <c r="AS122" s="22">
        <v>-1.6864000000000001E-2</v>
      </c>
      <c r="AT122" s="22">
        <v>112</v>
      </c>
      <c r="AU122" s="22">
        <v>1.19415</v>
      </c>
      <c r="AV122">
        <f t="shared" si="20"/>
        <v>16.864000000000001</v>
      </c>
      <c r="AW122">
        <f t="shared" si="21"/>
        <v>20.169006720000002</v>
      </c>
      <c r="AX122" s="9"/>
      <c r="AY122" s="22">
        <v>0.46401999999999999</v>
      </c>
      <c r="AZ122" s="22">
        <v>297.09500000000003</v>
      </c>
      <c r="BA122" s="22">
        <v>-1.67175E-2</v>
      </c>
      <c r="BB122" s="22">
        <v>112</v>
      </c>
      <c r="BC122" s="22">
        <v>0.46435500000000002</v>
      </c>
      <c r="BD122">
        <f t="shared" si="22"/>
        <v>16.717500000000001</v>
      </c>
      <c r="BE122">
        <f t="shared" si="23"/>
        <v>7.7572543500000002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1.19095</v>
      </c>
      <c r="H123" s="22">
        <v>50.444200000000002</v>
      </c>
      <c r="I123" s="22">
        <v>-1.68945E-2</v>
      </c>
      <c r="J123" s="22">
        <v>113</v>
      </c>
      <c r="K123" s="22">
        <v>1.1901900000000001</v>
      </c>
      <c r="L123">
        <f t="shared" si="12"/>
        <v>16.894500000000001</v>
      </c>
      <c r="M123">
        <f t="shared" si="13"/>
        <v>20.120504775000001</v>
      </c>
      <c r="N123" s="9"/>
      <c r="O123" s="22">
        <v>0.469055</v>
      </c>
      <c r="P123" s="22">
        <v>99.687600000000003</v>
      </c>
      <c r="Q123" s="22">
        <v>-1.6680899999999999E-2</v>
      </c>
      <c r="R123" s="22">
        <v>113</v>
      </c>
      <c r="S123" s="22">
        <v>0.46826200000000001</v>
      </c>
      <c r="T123">
        <f t="shared" si="14"/>
        <v>16.680899999999998</v>
      </c>
      <c r="U123">
        <f t="shared" si="15"/>
        <v>7.8242595494999989</v>
      </c>
      <c r="X123" s="9"/>
      <c r="Y123" s="22">
        <v>1.19095</v>
      </c>
      <c r="Z123" s="22">
        <v>149.09</v>
      </c>
      <c r="AA123" s="22">
        <v>-1.6861000000000001E-2</v>
      </c>
      <c r="AB123" s="22">
        <v>113</v>
      </c>
      <c r="AC123" s="22">
        <v>1.1901900000000001</v>
      </c>
      <c r="AD123">
        <f t="shared" si="16"/>
        <v>16.861000000000001</v>
      </c>
      <c r="AE123">
        <f t="shared" si="17"/>
        <v>20.080607950000001</v>
      </c>
      <c r="AF123" s="9"/>
      <c r="AG123" s="22">
        <v>0.469055</v>
      </c>
      <c r="AH123" s="22">
        <v>198.45599999999999</v>
      </c>
      <c r="AI123" s="22">
        <v>-1.6677899999999999E-2</v>
      </c>
      <c r="AJ123" s="22">
        <v>113</v>
      </c>
      <c r="AK123" s="22">
        <v>0.468414</v>
      </c>
      <c r="AL123">
        <f t="shared" si="18"/>
        <v>16.677899999999998</v>
      </c>
      <c r="AM123">
        <f t="shared" si="19"/>
        <v>7.8228523844999991</v>
      </c>
      <c r="AP123" s="9"/>
      <c r="AQ123" s="22">
        <v>1.19095</v>
      </c>
      <c r="AR123" s="22">
        <v>247.739</v>
      </c>
      <c r="AS123" s="22">
        <v>-1.6870099999999999E-2</v>
      </c>
      <c r="AT123" s="22">
        <v>113</v>
      </c>
      <c r="AU123" s="22">
        <v>1.18927</v>
      </c>
      <c r="AV123">
        <f t="shared" si="20"/>
        <v>16.870100000000001</v>
      </c>
      <c r="AW123">
        <f t="shared" si="21"/>
        <v>20.091445595</v>
      </c>
      <c r="AX123" s="9"/>
      <c r="AY123" s="22">
        <v>0.469055</v>
      </c>
      <c r="AZ123" s="22">
        <v>297.10500000000002</v>
      </c>
      <c r="BA123" s="22">
        <v>-1.67175E-2</v>
      </c>
      <c r="BB123" s="22">
        <v>113</v>
      </c>
      <c r="BC123" s="22">
        <v>0.46829199999999999</v>
      </c>
      <c r="BD123">
        <f t="shared" si="22"/>
        <v>16.717500000000001</v>
      </c>
      <c r="BE123">
        <f t="shared" si="23"/>
        <v>7.8414269625000008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1.18591</v>
      </c>
      <c r="H124" s="22">
        <v>50.4542</v>
      </c>
      <c r="I124" s="22">
        <v>-1.68945E-2</v>
      </c>
      <c r="J124" s="22">
        <v>114</v>
      </c>
      <c r="K124" s="22">
        <v>1.18469</v>
      </c>
      <c r="L124">
        <f t="shared" si="12"/>
        <v>16.894500000000001</v>
      </c>
      <c r="M124">
        <f t="shared" si="13"/>
        <v>20.035356495000002</v>
      </c>
      <c r="N124" s="9"/>
      <c r="O124" s="22">
        <v>0.47409099999999998</v>
      </c>
      <c r="P124" s="22">
        <v>99.697699999999998</v>
      </c>
      <c r="Q124" s="22">
        <v>-1.6680899999999999E-2</v>
      </c>
      <c r="R124" s="22">
        <v>114</v>
      </c>
      <c r="S124" s="22">
        <v>0.47326699999999999</v>
      </c>
      <c r="T124">
        <f t="shared" si="14"/>
        <v>16.680899999999998</v>
      </c>
      <c r="U124">
        <f t="shared" si="15"/>
        <v>7.9082645618999985</v>
      </c>
      <c r="X124" s="9"/>
      <c r="Y124" s="22">
        <v>1.18591</v>
      </c>
      <c r="Z124" s="22">
        <v>149.1</v>
      </c>
      <c r="AA124" s="22">
        <v>-1.6864000000000001E-2</v>
      </c>
      <c r="AB124" s="22">
        <v>114</v>
      </c>
      <c r="AC124" s="22">
        <v>1.1850000000000001</v>
      </c>
      <c r="AD124">
        <f t="shared" si="16"/>
        <v>16.864000000000001</v>
      </c>
      <c r="AE124">
        <f t="shared" si="17"/>
        <v>19.99918624</v>
      </c>
      <c r="AF124" s="9"/>
      <c r="AG124" s="22">
        <v>0.47409099999999998</v>
      </c>
      <c r="AH124" s="22">
        <v>198.46700000000001</v>
      </c>
      <c r="AI124" s="22">
        <v>-1.66748E-2</v>
      </c>
      <c r="AJ124" s="22">
        <v>114</v>
      </c>
      <c r="AK124" s="22">
        <v>0.47320600000000002</v>
      </c>
      <c r="AL124">
        <f t="shared" si="18"/>
        <v>16.674800000000001</v>
      </c>
      <c r="AM124">
        <f t="shared" si="19"/>
        <v>7.9053726068000003</v>
      </c>
      <c r="AP124" s="9"/>
      <c r="AQ124" s="22">
        <v>1.18591</v>
      </c>
      <c r="AR124" s="22">
        <v>247.749</v>
      </c>
      <c r="AS124" s="22">
        <v>-1.6870099999999999E-2</v>
      </c>
      <c r="AT124" s="22">
        <v>114</v>
      </c>
      <c r="AU124" s="22">
        <v>1.1850000000000001</v>
      </c>
      <c r="AV124">
        <f t="shared" si="20"/>
        <v>16.870100000000001</v>
      </c>
      <c r="AW124">
        <f t="shared" si="21"/>
        <v>20.006420291000001</v>
      </c>
      <c r="AX124" s="9"/>
      <c r="AY124" s="22">
        <v>0.47409099999999998</v>
      </c>
      <c r="AZ124" s="22">
        <v>297.11500000000001</v>
      </c>
      <c r="BA124" s="22">
        <v>-1.6711400000000001E-2</v>
      </c>
      <c r="BB124" s="22">
        <v>114</v>
      </c>
      <c r="BC124" s="22">
        <v>0.47403000000000001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1.1808799999999999</v>
      </c>
      <c r="H125" s="22">
        <v>50.464300000000001</v>
      </c>
      <c r="I125" s="22">
        <v>-1.6897599999999999E-2</v>
      </c>
      <c r="J125" s="22">
        <v>115</v>
      </c>
      <c r="K125" s="22">
        <v>1.17981</v>
      </c>
      <c r="L125">
        <f t="shared" si="12"/>
        <v>16.897599999999997</v>
      </c>
      <c r="M125">
        <f t="shared" si="13"/>
        <v>19.954037887999995</v>
      </c>
      <c r="N125" s="9"/>
      <c r="O125" s="22">
        <v>0.479126</v>
      </c>
      <c r="P125" s="22">
        <v>99.707700000000003</v>
      </c>
      <c r="Q125" s="22">
        <v>-1.66748E-2</v>
      </c>
      <c r="R125" s="22">
        <v>115</v>
      </c>
      <c r="S125" s="22">
        <v>0.47848499999999999</v>
      </c>
      <c r="T125">
        <f t="shared" si="14"/>
        <v>16.674800000000001</v>
      </c>
      <c r="U125">
        <f t="shared" si="15"/>
        <v>7.9893302248000007</v>
      </c>
      <c r="X125" s="9"/>
      <c r="Y125" s="22">
        <v>1.1808799999999999</v>
      </c>
      <c r="Z125" s="22">
        <v>149.11000000000001</v>
      </c>
      <c r="AA125" s="22">
        <v>-1.6873200000000001E-2</v>
      </c>
      <c r="AB125" s="22">
        <v>115</v>
      </c>
      <c r="AC125" s="22">
        <v>1.1795</v>
      </c>
      <c r="AD125">
        <f t="shared" si="16"/>
        <v>16.873200000000001</v>
      </c>
      <c r="AE125">
        <f t="shared" si="17"/>
        <v>19.925224415999999</v>
      </c>
      <c r="AF125" s="9"/>
      <c r="AG125" s="22">
        <v>0.479126</v>
      </c>
      <c r="AH125" s="22">
        <v>198.477</v>
      </c>
      <c r="AI125" s="22">
        <v>-1.6668700000000002E-2</v>
      </c>
      <c r="AJ125" s="22">
        <v>115</v>
      </c>
      <c r="AK125" s="22">
        <v>0.478302</v>
      </c>
      <c r="AL125">
        <f t="shared" si="18"/>
        <v>16.668700000000001</v>
      </c>
      <c r="AM125">
        <f t="shared" si="19"/>
        <v>7.9864075562000005</v>
      </c>
      <c r="AP125" s="9"/>
      <c r="AQ125" s="22">
        <v>1.1808799999999999</v>
      </c>
      <c r="AR125" s="22">
        <v>247.75899999999999</v>
      </c>
      <c r="AS125" s="22">
        <v>-1.6876200000000001E-2</v>
      </c>
      <c r="AT125" s="22">
        <v>115</v>
      </c>
      <c r="AU125" s="22">
        <v>1.1795</v>
      </c>
      <c r="AV125">
        <f t="shared" si="20"/>
        <v>16.876200000000001</v>
      </c>
      <c r="AW125">
        <f t="shared" si="21"/>
        <v>19.928767055999998</v>
      </c>
      <c r="AX125" s="9"/>
      <c r="AY125" s="22">
        <v>0.479126</v>
      </c>
      <c r="AZ125" s="22">
        <v>297.125</v>
      </c>
      <c r="BA125" s="22">
        <v>-1.6705299999999999E-2</v>
      </c>
      <c r="BB125" s="22">
        <v>115</v>
      </c>
      <c r="BC125" s="22">
        <v>0.477966</v>
      </c>
      <c r="BD125">
        <f t="shared" si="22"/>
        <v>16.705299999999998</v>
      </c>
      <c r="BE125">
        <f t="shared" si="23"/>
        <v>8.0039435677999986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1.17584</v>
      </c>
      <c r="H126" s="22">
        <v>50.474400000000003</v>
      </c>
      <c r="I126" s="22">
        <v>-1.6903700000000001E-2</v>
      </c>
      <c r="J126" s="22">
        <v>116</v>
      </c>
      <c r="K126" s="22">
        <v>1.17493</v>
      </c>
      <c r="L126">
        <f t="shared" si="12"/>
        <v>16.903700000000001</v>
      </c>
      <c r="M126">
        <f t="shared" si="13"/>
        <v>19.876046607999999</v>
      </c>
      <c r="N126" s="9"/>
      <c r="O126" s="22">
        <v>0.48416100000000001</v>
      </c>
      <c r="P126" s="22">
        <v>99.717799999999997</v>
      </c>
      <c r="Q126" s="22">
        <v>-1.6668700000000002E-2</v>
      </c>
      <c r="R126" s="22">
        <v>116</v>
      </c>
      <c r="S126" s="22">
        <v>0.48333700000000002</v>
      </c>
      <c r="T126">
        <f t="shared" si="14"/>
        <v>16.668700000000001</v>
      </c>
      <c r="U126">
        <f t="shared" si="15"/>
        <v>8.0703344606999998</v>
      </c>
      <c r="X126" s="9"/>
      <c r="Y126" s="22">
        <v>1.17584</v>
      </c>
      <c r="Z126" s="22">
        <v>149.12</v>
      </c>
      <c r="AA126" s="22">
        <v>-1.6873200000000001E-2</v>
      </c>
      <c r="AB126" s="22">
        <v>116</v>
      </c>
      <c r="AC126" s="22">
        <v>1.17493</v>
      </c>
      <c r="AD126">
        <f t="shared" si="16"/>
        <v>16.873200000000001</v>
      </c>
      <c r="AE126">
        <f t="shared" si="17"/>
        <v>19.840183488000001</v>
      </c>
      <c r="AF126" s="9"/>
      <c r="AG126" s="22">
        <v>0.48416100000000001</v>
      </c>
      <c r="AH126" s="22">
        <v>198.48699999999999</v>
      </c>
      <c r="AI126" s="22">
        <v>-1.66626E-2</v>
      </c>
      <c r="AJ126" s="22">
        <v>116</v>
      </c>
      <c r="AK126" s="22">
        <v>0.48321500000000001</v>
      </c>
      <c r="AL126">
        <f t="shared" si="18"/>
        <v>16.662600000000001</v>
      </c>
      <c r="AM126">
        <f t="shared" si="19"/>
        <v>8.0673810786000004</v>
      </c>
      <c r="AP126" s="9"/>
      <c r="AQ126" s="22">
        <v>1.17584</v>
      </c>
      <c r="AR126" s="22">
        <v>247.76900000000001</v>
      </c>
      <c r="AS126" s="22">
        <v>-1.68793E-2</v>
      </c>
      <c r="AT126" s="22">
        <v>116</v>
      </c>
      <c r="AU126" s="22">
        <v>1.17493</v>
      </c>
      <c r="AV126">
        <f t="shared" si="20"/>
        <v>16.879300000000001</v>
      </c>
      <c r="AW126">
        <f t="shared" si="21"/>
        <v>19.847356112</v>
      </c>
      <c r="AX126" s="9"/>
      <c r="AY126" s="22">
        <v>0.48416100000000001</v>
      </c>
      <c r="AZ126" s="22">
        <v>297.13600000000002</v>
      </c>
      <c r="BA126" s="22">
        <v>-1.6699200000000001E-2</v>
      </c>
      <c r="BB126" s="22">
        <v>116</v>
      </c>
      <c r="BC126" s="22">
        <v>0.48318499999999998</v>
      </c>
      <c r="BD126">
        <f t="shared" si="22"/>
        <v>16.699200000000001</v>
      </c>
      <c r="BE126">
        <f t="shared" si="23"/>
        <v>8.0851013712000004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1.1708099999999999</v>
      </c>
      <c r="H127" s="22">
        <v>50.484400000000001</v>
      </c>
      <c r="I127" s="22">
        <v>-1.69067E-2</v>
      </c>
      <c r="J127" s="22">
        <v>117</v>
      </c>
      <c r="K127" s="22">
        <v>1.17035</v>
      </c>
      <c r="L127">
        <f t="shared" si="12"/>
        <v>16.906700000000001</v>
      </c>
      <c r="M127">
        <f t="shared" si="13"/>
        <v>19.794533426999998</v>
      </c>
      <c r="N127" s="9"/>
      <c r="O127" s="22">
        <v>0.48919699999999999</v>
      </c>
      <c r="P127" s="22">
        <v>99.727900000000005</v>
      </c>
      <c r="Q127" s="22">
        <v>-1.66626E-2</v>
      </c>
      <c r="R127" s="22">
        <v>117</v>
      </c>
      <c r="S127" s="22">
        <v>0.48873899999999998</v>
      </c>
      <c r="T127">
        <f t="shared" si="14"/>
        <v>16.662600000000001</v>
      </c>
      <c r="U127">
        <f t="shared" si="15"/>
        <v>8.1512939321999998</v>
      </c>
      <c r="X127" s="9"/>
      <c r="Y127" s="22">
        <v>1.1708099999999999</v>
      </c>
      <c r="Z127" s="22">
        <v>149.13</v>
      </c>
      <c r="AA127" s="22">
        <v>-1.6870099999999999E-2</v>
      </c>
      <c r="AB127" s="22">
        <v>117</v>
      </c>
      <c r="AC127" s="22">
        <v>1.17004</v>
      </c>
      <c r="AD127">
        <f t="shared" si="16"/>
        <v>16.870100000000001</v>
      </c>
      <c r="AE127">
        <f t="shared" si="17"/>
        <v>19.751681780999998</v>
      </c>
      <c r="AF127" s="9"/>
      <c r="AG127" s="22">
        <v>0.48919699999999999</v>
      </c>
      <c r="AH127" s="22">
        <v>198.49700000000001</v>
      </c>
      <c r="AI127" s="22">
        <v>-1.6659500000000001E-2</v>
      </c>
      <c r="AJ127" s="22">
        <v>117</v>
      </c>
      <c r="AK127" s="22">
        <v>0.48861700000000002</v>
      </c>
      <c r="AL127">
        <f t="shared" si="18"/>
        <v>16.659500000000001</v>
      </c>
      <c r="AM127">
        <f t="shared" si="19"/>
        <v>8.1497774215000014</v>
      </c>
      <c r="AP127" s="9"/>
      <c r="AQ127" s="22">
        <v>1.1708099999999999</v>
      </c>
      <c r="AR127" s="22">
        <v>247.779</v>
      </c>
      <c r="AS127" s="22">
        <v>-1.6882299999999999E-2</v>
      </c>
      <c r="AT127" s="22">
        <v>117</v>
      </c>
      <c r="AU127" s="22">
        <v>1.16974</v>
      </c>
      <c r="AV127">
        <f t="shared" si="20"/>
        <v>16.882300000000001</v>
      </c>
      <c r="AW127">
        <f t="shared" si="21"/>
        <v>19.765965662999999</v>
      </c>
      <c r="AX127" s="9"/>
      <c r="AY127" s="22">
        <v>0.48919699999999999</v>
      </c>
      <c r="AZ127" s="22">
        <v>297.14600000000002</v>
      </c>
      <c r="BA127" s="22">
        <v>-1.6693099999999999E-2</v>
      </c>
      <c r="BB127" s="22">
        <v>117</v>
      </c>
      <c r="BC127" s="22">
        <v>0.48821999999999999</v>
      </c>
      <c r="BD127">
        <f t="shared" si="22"/>
        <v>16.693099999999998</v>
      </c>
      <c r="BE127">
        <f t="shared" si="23"/>
        <v>8.1662144406999992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1.16577</v>
      </c>
      <c r="H128" s="22">
        <v>50.494500000000002</v>
      </c>
      <c r="I128" s="22">
        <v>-1.6909799999999999E-2</v>
      </c>
      <c r="J128" s="22">
        <v>118</v>
      </c>
      <c r="K128" s="22">
        <v>1.16486</v>
      </c>
      <c r="L128">
        <f t="shared" si="12"/>
        <v>16.909800000000001</v>
      </c>
      <c r="M128">
        <f t="shared" si="13"/>
        <v>19.712937545999999</v>
      </c>
      <c r="N128" s="9"/>
      <c r="O128" s="22">
        <v>0.494232</v>
      </c>
      <c r="P128" s="22">
        <v>99.737899999999996</v>
      </c>
      <c r="Q128" s="22">
        <v>-1.6656500000000001E-2</v>
      </c>
      <c r="R128" s="22">
        <v>118</v>
      </c>
      <c r="S128" s="22">
        <v>0.49340800000000001</v>
      </c>
      <c r="T128">
        <f t="shared" si="14"/>
        <v>16.656500000000001</v>
      </c>
      <c r="U128">
        <f t="shared" si="15"/>
        <v>8.2321753080000004</v>
      </c>
      <c r="X128" s="9"/>
      <c r="Y128" s="22">
        <v>1.16577</v>
      </c>
      <c r="Z128" s="22">
        <v>149.13999999999999</v>
      </c>
      <c r="AA128" s="22">
        <v>-1.6873200000000001E-2</v>
      </c>
      <c r="AB128" s="22">
        <v>118</v>
      </c>
      <c r="AC128" s="22">
        <v>1.16486</v>
      </c>
      <c r="AD128">
        <f t="shared" si="16"/>
        <v>16.873200000000001</v>
      </c>
      <c r="AE128">
        <f t="shared" si="17"/>
        <v>19.670270364</v>
      </c>
      <c r="AF128" s="9"/>
      <c r="AG128" s="22">
        <v>0.494232</v>
      </c>
      <c r="AH128" s="22">
        <v>198.50700000000001</v>
      </c>
      <c r="AI128" s="22">
        <v>-1.6656500000000001E-2</v>
      </c>
      <c r="AJ128" s="22">
        <v>118</v>
      </c>
      <c r="AK128" s="22">
        <v>0.49377399999999999</v>
      </c>
      <c r="AL128">
        <f t="shared" si="18"/>
        <v>16.656500000000001</v>
      </c>
      <c r="AM128">
        <f t="shared" si="19"/>
        <v>8.2321753080000004</v>
      </c>
      <c r="AP128" s="9"/>
      <c r="AQ128" s="22">
        <v>1.16577</v>
      </c>
      <c r="AR128" s="22">
        <v>247.78899999999999</v>
      </c>
      <c r="AS128" s="22">
        <v>-1.68793E-2</v>
      </c>
      <c r="AT128" s="22">
        <v>118</v>
      </c>
      <c r="AU128" s="22">
        <v>1.16486</v>
      </c>
      <c r="AV128">
        <f t="shared" si="20"/>
        <v>16.879300000000001</v>
      </c>
      <c r="AW128">
        <f t="shared" si="21"/>
        <v>19.677381561000001</v>
      </c>
      <c r="AX128" s="9"/>
      <c r="AY128" s="22">
        <v>0.494232</v>
      </c>
      <c r="AZ128" s="22">
        <v>297.15600000000001</v>
      </c>
      <c r="BA128" s="22">
        <v>-1.6693099999999999E-2</v>
      </c>
      <c r="BB128" s="22">
        <v>118</v>
      </c>
      <c r="BC128" s="22">
        <v>0.49404900000000002</v>
      </c>
      <c r="BD128">
        <f t="shared" si="22"/>
        <v>16.693099999999998</v>
      </c>
      <c r="BE128">
        <f t="shared" si="23"/>
        <v>8.2502641991999983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1.1607400000000001</v>
      </c>
      <c r="H129" s="22">
        <v>50.504600000000003</v>
      </c>
      <c r="I129" s="22">
        <v>-1.6915900000000001E-2</v>
      </c>
      <c r="J129" s="22">
        <v>119</v>
      </c>
      <c r="K129" s="22">
        <v>1.15967</v>
      </c>
      <c r="L129">
        <f t="shared" si="12"/>
        <v>16.915900000000001</v>
      </c>
      <c r="M129">
        <f t="shared" si="13"/>
        <v>19.634961766000004</v>
      </c>
      <c r="N129" s="9"/>
      <c r="O129" s="22">
        <v>0.49926799999999999</v>
      </c>
      <c r="P129" s="22">
        <v>99.748000000000005</v>
      </c>
      <c r="Q129" s="22">
        <v>-1.6650399999999999E-2</v>
      </c>
      <c r="R129" s="22">
        <v>119</v>
      </c>
      <c r="S129" s="22">
        <v>0.49865700000000002</v>
      </c>
      <c r="T129">
        <f t="shared" si="14"/>
        <v>16.650399999999998</v>
      </c>
      <c r="U129">
        <f t="shared" si="15"/>
        <v>8.3130119071999982</v>
      </c>
      <c r="X129" s="9"/>
      <c r="Y129" s="22">
        <v>1.1607400000000001</v>
      </c>
      <c r="Z129" s="22">
        <v>149.15</v>
      </c>
      <c r="AA129" s="22">
        <v>-1.6876200000000001E-2</v>
      </c>
      <c r="AB129" s="22">
        <v>119</v>
      </c>
      <c r="AC129" s="22">
        <v>1.1599699999999999</v>
      </c>
      <c r="AD129">
        <f t="shared" si="16"/>
        <v>16.876200000000001</v>
      </c>
      <c r="AE129">
        <f t="shared" si="17"/>
        <v>19.588880388000003</v>
      </c>
      <c r="AF129" s="9"/>
      <c r="AG129" s="22">
        <v>0.49926799999999999</v>
      </c>
      <c r="AH129" s="22">
        <v>198.517</v>
      </c>
      <c r="AI129" s="22">
        <v>-1.6653399999999999E-2</v>
      </c>
      <c r="AJ129" s="22">
        <v>119</v>
      </c>
      <c r="AK129" s="22">
        <v>0.49871799999999999</v>
      </c>
      <c r="AL129">
        <f t="shared" si="18"/>
        <v>16.653399999999998</v>
      </c>
      <c r="AM129">
        <f t="shared" si="19"/>
        <v>8.3145097111999995</v>
      </c>
      <c r="AP129" s="9"/>
      <c r="AQ129" s="22">
        <v>1.1607400000000001</v>
      </c>
      <c r="AR129" s="22">
        <v>247.79900000000001</v>
      </c>
      <c r="AS129" s="22">
        <v>-1.6885399999999998E-2</v>
      </c>
      <c r="AT129" s="22">
        <v>119</v>
      </c>
      <c r="AU129" s="22">
        <v>1.16028</v>
      </c>
      <c r="AV129">
        <f t="shared" si="20"/>
        <v>16.885399999999997</v>
      </c>
      <c r="AW129">
        <f t="shared" si="21"/>
        <v>19.599559195999998</v>
      </c>
      <c r="AX129" s="9"/>
      <c r="AY129" s="22">
        <v>0.49926799999999999</v>
      </c>
      <c r="AZ129" s="22">
        <v>297.166</v>
      </c>
      <c r="BA129" s="22">
        <v>-1.6690099999999999E-2</v>
      </c>
      <c r="BB129" s="22">
        <v>119</v>
      </c>
      <c r="BC129" s="22">
        <v>0.498199</v>
      </c>
      <c r="BD129">
        <f t="shared" si="22"/>
        <v>16.690100000000001</v>
      </c>
      <c r="BE129">
        <f t="shared" si="23"/>
        <v>8.3328328468000006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1.1556999999999999</v>
      </c>
      <c r="H130" s="22">
        <v>50.514699999999998</v>
      </c>
      <c r="I130" s="22">
        <v>-1.6915900000000001E-2</v>
      </c>
      <c r="J130" s="22">
        <v>120</v>
      </c>
      <c r="K130" s="22">
        <v>1.15479</v>
      </c>
      <c r="L130">
        <f t="shared" si="12"/>
        <v>16.915900000000001</v>
      </c>
      <c r="M130">
        <f t="shared" si="13"/>
        <v>19.549705629999998</v>
      </c>
      <c r="N130" s="9"/>
      <c r="O130" s="22">
        <v>0.50430299999999995</v>
      </c>
      <c r="P130" s="22">
        <v>99.758099999999999</v>
      </c>
      <c r="Q130" s="22">
        <v>-1.6644300000000001E-2</v>
      </c>
      <c r="R130" s="22">
        <v>120</v>
      </c>
      <c r="S130" s="22">
        <v>0.50344800000000001</v>
      </c>
      <c r="T130">
        <f t="shared" si="14"/>
        <v>16.644300000000001</v>
      </c>
      <c r="U130">
        <f t="shared" si="15"/>
        <v>8.3937704228999994</v>
      </c>
      <c r="X130" s="9"/>
      <c r="Y130" s="22">
        <v>1.1556999999999999</v>
      </c>
      <c r="Z130" s="22">
        <v>149.161</v>
      </c>
      <c r="AA130" s="22">
        <v>-1.68793E-2</v>
      </c>
      <c r="AB130" s="22">
        <v>120</v>
      </c>
      <c r="AC130" s="22">
        <v>1.1535599999999999</v>
      </c>
      <c r="AD130">
        <f t="shared" si="16"/>
        <v>16.879300000000001</v>
      </c>
      <c r="AE130">
        <f t="shared" si="17"/>
        <v>19.507407010000001</v>
      </c>
      <c r="AF130" s="9"/>
      <c r="AG130" s="22">
        <v>0.50430299999999995</v>
      </c>
      <c r="AH130" s="22">
        <v>198.52699999999999</v>
      </c>
      <c r="AI130" s="22">
        <v>-1.6653399999999999E-2</v>
      </c>
      <c r="AJ130" s="22">
        <v>120</v>
      </c>
      <c r="AK130" s="22">
        <v>0.50351000000000001</v>
      </c>
      <c r="AL130">
        <f t="shared" si="18"/>
        <v>16.653399999999998</v>
      </c>
      <c r="AM130">
        <f t="shared" si="19"/>
        <v>8.3983595801999975</v>
      </c>
      <c r="AP130" s="9"/>
      <c r="AQ130" s="22">
        <v>1.1556999999999999</v>
      </c>
      <c r="AR130" s="22">
        <v>247.809</v>
      </c>
      <c r="AS130" s="22">
        <v>-1.68915E-2</v>
      </c>
      <c r="AT130" s="22">
        <v>120</v>
      </c>
      <c r="AU130" s="22">
        <v>1.15479</v>
      </c>
      <c r="AV130">
        <f t="shared" si="20"/>
        <v>16.891500000000001</v>
      </c>
      <c r="AW130">
        <f t="shared" si="21"/>
        <v>19.521506550000002</v>
      </c>
      <c r="AX130" s="9"/>
      <c r="AY130" s="22">
        <v>0.50430299999999995</v>
      </c>
      <c r="AZ130" s="22">
        <v>297.17599999999999</v>
      </c>
      <c r="BA130" s="22">
        <v>-1.6687E-2</v>
      </c>
      <c r="BB130" s="22">
        <v>120</v>
      </c>
      <c r="BC130" s="22">
        <v>0.50253300000000001</v>
      </c>
      <c r="BD130">
        <f t="shared" si="22"/>
        <v>16.687000000000001</v>
      </c>
      <c r="BE130">
        <f t="shared" si="23"/>
        <v>8.4153041609999999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1.1506700000000001</v>
      </c>
      <c r="H131" s="22">
        <v>50.524700000000003</v>
      </c>
      <c r="I131" s="22">
        <v>-1.6918900000000001E-2</v>
      </c>
      <c r="J131" s="22">
        <v>121</v>
      </c>
      <c r="K131" s="22">
        <v>1.15021</v>
      </c>
      <c r="L131">
        <f t="shared" si="12"/>
        <v>16.918900000000001</v>
      </c>
      <c r="M131">
        <f t="shared" si="13"/>
        <v>19.468070663000002</v>
      </c>
      <c r="N131" s="9"/>
      <c r="O131" s="22">
        <v>0.50933799999999996</v>
      </c>
      <c r="P131" s="22">
        <v>99.768199999999993</v>
      </c>
      <c r="Q131" s="22">
        <v>-1.6629000000000001E-2</v>
      </c>
      <c r="R131" s="22">
        <v>121</v>
      </c>
      <c r="S131" s="22">
        <v>0.50848400000000005</v>
      </c>
      <c r="T131">
        <f t="shared" si="14"/>
        <v>16.629000000000001</v>
      </c>
      <c r="U131">
        <f t="shared" si="15"/>
        <v>8.4697816019999994</v>
      </c>
      <c r="X131" s="9"/>
      <c r="Y131" s="22">
        <v>1.1506700000000001</v>
      </c>
      <c r="Z131" s="22">
        <v>149.17099999999999</v>
      </c>
      <c r="AA131" s="22">
        <v>-1.6885399999999998E-2</v>
      </c>
      <c r="AB131" s="22">
        <v>121</v>
      </c>
      <c r="AC131" s="22">
        <v>1.1498999999999999</v>
      </c>
      <c r="AD131">
        <f t="shared" si="16"/>
        <v>16.885399999999997</v>
      </c>
      <c r="AE131">
        <f t="shared" si="17"/>
        <v>19.429523217999996</v>
      </c>
      <c r="AF131" s="9"/>
      <c r="AG131" s="22">
        <v>0.50933799999999996</v>
      </c>
      <c r="AH131" s="22">
        <v>198.53700000000001</v>
      </c>
      <c r="AI131" s="22">
        <v>-1.6650399999999999E-2</v>
      </c>
      <c r="AJ131" s="22">
        <v>121</v>
      </c>
      <c r="AK131" s="22">
        <v>0.50845300000000004</v>
      </c>
      <c r="AL131">
        <f t="shared" si="18"/>
        <v>16.650399999999998</v>
      </c>
      <c r="AM131">
        <f t="shared" si="19"/>
        <v>8.4806814351999975</v>
      </c>
      <c r="AP131" s="9"/>
      <c r="AQ131" s="22">
        <v>1.1506700000000001</v>
      </c>
      <c r="AR131" s="22">
        <v>247.81899999999999</v>
      </c>
      <c r="AS131" s="22">
        <v>-1.68945E-2</v>
      </c>
      <c r="AT131" s="22">
        <v>121</v>
      </c>
      <c r="AU131" s="22">
        <v>1.1496</v>
      </c>
      <c r="AV131">
        <f t="shared" si="20"/>
        <v>16.894500000000001</v>
      </c>
      <c r="AW131">
        <f t="shared" si="21"/>
        <v>19.439994315000003</v>
      </c>
      <c r="AX131" s="9"/>
      <c r="AY131" s="22">
        <v>0.50933799999999996</v>
      </c>
      <c r="AZ131" s="22">
        <v>297.18599999999998</v>
      </c>
      <c r="BA131" s="22">
        <v>-1.6684000000000001E-2</v>
      </c>
      <c r="BB131" s="22">
        <v>121</v>
      </c>
      <c r="BC131" s="22">
        <v>0.50912500000000005</v>
      </c>
      <c r="BD131">
        <f t="shared" si="22"/>
        <v>16.684000000000001</v>
      </c>
      <c r="BE131">
        <f t="shared" si="23"/>
        <v>8.4977951919999999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1.1456299999999999</v>
      </c>
      <c r="H132" s="22">
        <v>50.534799999999997</v>
      </c>
      <c r="I132" s="22">
        <v>-1.6918900000000001E-2</v>
      </c>
      <c r="J132" s="22">
        <v>122</v>
      </c>
      <c r="K132" s="22">
        <v>1.1456299999999999</v>
      </c>
      <c r="L132">
        <f t="shared" si="12"/>
        <v>16.918900000000001</v>
      </c>
      <c r="M132">
        <f t="shared" si="13"/>
        <v>19.382799407</v>
      </c>
      <c r="N132" s="9"/>
      <c r="O132" s="22">
        <v>0.514374</v>
      </c>
      <c r="P132" s="22">
        <v>99.778199999999998</v>
      </c>
      <c r="Q132" s="22">
        <v>-1.66199E-2</v>
      </c>
      <c r="R132" s="22">
        <v>122</v>
      </c>
      <c r="S132" s="22">
        <v>0.514069</v>
      </c>
      <c r="T132">
        <f t="shared" si="14"/>
        <v>16.619900000000001</v>
      </c>
      <c r="U132">
        <f t="shared" si="15"/>
        <v>8.5488444426000001</v>
      </c>
      <c r="X132" s="9"/>
      <c r="Y132" s="22">
        <v>1.1456299999999999</v>
      </c>
      <c r="Z132" s="22">
        <v>149.18100000000001</v>
      </c>
      <c r="AA132" s="22">
        <v>-1.6885399999999998E-2</v>
      </c>
      <c r="AB132" s="22">
        <v>122</v>
      </c>
      <c r="AC132" s="22">
        <v>1.1450199999999999</v>
      </c>
      <c r="AD132">
        <f t="shared" si="16"/>
        <v>16.885399999999997</v>
      </c>
      <c r="AE132">
        <f t="shared" si="17"/>
        <v>19.344420801999995</v>
      </c>
      <c r="AF132" s="9"/>
      <c r="AG132" s="22">
        <v>0.514374</v>
      </c>
      <c r="AH132" s="22">
        <v>198.547</v>
      </c>
      <c r="AI132" s="22">
        <v>-1.6638199999999999E-2</v>
      </c>
      <c r="AJ132" s="22">
        <v>122</v>
      </c>
      <c r="AK132" s="22">
        <v>0.51382399999999995</v>
      </c>
      <c r="AL132">
        <f t="shared" si="18"/>
        <v>16.638199999999998</v>
      </c>
      <c r="AM132">
        <f t="shared" si="19"/>
        <v>8.5582574867999988</v>
      </c>
      <c r="AP132" s="9"/>
      <c r="AQ132" s="22">
        <v>1.1456299999999999</v>
      </c>
      <c r="AR132" s="22">
        <v>247.83</v>
      </c>
      <c r="AS132" s="22">
        <v>-1.6897599999999999E-2</v>
      </c>
      <c r="AT132" s="22">
        <v>122</v>
      </c>
      <c r="AU132" s="22">
        <v>1.1450199999999999</v>
      </c>
      <c r="AV132">
        <f t="shared" si="20"/>
        <v>16.897599999999997</v>
      </c>
      <c r="AW132">
        <f t="shared" si="21"/>
        <v>19.358397487999994</v>
      </c>
      <c r="AX132" s="9"/>
      <c r="AY132" s="22">
        <v>0.514374</v>
      </c>
      <c r="AZ132" s="22">
        <v>297.19600000000003</v>
      </c>
      <c r="BA132" s="22">
        <v>-1.6680899999999999E-2</v>
      </c>
      <c r="BB132" s="22">
        <v>122</v>
      </c>
      <c r="BC132" s="22">
        <v>0.51364100000000001</v>
      </c>
      <c r="BD132">
        <f t="shared" si="22"/>
        <v>16.680899999999998</v>
      </c>
      <c r="BE132">
        <f t="shared" si="23"/>
        <v>8.580221256599998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1.14059</v>
      </c>
      <c r="H133" s="22">
        <v>50.544899999999998</v>
      </c>
      <c r="I133" s="22">
        <v>-1.6922E-2</v>
      </c>
      <c r="J133" s="22">
        <v>123</v>
      </c>
      <c r="K133" s="22">
        <v>1.1398299999999999</v>
      </c>
      <c r="L133">
        <f t="shared" si="12"/>
        <v>16.922000000000001</v>
      </c>
      <c r="M133">
        <f t="shared" si="13"/>
        <v>19.301063980000002</v>
      </c>
      <c r="N133" s="9"/>
      <c r="O133" s="22">
        <v>0.51940900000000001</v>
      </c>
      <c r="P133" s="22">
        <v>99.788300000000007</v>
      </c>
      <c r="Q133" s="22">
        <v>-1.66077E-2</v>
      </c>
      <c r="R133" s="22">
        <v>123</v>
      </c>
      <c r="S133" s="22">
        <v>0.51852399999999998</v>
      </c>
      <c r="T133">
        <f t="shared" si="14"/>
        <v>16.607700000000001</v>
      </c>
      <c r="U133">
        <f t="shared" si="15"/>
        <v>8.6261888493000001</v>
      </c>
      <c r="X133" s="9"/>
      <c r="Y133" s="22">
        <v>1.14059</v>
      </c>
      <c r="Z133" s="22">
        <v>149.191</v>
      </c>
      <c r="AA133" s="22">
        <v>-1.6888400000000001E-2</v>
      </c>
      <c r="AB133" s="22">
        <v>123</v>
      </c>
      <c r="AC133" s="22">
        <v>1.1395299999999999</v>
      </c>
      <c r="AD133">
        <f t="shared" si="16"/>
        <v>16.888400000000001</v>
      </c>
      <c r="AE133">
        <f t="shared" si="17"/>
        <v>19.262740156</v>
      </c>
      <c r="AF133" s="9"/>
      <c r="AG133" s="22">
        <v>0.51940900000000001</v>
      </c>
      <c r="AH133" s="22">
        <v>198.55699999999999</v>
      </c>
      <c r="AI133" s="22">
        <v>-1.66351E-2</v>
      </c>
      <c r="AJ133" s="22">
        <v>123</v>
      </c>
      <c r="AK133" s="22">
        <v>0.51867700000000005</v>
      </c>
      <c r="AL133">
        <f t="shared" si="18"/>
        <v>16.635100000000001</v>
      </c>
      <c r="AM133">
        <f t="shared" si="19"/>
        <v>8.6404206559000016</v>
      </c>
      <c r="AP133" s="9"/>
      <c r="AQ133" s="22">
        <v>1.14059</v>
      </c>
      <c r="AR133" s="22">
        <v>247.84</v>
      </c>
      <c r="AS133" s="22">
        <v>-1.6900600000000002E-2</v>
      </c>
      <c r="AT133" s="22">
        <v>123</v>
      </c>
      <c r="AU133" s="22">
        <v>1.1395299999999999</v>
      </c>
      <c r="AV133">
        <f t="shared" si="20"/>
        <v>16.900600000000001</v>
      </c>
      <c r="AW133">
        <f t="shared" si="21"/>
        <v>19.276655353999999</v>
      </c>
      <c r="AX133" s="9"/>
      <c r="AY133" s="22">
        <v>0.51940900000000001</v>
      </c>
      <c r="AZ133" s="22">
        <v>297.20600000000002</v>
      </c>
      <c r="BA133" s="22">
        <v>-1.66748E-2</v>
      </c>
      <c r="BB133" s="22">
        <v>123</v>
      </c>
      <c r="BC133" s="22">
        <v>0.51913500000000001</v>
      </c>
      <c r="BD133">
        <f t="shared" si="22"/>
        <v>16.674800000000001</v>
      </c>
      <c r="BE133">
        <f t="shared" si="23"/>
        <v>8.6610411932000009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1.1355599999999999</v>
      </c>
      <c r="H134" s="22">
        <v>50.554900000000004</v>
      </c>
      <c r="I134" s="22">
        <v>-1.6924999999999999E-2</v>
      </c>
      <c r="J134" s="22">
        <v>124</v>
      </c>
      <c r="K134" s="22">
        <v>1.1346400000000001</v>
      </c>
      <c r="L134">
        <f t="shared" si="12"/>
        <v>16.925000000000001</v>
      </c>
      <c r="M134">
        <f t="shared" si="13"/>
        <v>19.219352999999998</v>
      </c>
      <c r="N134" s="9"/>
      <c r="O134" s="22">
        <v>0.52444500000000005</v>
      </c>
      <c r="P134" s="22">
        <v>99.798400000000001</v>
      </c>
      <c r="Q134" s="22">
        <v>-1.6598499999999999E-2</v>
      </c>
      <c r="R134" s="22">
        <v>124</v>
      </c>
      <c r="S134" s="22">
        <v>0.52304099999999998</v>
      </c>
      <c r="T134">
        <f t="shared" si="14"/>
        <v>16.598499999999998</v>
      </c>
      <c r="U134">
        <f t="shared" si="15"/>
        <v>8.7050003324999992</v>
      </c>
      <c r="X134" s="9"/>
      <c r="Y134" s="22">
        <v>1.1355599999999999</v>
      </c>
      <c r="Z134" s="22">
        <v>149.20099999999999</v>
      </c>
      <c r="AA134" s="22">
        <v>-1.68945E-2</v>
      </c>
      <c r="AB134" s="22">
        <v>124</v>
      </c>
      <c r="AC134" s="22">
        <v>1.1346400000000001</v>
      </c>
      <c r="AD134">
        <f t="shared" si="16"/>
        <v>16.894500000000001</v>
      </c>
      <c r="AE134">
        <f t="shared" si="17"/>
        <v>19.184718419999999</v>
      </c>
      <c r="AF134" s="9"/>
      <c r="AG134" s="22">
        <v>0.52444500000000005</v>
      </c>
      <c r="AH134" s="22">
        <v>198.56700000000001</v>
      </c>
      <c r="AI134" s="22">
        <v>-1.66321E-2</v>
      </c>
      <c r="AJ134" s="22">
        <v>124</v>
      </c>
      <c r="AK134" s="22">
        <v>0.52279699999999996</v>
      </c>
      <c r="AL134">
        <f t="shared" si="18"/>
        <v>16.632100000000001</v>
      </c>
      <c r="AM134">
        <f t="shared" si="19"/>
        <v>8.7226216845000017</v>
      </c>
      <c r="AP134" s="9"/>
      <c r="AQ134" s="22">
        <v>1.1355599999999999</v>
      </c>
      <c r="AR134" s="22">
        <v>247.85</v>
      </c>
      <c r="AS134" s="22">
        <v>-1.69067E-2</v>
      </c>
      <c r="AT134" s="22">
        <v>124</v>
      </c>
      <c r="AU134" s="22">
        <v>1.1349499999999999</v>
      </c>
      <c r="AV134">
        <f t="shared" si="20"/>
        <v>16.906700000000001</v>
      </c>
      <c r="AW134">
        <f t="shared" si="21"/>
        <v>19.198572251999998</v>
      </c>
      <c r="AX134" s="9"/>
      <c r="AY134" s="22">
        <v>0.52444500000000005</v>
      </c>
      <c r="AZ134" s="22">
        <v>297.21600000000001</v>
      </c>
      <c r="BA134" s="22">
        <v>-1.6668700000000002E-2</v>
      </c>
      <c r="BB134" s="22">
        <v>124</v>
      </c>
      <c r="BC134" s="22">
        <v>0.52407800000000004</v>
      </c>
      <c r="BD134">
        <f t="shared" si="22"/>
        <v>16.668700000000001</v>
      </c>
      <c r="BE134">
        <f t="shared" si="23"/>
        <v>8.7418163715000006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1.13052</v>
      </c>
      <c r="H135" s="22">
        <v>50.564999999999998</v>
      </c>
      <c r="I135" s="22">
        <v>-1.6928100000000001E-2</v>
      </c>
      <c r="J135" s="22">
        <v>125</v>
      </c>
      <c r="K135" s="22">
        <v>1.1300699999999999</v>
      </c>
      <c r="L135">
        <f t="shared" si="12"/>
        <v>16.928100000000001</v>
      </c>
      <c r="M135">
        <f t="shared" si="13"/>
        <v>19.137555612</v>
      </c>
      <c r="N135" s="9"/>
      <c r="O135" s="22">
        <v>0.52947999999999995</v>
      </c>
      <c r="P135" s="22">
        <v>99.808400000000006</v>
      </c>
      <c r="Q135" s="22">
        <v>-1.65802E-2</v>
      </c>
      <c r="R135" s="22">
        <v>125</v>
      </c>
      <c r="S135" s="22">
        <v>0.52911399999999997</v>
      </c>
      <c r="T135">
        <f t="shared" si="14"/>
        <v>16.580200000000001</v>
      </c>
      <c r="U135">
        <f t="shared" si="15"/>
        <v>8.7788842959999993</v>
      </c>
      <c r="X135" s="9"/>
      <c r="Y135" s="22">
        <v>1.13052</v>
      </c>
      <c r="Z135" s="22">
        <v>149.21100000000001</v>
      </c>
      <c r="AA135" s="22">
        <v>-1.6897599999999999E-2</v>
      </c>
      <c r="AB135" s="22">
        <v>125</v>
      </c>
      <c r="AC135" s="22">
        <v>1.1294599999999999</v>
      </c>
      <c r="AD135">
        <f t="shared" si="16"/>
        <v>16.897599999999997</v>
      </c>
      <c r="AE135">
        <f t="shared" si="17"/>
        <v>19.103074751999998</v>
      </c>
      <c r="AF135" s="9"/>
      <c r="AG135" s="22">
        <v>0.52947999999999995</v>
      </c>
      <c r="AH135" s="22">
        <v>198.577</v>
      </c>
      <c r="AI135" s="22">
        <v>-1.6625999999999998E-2</v>
      </c>
      <c r="AJ135" s="22">
        <v>125</v>
      </c>
      <c r="AK135" s="22">
        <v>0.52911399999999997</v>
      </c>
      <c r="AL135">
        <f t="shared" si="18"/>
        <v>16.625999999999998</v>
      </c>
      <c r="AM135">
        <f t="shared" si="19"/>
        <v>8.8031344799999971</v>
      </c>
      <c r="AP135" s="9"/>
      <c r="AQ135" s="22">
        <v>1.13052</v>
      </c>
      <c r="AR135" s="22">
        <v>247.86</v>
      </c>
      <c r="AS135" s="22">
        <v>-1.6909799999999999E-2</v>
      </c>
      <c r="AT135" s="22">
        <v>125</v>
      </c>
      <c r="AU135" s="22">
        <v>1.1297600000000001</v>
      </c>
      <c r="AV135">
        <f t="shared" si="20"/>
        <v>16.909800000000001</v>
      </c>
      <c r="AW135">
        <f t="shared" si="21"/>
        <v>19.116867096</v>
      </c>
      <c r="AX135" s="9"/>
      <c r="AY135" s="22">
        <v>0.52947999999999995</v>
      </c>
      <c r="AZ135" s="22">
        <v>297.226</v>
      </c>
      <c r="BA135" s="22">
        <v>-1.6665599999999999E-2</v>
      </c>
      <c r="BB135" s="22">
        <v>125</v>
      </c>
      <c r="BC135" s="22">
        <v>0.52841199999999999</v>
      </c>
      <c r="BD135">
        <f t="shared" si="22"/>
        <v>16.665599999999998</v>
      </c>
      <c r="BE135">
        <f t="shared" si="23"/>
        <v>8.8241018879999977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1.1254900000000001</v>
      </c>
      <c r="H136" s="22">
        <v>50.575099999999999</v>
      </c>
      <c r="I136" s="22">
        <v>-1.6924999999999999E-2</v>
      </c>
      <c r="J136" s="22">
        <v>126</v>
      </c>
      <c r="K136" s="22">
        <v>1.1242700000000001</v>
      </c>
      <c r="L136">
        <f t="shared" si="12"/>
        <v>16.925000000000001</v>
      </c>
      <c r="M136">
        <f t="shared" si="13"/>
        <v>19.048918250000003</v>
      </c>
      <c r="N136" s="9"/>
      <c r="O136" s="22">
        <v>0.53451499999999996</v>
      </c>
      <c r="P136" s="22">
        <v>99.8185</v>
      </c>
      <c r="Q136" s="22">
        <v>-1.6567999999999999E-2</v>
      </c>
      <c r="R136" s="22">
        <v>126</v>
      </c>
      <c r="S136" s="22">
        <v>0.53356899999999996</v>
      </c>
      <c r="T136">
        <f t="shared" si="14"/>
        <v>16.567999999999998</v>
      </c>
      <c r="U136">
        <f t="shared" si="15"/>
        <v>8.855844519999998</v>
      </c>
      <c r="X136" s="9"/>
      <c r="Y136" s="22">
        <v>1.1254900000000001</v>
      </c>
      <c r="Z136" s="22">
        <v>149.221</v>
      </c>
      <c r="AA136" s="22">
        <v>-1.6903700000000001E-2</v>
      </c>
      <c r="AB136" s="22">
        <v>126</v>
      </c>
      <c r="AC136" s="22">
        <v>1.1245700000000001</v>
      </c>
      <c r="AD136">
        <f t="shared" si="16"/>
        <v>16.903700000000001</v>
      </c>
      <c r="AE136">
        <f t="shared" si="17"/>
        <v>19.024945313000003</v>
      </c>
      <c r="AF136" s="9"/>
      <c r="AG136" s="22">
        <v>0.53451499999999996</v>
      </c>
      <c r="AH136" s="22">
        <v>198.58699999999999</v>
      </c>
      <c r="AI136" s="22">
        <v>-1.6616800000000001E-2</v>
      </c>
      <c r="AJ136" s="22">
        <v>126</v>
      </c>
      <c r="AK136" s="22">
        <v>0.53363000000000005</v>
      </c>
      <c r="AL136">
        <f t="shared" si="18"/>
        <v>16.616800000000001</v>
      </c>
      <c r="AM136">
        <f t="shared" si="19"/>
        <v>8.8819288519999997</v>
      </c>
      <c r="AP136" s="9"/>
      <c r="AQ136" s="22">
        <v>1.1254900000000001</v>
      </c>
      <c r="AR136" s="22">
        <v>247.87</v>
      </c>
      <c r="AS136" s="22">
        <v>-1.6909799999999999E-2</v>
      </c>
      <c r="AT136" s="22">
        <v>126</v>
      </c>
      <c r="AU136" s="22">
        <v>1.1245700000000001</v>
      </c>
      <c r="AV136">
        <f t="shared" si="20"/>
        <v>16.909800000000001</v>
      </c>
      <c r="AW136">
        <f t="shared" si="21"/>
        <v>19.031810802000003</v>
      </c>
      <c r="AX136" s="9"/>
      <c r="AY136" s="22">
        <v>0.53451499999999996</v>
      </c>
      <c r="AZ136" s="22">
        <v>297.23599999999999</v>
      </c>
      <c r="BA136" s="22">
        <v>-1.6659500000000001E-2</v>
      </c>
      <c r="BB136" s="22">
        <v>126</v>
      </c>
      <c r="BC136" s="22">
        <v>0.533142</v>
      </c>
      <c r="BD136">
        <f t="shared" si="22"/>
        <v>16.659500000000001</v>
      </c>
      <c r="BE136">
        <f t="shared" si="23"/>
        <v>8.9047526425000001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1.1204499999999999</v>
      </c>
      <c r="H137" s="22">
        <v>50.5852</v>
      </c>
      <c r="I137" s="22">
        <v>-1.6924999999999999E-2</v>
      </c>
      <c r="J137" s="22">
        <v>127</v>
      </c>
      <c r="K137" s="22">
        <v>1.11877</v>
      </c>
      <c r="L137">
        <f t="shared" si="12"/>
        <v>16.925000000000001</v>
      </c>
      <c r="M137">
        <f t="shared" si="13"/>
        <v>18.963616250000001</v>
      </c>
      <c r="N137" s="9"/>
      <c r="O137" s="22">
        <v>0.539551</v>
      </c>
      <c r="P137" s="22">
        <v>99.828599999999994</v>
      </c>
      <c r="Q137" s="22">
        <v>-1.6546600000000002E-2</v>
      </c>
      <c r="R137" s="22">
        <v>127</v>
      </c>
      <c r="S137" s="22">
        <v>0.53848300000000004</v>
      </c>
      <c r="T137">
        <f t="shared" si="14"/>
        <v>16.546600000000002</v>
      </c>
      <c r="U137">
        <f t="shared" si="15"/>
        <v>8.9277345766000007</v>
      </c>
      <c r="X137" s="9"/>
      <c r="Y137" s="22">
        <v>1.1204499999999999</v>
      </c>
      <c r="Z137" s="22">
        <v>149.23099999999999</v>
      </c>
      <c r="AA137" s="22">
        <v>-1.69067E-2</v>
      </c>
      <c r="AB137" s="22">
        <v>127</v>
      </c>
      <c r="AC137" s="22">
        <v>1.1196900000000001</v>
      </c>
      <c r="AD137">
        <f t="shared" si="16"/>
        <v>16.906700000000001</v>
      </c>
      <c r="AE137">
        <f t="shared" si="17"/>
        <v>18.943112015000001</v>
      </c>
      <c r="AF137" s="9"/>
      <c r="AG137" s="22">
        <v>0.539551</v>
      </c>
      <c r="AH137" s="22">
        <v>198.59700000000001</v>
      </c>
      <c r="AI137" s="22">
        <v>-1.6613800000000001E-2</v>
      </c>
      <c r="AJ137" s="22">
        <v>127</v>
      </c>
      <c r="AK137" s="22">
        <v>0.53881800000000002</v>
      </c>
      <c r="AL137">
        <f t="shared" si="18"/>
        <v>16.613800000000001</v>
      </c>
      <c r="AM137">
        <f t="shared" si="19"/>
        <v>8.9639924038000007</v>
      </c>
      <c r="AP137" s="9"/>
      <c r="AQ137" s="22">
        <v>1.1204499999999999</v>
      </c>
      <c r="AR137" s="22">
        <v>247.88</v>
      </c>
      <c r="AS137" s="22">
        <v>-1.6909799999999999E-2</v>
      </c>
      <c r="AT137" s="22">
        <v>127</v>
      </c>
      <c r="AU137" s="22">
        <v>1.11938</v>
      </c>
      <c r="AV137">
        <f t="shared" si="20"/>
        <v>16.909800000000001</v>
      </c>
      <c r="AW137">
        <f t="shared" si="21"/>
        <v>18.946585410000001</v>
      </c>
      <c r="AX137" s="9"/>
      <c r="AY137" s="22">
        <v>0.539551</v>
      </c>
      <c r="AZ137" s="22">
        <v>297.24599999999998</v>
      </c>
      <c r="BA137" s="22">
        <v>-1.6653399999999999E-2</v>
      </c>
      <c r="BB137" s="22">
        <v>127</v>
      </c>
      <c r="BC137" s="22">
        <v>0.53875700000000004</v>
      </c>
      <c r="BD137">
        <f t="shared" si="22"/>
        <v>16.653399999999998</v>
      </c>
      <c r="BE137">
        <f t="shared" si="23"/>
        <v>8.985358623399998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1.1154200000000001</v>
      </c>
      <c r="H138" s="22">
        <v>50.595199999999998</v>
      </c>
      <c r="I138" s="22">
        <v>-1.69312E-2</v>
      </c>
      <c r="J138" s="22">
        <v>128</v>
      </c>
      <c r="K138" s="22">
        <v>1.1148100000000001</v>
      </c>
      <c r="L138">
        <f t="shared" si="12"/>
        <v>16.9312</v>
      </c>
      <c r="M138">
        <f t="shared" si="13"/>
        <v>18.885399104000001</v>
      </c>
      <c r="N138" s="9"/>
      <c r="O138" s="22">
        <v>0.54458600000000001</v>
      </c>
      <c r="P138" s="22">
        <v>99.838700000000003</v>
      </c>
      <c r="Q138" s="22">
        <v>-1.6522200000000001E-2</v>
      </c>
      <c r="R138" s="22">
        <v>128</v>
      </c>
      <c r="S138" s="22">
        <v>0.54394500000000001</v>
      </c>
      <c r="T138">
        <f t="shared" si="14"/>
        <v>16.522200000000002</v>
      </c>
      <c r="U138">
        <f t="shared" si="15"/>
        <v>8.9977588092000005</v>
      </c>
      <c r="X138" s="9"/>
      <c r="Y138" s="22">
        <v>1.1154200000000001</v>
      </c>
      <c r="Z138" s="22">
        <v>149.24100000000001</v>
      </c>
      <c r="AA138" s="22">
        <v>-1.6909799999999999E-2</v>
      </c>
      <c r="AB138" s="22">
        <v>128</v>
      </c>
      <c r="AC138" s="22">
        <v>1.1145</v>
      </c>
      <c r="AD138">
        <f t="shared" si="16"/>
        <v>16.909800000000001</v>
      </c>
      <c r="AE138">
        <f t="shared" si="17"/>
        <v>18.861529116000003</v>
      </c>
      <c r="AF138" s="9"/>
      <c r="AG138" s="22">
        <v>0.54458600000000001</v>
      </c>
      <c r="AH138" s="22">
        <v>198.608</v>
      </c>
      <c r="AI138" s="22">
        <v>-1.6601600000000001E-2</v>
      </c>
      <c r="AJ138" s="22">
        <v>128</v>
      </c>
      <c r="AK138" s="22">
        <v>0.54495199999999999</v>
      </c>
      <c r="AL138">
        <f t="shared" si="18"/>
        <v>16.601600000000001</v>
      </c>
      <c r="AM138">
        <f t="shared" si="19"/>
        <v>9.0409989376000013</v>
      </c>
      <c r="AP138" s="9"/>
      <c r="AQ138" s="22">
        <v>1.1154200000000001</v>
      </c>
      <c r="AR138" s="22">
        <v>247.89</v>
      </c>
      <c r="AS138" s="22">
        <v>-1.6912799999999999E-2</v>
      </c>
      <c r="AT138" s="22">
        <v>128</v>
      </c>
      <c r="AU138" s="22">
        <v>1.11511</v>
      </c>
      <c r="AV138">
        <f t="shared" si="20"/>
        <v>16.912799999999997</v>
      </c>
      <c r="AW138">
        <f t="shared" si="21"/>
        <v>18.864875375999997</v>
      </c>
      <c r="AX138" s="9"/>
      <c r="AY138" s="22">
        <v>0.54458600000000001</v>
      </c>
      <c r="AZ138" s="22">
        <v>297.25599999999997</v>
      </c>
      <c r="BA138" s="22">
        <v>-1.66473E-2</v>
      </c>
      <c r="BB138" s="22">
        <v>128</v>
      </c>
      <c r="BC138" s="22">
        <v>0.54431200000000002</v>
      </c>
      <c r="BD138">
        <f t="shared" si="22"/>
        <v>16.647300000000001</v>
      </c>
      <c r="BE138">
        <f t="shared" si="23"/>
        <v>9.065886517800001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1.1103799999999999</v>
      </c>
      <c r="H139" s="22">
        <v>50.6053</v>
      </c>
      <c r="I139" s="22">
        <v>-1.69342E-2</v>
      </c>
      <c r="J139" s="22">
        <v>129</v>
      </c>
      <c r="K139" s="22">
        <v>1.1090100000000001</v>
      </c>
      <c r="L139">
        <f t="shared" si="12"/>
        <v>16.934200000000001</v>
      </c>
      <c r="M139">
        <f t="shared" si="13"/>
        <v>18.803396996</v>
      </c>
      <c r="N139" s="9"/>
      <c r="O139" s="22">
        <v>0.54962200000000005</v>
      </c>
      <c r="P139" s="22">
        <v>99.848699999999994</v>
      </c>
      <c r="Q139" s="22">
        <v>-1.6516099999999999E-2</v>
      </c>
      <c r="R139" s="22">
        <v>129</v>
      </c>
      <c r="S139" s="22">
        <v>0.54882799999999998</v>
      </c>
      <c r="T139">
        <f t="shared" si="14"/>
        <v>16.516099999999998</v>
      </c>
      <c r="U139">
        <f t="shared" si="15"/>
        <v>9.0776119142000002</v>
      </c>
      <c r="X139" s="9"/>
      <c r="Y139" s="22">
        <v>1.1103799999999999</v>
      </c>
      <c r="Z139" s="22">
        <v>149.251</v>
      </c>
      <c r="AA139" s="22">
        <v>-1.6909799999999999E-2</v>
      </c>
      <c r="AB139" s="22">
        <v>129</v>
      </c>
      <c r="AC139" s="22">
        <v>1.1096200000000001</v>
      </c>
      <c r="AD139">
        <f t="shared" si="16"/>
        <v>16.909800000000001</v>
      </c>
      <c r="AE139">
        <f t="shared" si="17"/>
        <v>18.776303723999998</v>
      </c>
      <c r="AF139" s="9"/>
      <c r="AG139" s="22">
        <v>0.54962200000000005</v>
      </c>
      <c r="AH139" s="22">
        <v>198.61799999999999</v>
      </c>
      <c r="AI139" s="22">
        <v>-1.6589400000000001E-2</v>
      </c>
      <c r="AJ139" s="22">
        <v>129</v>
      </c>
      <c r="AK139" s="22">
        <v>0.548431</v>
      </c>
      <c r="AL139">
        <f t="shared" si="18"/>
        <v>16.589400000000001</v>
      </c>
      <c r="AM139">
        <f t="shared" si="19"/>
        <v>9.1178992068000024</v>
      </c>
      <c r="AP139" s="9"/>
      <c r="AQ139" s="22">
        <v>1.1103799999999999</v>
      </c>
      <c r="AR139" s="22">
        <v>247.9</v>
      </c>
      <c r="AS139" s="22">
        <v>-1.6909799999999999E-2</v>
      </c>
      <c r="AT139" s="22">
        <v>129</v>
      </c>
      <c r="AU139" s="22">
        <v>1.10992</v>
      </c>
      <c r="AV139">
        <f t="shared" si="20"/>
        <v>16.909800000000001</v>
      </c>
      <c r="AW139">
        <f t="shared" si="21"/>
        <v>18.776303723999998</v>
      </c>
      <c r="AX139" s="9"/>
      <c r="AY139" s="22">
        <v>0.54962200000000005</v>
      </c>
      <c r="AZ139" s="22">
        <v>297.26600000000002</v>
      </c>
      <c r="BA139" s="22">
        <v>-1.66473E-2</v>
      </c>
      <c r="BB139" s="22">
        <v>129</v>
      </c>
      <c r="BC139" s="22">
        <v>0.54980499999999999</v>
      </c>
      <c r="BD139">
        <f t="shared" si="22"/>
        <v>16.647300000000001</v>
      </c>
      <c r="BE139">
        <f t="shared" si="23"/>
        <v>9.1497223206000022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1.1053500000000001</v>
      </c>
      <c r="H140" s="22">
        <v>50.615400000000001</v>
      </c>
      <c r="I140" s="22">
        <v>-1.6937299999999999E-2</v>
      </c>
      <c r="J140" s="22">
        <v>130</v>
      </c>
      <c r="K140" s="22">
        <v>1.10504</v>
      </c>
      <c r="L140">
        <f t="shared" ref="L140:L203" si="24">-I140/$F$2*1000</f>
        <v>16.9373</v>
      </c>
      <c r="M140">
        <f t="shared" ref="M140:M203" si="25">L140*G140</f>
        <v>18.721644555000001</v>
      </c>
      <c r="N140" s="9"/>
      <c r="O140" s="22">
        <v>0.55465699999999996</v>
      </c>
      <c r="P140" s="22">
        <v>99.858800000000002</v>
      </c>
      <c r="Q140" s="22">
        <v>-1.6467300000000001E-2</v>
      </c>
      <c r="R140" s="22">
        <v>130</v>
      </c>
      <c r="S140" s="22">
        <v>0.55181899999999995</v>
      </c>
      <c r="T140">
        <f t="shared" ref="T140:T203" si="26">-Q140/$F$2*1000</f>
        <v>16.467300000000002</v>
      </c>
      <c r="U140">
        <f t="shared" ref="U140:U203" si="27">T140*O140</f>
        <v>9.1337032161000007</v>
      </c>
      <c r="X140" s="9"/>
      <c r="Y140" s="22">
        <v>1.1053500000000001</v>
      </c>
      <c r="Z140" s="22">
        <v>149.261</v>
      </c>
      <c r="AA140" s="22">
        <v>-1.6909799999999999E-2</v>
      </c>
      <c r="AB140" s="22">
        <v>130</v>
      </c>
      <c r="AC140" s="22">
        <v>1.10382</v>
      </c>
      <c r="AD140">
        <f t="shared" ref="AD140:AD203" si="28">-AA140/$F$2*1000</f>
        <v>16.909800000000001</v>
      </c>
      <c r="AE140">
        <f t="shared" ref="AE140:AE203" si="29">AD140*Y140</f>
        <v>18.691247430000001</v>
      </c>
      <c r="AF140" s="9"/>
      <c r="AG140" s="22">
        <v>0.55465699999999996</v>
      </c>
      <c r="AH140" s="22">
        <v>198.62799999999999</v>
      </c>
      <c r="AI140" s="22">
        <v>-1.6577100000000001E-2</v>
      </c>
      <c r="AJ140" s="22">
        <v>130</v>
      </c>
      <c r="AK140" s="22">
        <v>0.55337499999999995</v>
      </c>
      <c r="AL140">
        <f t="shared" ref="AL140:AL203" si="30">-AI140/$F$2*1000</f>
        <v>16.577100000000002</v>
      </c>
      <c r="AM140">
        <f t="shared" ref="AM140:AM203" si="31">AL140*AG140</f>
        <v>9.1946045546999997</v>
      </c>
      <c r="AP140" s="9"/>
      <c r="AQ140" s="22">
        <v>1.1053500000000001</v>
      </c>
      <c r="AR140" s="22">
        <v>247.91</v>
      </c>
      <c r="AS140" s="22">
        <v>-1.6909799999999999E-2</v>
      </c>
      <c r="AT140" s="22">
        <v>130</v>
      </c>
      <c r="AU140" s="22">
        <v>1.1047400000000001</v>
      </c>
      <c r="AV140">
        <f t="shared" ref="AV140:AV203" si="32">-AS140/$F$2*1000</f>
        <v>16.909800000000001</v>
      </c>
      <c r="AW140">
        <f t="shared" ref="AW140:AW203" si="33">AV140*AQ140</f>
        <v>18.691247430000001</v>
      </c>
      <c r="AX140" s="9"/>
      <c r="AY140" s="22">
        <v>0.55465699999999996</v>
      </c>
      <c r="AZ140" s="22">
        <v>297.27699999999999</v>
      </c>
      <c r="BA140" s="22">
        <v>-1.6638199999999999E-2</v>
      </c>
      <c r="BB140" s="22">
        <v>130</v>
      </c>
      <c r="BC140" s="22">
        <v>0.55471800000000004</v>
      </c>
      <c r="BD140">
        <f t="shared" ref="BD140:BD203" si="34">-BA140/$F$2*1000</f>
        <v>16.638199999999998</v>
      </c>
      <c r="BE140">
        <f t="shared" ref="BE140:BE203" si="35">BD140*AY140</f>
        <v>9.2284940973999987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1.1003099999999999</v>
      </c>
      <c r="H141" s="22">
        <v>50.625399999999999</v>
      </c>
      <c r="I141" s="22">
        <v>-1.6940299999999998E-2</v>
      </c>
      <c r="J141" s="22">
        <v>131</v>
      </c>
      <c r="K141" s="22">
        <v>1.09863</v>
      </c>
      <c r="L141">
        <f t="shared" si="24"/>
        <v>16.940299999999997</v>
      </c>
      <c r="M141">
        <f t="shared" si="25"/>
        <v>18.639581492999994</v>
      </c>
      <c r="N141" s="9"/>
      <c r="O141" s="22">
        <v>0.55969199999999997</v>
      </c>
      <c r="P141" s="22">
        <v>99.868899999999996</v>
      </c>
      <c r="Q141" s="22">
        <v>-1.64551E-2</v>
      </c>
      <c r="R141" s="22">
        <v>131</v>
      </c>
      <c r="S141" s="22">
        <v>0.55859400000000003</v>
      </c>
      <c r="T141">
        <f t="shared" si="26"/>
        <v>16.455100000000002</v>
      </c>
      <c r="U141">
        <f t="shared" si="27"/>
        <v>9.2097878291999997</v>
      </c>
      <c r="X141" s="9"/>
      <c r="Y141" s="22">
        <v>1.1003099999999999</v>
      </c>
      <c r="Z141" s="22">
        <v>149.27099999999999</v>
      </c>
      <c r="AA141" s="22">
        <v>-1.6912799999999999E-2</v>
      </c>
      <c r="AB141" s="22">
        <v>131</v>
      </c>
      <c r="AC141" s="22">
        <v>1.09894</v>
      </c>
      <c r="AD141">
        <f t="shared" si="28"/>
        <v>16.912799999999997</v>
      </c>
      <c r="AE141">
        <f t="shared" si="29"/>
        <v>18.609322967999994</v>
      </c>
      <c r="AF141" s="9"/>
      <c r="AG141" s="22">
        <v>0.55969199999999997</v>
      </c>
      <c r="AH141" s="22">
        <v>198.63800000000001</v>
      </c>
      <c r="AI141" s="22">
        <v>-1.6567999999999999E-2</v>
      </c>
      <c r="AJ141" s="22">
        <v>131</v>
      </c>
      <c r="AK141" s="22">
        <v>0.55877699999999997</v>
      </c>
      <c r="AL141">
        <f t="shared" si="30"/>
        <v>16.567999999999998</v>
      </c>
      <c r="AM141">
        <f t="shared" si="31"/>
        <v>9.2729770559999984</v>
      </c>
      <c r="AP141" s="9"/>
      <c r="AQ141" s="22">
        <v>1.1003099999999999</v>
      </c>
      <c r="AR141" s="22">
        <v>247.92</v>
      </c>
      <c r="AS141" s="22">
        <v>-1.6912799999999999E-2</v>
      </c>
      <c r="AT141" s="22">
        <v>131</v>
      </c>
      <c r="AU141" s="22">
        <v>1.09924</v>
      </c>
      <c r="AV141">
        <f t="shared" si="32"/>
        <v>16.912799999999997</v>
      </c>
      <c r="AW141">
        <f t="shared" si="33"/>
        <v>18.609322967999994</v>
      </c>
      <c r="AX141" s="9"/>
      <c r="AY141" s="22">
        <v>0.55969199999999997</v>
      </c>
      <c r="AZ141" s="22">
        <v>297.28699999999998</v>
      </c>
      <c r="BA141" s="22">
        <v>-1.6629000000000001E-2</v>
      </c>
      <c r="BB141" s="22">
        <v>131</v>
      </c>
      <c r="BC141" s="22">
        <v>0.55896000000000001</v>
      </c>
      <c r="BD141">
        <f t="shared" si="34"/>
        <v>16.629000000000001</v>
      </c>
      <c r="BE141">
        <f t="shared" si="35"/>
        <v>9.307118268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1.09528</v>
      </c>
      <c r="H142" s="22">
        <v>50.6355</v>
      </c>
      <c r="I142" s="22">
        <v>-1.69464E-2</v>
      </c>
      <c r="J142" s="22">
        <v>132</v>
      </c>
      <c r="K142" s="22">
        <v>1.09406</v>
      </c>
      <c r="L142">
        <f t="shared" si="24"/>
        <v>16.946400000000001</v>
      </c>
      <c r="M142">
        <f t="shared" si="25"/>
        <v>18.561052992</v>
      </c>
      <c r="N142" s="9"/>
      <c r="O142" s="22">
        <v>0.56472800000000001</v>
      </c>
      <c r="P142" s="22">
        <v>99.878900000000002</v>
      </c>
      <c r="Q142" s="22">
        <v>-1.6522200000000001E-2</v>
      </c>
      <c r="R142" s="22">
        <v>132</v>
      </c>
      <c r="S142" s="22">
        <v>0.56488000000000005</v>
      </c>
      <c r="T142">
        <f t="shared" si="26"/>
        <v>16.522200000000002</v>
      </c>
      <c r="U142">
        <f t="shared" si="27"/>
        <v>9.3305489616000017</v>
      </c>
      <c r="X142" s="9"/>
      <c r="Y142" s="22">
        <v>1.09528</v>
      </c>
      <c r="Z142" s="22">
        <v>149.28100000000001</v>
      </c>
      <c r="AA142" s="22">
        <v>-1.6912799999999999E-2</v>
      </c>
      <c r="AB142" s="22">
        <v>132</v>
      </c>
      <c r="AC142" s="22">
        <v>1.09467</v>
      </c>
      <c r="AD142">
        <f t="shared" si="28"/>
        <v>16.912799999999997</v>
      </c>
      <c r="AE142">
        <f t="shared" si="29"/>
        <v>18.524251583999998</v>
      </c>
      <c r="AF142" s="9"/>
      <c r="AG142" s="22">
        <v>0.56472800000000001</v>
      </c>
      <c r="AH142" s="22">
        <v>198.648</v>
      </c>
      <c r="AI142" s="22">
        <v>-1.6577100000000001E-2</v>
      </c>
      <c r="AJ142" s="22">
        <v>132</v>
      </c>
      <c r="AK142" s="22">
        <v>0.56417799999999996</v>
      </c>
      <c r="AL142">
        <f t="shared" si="30"/>
        <v>16.577100000000002</v>
      </c>
      <c r="AM142">
        <f t="shared" si="31"/>
        <v>9.3615525288000008</v>
      </c>
      <c r="AP142" s="9"/>
      <c r="AQ142" s="22">
        <v>1.09528</v>
      </c>
      <c r="AR142" s="22">
        <v>247.93</v>
      </c>
      <c r="AS142" s="22">
        <v>-1.6922E-2</v>
      </c>
      <c r="AT142" s="22">
        <v>132</v>
      </c>
      <c r="AU142" s="22">
        <v>1.09497</v>
      </c>
      <c r="AV142">
        <f t="shared" si="32"/>
        <v>16.922000000000001</v>
      </c>
      <c r="AW142">
        <f t="shared" si="33"/>
        <v>18.534328160000001</v>
      </c>
      <c r="AX142" s="9"/>
      <c r="AY142" s="22">
        <v>0.56472800000000001</v>
      </c>
      <c r="AZ142" s="22">
        <v>297.29700000000003</v>
      </c>
      <c r="BA142" s="22">
        <v>-1.6625999999999998E-2</v>
      </c>
      <c r="BB142" s="22">
        <v>132</v>
      </c>
      <c r="BC142" s="22">
        <v>0.56533800000000001</v>
      </c>
      <c r="BD142">
        <f t="shared" si="34"/>
        <v>16.625999999999998</v>
      </c>
      <c r="BE142">
        <f t="shared" si="35"/>
        <v>9.3891677279999985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1.0902400000000001</v>
      </c>
      <c r="H143" s="22">
        <v>50.645600000000002</v>
      </c>
      <c r="I143" s="22">
        <v>-1.6955600000000001E-2</v>
      </c>
      <c r="J143" s="22">
        <v>133</v>
      </c>
      <c r="K143" s="22">
        <v>1.08978</v>
      </c>
      <c r="L143">
        <f t="shared" si="24"/>
        <v>16.9556</v>
      </c>
      <c r="M143">
        <f t="shared" si="25"/>
        <v>18.485673344000002</v>
      </c>
      <c r="N143" s="9"/>
      <c r="O143" s="22">
        <v>0.56976300000000002</v>
      </c>
      <c r="P143" s="22">
        <v>99.888999999999996</v>
      </c>
      <c r="Q143" s="22">
        <v>-1.6461199999999999E-2</v>
      </c>
      <c r="R143" s="22">
        <v>133</v>
      </c>
      <c r="S143" s="22">
        <v>0.56973300000000004</v>
      </c>
      <c r="T143">
        <f t="shared" si="26"/>
        <v>16.461199999999998</v>
      </c>
      <c r="U143">
        <f t="shared" si="27"/>
        <v>9.3789826955999995</v>
      </c>
      <c r="X143" s="9"/>
      <c r="Y143" s="22">
        <v>1.0902400000000001</v>
      </c>
      <c r="Z143" s="22">
        <v>149.291</v>
      </c>
      <c r="AA143" s="22">
        <v>-1.6915900000000001E-2</v>
      </c>
      <c r="AB143" s="22">
        <v>133</v>
      </c>
      <c r="AC143" s="22">
        <v>1.08948</v>
      </c>
      <c r="AD143">
        <f t="shared" si="28"/>
        <v>16.915900000000001</v>
      </c>
      <c r="AE143">
        <f t="shared" si="29"/>
        <v>18.442390816000003</v>
      </c>
      <c r="AF143" s="9"/>
      <c r="AG143" s="22">
        <v>0.56976300000000002</v>
      </c>
      <c r="AH143" s="22">
        <v>198.65799999999999</v>
      </c>
      <c r="AI143" s="22">
        <v>-1.65649E-2</v>
      </c>
      <c r="AJ143" s="22">
        <v>133</v>
      </c>
      <c r="AK143" s="22">
        <v>0.568268</v>
      </c>
      <c r="AL143">
        <f t="shared" si="30"/>
        <v>16.564900000000002</v>
      </c>
      <c r="AM143">
        <f t="shared" si="31"/>
        <v>9.4380671187000011</v>
      </c>
      <c r="AP143" s="9"/>
      <c r="AQ143" s="22">
        <v>1.0902400000000001</v>
      </c>
      <c r="AR143" s="22">
        <v>247.94</v>
      </c>
      <c r="AS143" s="22">
        <v>-1.6928100000000001E-2</v>
      </c>
      <c r="AT143" s="22">
        <v>133</v>
      </c>
      <c r="AU143" s="22">
        <v>1.08917</v>
      </c>
      <c r="AV143">
        <f t="shared" si="32"/>
        <v>16.928100000000001</v>
      </c>
      <c r="AW143">
        <f t="shared" si="33"/>
        <v>18.455691744000003</v>
      </c>
      <c r="AX143" s="9"/>
      <c r="AY143" s="22">
        <v>0.56976300000000002</v>
      </c>
      <c r="AZ143" s="22">
        <v>297.30700000000002</v>
      </c>
      <c r="BA143" s="22">
        <v>-1.6616800000000001E-2</v>
      </c>
      <c r="BB143" s="22">
        <v>133</v>
      </c>
      <c r="BC143" s="22">
        <v>0.56961099999999998</v>
      </c>
      <c r="BD143">
        <f t="shared" si="34"/>
        <v>16.616800000000001</v>
      </c>
      <c r="BE143">
        <f t="shared" si="35"/>
        <v>9.4676378184000018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1.08521</v>
      </c>
      <c r="H144" s="22">
        <v>50.655700000000003</v>
      </c>
      <c r="I144" s="22">
        <v>-1.6958600000000001E-2</v>
      </c>
      <c r="J144" s="22">
        <v>134</v>
      </c>
      <c r="K144" s="22">
        <v>1.0839799999999999</v>
      </c>
      <c r="L144">
        <f t="shared" si="24"/>
        <v>16.958600000000001</v>
      </c>
      <c r="M144">
        <f t="shared" si="25"/>
        <v>18.403642306000002</v>
      </c>
      <c r="N144" s="9"/>
      <c r="O144" s="22">
        <v>0.57479899999999995</v>
      </c>
      <c r="P144" s="22">
        <v>99.899100000000004</v>
      </c>
      <c r="Q144" s="22">
        <v>-1.6656500000000001E-2</v>
      </c>
      <c r="R144" s="22">
        <v>134</v>
      </c>
      <c r="S144" s="22">
        <v>0.58117700000000005</v>
      </c>
      <c r="T144">
        <f t="shared" si="26"/>
        <v>16.656500000000001</v>
      </c>
      <c r="U144">
        <f t="shared" si="27"/>
        <v>9.5741395434999994</v>
      </c>
      <c r="X144" s="9"/>
      <c r="Y144" s="22">
        <v>1.08521</v>
      </c>
      <c r="Z144" s="22">
        <v>149.30199999999999</v>
      </c>
      <c r="AA144" s="22">
        <v>-1.6922E-2</v>
      </c>
      <c r="AB144" s="22">
        <v>134</v>
      </c>
      <c r="AC144" s="22">
        <v>1.0833699999999999</v>
      </c>
      <c r="AD144">
        <f t="shared" si="28"/>
        <v>16.922000000000001</v>
      </c>
      <c r="AE144">
        <f t="shared" si="29"/>
        <v>18.363923620000001</v>
      </c>
      <c r="AF144" s="9"/>
      <c r="AG144" s="22">
        <v>0.57479899999999995</v>
      </c>
      <c r="AH144" s="22">
        <v>198.66800000000001</v>
      </c>
      <c r="AI144" s="22">
        <v>-1.6549700000000001E-2</v>
      </c>
      <c r="AJ144" s="22">
        <v>134</v>
      </c>
      <c r="AK144" s="22">
        <v>0.57482900000000003</v>
      </c>
      <c r="AL144">
        <f t="shared" si="30"/>
        <v>16.549700000000001</v>
      </c>
      <c r="AM144">
        <f t="shared" si="31"/>
        <v>9.5127510103000006</v>
      </c>
      <c r="AP144" s="9"/>
      <c r="AQ144" s="22">
        <v>1.08521</v>
      </c>
      <c r="AR144" s="22">
        <v>247.95</v>
      </c>
      <c r="AS144" s="22">
        <v>-1.69312E-2</v>
      </c>
      <c r="AT144" s="22">
        <v>134</v>
      </c>
      <c r="AU144" s="22">
        <v>1.08368</v>
      </c>
      <c r="AV144">
        <f t="shared" si="32"/>
        <v>16.9312</v>
      </c>
      <c r="AW144">
        <f t="shared" si="33"/>
        <v>18.373907552000002</v>
      </c>
      <c r="AX144" s="9"/>
      <c r="AY144" s="22">
        <v>0.57479899999999995</v>
      </c>
      <c r="AZ144" s="22">
        <v>297.31700000000001</v>
      </c>
      <c r="BA144" s="22">
        <v>-1.6604600000000001E-2</v>
      </c>
      <c r="BB144" s="22">
        <v>134</v>
      </c>
      <c r="BC144" s="22">
        <v>0.57369999999999999</v>
      </c>
      <c r="BD144">
        <f t="shared" si="34"/>
        <v>16.604600000000001</v>
      </c>
      <c r="BE144">
        <f t="shared" si="35"/>
        <v>9.5443074754000001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1.0801700000000001</v>
      </c>
      <c r="H145" s="22">
        <v>50.665700000000001</v>
      </c>
      <c r="I145" s="22">
        <v>-1.6955600000000001E-2</v>
      </c>
      <c r="J145" s="22">
        <v>135</v>
      </c>
      <c r="K145" s="22">
        <v>1.0797099999999999</v>
      </c>
      <c r="L145">
        <f t="shared" si="24"/>
        <v>16.9556</v>
      </c>
      <c r="M145">
        <f t="shared" si="25"/>
        <v>18.314930452000002</v>
      </c>
      <c r="N145" s="9"/>
      <c r="O145" s="22">
        <v>0.57983399999999996</v>
      </c>
      <c r="P145" s="22">
        <v>99.909099999999995</v>
      </c>
      <c r="Q145" s="22">
        <v>-1.6570999999999999E-2</v>
      </c>
      <c r="R145" s="22">
        <v>135</v>
      </c>
      <c r="S145" s="22">
        <v>0.56848100000000001</v>
      </c>
      <c r="T145">
        <f t="shared" si="26"/>
        <v>16.570999999999998</v>
      </c>
      <c r="U145">
        <f t="shared" si="27"/>
        <v>9.6084292139999974</v>
      </c>
      <c r="X145" s="9"/>
      <c r="Y145" s="22">
        <v>1.0801700000000001</v>
      </c>
      <c r="Z145" s="22">
        <v>149.31200000000001</v>
      </c>
      <c r="AA145" s="22">
        <v>-1.6924999999999999E-2</v>
      </c>
      <c r="AB145" s="22">
        <v>135</v>
      </c>
      <c r="AC145" s="22">
        <v>1.0790999999999999</v>
      </c>
      <c r="AD145">
        <f t="shared" si="28"/>
        <v>16.925000000000001</v>
      </c>
      <c r="AE145">
        <f t="shared" si="29"/>
        <v>18.281877250000001</v>
      </c>
      <c r="AF145" s="9"/>
      <c r="AG145" s="22">
        <v>0.57983399999999996</v>
      </c>
      <c r="AH145" s="22">
        <v>198.678</v>
      </c>
      <c r="AI145" s="22">
        <v>-1.6543599999999999E-2</v>
      </c>
      <c r="AJ145" s="22">
        <v>135</v>
      </c>
      <c r="AK145" s="22">
        <v>0.57885699999999995</v>
      </c>
      <c r="AL145">
        <f t="shared" si="30"/>
        <v>16.543599999999998</v>
      </c>
      <c r="AM145">
        <f t="shared" si="31"/>
        <v>9.592541762399998</v>
      </c>
      <c r="AP145" s="9"/>
      <c r="AQ145" s="22">
        <v>1.0801700000000001</v>
      </c>
      <c r="AR145" s="22">
        <v>247.96</v>
      </c>
      <c r="AS145" s="22">
        <v>-1.6937299999999999E-2</v>
      </c>
      <c r="AT145" s="22">
        <v>135</v>
      </c>
      <c r="AU145" s="22">
        <v>1.07941</v>
      </c>
      <c r="AV145">
        <f t="shared" si="32"/>
        <v>16.9373</v>
      </c>
      <c r="AW145">
        <f t="shared" si="33"/>
        <v>18.295163341000002</v>
      </c>
      <c r="AX145" s="9"/>
      <c r="AY145" s="22">
        <v>0.57983399999999996</v>
      </c>
      <c r="AZ145" s="22">
        <v>297.327</v>
      </c>
      <c r="BA145" s="22">
        <v>-1.6598499999999999E-2</v>
      </c>
      <c r="BB145" s="22">
        <v>135</v>
      </c>
      <c r="BC145" s="22">
        <v>0.57882699999999998</v>
      </c>
      <c r="BD145">
        <f t="shared" si="34"/>
        <v>16.598499999999998</v>
      </c>
      <c r="BE145">
        <f t="shared" si="35"/>
        <v>9.6243746489999982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1.0751299999999999</v>
      </c>
      <c r="H146" s="22">
        <v>50.675800000000002</v>
      </c>
      <c r="I146" s="22">
        <v>-1.69617E-2</v>
      </c>
      <c r="J146" s="22">
        <v>136</v>
      </c>
      <c r="K146" s="22">
        <v>1.07361</v>
      </c>
      <c r="L146">
        <f t="shared" si="24"/>
        <v>16.9617</v>
      </c>
      <c r="M146">
        <f t="shared" si="25"/>
        <v>18.236032520999998</v>
      </c>
      <c r="N146" s="9"/>
      <c r="O146" s="22">
        <v>0.58486899999999997</v>
      </c>
      <c r="P146" s="22">
        <v>99.919200000000004</v>
      </c>
      <c r="Q146" s="22">
        <v>-1.65802E-2</v>
      </c>
      <c r="R146" s="22">
        <v>136</v>
      </c>
      <c r="S146" s="22">
        <v>0.57852199999999998</v>
      </c>
      <c r="T146">
        <f t="shared" si="26"/>
        <v>16.580200000000001</v>
      </c>
      <c r="U146">
        <f t="shared" si="27"/>
        <v>9.6972449938</v>
      </c>
      <c r="X146" s="9"/>
      <c r="Y146" s="22">
        <v>1.0751299999999999</v>
      </c>
      <c r="Z146" s="22">
        <v>149.322</v>
      </c>
      <c r="AA146" s="22">
        <v>-1.6924999999999999E-2</v>
      </c>
      <c r="AB146" s="22">
        <v>136</v>
      </c>
      <c r="AC146" s="22">
        <v>1.07422</v>
      </c>
      <c r="AD146">
        <f t="shared" si="28"/>
        <v>16.925000000000001</v>
      </c>
      <c r="AE146">
        <f t="shared" si="29"/>
        <v>18.196575249999999</v>
      </c>
      <c r="AF146" s="9"/>
      <c r="AG146" s="22">
        <v>0.58486899999999997</v>
      </c>
      <c r="AH146" s="22">
        <v>198.68799999999999</v>
      </c>
      <c r="AI146" s="22">
        <v>-1.6491700000000001E-2</v>
      </c>
      <c r="AJ146" s="22">
        <v>136</v>
      </c>
      <c r="AK146" s="22">
        <v>0.58416699999999999</v>
      </c>
      <c r="AL146">
        <f t="shared" si="30"/>
        <v>16.491700000000002</v>
      </c>
      <c r="AM146">
        <f t="shared" si="31"/>
        <v>9.6454840872999998</v>
      </c>
      <c r="AP146" s="9"/>
      <c r="AQ146" s="22">
        <v>1.0751299999999999</v>
      </c>
      <c r="AR146" s="22">
        <v>247.971</v>
      </c>
      <c r="AS146" s="22">
        <v>-1.6940299999999998E-2</v>
      </c>
      <c r="AT146" s="22">
        <v>136</v>
      </c>
      <c r="AU146" s="22">
        <v>1.0739099999999999</v>
      </c>
      <c r="AV146">
        <f t="shared" si="32"/>
        <v>16.940299999999997</v>
      </c>
      <c r="AW146">
        <f t="shared" si="33"/>
        <v>18.213024738999994</v>
      </c>
      <c r="AX146" s="9"/>
      <c r="AY146" s="22">
        <v>0.58486899999999997</v>
      </c>
      <c r="AZ146" s="22">
        <v>297.33699999999999</v>
      </c>
      <c r="BA146" s="22">
        <v>-1.6583299999999999E-2</v>
      </c>
      <c r="BB146" s="22">
        <v>136</v>
      </c>
      <c r="BC146" s="22">
        <v>0.58428999999999998</v>
      </c>
      <c r="BD146">
        <f t="shared" si="34"/>
        <v>16.583299999999998</v>
      </c>
      <c r="BE146">
        <f t="shared" si="35"/>
        <v>9.6990580876999974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1.0701000000000001</v>
      </c>
      <c r="H147" s="22">
        <v>50.685899999999997</v>
      </c>
      <c r="I147" s="22">
        <v>-1.6964699999999999E-2</v>
      </c>
      <c r="J147" s="22">
        <v>137</v>
      </c>
      <c r="K147" s="22">
        <v>1.0690299999999999</v>
      </c>
      <c r="L147">
        <f t="shared" si="24"/>
        <v>16.964700000000001</v>
      </c>
      <c r="M147">
        <f t="shared" si="25"/>
        <v>18.153925470000001</v>
      </c>
      <c r="N147" s="9"/>
      <c r="O147" s="22">
        <v>0.58990500000000001</v>
      </c>
      <c r="P147" s="22">
        <v>99.929299999999998</v>
      </c>
      <c r="Q147" s="22">
        <v>-1.65253E-2</v>
      </c>
      <c r="R147" s="22">
        <v>137</v>
      </c>
      <c r="S147" s="22">
        <v>0.59552000000000005</v>
      </c>
      <c r="T147">
        <f t="shared" si="26"/>
        <v>16.525300000000001</v>
      </c>
      <c r="U147">
        <f t="shared" si="27"/>
        <v>9.7483570965000013</v>
      </c>
      <c r="X147" s="9"/>
      <c r="Y147" s="22">
        <v>1.0701000000000001</v>
      </c>
      <c r="Z147" s="22">
        <v>149.33199999999999</v>
      </c>
      <c r="AA147" s="22">
        <v>-1.6928100000000001E-2</v>
      </c>
      <c r="AB147" s="22">
        <v>137</v>
      </c>
      <c r="AC147" s="22">
        <v>1.06934</v>
      </c>
      <c r="AD147">
        <f t="shared" si="28"/>
        <v>16.928100000000001</v>
      </c>
      <c r="AE147">
        <f t="shared" si="29"/>
        <v>18.114759810000002</v>
      </c>
      <c r="AF147" s="9"/>
      <c r="AG147" s="22">
        <v>0.58990500000000001</v>
      </c>
      <c r="AH147" s="22">
        <v>198.69800000000001</v>
      </c>
      <c r="AI147" s="22">
        <v>-1.64581E-2</v>
      </c>
      <c r="AJ147" s="22">
        <v>137</v>
      </c>
      <c r="AK147" s="22">
        <v>0.58877599999999997</v>
      </c>
      <c r="AL147">
        <f t="shared" si="30"/>
        <v>16.458099999999998</v>
      </c>
      <c r="AM147">
        <f t="shared" si="31"/>
        <v>9.7087154804999987</v>
      </c>
      <c r="AP147" s="9"/>
      <c r="AQ147" s="22">
        <v>1.0701000000000001</v>
      </c>
      <c r="AR147" s="22">
        <v>247.98099999999999</v>
      </c>
      <c r="AS147" s="22">
        <v>-1.6940299999999998E-2</v>
      </c>
      <c r="AT147" s="22">
        <v>137</v>
      </c>
      <c r="AU147" s="22">
        <v>1.0696399999999999</v>
      </c>
      <c r="AV147">
        <f t="shared" si="32"/>
        <v>16.940299999999997</v>
      </c>
      <c r="AW147">
        <f t="shared" si="33"/>
        <v>18.127815029999997</v>
      </c>
      <c r="AX147" s="9"/>
      <c r="AY147" s="22">
        <v>0.58990500000000001</v>
      </c>
      <c r="AZ147" s="22">
        <v>297.34699999999998</v>
      </c>
      <c r="BA147" s="22">
        <v>-1.6574100000000001E-2</v>
      </c>
      <c r="BB147" s="22">
        <v>137</v>
      </c>
      <c r="BC147" s="22">
        <v>0.58911100000000005</v>
      </c>
      <c r="BD147">
        <f t="shared" si="34"/>
        <v>16.574100000000001</v>
      </c>
      <c r="BE147">
        <f t="shared" si="35"/>
        <v>9.7771444605000006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1.0650599999999999</v>
      </c>
      <c r="H148" s="22">
        <v>50.695900000000002</v>
      </c>
      <c r="I148" s="22">
        <v>-1.6964699999999999E-2</v>
      </c>
      <c r="J148" s="22">
        <v>138</v>
      </c>
      <c r="K148" s="22">
        <v>1.0638399999999999</v>
      </c>
      <c r="L148">
        <f t="shared" si="24"/>
        <v>16.964700000000001</v>
      </c>
      <c r="M148">
        <f t="shared" si="25"/>
        <v>18.068423381999999</v>
      </c>
      <c r="N148" s="9"/>
      <c r="O148" s="22">
        <v>0.59494000000000002</v>
      </c>
      <c r="P148" s="22">
        <v>99.939400000000006</v>
      </c>
      <c r="Q148" s="22">
        <v>-1.6439800000000001E-2</v>
      </c>
      <c r="R148" s="22">
        <v>138</v>
      </c>
      <c r="S148" s="22">
        <v>0.59326199999999996</v>
      </c>
      <c r="T148">
        <f t="shared" si="26"/>
        <v>16.439800000000002</v>
      </c>
      <c r="U148">
        <f t="shared" si="27"/>
        <v>9.7806946120000013</v>
      </c>
      <c r="X148" s="9"/>
      <c r="Y148" s="22">
        <v>1.0650599999999999</v>
      </c>
      <c r="Z148" s="22">
        <v>149.34200000000001</v>
      </c>
      <c r="AA148" s="22">
        <v>-1.69342E-2</v>
      </c>
      <c r="AB148" s="22">
        <v>138</v>
      </c>
      <c r="AC148" s="22">
        <v>1.0644499999999999</v>
      </c>
      <c r="AD148">
        <f t="shared" si="28"/>
        <v>16.934200000000001</v>
      </c>
      <c r="AE148">
        <f t="shared" si="29"/>
        <v>18.035939052</v>
      </c>
      <c r="AF148" s="9"/>
      <c r="AG148" s="22">
        <v>0.59494000000000002</v>
      </c>
      <c r="AH148" s="22">
        <v>198.708</v>
      </c>
      <c r="AI148" s="22">
        <v>-1.6427600000000001E-2</v>
      </c>
      <c r="AJ148" s="22">
        <v>138</v>
      </c>
      <c r="AK148" s="22">
        <v>0.593719</v>
      </c>
      <c r="AL148">
        <f t="shared" si="30"/>
        <v>16.427600000000002</v>
      </c>
      <c r="AM148">
        <f t="shared" si="31"/>
        <v>9.7734363440000021</v>
      </c>
      <c r="AP148" s="9"/>
      <c r="AQ148" s="22">
        <v>1.0650599999999999</v>
      </c>
      <c r="AR148" s="22">
        <v>247.99100000000001</v>
      </c>
      <c r="AS148" s="22">
        <v>-1.69464E-2</v>
      </c>
      <c r="AT148" s="22">
        <v>138</v>
      </c>
      <c r="AU148" s="22">
        <v>1.0647599999999999</v>
      </c>
      <c r="AV148">
        <f t="shared" si="32"/>
        <v>16.946400000000001</v>
      </c>
      <c r="AW148">
        <f t="shared" si="33"/>
        <v>18.048932783999998</v>
      </c>
      <c r="AX148" s="9"/>
      <c r="AY148" s="22">
        <v>0.59494000000000002</v>
      </c>
      <c r="AZ148" s="22">
        <v>297.35700000000003</v>
      </c>
      <c r="BA148" s="22">
        <v>-1.6555799999999999E-2</v>
      </c>
      <c r="BB148" s="22">
        <v>138</v>
      </c>
      <c r="BC148" s="22">
        <v>0.59466600000000003</v>
      </c>
      <c r="BD148">
        <f t="shared" si="34"/>
        <v>16.555799999999998</v>
      </c>
      <c r="BE148">
        <f t="shared" si="35"/>
        <v>9.8497076519999993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1.06003</v>
      </c>
      <c r="H149" s="22">
        <v>50.706000000000003</v>
      </c>
      <c r="I149" s="22">
        <v>-1.6967800000000002E-2</v>
      </c>
      <c r="J149" s="22">
        <v>139</v>
      </c>
      <c r="K149" s="22">
        <v>1.0583499999999999</v>
      </c>
      <c r="L149">
        <f t="shared" si="24"/>
        <v>16.9678</v>
      </c>
      <c r="M149">
        <f t="shared" si="25"/>
        <v>17.986377034</v>
      </c>
      <c r="N149" s="9"/>
      <c r="O149" s="22">
        <v>0.59997599999999995</v>
      </c>
      <c r="P149" s="22">
        <v>99.949399999999997</v>
      </c>
      <c r="Q149" s="22">
        <v>-1.64948E-2</v>
      </c>
      <c r="R149" s="22">
        <v>139</v>
      </c>
      <c r="S149" s="22">
        <v>0.60143999999999997</v>
      </c>
      <c r="T149">
        <f t="shared" si="26"/>
        <v>16.494800000000001</v>
      </c>
      <c r="U149">
        <f t="shared" si="27"/>
        <v>9.8964841248000006</v>
      </c>
      <c r="X149" s="9"/>
      <c r="Y149" s="22">
        <v>1.06003</v>
      </c>
      <c r="Z149" s="22">
        <v>149.352</v>
      </c>
      <c r="AA149" s="22">
        <v>-1.6940299999999998E-2</v>
      </c>
      <c r="AB149" s="22">
        <v>139</v>
      </c>
      <c r="AC149" s="22">
        <v>1.0598799999999999</v>
      </c>
      <c r="AD149">
        <f t="shared" si="28"/>
        <v>16.940299999999997</v>
      </c>
      <c r="AE149">
        <f t="shared" si="29"/>
        <v>17.957226208999998</v>
      </c>
      <c r="AF149" s="9"/>
      <c r="AG149" s="22">
        <v>0.59997599999999995</v>
      </c>
      <c r="AH149" s="22">
        <v>198.71799999999999</v>
      </c>
      <c r="AI149" s="22">
        <v>-1.6400100000000001E-2</v>
      </c>
      <c r="AJ149" s="22">
        <v>139</v>
      </c>
      <c r="AK149" s="22">
        <v>0.59881600000000001</v>
      </c>
      <c r="AL149">
        <f t="shared" si="30"/>
        <v>16.400100000000002</v>
      </c>
      <c r="AM149">
        <f t="shared" si="31"/>
        <v>9.8396663976000003</v>
      </c>
      <c r="AP149" s="9"/>
      <c r="AQ149" s="22">
        <v>1.06003</v>
      </c>
      <c r="AR149" s="22">
        <v>248.001</v>
      </c>
      <c r="AS149" s="22">
        <v>-1.6952499999999999E-2</v>
      </c>
      <c r="AT149" s="22">
        <v>139</v>
      </c>
      <c r="AU149" s="22">
        <v>1.0589599999999999</v>
      </c>
      <c r="AV149">
        <f t="shared" si="32"/>
        <v>16.952500000000001</v>
      </c>
      <c r="AW149">
        <f t="shared" si="33"/>
        <v>17.970158575000003</v>
      </c>
      <c r="AX149" s="9"/>
      <c r="AY149" s="22">
        <v>0.59997599999999995</v>
      </c>
      <c r="AZ149" s="22">
        <v>297.36700000000002</v>
      </c>
      <c r="BA149" s="22">
        <v>-1.6531400000000002E-2</v>
      </c>
      <c r="BB149" s="22">
        <v>139</v>
      </c>
      <c r="BC149" s="22">
        <v>0.59924299999999997</v>
      </c>
      <c r="BD149">
        <f t="shared" si="34"/>
        <v>16.531400000000001</v>
      </c>
      <c r="BE149">
        <f t="shared" si="35"/>
        <v>9.9184432464000007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1.0549900000000001</v>
      </c>
      <c r="H150" s="22">
        <v>50.716099999999997</v>
      </c>
      <c r="I150" s="22">
        <v>-1.69739E-2</v>
      </c>
      <c r="J150" s="22">
        <v>140</v>
      </c>
      <c r="K150" s="22">
        <v>1.0540799999999999</v>
      </c>
      <c r="L150">
        <f t="shared" si="24"/>
        <v>16.9739</v>
      </c>
      <c r="M150">
        <f t="shared" si="25"/>
        <v>17.907294761000003</v>
      </c>
      <c r="N150" s="9"/>
      <c r="O150" s="22">
        <v>0.60501099999999997</v>
      </c>
      <c r="P150" s="22">
        <v>99.959500000000006</v>
      </c>
      <c r="Q150" s="22">
        <v>-1.6452000000000001E-2</v>
      </c>
      <c r="R150" s="22">
        <v>140</v>
      </c>
      <c r="S150" s="22">
        <v>0.60278299999999996</v>
      </c>
      <c r="T150">
        <f t="shared" si="26"/>
        <v>16.452000000000002</v>
      </c>
      <c r="U150">
        <f t="shared" si="27"/>
        <v>9.9536409720000005</v>
      </c>
      <c r="X150" s="9"/>
      <c r="Y150" s="22">
        <v>1.0549900000000001</v>
      </c>
      <c r="Z150" s="22">
        <v>149.36199999999999</v>
      </c>
      <c r="AA150" s="22">
        <v>-1.6940299999999998E-2</v>
      </c>
      <c r="AB150" s="22">
        <v>140</v>
      </c>
      <c r="AC150" s="22">
        <v>1.0540799999999999</v>
      </c>
      <c r="AD150">
        <f t="shared" si="28"/>
        <v>16.940299999999997</v>
      </c>
      <c r="AE150">
        <f t="shared" si="29"/>
        <v>17.871847097</v>
      </c>
      <c r="AF150" s="9"/>
      <c r="AG150" s="22">
        <v>0.60501099999999997</v>
      </c>
      <c r="AH150" s="22">
        <v>198.72800000000001</v>
      </c>
      <c r="AI150" s="22">
        <v>-1.63635E-2</v>
      </c>
      <c r="AJ150" s="22">
        <v>140</v>
      </c>
      <c r="AK150" s="22">
        <v>0.60397299999999998</v>
      </c>
      <c r="AL150">
        <f t="shared" si="30"/>
        <v>16.363499999999998</v>
      </c>
      <c r="AM150">
        <f t="shared" si="31"/>
        <v>9.9000974984999992</v>
      </c>
      <c r="AP150" s="9"/>
      <c r="AQ150" s="22">
        <v>1.0549900000000001</v>
      </c>
      <c r="AR150" s="22">
        <v>248.011</v>
      </c>
      <c r="AS150" s="22">
        <v>-1.6955600000000001E-2</v>
      </c>
      <c r="AT150" s="22">
        <v>140</v>
      </c>
      <c r="AU150" s="22">
        <v>1.0543800000000001</v>
      </c>
      <c r="AV150">
        <f t="shared" si="32"/>
        <v>16.9556</v>
      </c>
      <c r="AW150">
        <f t="shared" si="33"/>
        <v>17.887988444000001</v>
      </c>
      <c r="AX150" s="9"/>
      <c r="AY150" s="22">
        <v>0.60501099999999997</v>
      </c>
      <c r="AZ150" s="22">
        <v>297.37700000000001</v>
      </c>
      <c r="BA150" s="22">
        <v>-1.6522200000000001E-2</v>
      </c>
      <c r="BB150" s="22">
        <v>140</v>
      </c>
      <c r="BC150" s="22">
        <v>0.60467499999999996</v>
      </c>
      <c r="BD150">
        <f t="shared" si="34"/>
        <v>16.522200000000002</v>
      </c>
      <c r="BE150">
        <f t="shared" si="35"/>
        <v>9.9961127441999995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1.04996</v>
      </c>
      <c r="H151" s="22">
        <v>50.726199999999999</v>
      </c>
      <c r="I151" s="22">
        <v>-1.69769E-2</v>
      </c>
      <c r="J151" s="22">
        <v>141</v>
      </c>
      <c r="K151" s="22">
        <v>1.0491900000000001</v>
      </c>
      <c r="L151">
        <f t="shared" si="24"/>
        <v>16.976900000000001</v>
      </c>
      <c r="M151">
        <f t="shared" si="25"/>
        <v>17.825065924</v>
      </c>
      <c r="N151" s="9"/>
      <c r="O151" s="22">
        <v>0.61004599999999998</v>
      </c>
      <c r="P151" s="22">
        <v>99.9696</v>
      </c>
      <c r="Q151" s="22">
        <v>-1.63208E-2</v>
      </c>
      <c r="R151" s="22">
        <v>141</v>
      </c>
      <c r="S151" s="22">
        <v>0.61285400000000001</v>
      </c>
      <c r="T151">
        <f t="shared" si="26"/>
        <v>16.320799999999998</v>
      </c>
      <c r="U151">
        <f t="shared" si="27"/>
        <v>9.956438756799999</v>
      </c>
      <c r="X151" s="9"/>
      <c r="Y151" s="22">
        <v>1.04996</v>
      </c>
      <c r="Z151" s="22">
        <v>149.37200000000001</v>
      </c>
      <c r="AA151" s="22">
        <v>-1.6940299999999998E-2</v>
      </c>
      <c r="AB151" s="22">
        <v>141</v>
      </c>
      <c r="AC151" s="22">
        <v>1.0491900000000001</v>
      </c>
      <c r="AD151">
        <f t="shared" si="28"/>
        <v>16.940299999999997</v>
      </c>
      <c r="AE151">
        <f t="shared" si="29"/>
        <v>17.786637387999995</v>
      </c>
      <c r="AF151" s="9"/>
      <c r="AG151" s="22">
        <v>0.61004599999999998</v>
      </c>
      <c r="AH151" s="22">
        <v>198.738</v>
      </c>
      <c r="AI151" s="22">
        <v>-1.6326899999999998E-2</v>
      </c>
      <c r="AJ151" s="22">
        <v>141</v>
      </c>
      <c r="AK151" s="22">
        <v>0.60961900000000002</v>
      </c>
      <c r="AL151">
        <f t="shared" si="30"/>
        <v>16.326899999999998</v>
      </c>
      <c r="AM151">
        <f t="shared" si="31"/>
        <v>9.9601600373999979</v>
      </c>
      <c r="AP151" s="9"/>
      <c r="AQ151" s="22">
        <v>1.04996</v>
      </c>
      <c r="AR151" s="22">
        <v>248.02099999999999</v>
      </c>
      <c r="AS151" s="22">
        <v>-1.6955600000000001E-2</v>
      </c>
      <c r="AT151" s="22">
        <v>141</v>
      </c>
      <c r="AU151" s="22">
        <v>1.0491900000000001</v>
      </c>
      <c r="AV151">
        <f t="shared" si="32"/>
        <v>16.9556</v>
      </c>
      <c r="AW151">
        <f t="shared" si="33"/>
        <v>17.802701775999999</v>
      </c>
      <c r="AX151" s="9"/>
      <c r="AY151" s="22">
        <v>0.61004599999999998</v>
      </c>
      <c r="AZ151" s="22">
        <v>297.387</v>
      </c>
      <c r="BA151" s="22">
        <v>-1.6503899999999998E-2</v>
      </c>
      <c r="BB151" s="22">
        <v>141</v>
      </c>
      <c r="BC151" s="22">
        <v>0.60965000000000003</v>
      </c>
      <c r="BD151">
        <f t="shared" si="34"/>
        <v>16.503899999999998</v>
      </c>
      <c r="BE151">
        <f t="shared" si="35"/>
        <v>10.068138179399998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1.0449200000000001</v>
      </c>
      <c r="H152" s="22">
        <v>50.736199999999997</v>
      </c>
      <c r="I152" s="22">
        <v>-1.6983000000000002E-2</v>
      </c>
      <c r="J152" s="22">
        <v>142</v>
      </c>
      <c r="K152" s="22">
        <v>1.0437000000000001</v>
      </c>
      <c r="L152">
        <f t="shared" si="24"/>
        <v>16.983000000000001</v>
      </c>
      <c r="M152">
        <f t="shared" si="25"/>
        <v>17.74587636</v>
      </c>
      <c r="N152" s="9"/>
      <c r="O152" s="22">
        <v>0.61508200000000002</v>
      </c>
      <c r="P152" s="22">
        <v>99.979600000000005</v>
      </c>
      <c r="Q152" s="22">
        <v>-1.62506E-2</v>
      </c>
      <c r="R152" s="22">
        <v>142</v>
      </c>
      <c r="S152" s="22">
        <v>0.60415600000000003</v>
      </c>
      <c r="T152">
        <f t="shared" si="26"/>
        <v>16.250600000000002</v>
      </c>
      <c r="U152">
        <f t="shared" si="27"/>
        <v>9.995451549200002</v>
      </c>
      <c r="X152" s="9"/>
      <c r="Y152" s="22">
        <v>1.0449200000000001</v>
      </c>
      <c r="Z152" s="22">
        <v>149.38200000000001</v>
      </c>
      <c r="AA152" s="22">
        <v>-1.6940299999999998E-2</v>
      </c>
      <c r="AB152" s="22">
        <v>142</v>
      </c>
      <c r="AC152" s="22">
        <v>1.0443100000000001</v>
      </c>
      <c r="AD152">
        <f t="shared" si="28"/>
        <v>16.940299999999997</v>
      </c>
      <c r="AE152">
        <f t="shared" si="29"/>
        <v>17.701258275999997</v>
      </c>
      <c r="AF152" s="9"/>
      <c r="AG152" s="22">
        <v>0.61508200000000002</v>
      </c>
      <c r="AH152" s="22">
        <v>198.749</v>
      </c>
      <c r="AI152" s="22">
        <v>-1.6287200000000002E-2</v>
      </c>
      <c r="AJ152" s="22">
        <v>142</v>
      </c>
      <c r="AK152" s="22">
        <v>0.61392199999999997</v>
      </c>
      <c r="AL152">
        <f t="shared" si="30"/>
        <v>16.287200000000002</v>
      </c>
      <c r="AM152">
        <f t="shared" si="31"/>
        <v>10.017963550400001</v>
      </c>
      <c r="AP152" s="9"/>
      <c r="AQ152" s="22">
        <v>1.0449200000000001</v>
      </c>
      <c r="AR152" s="22">
        <v>248.03100000000001</v>
      </c>
      <c r="AS152" s="22">
        <v>-1.6958600000000001E-2</v>
      </c>
      <c r="AT152" s="22">
        <v>142</v>
      </c>
      <c r="AU152" s="22">
        <v>1.0440100000000001</v>
      </c>
      <c r="AV152">
        <f t="shared" si="32"/>
        <v>16.958600000000001</v>
      </c>
      <c r="AW152">
        <f t="shared" si="33"/>
        <v>17.720380312000003</v>
      </c>
      <c r="AX152" s="9"/>
      <c r="AY152" s="22">
        <v>0.61508200000000002</v>
      </c>
      <c r="AZ152" s="22">
        <v>297.39699999999999</v>
      </c>
      <c r="BA152" s="22">
        <v>-1.64551E-2</v>
      </c>
      <c r="BB152" s="22">
        <v>142</v>
      </c>
      <c r="BC152" s="22">
        <v>0.61306799999999995</v>
      </c>
      <c r="BD152">
        <f t="shared" si="34"/>
        <v>16.455100000000002</v>
      </c>
      <c r="BE152">
        <f t="shared" si="35"/>
        <v>10.121235818200001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1.03989</v>
      </c>
      <c r="H153" s="22">
        <v>50.746299999999998</v>
      </c>
      <c r="I153" s="22">
        <v>-1.6992199999999999E-2</v>
      </c>
      <c r="J153" s="22">
        <v>143</v>
      </c>
      <c r="K153" s="22">
        <v>1.03912</v>
      </c>
      <c r="L153">
        <f t="shared" si="24"/>
        <v>16.9922</v>
      </c>
      <c r="M153">
        <f t="shared" si="25"/>
        <v>17.670018857999999</v>
      </c>
      <c r="N153" s="9"/>
      <c r="O153" s="22">
        <v>0.62011700000000003</v>
      </c>
      <c r="P153" s="22">
        <v>99.989699999999999</v>
      </c>
      <c r="Q153" s="22">
        <v>-1.6333E-2</v>
      </c>
      <c r="R153" s="22">
        <v>143</v>
      </c>
      <c r="S153" s="22">
        <v>0.61938499999999996</v>
      </c>
      <c r="T153">
        <f t="shared" si="26"/>
        <v>16.333000000000002</v>
      </c>
      <c r="U153">
        <f t="shared" si="27"/>
        <v>10.128370961000002</v>
      </c>
      <c r="X153" s="9"/>
      <c r="Y153" s="22">
        <v>1.03989</v>
      </c>
      <c r="Z153" s="22">
        <v>149.392</v>
      </c>
      <c r="AA153" s="22">
        <v>-1.6943400000000001E-2</v>
      </c>
      <c r="AB153" s="22">
        <v>143</v>
      </c>
      <c r="AC153" s="22">
        <v>1.03851</v>
      </c>
      <c r="AD153">
        <f t="shared" si="28"/>
        <v>16.9434</v>
      </c>
      <c r="AE153">
        <f t="shared" si="29"/>
        <v>17.619272226</v>
      </c>
      <c r="AF153" s="9"/>
      <c r="AG153" s="22">
        <v>0.62011700000000003</v>
      </c>
      <c r="AH153" s="22">
        <v>198.75899999999999</v>
      </c>
      <c r="AI153" s="22">
        <v>-1.6241499999999999E-2</v>
      </c>
      <c r="AJ153" s="22">
        <v>143</v>
      </c>
      <c r="AK153" s="22">
        <v>0.61975100000000005</v>
      </c>
      <c r="AL153">
        <f t="shared" si="30"/>
        <v>16.241499999999998</v>
      </c>
      <c r="AM153">
        <f t="shared" si="31"/>
        <v>10.071630255499999</v>
      </c>
      <c r="AP153" s="9"/>
      <c r="AQ153" s="22">
        <v>1.03989</v>
      </c>
      <c r="AR153" s="22">
        <v>248.041</v>
      </c>
      <c r="AS153" s="22">
        <v>-1.6964699999999999E-2</v>
      </c>
      <c r="AT153" s="22">
        <v>143</v>
      </c>
      <c r="AU153" s="22">
        <v>1.03912</v>
      </c>
      <c r="AV153">
        <f t="shared" si="32"/>
        <v>16.964700000000001</v>
      </c>
      <c r="AW153">
        <f t="shared" si="33"/>
        <v>17.641421883</v>
      </c>
      <c r="AX153" s="9"/>
      <c r="AY153" s="22">
        <v>0.62011700000000003</v>
      </c>
      <c r="AZ153" s="22">
        <v>297.40699999999998</v>
      </c>
      <c r="BA153" s="22">
        <v>-1.6409300000000002E-2</v>
      </c>
      <c r="BB153" s="22">
        <v>143</v>
      </c>
      <c r="BC153" s="22">
        <v>0.61944600000000005</v>
      </c>
      <c r="BD153">
        <f t="shared" si="34"/>
        <v>16.409300000000002</v>
      </c>
      <c r="BE153">
        <f t="shared" si="35"/>
        <v>10.175685888100002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1.03485</v>
      </c>
      <c r="H154" s="22">
        <v>50.756399999999999</v>
      </c>
      <c r="I154" s="22">
        <v>-1.6998300000000001E-2</v>
      </c>
      <c r="J154" s="22">
        <v>144</v>
      </c>
      <c r="K154" s="22">
        <v>1.03424</v>
      </c>
      <c r="L154">
        <f t="shared" si="24"/>
        <v>16.9983</v>
      </c>
      <c r="M154">
        <f t="shared" si="25"/>
        <v>17.590690755000001</v>
      </c>
      <c r="N154" s="9"/>
      <c r="O154" s="22">
        <v>0.62515299999999996</v>
      </c>
      <c r="P154" s="22">
        <v>99.999799999999993</v>
      </c>
      <c r="Q154" s="22">
        <v>-1.61438E-2</v>
      </c>
      <c r="R154" s="22">
        <v>144</v>
      </c>
      <c r="S154" s="22">
        <v>0.62673999999999996</v>
      </c>
      <c r="T154">
        <f t="shared" si="26"/>
        <v>16.143799999999999</v>
      </c>
      <c r="U154">
        <f t="shared" si="27"/>
        <v>10.092345001399998</v>
      </c>
      <c r="X154" s="9"/>
      <c r="Y154" s="22">
        <v>1.03485</v>
      </c>
      <c r="Z154" s="22">
        <v>149.40199999999999</v>
      </c>
      <c r="AA154" s="22">
        <v>-1.69464E-2</v>
      </c>
      <c r="AB154" s="22">
        <v>144</v>
      </c>
      <c r="AC154" s="22">
        <v>1.0333300000000001</v>
      </c>
      <c r="AD154">
        <f t="shared" si="28"/>
        <v>16.946400000000001</v>
      </c>
      <c r="AE154">
        <f t="shared" si="29"/>
        <v>17.536982040000002</v>
      </c>
      <c r="AF154" s="9"/>
      <c r="AG154" s="22">
        <v>0.62515299999999996</v>
      </c>
      <c r="AH154" s="22">
        <v>198.76900000000001</v>
      </c>
      <c r="AI154" s="22">
        <v>-1.61713E-2</v>
      </c>
      <c r="AJ154" s="22">
        <v>144</v>
      </c>
      <c r="AK154" s="22">
        <v>0.62432900000000002</v>
      </c>
      <c r="AL154">
        <f t="shared" si="30"/>
        <v>16.171299999999999</v>
      </c>
      <c r="AM154">
        <f t="shared" si="31"/>
        <v>10.109536708899999</v>
      </c>
      <c r="AP154" s="9"/>
      <c r="AQ154" s="22">
        <v>1.03485</v>
      </c>
      <c r="AR154" s="22">
        <v>248.05099999999999</v>
      </c>
      <c r="AS154" s="22">
        <v>-1.6964699999999999E-2</v>
      </c>
      <c r="AT154" s="22">
        <v>144</v>
      </c>
      <c r="AU154" s="22">
        <v>1.03363</v>
      </c>
      <c r="AV154">
        <f t="shared" si="32"/>
        <v>16.964700000000001</v>
      </c>
      <c r="AW154">
        <f t="shared" si="33"/>
        <v>17.555919795000001</v>
      </c>
      <c r="AX154" s="9"/>
      <c r="AY154" s="22">
        <v>0.62515299999999996</v>
      </c>
      <c r="AZ154" s="22">
        <v>297.41800000000001</v>
      </c>
      <c r="BA154" s="22">
        <v>-1.6418499999999999E-2</v>
      </c>
      <c r="BB154" s="22">
        <v>144</v>
      </c>
      <c r="BC154" s="22">
        <v>0.62603799999999998</v>
      </c>
      <c r="BD154">
        <f t="shared" si="34"/>
        <v>16.418499999999998</v>
      </c>
      <c r="BE154">
        <f t="shared" si="35"/>
        <v>10.264074530499999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1.02982</v>
      </c>
      <c r="H155" s="22">
        <v>50.766399999999997</v>
      </c>
      <c r="I155" s="22">
        <v>-1.7004399999999999E-2</v>
      </c>
      <c r="J155" s="22">
        <v>145</v>
      </c>
      <c r="K155" s="22">
        <v>1.02844</v>
      </c>
      <c r="L155">
        <f t="shared" si="24"/>
        <v>17.0044</v>
      </c>
      <c r="M155">
        <f t="shared" si="25"/>
        <v>17.511471208</v>
      </c>
      <c r="N155" s="9"/>
      <c r="O155" s="22">
        <v>0.63018799999999997</v>
      </c>
      <c r="P155" s="22">
        <v>100.01</v>
      </c>
      <c r="Q155" s="22">
        <v>-1.6476399999999999E-2</v>
      </c>
      <c r="R155" s="22">
        <v>145</v>
      </c>
      <c r="S155" s="22">
        <v>0.62997400000000003</v>
      </c>
      <c r="T155">
        <f t="shared" si="26"/>
        <v>16.476399999999998</v>
      </c>
      <c r="U155">
        <f t="shared" si="27"/>
        <v>10.383229563199999</v>
      </c>
      <c r="X155" s="9"/>
      <c r="Y155" s="22">
        <v>1.02982</v>
      </c>
      <c r="Z155" s="22">
        <v>149.41200000000001</v>
      </c>
      <c r="AA155" s="22">
        <v>-1.6952499999999999E-2</v>
      </c>
      <c r="AB155" s="22">
        <v>145</v>
      </c>
      <c r="AC155" s="22">
        <v>1.02844</v>
      </c>
      <c r="AD155">
        <f t="shared" si="28"/>
        <v>16.952500000000001</v>
      </c>
      <c r="AE155">
        <f t="shared" si="29"/>
        <v>17.45802355</v>
      </c>
      <c r="AF155" s="9"/>
      <c r="AG155" s="22">
        <v>0.63018799999999997</v>
      </c>
      <c r="AH155" s="22">
        <v>198.779</v>
      </c>
      <c r="AI155" s="22">
        <v>-1.6091899999999999E-2</v>
      </c>
      <c r="AJ155" s="22">
        <v>145</v>
      </c>
      <c r="AK155" s="22">
        <v>0.62954699999999997</v>
      </c>
      <c r="AL155">
        <f t="shared" si="30"/>
        <v>16.091899999999999</v>
      </c>
      <c r="AM155">
        <f t="shared" si="31"/>
        <v>10.1409222772</v>
      </c>
      <c r="AP155" s="9"/>
      <c r="AQ155" s="22">
        <v>1.02982</v>
      </c>
      <c r="AR155" s="22">
        <v>248.06100000000001</v>
      </c>
      <c r="AS155" s="22">
        <v>-1.6970800000000001E-2</v>
      </c>
      <c r="AT155" s="22">
        <v>145</v>
      </c>
      <c r="AU155" s="22">
        <v>1.02905</v>
      </c>
      <c r="AV155">
        <f t="shared" si="32"/>
        <v>16.970800000000001</v>
      </c>
      <c r="AW155">
        <f t="shared" si="33"/>
        <v>17.476869256000001</v>
      </c>
      <c r="AX155" s="9"/>
      <c r="AY155" s="22">
        <v>0.63018799999999997</v>
      </c>
      <c r="AZ155" s="22">
        <v>297.428</v>
      </c>
      <c r="BA155" s="22">
        <v>-1.6354400000000002E-2</v>
      </c>
      <c r="BB155" s="22">
        <v>145</v>
      </c>
      <c r="BC155" s="22">
        <v>0.62869299999999995</v>
      </c>
      <c r="BD155">
        <f t="shared" si="34"/>
        <v>16.354400000000002</v>
      </c>
      <c r="BE155">
        <f t="shared" si="35"/>
        <v>10.3063466272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1.02478</v>
      </c>
      <c r="H156" s="22">
        <v>50.776499999999999</v>
      </c>
      <c r="I156" s="22">
        <v>-1.7010500000000001E-2</v>
      </c>
      <c r="J156" s="22">
        <v>146</v>
      </c>
      <c r="K156" s="22">
        <v>1.02356</v>
      </c>
      <c r="L156">
        <f t="shared" si="24"/>
        <v>17.0105</v>
      </c>
      <c r="M156">
        <f t="shared" si="25"/>
        <v>17.432020189999999</v>
      </c>
      <c r="N156" s="9"/>
      <c r="O156" s="22">
        <v>0.63522299999999998</v>
      </c>
      <c r="P156" s="22">
        <v>100.02</v>
      </c>
      <c r="Q156" s="22">
        <v>-1.61957E-2</v>
      </c>
      <c r="R156" s="22">
        <v>146</v>
      </c>
      <c r="S156" s="22">
        <v>0.62753300000000001</v>
      </c>
      <c r="T156">
        <f t="shared" si="26"/>
        <v>16.195699999999999</v>
      </c>
      <c r="U156">
        <f t="shared" si="27"/>
        <v>10.2878811411</v>
      </c>
      <c r="X156" s="9"/>
      <c r="Y156" s="22">
        <v>1.02478</v>
      </c>
      <c r="Z156" s="22">
        <v>149.422</v>
      </c>
      <c r="AA156" s="22">
        <v>-1.6955600000000001E-2</v>
      </c>
      <c r="AB156" s="22">
        <v>146</v>
      </c>
      <c r="AC156" s="22">
        <v>1.02356</v>
      </c>
      <c r="AD156">
        <f t="shared" si="28"/>
        <v>16.9556</v>
      </c>
      <c r="AE156">
        <f t="shared" si="29"/>
        <v>17.375759768000002</v>
      </c>
      <c r="AF156" s="9"/>
      <c r="AG156" s="22">
        <v>0.63522299999999998</v>
      </c>
      <c r="AH156" s="22">
        <v>198.78899999999999</v>
      </c>
      <c r="AI156" s="22">
        <v>-1.5997299999999999E-2</v>
      </c>
      <c r="AJ156" s="22">
        <v>146</v>
      </c>
      <c r="AK156" s="22">
        <v>0.63500999999999996</v>
      </c>
      <c r="AL156">
        <f t="shared" si="30"/>
        <v>15.997299999999999</v>
      </c>
      <c r="AM156">
        <f t="shared" si="31"/>
        <v>10.161852897899999</v>
      </c>
      <c r="AP156" s="9"/>
      <c r="AQ156" s="22">
        <v>1.02478</v>
      </c>
      <c r="AR156" s="22">
        <v>248.071</v>
      </c>
      <c r="AS156" s="22">
        <v>-1.6970800000000001E-2</v>
      </c>
      <c r="AT156" s="22">
        <v>146</v>
      </c>
      <c r="AU156" s="22">
        <v>1.02417</v>
      </c>
      <c r="AV156">
        <f t="shared" si="32"/>
        <v>16.970800000000001</v>
      </c>
      <c r="AW156">
        <f t="shared" si="33"/>
        <v>17.391336424000002</v>
      </c>
      <c r="AX156" s="9"/>
      <c r="AY156" s="22">
        <v>0.63522299999999998</v>
      </c>
      <c r="AZ156" s="22">
        <v>297.43799999999999</v>
      </c>
      <c r="BA156" s="22">
        <v>-1.6345200000000001E-2</v>
      </c>
      <c r="BB156" s="22">
        <v>146</v>
      </c>
      <c r="BC156" s="22">
        <v>0.633606</v>
      </c>
      <c r="BD156">
        <f t="shared" si="34"/>
        <v>16.345200000000002</v>
      </c>
      <c r="BE156">
        <f t="shared" si="35"/>
        <v>10.382846979600002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1.0197400000000001</v>
      </c>
      <c r="H157" s="22">
        <v>50.7866</v>
      </c>
      <c r="I157" s="22">
        <v>-1.7007399999999999E-2</v>
      </c>
      <c r="J157" s="22">
        <v>147</v>
      </c>
      <c r="K157" s="22">
        <v>1.01837</v>
      </c>
      <c r="L157">
        <f t="shared" si="24"/>
        <v>17.007400000000001</v>
      </c>
      <c r="M157">
        <f t="shared" si="25"/>
        <v>17.343126076000001</v>
      </c>
      <c r="N157" s="9"/>
      <c r="O157" s="22">
        <v>0.64025900000000002</v>
      </c>
      <c r="P157" s="22">
        <v>100.03</v>
      </c>
      <c r="Q157" s="22">
        <v>-1.6232300000000002E-2</v>
      </c>
      <c r="R157" s="22">
        <v>147</v>
      </c>
      <c r="S157" s="22">
        <v>0.639374</v>
      </c>
      <c r="T157">
        <f t="shared" si="26"/>
        <v>16.232300000000002</v>
      </c>
      <c r="U157">
        <f t="shared" si="27"/>
        <v>10.392876165700002</v>
      </c>
      <c r="X157" s="9"/>
      <c r="Y157" s="22">
        <v>1.0197400000000001</v>
      </c>
      <c r="Z157" s="22">
        <v>149.43199999999999</v>
      </c>
      <c r="AA157" s="22">
        <v>-1.69617E-2</v>
      </c>
      <c r="AB157" s="22">
        <v>147</v>
      </c>
      <c r="AC157" s="22">
        <v>1.01898</v>
      </c>
      <c r="AD157">
        <f t="shared" si="28"/>
        <v>16.9617</v>
      </c>
      <c r="AE157">
        <f t="shared" si="29"/>
        <v>17.296523958000002</v>
      </c>
      <c r="AF157" s="9"/>
      <c r="AG157" s="22">
        <v>0.64025900000000002</v>
      </c>
      <c r="AH157" s="22">
        <v>198.79900000000001</v>
      </c>
      <c r="AI157" s="22">
        <v>-1.5869100000000001E-2</v>
      </c>
      <c r="AJ157" s="22">
        <v>147</v>
      </c>
      <c r="AK157" s="22">
        <v>0.63970899999999997</v>
      </c>
      <c r="AL157">
        <f t="shared" si="30"/>
        <v>15.869100000000001</v>
      </c>
      <c r="AM157">
        <f t="shared" si="31"/>
        <v>10.160334096900002</v>
      </c>
      <c r="AP157" s="9"/>
      <c r="AQ157" s="22">
        <v>1.0197400000000001</v>
      </c>
      <c r="AR157" s="22">
        <v>248.08099999999999</v>
      </c>
      <c r="AS157" s="22">
        <v>-1.6979999999999999E-2</v>
      </c>
      <c r="AT157" s="22">
        <v>147</v>
      </c>
      <c r="AU157" s="22">
        <v>1.01898</v>
      </c>
      <c r="AV157">
        <f t="shared" si="32"/>
        <v>16.979999999999997</v>
      </c>
      <c r="AW157">
        <f t="shared" si="33"/>
        <v>17.315185199999998</v>
      </c>
      <c r="AX157" s="9"/>
      <c r="AY157" s="22">
        <v>0.64025900000000002</v>
      </c>
      <c r="AZ157" s="22">
        <v>297.44799999999998</v>
      </c>
      <c r="BA157" s="22">
        <v>-1.6253699999999999E-2</v>
      </c>
      <c r="BB157" s="22">
        <v>147</v>
      </c>
      <c r="BC157" s="22">
        <v>0.63925200000000004</v>
      </c>
      <c r="BD157">
        <f t="shared" si="34"/>
        <v>16.253699999999998</v>
      </c>
      <c r="BE157">
        <f t="shared" si="35"/>
        <v>10.406577708299999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1.01471</v>
      </c>
      <c r="H158" s="22">
        <v>50.796599999999998</v>
      </c>
      <c r="I158" s="22">
        <v>-1.7010500000000001E-2</v>
      </c>
      <c r="J158" s="22">
        <v>148</v>
      </c>
      <c r="K158" s="22">
        <v>1.01379</v>
      </c>
      <c r="L158">
        <f t="shared" si="24"/>
        <v>17.0105</v>
      </c>
      <c r="M158">
        <f t="shared" si="25"/>
        <v>17.260724455000002</v>
      </c>
      <c r="N158" s="9"/>
      <c r="O158" s="22">
        <v>0.64529400000000003</v>
      </c>
      <c r="P158" s="22">
        <v>100.04</v>
      </c>
      <c r="Q158" s="22">
        <v>-1.6113300000000001E-2</v>
      </c>
      <c r="R158" s="22">
        <v>148</v>
      </c>
      <c r="S158" s="22">
        <v>0.64318799999999998</v>
      </c>
      <c r="T158">
        <f t="shared" si="26"/>
        <v>16.113299999999999</v>
      </c>
      <c r="U158">
        <f t="shared" si="27"/>
        <v>10.397815810199999</v>
      </c>
      <c r="X158" s="9"/>
      <c r="Y158" s="22">
        <v>1.01471</v>
      </c>
      <c r="Z158" s="22">
        <v>149.44300000000001</v>
      </c>
      <c r="AA158" s="22">
        <v>-1.6964699999999999E-2</v>
      </c>
      <c r="AB158" s="22">
        <v>148</v>
      </c>
      <c r="AC158" s="22">
        <v>1.0144</v>
      </c>
      <c r="AD158">
        <f t="shared" si="28"/>
        <v>16.964700000000001</v>
      </c>
      <c r="AE158">
        <f t="shared" si="29"/>
        <v>17.214250737</v>
      </c>
      <c r="AF158" s="9"/>
      <c r="AG158" s="22">
        <v>0.64529400000000003</v>
      </c>
      <c r="AH158" s="22">
        <v>198.809</v>
      </c>
      <c r="AI158" s="22">
        <v>-1.5737899999999999E-2</v>
      </c>
      <c r="AJ158" s="22">
        <v>148</v>
      </c>
      <c r="AK158" s="22">
        <v>0.64526399999999995</v>
      </c>
      <c r="AL158">
        <f t="shared" si="30"/>
        <v>15.7379</v>
      </c>
      <c r="AM158">
        <f t="shared" si="31"/>
        <v>10.1555724426</v>
      </c>
      <c r="AP158" s="9"/>
      <c r="AQ158" s="22">
        <v>1.01471</v>
      </c>
      <c r="AR158" s="22">
        <v>248.09100000000001</v>
      </c>
      <c r="AS158" s="22">
        <v>-1.6986100000000001E-2</v>
      </c>
      <c r="AT158" s="22">
        <v>148</v>
      </c>
      <c r="AU158" s="22">
        <v>1.0144</v>
      </c>
      <c r="AV158">
        <f t="shared" si="32"/>
        <v>16.9861</v>
      </c>
      <c r="AW158">
        <f t="shared" si="33"/>
        <v>17.235965531000002</v>
      </c>
      <c r="AX158" s="9"/>
      <c r="AY158" s="22">
        <v>0.64529400000000003</v>
      </c>
      <c r="AZ158" s="22">
        <v>297.45800000000003</v>
      </c>
      <c r="BA158" s="22">
        <v>-1.6174299999999999E-2</v>
      </c>
      <c r="BB158" s="22">
        <v>148</v>
      </c>
      <c r="BC158" s="22">
        <v>0.64407300000000001</v>
      </c>
      <c r="BD158">
        <f t="shared" si="34"/>
        <v>16.174299999999999</v>
      </c>
      <c r="BE158">
        <f t="shared" si="35"/>
        <v>10.437178744200001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1.0096700000000001</v>
      </c>
      <c r="H159" s="22">
        <v>50.806699999999999</v>
      </c>
      <c r="I159" s="22">
        <v>-1.70166E-2</v>
      </c>
      <c r="J159" s="22">
        <v>149</v>
      </c>
      <c r="K159" s="22">
        <v>1.00922</v>
      </c>
      <c r="L159">
        <f t="shared" si="24"/>
        <v>17.0166</v>
      </c>
      <c r="M159">
        <f t="shared" si="25"/>
        <v>17.181150522000003</v>
      </c>
      <c r="N159" s="9"/>
      <c r="O159" s="22">
        <v>0.65032999999999996</v>
      </c>
      <c r="P159" s="22">
        <v>100.05</v>
      </c>
      <c r="Q159" s="22">
        <v>-1.6039999999999999E-2</v>
      </c>
      <c r="R159" s="22">
        <v>149</v>
      </c>
      <c r="S159" s="22">
        <v>0.65612800000000004</v>
      </c>
      <c r="T159">
        <f t="shared" si="26"/>
        <v>16.04</v>
      </c>
      <c r="U159">
        <f t="shared" si="27"/>
        <v>10.431293199999999</v>
      </c>
      <c r="X159" s="9"/>
      <c r="Y159" s="22">
        <v>1.0096700000000001</v>
      </c>
      <c r="Z159" s="22">
        <v>149.453</v>
      </c>
      <c r="AA159" s="22">
        <v>-1.6967800000000002E-2</v>
      </c>
      <c r="AB159" s="22">
        <v>149</v>
      </c>
      <c r="AC159" s="22">
        <v>1.0083</v>
      </c>
      <c r="AD159">
        <f t="shared" si="28"/>
        <v>16.9678</v>
      </c>
      <c r="AE159">
        <f t="shared" si="29"/>
        <v>17.131878626000002</v>
      </c>
      <c r="AF159" s="9"/>
      <c r="AG159" s="22">
        <v>0.65032999999999996</v>
      </c>
      <c r="AH159" s="22">
        <v>198.81899999999999</v>
      </c>
      <c r="AI159" s="22">
        <v>-1.5609700000000001E-2</v>
      </c>
      <c r="AJ159" s="22">
        <v>149</v>
      </c>
      <c r="AK159" s="22">
        <v>0.64929199999999998</v>
      </c>
      <c r="AL159">
        <f t="shared" si="30"/>
        <v>15.6097</v>
      </c>
      <c r="AM159">
        <f t="shared" si="31"/>
        <v>10.151456201</v>
      </c>
      <c r="AP159" s="9"/>
      <c r="AQ159" s="22">
        <v>1.0096700000000001</v>
      </c>
      <c r="AR159" s="22">
        <v>248.101</v>
      </c>
      <c r="AS159" s="22">
        <v>-1.69891E-2</v>
      </c>
      <c r="AT159" s="22">
        <v>149</v>
      </c>
      <c r="AU159" s="22">
        <v>1.008</v>
      </c>
      <c r="AV159">
        <f t="shared" si="32"/>
        <v>16.989100000000001</v>
      </c>
      <c r="AW159">
        <f t="shared" si="33"/>
        <v>17.153384597000002</v>
      </c>
      <c r="AX159" s="9"/>
      <c r="AY159" s="22">
        <v>0.65032999999999996</v>
      </c>
      <c r="AZ159" s="22">
        <v>297.46800000000002</v>
      </c>
      <c r="BA159" s="22">
        <v>-1.6137700000000001E-2</v>
      </c>
      <c r="BB159" s="22">
        <v>149</v>
      </c>
      <c r="BC159" s="22">
        <v>0.65051300000000001</v>
      </c>
      <c r="BD159">
        <f t="shared" si="34"/>
        <v>16.137700000000002</v>
      </c>
      <c r="BE159">
        <f t="shared" si="35"/>
        <v>10.494830441000001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1.00464</v>
      </c>
      <c r="H160" s="22">
        <v>50.816800000000001</v>
      </c>
      <c r="I160" s="22">
        <v>-1.7019699999999999E-2</v>
      </c>
      <c r="J160" s="22">
        <v>150</v>
      </c>
      <c r="K160" s="22">
        <v>1.0037199999999999</v>
      </c>
      <c r="L160">
        <f t="shared" si="24"/>
        <v>17.0197</v>
      </c>
      <c r="M160">
        <f t="shared" si="25"/>
        <v>17.098671408000001</v>
      </c>
      <c r="N160" s="9"/>
      <c r="O160" s="22">
        <v>0.65536499999999998</v>
      </c>
      <c r="P160" s="22">
        <v>100.06</v>
      </c>
      <c r="Q160" s="22">
        <v>-1.5780599999999999E-2</v>
      </c>
      <c r="R160" s="22">
        <v>150</v>
      </c>
      <c r="S160" s="22">
        <v>0.63934299999999999</v>
      </c>
      <c r="T160">
        <f t="shared" si="26"/>
        <v>15.780599999999998</v>
      </c>
      <c r="U160">
        <f t="shared" si="27"/>
        <v>10.342052918999999</v>
      </c>
      <c r="X160" s="9"/>
      <c r="Y160" s="22">
        <v>1.00464</v>
      </c>
      <c r="Z160" s="22">
        <v>149.46299999999999</v>
      </c>
      <c r="AA160" s="22">
        <v>-1.69739E-2</v>
      </c>
      <c r="AB160" s="22">
        <v>150</v>
      </c>
      <c r="AC160" s="22">
        <v>1.0037199999999999</v>
      </c>
      <c r="AD160">
        <f t="shared" si="28"/>
        <v>16.9739</v>
      </c>
      <c r="AE160">
        <f t="shared" si="29"/>
        <v>17.052658896000001</v>
      </c>
      <c r="AF160" s="9"/>
      <c r="AG160" s="22">
        <v>0.65536499999999998</v>
      </c>
      <c r="AH160" s="22">
        <v>198.82900000000001</v>
      </c>
      <c r="AI160" s="22">
        <v>-1.5478499999999999E-2</v>
      </c>
      <c r="AJ160" s="22">
        <v>150</v>
      </c>
      <c r="AK160" s="22">
        <v>0.65505999999999998</v>
      </c>
      <c r="AL160">
        <f t="shared" si="30"/>
        <v>15.478499999999999</v>
      </c>
      <c r="AM160">
        <f t="shared" si="31"/>
        <v>10.144067152499998</v>
      </c>
      <c r="AP160" s="9"/>
      <c r="AQ160" s="22">
        <v>1.00464</v>
      </c>
      <c r="AR160" s="22">
        <v>248.11199999999999</v>
      </c>
      <c r="AS160" s="22">
        <v>-1.69891E-2</v>
      </c>
      <c r="AT160" s="22">
        <v>150</v>
      </c>
      <c r="AU160" s="22">
        <v>1.0037199999999999</v>
      </c>
      <c r="AV160">
        <f t="shared" si="32"/>
        <v>16.989100000000001</v>
      </c>
      <c r="AW160">
        <f t="shared" si="33"/>
        <v>17.067929423999999</v>
      </c>
      <c r="AX160" s="9"/>
      <c r="AY160" s="22">
        <v>0.65536499999999998</v>
      </c>
      <c r="AZ160" s="22">
        <v>297.47800000000001</v>
      </c>
      <c r="BA160" s="22">
        <v>-1.60065E-2</v>
      </c>
      <c r="BB160" s="22">
        <v>150</v>
      </c>
      <c r="BC160" s="22">
        <v>0.654053</v>
      </c>
      <c r="BD160">
        <f t="shared" si="34"/>
        <v>16.006499999999999</v>
      </c>
      <c r="BE160">
        <f t="shared" si="35"/>
        <v>10.490099872499998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0.99960300000000002</v>
      </c>
      <c r="H161" s="22">
        <v>50.826900000000002</v>
      </c>
      <c r="I161" s="22">
        <v>-1.7019699999999999E-2</v>
      </c>
      <c r="J161" s="22">
        <v>151</v>
      </c>
      <c r="K161" s="22">
        <v>0.99822999999999995</v>
      </c>
      <c r="L161">
        <f t="shared" si="24"/>
        <v>17.0197</v>
      </c>
      <c r="M161">
        <f t="shared" si="25"/>
        <v>17.012943179100002</v>
      </c>
      <c r="N161" s="9"/>
      <c r="O161" s="22">
        <v>0.66039999999999999</v>
      </c>
      <c r="P161" s="22">
        <v>100.07</v>
      </c>
      <c r="Q161" s="22">
        <v>-1.51825E-2</v>
      </c>
      <c r="R161" s="22">
        <v>151</v>
      </c>
      <c r="S161" s="22">
        <v>0.66262799999999999</v>
      </c>
      <c r="T161">
        <f t="shared" si="26"/>
        <v>15.182499999999999</v>
      </c>
      <c r="U161">
        <f t="shared" si="27"/>
        <v>10.026522999999999</v>
      </c>
      <c r="X161" s="9"/>
      <c r="Y161" s="22">
        <v>0.99960300000000002</v>
      </c>
      <c r="Z161" s="22">
        <v>149.47300000000001</v>
      </c>
      <c r="AA161" s="22">
        <v>-1.6979999999999999E-2</v>
      </c>
      <c r="AB161" s="22">
        <v>151</v>
      </c>
      <c r="AC161" s="22">
        <v>0.99853499999999995</v>
      </c>
      <c r="AD161">
        <f t="shared" si="28"/>
        <v>16.979999999999997</v>
      </c>
      <c r="AE161">
        <f t="shared" si="29"/>
        <v>16.973258939999997</v>
      </c>
      <c r="AF161" s="9"/>
      <c r="AG161" s="22">
        <v>0.66039999999999999</v>
      </c>
      <c r="AH161" s="22">
        <v>198.839</v>
      </c>
      <c r="AI161" s="22">
        <v>-1.5332E-2</v>
      </c>
      <c r="AJ161" s="22">
        <v>151</v>
      </c>
      <c r="AK161" s="22">
        <v>0.65976000000000001</v>
      </c>
      <c r="AL161">
        <f t="shared" si="30"/>
        <v>15.332000000000001</v>
      </c>
      <c r="AM161">
        <f t="shared" si="31"/>
        <v>10.1252528</v>
      </c>
      <c r="AP161" s="9"/>
      <c r="AQ161" s="22">
        <v>0.99960300000000002</v>
      </c>
      <c r="AR161" s="22">
        <v>248.12200000000001</v>
      </c>
      <c r="AS161" s="22">
        <v>-1.6992199999999999E-2</v>
      </c>
      <c r="AT161" s="22">
        <v>151</v>
      </c>
      <c r="AU161" s="22">
        <v>0.99822999999999995</v>
      </c>
      <c r="AV161">
        <f t="shared" si="32"/>
        <v>16.9922</v>
      </c>
      <c r="AW161">
        <f t="shared" si="33"/>
        <v>16.985454096600002</v>
      </c>
      <c r="AX161" s="9"/>
      <c r="AY161" s="22">
        <v>0.66039999999999999</v>
      </c>
      <c r="AZ161" s="22">
        <v>297.488</v>
      </c>
      <c r="BA161" s="22">
        <v>-1.5893600000000001E-2</v>
      </c>
      <c r="BB161" s="22">
        <v>151</v>
      </c>
      <c r="BC161" s="22">
        <v>0.66043099999999999</v>
      </c>
      <c r="BD161">
        <f t="shared" si="34"/>
        <v>15.893600000000001</v>
      </c>
      <c r="BE161">
        <f t="shared" si="35"/>
        <v>10.496133440000001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0.99456800000000001</v>
      </c>
      <c r="H162" s="22">
        <v>50.8369</v>
      </c>
      <c r="I162" s="22">
        <v>-1.7022700000000002E-2</v>
      </c>
      <c r="J162" s="22">
        <v>152</v>
      </c>
      <c r="K162" s="22">
        <v>0.99456800000000001</v>
      </c>
      <c r="L162">
        <f t="shared" si="24"/>
        <v>17.0227</v>
      </c>
      <c r="M162">
        <f t="shared" si="25"/>
        <v>16.930232693600001</v>
      </c>
      <c r="N162" s="9"/>
      <c r="O162" s="22">
        <v>0.66543600000000003</v>
      </c>
      <c r="P162" s="22">
        <v>100.08</v>
      </c>
      <c r="Q162" s="22">
        <v>-1.5893600000000001E-2</v>
      </c>
      <c r="R162" s="22">
        <v>152</v>
      </c>
      <c r="S162" s="22">
        <v>0.65994299999999995</v>
      </c>
      <c r="T162">
        <f t="shared" si="26"/>
        <v>15.893600000000001</v>
      </c>
      <c r="U162">
        <f t="shared" si="27"/>
        <v>10.576173609600001</v>
      </c>
      <c r="X162" s="9"/>
      <c r="Y162" s="22">
        <v>0.99456800000000001</v>
      </c>
      <c r="Z162" s="22">
        <v>149.483</v>
      </c>
      <c r="AA162" s="22">
        <v>-1.6979999999999999E-2</v>
      </c>
      <c r="AB162" s="22">
        <v>152</v>
      </c>
      <c r="AC162" s="22">
        <v>0.99365199999999998</v>
      </c>
      <c r="AD162">
        <f t="shared" si="28"/>
        <v>16.979999999999997</v>
      </c>
      <c r="AE162">
        <f t="shared" si="29"/>
        <v>16.887764639999997</v>
      </c>
      <c r="AF162" s="9"/>
      <c r="AG162" s="22">
        <v>0.66543600000000003</v>
      </c>
      <c r="AH162" s="22">
        <v>198.84899999999999</v>
      </c>
      <c r="AI162" s="22">
        <v>-1.5158100000000001E-2</v>
      </c>
      <c r="AJ162" s="22">
        <v>152</v>
      </c>
      <c r="AK162" s="22">
        <v>0.664856</v>
      </c>
      <c r="AL162">
        <f t="shared" si="30"/>
        <v>15.158100000000001</v>
      </c>
      <c r="AM162">
        <f t="shared" si="31"/>
        <v>10.086745431600001</v>
      </c>
      <c r="AP162" s="9"/>
      <c r="AQ162" s="22">
        <v>0.99456800000000001</v>
      </c>
      <c r="AR162" s="22">
        <v>248.13200000000001</v>
      </c>
      <c r="AS162" s="22">
        <v>-1.6998300000000001E-2</v>
      </c>
      <c r="AT162" s="22">
        <v>152</v>
      </c>
      <c r="AU162" s="22">
        <v>0.99365199999999998</v>
      </c>
      <c r="AV162">
        <f t="shared" si="32"/>
        <v>16.9983</v>
      </c>
      <c r="AW162">
        <f t="shared" si="33"/>
        <v>16.9059652344</v>
      </c>
      <c r="AX162" s="9"/>
      <c r="AY162" s="22">
        <v>0.66543600000000003</v>
      </c>
      <c r="AZ162" s="22">
        <v>297.49799999999999</v>
      </c>
      <c r="BA162" s="22">
        <v>-1.57623E-2</v>
      </c>
      <c r="BB162" s="22">
        <v>152</v>
      </c>
      <c r="BC162" s="22">
        <v>0.664551</v>
      </c>
      <c r="BD162">
        <f t="shared" si="34"/>
        <v>15.7623</v>
      </c>
      <c r="BE162">
        <f t="shared" si="35"/>
        <v>10.488801862800001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0.98953199999999997</v>
      </c>
      <c r="H163" s="22">
        <v>50.847000000000001</v>
      </c>
      <c r="I163" s="22">
        <v>-1.7022700000000002E-2</v>
      </c>
      <c r="J163" s="22">
        <v>153</v>
      </c>
      <c r="K163" s="22">
        <v>0.98846400000000001</v>
      </c>
      <c r="L163">
        <f t="shared" si="24"/>
        <v>17.0227</v>
      </c>
      <c r="M163">
        <f t="shared" si="25"/>
        <v>16.844506376399998</v>
      </c>
      <c r="N163" s="9"/>
      <c r="O163" s="22">
        <v>0.67047100000000004</v>
      </c>
      <c r="P163" s="22">
        <v>100.09</v>
      </c>
      <c r="Q163" s="22">
        <v>-1.47064E-2</v>
      </c>
      <c r="R163" s="22">
        <v>153</v>
      </c>
      <c r="S163" s="22">
        <v>0.66744999999999999</v>
      </c>
      <c r="T163">
        <f t="shared" si="26"/>
        <v>14.7064</v>
      </c>
      <c r="U163">
        <f t="shared" si="27"/>
        <v>9.8602147144000014</v>
      </c>
      <c r="X163" s="9"/>
      <c r="Y163" s="22">
        <v>0.98953199999999997</v>
      </c>
      <c r="Z163" s="22">
        <v>149.49299999999999</v>
      </c>
      <c r="AA163" s="22">
        <v>-1.6986100000000001E-2</v>
      </c>
      <c r="AB163" s="22">
        <v>153</v>
      </c>
      <c r="AC163" s="22">
        <v>0.98846400000000001</v>
      </c>
      <c r="AD163">
        <f t="shared" si="28"/>
        <v>16.9861</v>
      </c>
      <c r="AE163">
        <f t="shared" si="29"/>
        <v>16.808289505200001</v>
      </c>
      <c r="AF163" s="9"/>
      <c r="AG163" s="22">
        <v>0.67047100000000004</v>
      </c>
      <c r="AH163" s="22">
        <v>198.85900000000001</v>
      </c>
      <c r="AI163" s="22">
        <v>-1.48956E-2</v>
      </c>
      <c r="AJ163" s="22">
        <v>153</v>
      </c>
      <c r="AK163" s="22">
        <v>0.66943399999999997</v>
      </c>
      <c r="AL163">
        <f t="shared" si="30"/>
        <v>14.8956</v>
      </c>
      <c r="AM163">
        <f t="shared" si="31"/>
        <v>9.9870678276000007</v>
      </c>
      <c r="AP163" s="9"/>
      <c r="AQ163" s="22">
        <v>0.98953199999999997</v>
      </c>
      <c r="AR163" s="22">
        <v>248.142</v>
      </c>
      <c r="AS163" s="22">
        <v>-1.6998300000000001E-2</v>
      </c>
      <c r="AT163" s="22">
        <v>153</v>
      </c>
      <c r="AU163" s="22">
        <v>0.98815900000000001</v>
      </c>
      <c r="AV163">
        <f t="shared" si="32"/>
        <v>16.9983</v>
      </c>
      <c r="AW163">
        <f t="shared" si="33"/>
        <v>16.8203617956</v>
      </c>
      <c r="AX163" s="9"/>
      <c r="AY163" s="22">
        <v>0.67047100000000004</v>
      </c>
      <c r="AZ163" s="22">
        <v>297.50799999999998</v>
      </c>
      <c r="BA163" s="22">
        <v>-1.5695199999999999E-2</v>
      </c>
      <c r="BB163" s="22">
        <v>153</v>
      </c>
      <c r="BC163" s="22">
        <v>0.669983</v>
      </c>
      <c r="BD163">
        <f t="shared" si="34"/>
        <v>15.6952</v>
      </c>
      <c r="BE163">
        <f t="shared" si="35"/>
        <v>10.5231764392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0.98449699999999996</v>
      </c>
      <c r="H164" s="22">
        <v>50.857100000000003</v>
      </c>
      <c r="I164" s="22">
        <v>-1.7025800000000001E-2</v>
      </c>
      <c r="J164" s="22">
        <v>154</v>
      </c>
      <c r="K164" s="22">
        <v>0.98327600000000004</v>
      </c>
      <c r="L164">
        <f t="shared" si="24"/>
        <v>17.0258</v>
      </c>
      <c r="M164">
        <f t="shared" si="25"/>
        <v>16.7618490226</v>
      </c>
      <c r="N164" s="9"/>
      <c r="O164" s="22">
        <v>0.67550699999999997</v>
      </c>
      <c r="P164" s="22">
        <v>100.1</v>
      </c>
      <c r="Q164" s="22">
        <v>-1.39221E-2</v>
      </c>
      <c r="R164" s="22">
        <v>154</v>
      </c>
      <c r="S164" s="22">
        <v>0.65985099999999997</v>
      </c>
      <c r="T164">
        <f t="shared" si="26"/>
        <v>13.9221</v>
      </c>
      <c r="U164">
        <f t="shared" si="27"/>
        <v>9.4044760046999993</v>
      </c>
      <c r="X164" s="9"/>
      <c r="Y164" s="22">
        <v>0.98449699999999996</v>
      </c>
      <c r="Z164" s="22">
        <v>149.50299999999999</v>
      </c>
      <c r="AA164" s="22">
        <v>-1.69891E-2</v>
      </c>
      <c r="AB164" s="22">
        <v>154</v>
      </c>
      <c r="AC164" s="22">
        <v>0.98358199999999996</v>
      </c>
      <c r="AD164">
        <f t="shared" si="28"/>
        <v>16.989100000000001</v>
      </c>
      <c r="AE164">
        <f t="shared" si="29"/>
        <v>16.725717982700001</v>
      </c>
      <c r="AF164" s="9"/>
      <c r="AG164" s="22">
        <v>0.67550699999999997</v>
      </c>
      <c r="AH164" s="22">
        <v>198.869</v>
      </c>
      <c r="AI164" s="22">
        <v>-1.4627100000000001E-2</v>
      </c>
      <c r="AJ164" s="22">
        <v>154</v>
      </c>
      <c r="AK164" s="22">
        <v>0.67462200000000005</v>
      </c>
      <c r="AL164">
        <f t="shared" si="30"/>
        <v>14.6271</v>
      </c>
      <c r="AM164">
        <f t="shared" si="31"/>
        <v>9.8807084396999993</v>
      </c>
      <c r="AP164" s="9"/>
      <c r="AQ164" s="22">
        <v>0.98449699999999996</v>
      </c>
      <c r="AR164" s="22">
        <v>248.15199999999999</v>
      </c>
      <c r="AS164" s="22">
        <v>-1.6998300000000001E-2</v>
      </c>
      <c r="AT164" s="22">
        <v>154</v>
      </c>
      <c r="AU164" s="22">
        <v>0.98358199999999996</v>
      </c>
      <c r="AV164">
        <f t="shared" si="32"/>
        <v>16.9983</v>
      </c>
      <c r="AW164">
        <f t="shared" si="33"/>
        <v>16.734775355099998</v>
      </c>
      <c r="AX164" s="9"/>
      <c r="AY164" s="22">
        <v>0.67550699999999997</v>
      </c>
      <c r="AZ164" s="22">
        <v>297.51799999999997</v>
      </c>
      <c r="BA164" s="22">
        <v>-1.55243E-2</v>
      </c>
      <c r="BB164" s="22">
        <v>154</v>
      </c>
      <c r="BC164" s="22">
        <v>0.67382799999999998</v>
      </c>
      <c r="BD164">
        <f t="shared" si="34"/>
        <v>15.5243</v>
      </c>
      <c r="BE164">
        <f t="shared" si="35"/>
        <v>10.486773320099999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0.97946200000000005</v>
      </c>
      <c r="H165" s="22">
        <v>50.867100000000001</v>
      </c>
      <c r="I165" s="22">
        <v>-1.7034899999999999E-2</v>
      </c>
      <c r="J165" s="22">
        <v>155</v>
      </c>
      <c r="K165" s="22">
        <v>0.97808799999999996</v>
      </c>
      <c r="L165">
        <f t="shared" si="24"/>
        <v>17.0349</v>
      </c>
      <c r="M165">
        <f t="shared" si="25"/>
        <v>16.685037223800002</v>
      </c>
      <c r="N165" s="9"/>
      <c r="O165" s="22">
        <v>0.68054199999999998</v>
      </c>
      <c r="P165" s="22">
        <v>100.111</v>
      </c>
      <c r="Q165" s="22">
        <v>-1.36536E-2</v>
      </c>
      <c r="R165" s="22">
        <v>155</v>
      </c>
      <c r="S165" s="22">
        <v>0.68353299999999995</v>
      </c>
      <c r="T165">
        <f t="shared" si="26"/>
        <v>13.653600000000001</v>
      </c>
      <c r="U165">
        <f t="shared" si="27"/>
        <v>9.2918482512000011</v>
      </c>
      <c r="X165" s="9"/>
      <c r="Y165" s="22">
        <v>0.97946200000000005</v>
      </c>
      <c r="Z165" s="22">
        <v>149.51300000000001</v>
      </c>
      <c r="AA165" s="22">
        <v>-1.6995199999999999E-2</v>
      </c>
      <c r="AB165" s="22">
        <v>155</v>
      </c>
      <c r="AC165" s="22">
        <v>0.97839399999999999</v>
      </c>
      <c r="AD165">
        <f t="shared" si="28"/>
        <v>16.995199999999997</v>
      </c>
      <c r="AE165">
        <f t="shared" si="29"/>
        <v>16.646152582399999</v>
      </c>
      <c r="AF165" s="9"/>
      <c r="AG165" s="22">
        <v>0.68054199999999998</v>
      </c>
      <c r="AH165" s="22">
        <v>198.87899999999999</v>
      </c>
      <c r="AI165" s="22">
        <v>-1.43982E-2</v>
      </c>
      <c r="AJ165" s="22">
        <v>155</v>
      </c>
      <c r="AK165" s="22">
        <v>0.67877200000000004</v>
      </c>
      <c r="AL165">
        <f t="shared" si="30"/>
        <v>14.398199999999999</v>
      </c>
      <c r="AM165">
        <f t="shared" si="31"/>
        <v>9.7985798243999991</v>
      </c>
      <c r="AP165" s="9"/>
      <c r="AQ165" s="22">
        <v>0.97946200000000005</v>
      </c>
      <c r="AR165" s="22">
        <v>248.16200000000001</v>
      </c>
      <c r="AS165" s="22">
        <v>-1.6998300000000001E-2</v>
      </c>
      <c r="AT165" s="22">
        <v>155</v>
      </c>
      <c r="AU165" s="22">
        <v>0.97869899999999999</v>
      </c>
      <c r="AV165">
        <f t="shared" si="32"/>
        <v>16.9983</v>
      </c>
      <c r="AW165">
        <f t="shared" si="33"/>
        <v>16.6491889146</v>
      </c>
      <c r="AX165" s="9"/>
      <c r="AY165" s="22">
        <v>0.68054199999999998</v>
      </c>
      <c r="AZ165" s="22">
        <v>297.52800000000002</v>
      </c>
      <c r="BA165" s="22">
        <v>-1.5292399999999999E-2</v>
      </c>
      <c r="BB165" s="22">
        <v>155</v>
      </c>
      <c r="BC165" s="22">
        <v>0.67962599999999995</v>
      </c>
      <c r="BD165">
        <f t="shared" si="34"/>
        <v>15.292399999999999</v>
      </c>
      <c r="BE165">
        <f t="shared" si="35"/>
        <v>10.4071204808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0.97442600000000001</v>
      </c>
      <c r="H166" s="22">
        <v>50.877200000000002</v>
      </c>
      <c r="I166" s="22">
        <v>-1.7041000000000001E-2</v>
      </c>
      <c r="J166" s="22">
        <v>156</v>
      </c>
      <c r="K166" s="22">
        <v>0.97381600000000001</v>
      </c>
      <c r="L166">
        <f t="shared" si="24"/>
        <v>17.041</v>
      </c>
      <c r="M166">
        <f t="shared" si="25"/>
        <v>16.605193465999999</v>
      </c>
      <c r="N166" s="9"/>
      <c r="O166" s="22">
        <v>0.68557699999999999</v>
      </c>
      <c r="P166" s="22">
        <v>100.121</v>
      </c>
      <c r="Q166" s="22">
        <v>-1.47797E-2</v>
      </c>
      <c r="R166" s="22">
        <v>156</v>
      </c>
      <c r="S166" s="22">
        <v>0.68402099999999999</v>
      </c>
      <c r="T166">
        <f t="shared" si="26"/>
        <v>14.7797</v>
      </c>
      <c r="U166">
        <f t="shared" si="27"/>
        <v>10.1326223869</v>
      </c>
      <c r="X166" s="9"/>
      <c r="Y166" s="22">
        <v>0.97442600000000001</v>
      </c>
      <c r="Z166" s="22">
        <v>149.523</v>
      </c>
      <c r="AA166" s="22">
        <v>-1.70013E-2</v>
      </c>
      <c r="AB166" s="22">
        <v>156</v>
      </c>
      <c r="AC166" s="22">
        <v>0.97289999999999999</v>
      </c>
      <c r="AD166">
        <f t="shared" si="28"/>
        <v>17.001300000000001</v>
      </c>
      <c r="AE166">
        <f t="shared" si="29"/>
        <v>16.566508753800001</v>
      </c>
      <c r="AF166" s="9"/>
      <c r="AG166" s="22">
        <v>0.68557699999999999</v>
      </c>
      <c r="AH166" s="22">
        <v>198.89</v>
      </c>
      <c r="AI166" s="22">
        <v>-1.3913E-2</v>
      </c>
      <c r="AJ166" s="22">
        <v>156</v>
      </c>
      <c r="AK166" s="22">
        <v>0.68469199999999997</v>
      </c>
      <c r="AL166">
        <f t="shared" si="30"/>
        <v>13.913</v>
      </c>
      <c r="AM166">
        <f t="shared" si="31"/>
        <v>9.5384328010000008</v>
      </c>
      <c r="AP166" s="9"/>
      <c r="AQ166" s="22">
        <v>0.97442600000000001</v>
      </c>
      <c r="AR166" s="22">
        <v>248.172</v>
      </c>
      <c r="AS166" s="22">
        <v>-1.6998300000000001E-2</v>
      </c>
      <c r="AT166" s="22">
        <v>156</v>
      </c>
      <c r="AU166" s="22">
        <v>0.97351100000000002</v>
      </c>
      <c r="AV166">
        <f t="shared" si="32"/>
        <v>16.9983</v>
      </c>
      <c r="AW166">
        <f t="shared" si="33"/>
        <v>16.5635854758</v>
      </c>
      <c r="AX166" s="9"/>
      <c r="AY166" s="22">
        <v>0.68557699999999999</v>
      </c>
      <c r="AZ166" s="22">
        <v>297.53800000000001</v>
      </c>
      <c r="BA166" s="22">
        <v>-1.5036000000000001E-2</v>
      </c>
      <c r="BB166" s="22">
        <v>156</v>
      </c>
      <c r="BC166" s="22">
        <v>0.68374599999999996</v>
      </c>
      <c r="BD166">
        <f t="shared" si="34"/>
        <v>15.036000000000001</v>
      </c>
      <c r="BE166">
        <f t="shared" si="35"/>
        <v>10.308335772000001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0.969391</v>
      </c>
      <c r="H167" s="22">
        <v>50.887300000000003</v>
      </c>
      <c r="I167" s="22">
        <v>-1.70441E-2</v>
      </c>
      <c r="J167" s="22">
        <v>157</v>
      </c>
      <c r="K167" s="22">
        <v>0.96862800000000004</v>
      </c>
      <c r="L167">
        <f t="shared" si="24"/>
        <v>17.0441</v>
      </c>
      <c r="M167">
        <f t="shared" si="25"/>
        <v>16.522397143100001</v>
      </c>
      <c r="N167" s="9"/>
      <c r="O167" s="22">
        <v>0.69061300000000003</v>
      </c>
      <c r="P167" s="22">
        <v>100.131</v>
      </c>
      <c r="Q167" s="22">
        <v>-1.40778E-2</v>
      </c>
      <c r="R167" s="22">
        <v>157</v>
      </c>
      <c r="S167" s="22">
        <v>0.69338999999999995</v>
      </c>
      <c r="T167">
        <f t="shared" si="26"/>
        <v>14.0778</v>
      </c>
      <c r="U167">
        <f t="shared" si="27"/>
        <v>9.7223116913999998</v>
      </c>
      <c r="X167" s="9"/>
      <c r="Y167" s="22">
        <v>0.969391</v>
      </c>
      <c r="Z167" s="22">
        <v>149.53299999999999</v>
      </c>
      <c r="AA167" s="22">
        <v>-1.70013E-2</v>
      </c>
      <c r="AB167" s="22">
        <v>157</v>
      </c>
      <c r="AC167" s="22">
        <v>0.96801800000000005</v>
      </c>
      <c r="AD167">
        <f t="shared" si="28"/>
        <v>17.001300000000001</v>
      </c>
      <c r="AE167">
        <f t="shared" si="29"/>
        <v>16.4809072083</v>
      </c>
      <c r="AF167" s="9"/>
      <c r="AG167" s="22">
        <v>0.69061300000000003</v>
      </c>
      <c r="AH167" s="22">
        <v>198.9</v>
      </c>
      <c r="AI167" s="22">
        <v>-1.32874E-2</v>
      </c>
      <c r="AJ167" s="22">
        <v>157</v>
      </c>
      <c r="AK167" s="22">
        <v>0.68856799999999996</v>
      </c>
      <c r="AL167">
        <f t="shared" si="30"/>
        <v>13.2874</v>
      </c>
      <c r="AM167">
        <f t="shared" si="31"/>
        <v>9.1764511762000005</v>
      </c>
      <c r="AP167" s="9"/>
      <c r="AQ167" s="22">
        <v>0.969391</v>
      </c>
      <c r="AR167" s="22">
        <v>248.18199999999999</v>
      </c>
      <c r="AS167" s="22">
        <v>-1.6998300000000001E-2</v>
      </c>
      <c r="AT167" s="22">
        <v>157</v>
      </c>
      <c r="AU167" s="22">
        <v>0.96832300000000004</v>
      </c>
      <c r="AV167">
        <f t="shared" si="32"/>
        <v>16.9983</v>
      </c>
      <c r="AW167">
        <f t="shared" si="33"/>
        <v>16.477999035300002</v>
      </c>
      <c r="AX167" s="9"/>
      <c r="AY167" s="22">
        <v>0.69061300000000003</v>
      </c>
      <c r="AZ167" s="22">
        <v>297.548</v>
      </c>
      <c r="BA167" s="22">
        <v>-1.4975E-2</v>
      </c>
      <c r="BB167" s="22">
        <v>157</v>
      </c>
      <c r="BC167" s="22">
        <v>0.68957500000000005</v>
      </c>
      <c r="BD167">
        <f t="shared" si="34"/>
        <v>14.975</v>
      </c>
      <c r="BE167">
        <f t="shared" si="35"/>
        <v>10.341929674999999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0.96435499999999996</v>
      </c>
      <c r="H168" s="22">
        <v>50.897399999999998</v>
      </c>
      <c r="I168" s="22">
        <v>-1.70441E-2</v>
      </c>
      <c r="J168" s="22">
        <v>158</v>
      </c>
      <c r="K168" s="22">
        <v>0.96374499999999996</v>
      </c>
      <c r="L168">
        <f t="shared" si="24"/>
        <v>17.0441</v>
      </c>
      <c r="M168">
        <f t="shared" si="25"/>
        <v>16.436563055499999</v>
      </c>
      <c r="N168" s="9"/>
      <c r="O168" s="22">
        <v>0.69564800000000004</v>
      </c>
      <c r="P168" s="22">
        <v>100.14100000000001</v>
      </c>
      <c r="Q168" s="22">
        <v>-1.2683099999999999E-2</v>
      </c>
      <c r="R168" s="22">
        <v>158</v>
      </c>
      <c r="S168" s="22">
        <v>0.69714399999999999</v>
      </c>
      <c r="T168">
        <f t="shared" si="26"/>
        <v>12.6831</v>
      </c>
      <c r="U168">
        <f t="shared" si="27"/>
        <v>8.8229731488000009</v>
      </c>
      <c r="X168" s="9"/>
      <c r="Y168" s="22">
        <v>0.96435499999999996</v>
      </c>
      <c r="Z168" s="22">
        <v>149.54300000000001</v>
      </c>
      <c r="AA168" s="22">
        <v>-1.7004399999999999E-2</v>
      </c>
      <c r="AB168" s="22">
        <v>158</v>
      </c>
      <c r="AC168" s="22">
        <v>0.96313499999999996</v>
      </c>
      <c r="AD168">
        <f t="shared" si="28"/>
        <v>17.0044</v>
      </c>
      <c r="AE168">
        <f t="shared" si="29"/>
        <v>16.398278162</v>
      </c>
      <c r="AF168" s="9"/>
      <c r="AG168" s="22">
        <v>0.69564800000000004</v>
      </c>
      <c r="AH168" s="22">
        <v>198.91</v>
      </c>
      <c r="AI168" s="22">
        <v>-1.3037099999999999E-2</v>
      </c>
      <c r="AJ168" s="22">
        <v>158</v>
      </c>
      <c r="AK168" s="22">
        <v>0.69473300000000004</v>
      </c>
      <c r="AL168">
        <f t="shared" si="30"/>
        <v>13.037099999999999</v>
      </c>
      <c r="AM168">
        <f t="shared" si="31"/>
        <v>9.0692325407999999</v>
      </c>
      <c r="AP168" s="9"/>
      <c r="AQ168" s="22">
        <v>0.96435499999999996</v>
      </c>
      <c r="AR168" s="22">
        <v>248.19200000000001</v>
      </c>
      <c r="AS168" s="22">
        <v>-1.7004399999999999E-2</v>
      </c>
      <c r="AT168" s="22">
        <v>158</v>
      </c>
      <c r="AU168" s="22">
        <v>0.96404999999999996</v>
      </c>
      <c r="AV168">
        <f t="shared" si="32"/>
        <v>17.0044</v>
      </c>
      <c r="AW168">
        <f t="shared" si="33"/>
        <v>16.398278162</v>
      </c>
      <c r="AX168" s="9"/>
      <c r="AY168" s="22">
        <v>0.69564800000000004</v>
      </c>
      <c r="AZ168" s="22">
        <v>297.55900000000003</v>
      </c>
      <c r="BA168" s="22">
        <v>-1.45386E-2</v>
      </c>
      <c r="BB168" s="22">
        <v>158</v>
      </c>
      <c r="BC168" s="22">
        <v>0.69488499999999997</v>
      </c>
      <c r="BD168">
        <f t="shared" si="34"/>
        <v>14.538600000000001</v>
      </c>
      <c r="BE168">
        <f t="shared" si="35"/>
        <v>10.1137480128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0.95931999999999995</v>
      </c>
      <c r="H169" s="22">
        <v>50.907400000000003</v>
      </c>
      <c r="I169" s="22">
        <v>-1.7050200000000001E-2</v>
      </c>
      <c r="J169" s="22">
        <v>159</v>
      </c>
      <c r="K169" s="22">
        <v>0.95855699999999999</v>
      </c>
      <c r="L169">
        <f t="shared" si="24"/>
        <v>17.0502</v>
      </c>
      <c r="M169">
        <f t="shared" si="25"/>
        <v>16.356597864000001</v>
      </c>
      <c r="N169" s="9"/>
      <c r="O169" s="22">
        <v>0.70068399999999997</v>
      </c>
      <c r="P169" s="22">
        <v>100.151</v>
      </c>
      <c r="Q169" s="22">
        <v>-1.1306800000000001E-2</v>
      </c>
      <c r="R169" s="22">
        <v>159</v>
      </c>
      <c r="S169" s="22">
        <v>0.70144700000000004</v>
      </c>
      <c r="T169">
        <f t="shared" si="26"/>
        <v>11.306800000000001</v>
      </c>
      <c r="U169">
        <f t="shared" si="27"/>
        <v>7.9224938512000005</v>
      </c>
      <c r="X169" s="9"/>
      <c r="Y169" s="22">
        <v>0.95931999999999995</v>
      </c>
      <c r="Z169" s="22">
        <v>149.553</v>
      </c>
      <c r="AA169" s="22">
        <v>-1.6998300000000001E-2</v>
      </c>
      <c r="AB169" s="22">
        <v>159</v>
      </c>
      <c r="AC169" s="22">
        <v>0.95764199999999999</v>
      </c>
      <c r="AD169">
        <f t="shared" si="28"/>
        <v>16.9983</v>
      </c>
      <c r="AE169">
        <f t="shared" si="29"/>
        <v>16.306809156</v>
      </c>
      <c r="AF169" s="9"/>
      <c r="AG169" s="22">
        <v>0.70068399999999997</v>
      </c>
      <c r="AH169" s="22">
        <v>198.92</v>
      </c>
      <c r="AI169" s="22">
        <v>-1.2533600000000001E-2</v>
      </c>
      <c r="AJ169" s="22">
        <v>159</v>
      </c>
      <c r="AK169" s="22">
        <v>0.69982900000000003</v>
      </c>
      <c r="AL169">
        <f t="shared" si="30"/>
        <v>12.5336</v>
      </c>
      <c r="AM169">
        <f t="shared" si="31"/>
        <v>8.7820929824</v>
      </c>
      <c r="AP169" s="9"/>
      <c r="AQ169" s="22">
        <v>0.95931999999999995</v>
      </c>
      <c r="AR169" s="22">
        <v>248.202</v>
      </c>
      <c r="AS169" s="22">
        <v>-1.7010500000000001E-2</v>
      </c>
      <c r="AT169" s="22">
        <v>159</v>
      </c>
      <c r="AU169" s="22">
        <v>0.95855699999999999</v>
      </c>
      <c r="AV169">
        <f t="shared" si="32"/>
        <v>17.0105</v>
      </c>
      <c r="AW169">
        <f t="shared" si="33"/>
        <v>16.318512859999998</v>
      </c>
      <c r="AX169" s="9"/>
      <c r="AY169" s="22">
        <v>0.70068399999999997</v>
      </c>
      <c r="AZ169" s="22">
        <v>297.56900000000002</v>
      </c>
      <c r="BA169" s="22">
        <v>-1.43524E-2</v>
      </c>
      <c r="BB169" s="22">
        <v>159</v>
      </c>
      <c r="BC169" s="22">
        <v>0.69906599999999997</v>
      </c>
      <c r="BD169">
        <f t="shared" si="34"/>
        <v>14.352399999999999</v>
      </c>
      <c r="BE169">
        <f t="shared" si="35"/>
        <v>10.056497041599998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0.95428500000000005</v>
      </c>
      <c r="H170" s="22">
        <v>50.917499999999997</v>
      </c>
      <c r="I170" s="22">
        <v>-1.7053200000000001E-2</v>
      </c>
      <c r="J170" s="22">
        <v>160</v>
      </c>
      <c r="K170" s="22">
        <v>0.95336900000000002</v>
      </c>
      <c r="L170">
        <f t="shared" si="24"/>
        <v>17.0532</v>
      </c>
      <c r="M170">
        <f t="shared" si="25"/>
        <v>16.273612962000001</v>
      </c>
      <c r="N170" s="9"/>
      <c r="O170" s="22">
        <v>0.70571899999999999</v>
      </c>
      <c r="P170" s="22">
        <v>100.161</v>
      </c>
      <c r="Q170" s="22">
        <v>-1.18469E-2</v>
      </c>
      <c r="R170" s="22">
        <v>160</v>
      </c>
      <c r="S170" s="22">
        <v>0.702789</v>
      </c>
      <c r="T170">
        <f t="shared" si="26"/>
        <v>11.8469</v>
      </c>
      <c r="U170">
        <f t="shared" si="27"/>
        <v>8.3605824211000002</v>
      </c>
      <c r="X170" s="9"/>
      <c r="Y170" s="22">
        <v>0.95428500000000005</v>
      </c>
      <c r="Z170" s="22">
        <v>149.56299999999999</v>
      </c>
      <c r="AA170" s="22">
        <v>-1.70013E-2</v>
      </c>
      <c r="AB170" s="22">
        <v>160</v>
      </c>
      <c r="AC170" s="22">
        <v>0.95275900000000002</v>
      </c>
      <c r="AD170">
        <f t="shared" si="28"/>
        <v>17.001300000000001</v>
      </c>
      <c r="AE170">
        <f t="shared" si="29"/>
        <v>16.224085570500002</v>
      </c>
      <c r="AF170" s="9"/>
      <c r="AG170" s="22">
        <v>0.70571899999999999</v>
      </c>
      <c r="AH170" s="22">
        <v>198.93</v>
      </c>
      <c r="AI170" s="22">
        <v>-1.1972E-2</v>
      </c>
      <c r="AJ170" s="22">
        <v>160</v>
      </c>
      <c r="AK170" s="22">
        <v>0.70599400000000001</v>
      </c>
      <c r="AL170">
        <f t="shared" si="30"/>
        <v>11.972</v>
      </c>
      <c r="AM170">
        <f t="shared" si="31"/>
        <v>8.4488678679999989</v>
      </c>
      <c r="AP170" s="9"/>
      <c r="AQ170" s="22">
        <v>0.95428500000000005</v>
      </c>
      <c r="AR170" s="22">
        <v>248.21199999999999</v>
      </c>
      <c r="AS170" s="22">
        <v>-1.70166E-2</v>
      </c>
      <c r="AT170" s="22">
        <v>160</v>
      </c>
      <c r="AU170" s="22">
        <v>0.95306400000000002</v>
      </c>
      <c r="AV170">
        <f t="shared" si="32"/>
        <v>17.0166</v>
      </c>
      <c r="AW170">
        <f t="shared" si="33"/>
        <v>16.238686131000001</v>
      </c>
      <c r="AX170" s="9"/>
      <c r="AY170" s="22">
        <v>0.70571899999999999</v>
      </c>
      <c r="AZ170" s="22">
        <v>297.57900000000001</v>
      </c>
      <c r="BA170" s="22">
        <v>-1.3980100000000001E-2</v>
      </c>
      <c r="BB170" s="22">
        <v>160</v>
      </c>
      <c r="BC170" s="22">
        <v>0.70306400000000002</v>
      </c>
      <c r="BD170">
        <f t="shared" si="34"/>
        <v>13.9801</v>
      </c>
      <c r="BE170">
        <f t="shared" si="35"/>
        <v>9.8660221918999991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0.94924900000000001</v>
      </c>
      <c r="H171" s="22">
        <v>50.927599999999998</v>
      </c>
      <c r="I171" s="22">
        <v>-1.7059299999999999E-2</v>
      </c>
      <c r="J171" s="22">
        <v>161</v>
      </c>
      <c r="K171" s="22">
        <v>0.94787600000000005</v>
      </c>
      <c r="L171">
        <f t="shared" si="24"/>
        <v>17.0593</v>
      </c>
      <c r="M171">
        <f t="shared" si="25"/>
        <v>16.1935234657</v>
      </c>
      <c r="N171" s="9"/>
      <c r="O171" s="22">
        <v>0.710754</v>
      </c>
      <c r="P171" s="22">
        <v>100.17100000000001</v>
      </c>
      <c r="Q171" s="22">
        <v>-1.03363E-2</v>
      </c>
      <c r="R171" s="22">
        <v>161</v>
      </c>
      <c r="S171" s="22">
        <v>0.710175</v>
      </c>
      <c r="T171">
        <f t="shared" si="26"/>
        <v>10.3363</v>
      </c>
      <c r="U171">
        <f t="shared" si="27"/>
        <v>7.3465665701999994</v>
      </c>
      <c r="X171" s="9"/>
      <c r="Y171" s="22">
        <v>0.94924900000000001</v>
      </c>
      <c r="Z171" s="22">
        <v>149.57300000000001</v>
      </c>
      <c r="AA171" s="22">
        <v>-1.7010500000000001E-2</v>
      </c>
      <c r="AB171" s="22">
        <v>161</v>
      </c>
      <c r="AC171" s="22">
        <v>0.94879199999999997</v>
      </c>
      <c r="AD171">
        <f t="shared" si="28"/>
        <v>17.0105</v>
      </c>
      <c r="AE171">
        <f t="shared" si="29"/>
        <v>16.147200114500002</v>
      </c>
      <c r="AF171" s="9"/>
      <c r="AG171" s="22">
        <v>0.710754</v>
      </c>
      <c r="AH171" s="22">
        <v>198.94</v>
      </c>
      <c r="AI171" s="22">
        <v>-1.1224400000000001E-2</v>
      </c>
      <c r="AJ171" s="22">
        <v>161</v>
      </c>
      <c r="AK171" s="22">
        <v>0.71041900000000002</v>
      </c>
      <c r="AL171">
        <f t="shared" si="30"/>
        <v>11.224400000000001</v>
      </c>
      <c r="AM171">
        <f t="shared" si="31"/>
        <v>7.9777871976000005</v>
      </c>
      <c r="AP171" s="9"/>
      <c r="AQ171" s="22">
        <v>0.94924900000000001</v>
      </c>
      <c r="AR171" s="22">
        <v>248.22200000000001</v>
      </c>
      <c r="AS171" s="22">
        <v>-1.7019699999999999E-2</v>
      </c>
      <c r="AT171" s="22">
        <v>161</v>
      </c>
      <c r="AU171" s="22">
        <v>0.94818100000000005</v>
      </c>
      <c r="AV171">
        <f t="shared" si="32"/>
        <v>17.0197</v>
      </c>
      <c r="AW171">
        <f t="shared" si="33"/>
        <v>16.155933205300002</v>
      </c>
      <c r="AX171" s="9"/>
      <c r="AY171" s="22">
        <v>0.710754</v>
      </c>
      <c r="AZ171" s="22">
        <v>297.589</v>
      </c>
      <c r="BA171" s="22">
        <v>-1.36139E-2</v>
      </c>
      <c r="BB171" s="22">
        <v>161</v>
      </c>
      <c r="BC171" s="22">
        <v>0.71072400000000002</v>
      </c>
      <c r="BD171">
        <f t="shared" si="34"/>
        <v>13.613899999999999</v>
      </c>
      <c r="BE171">
        <f t="shared" si="35"/>
        <v>9.6761338806000001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0.944214</v>
      </c>
      <c r="H172" s="22">
        <v>50.937600000000003</v>
      </c>
      <c r="I172" s="22">
        <v>-1.7062399999999998E-2</v>
      </c>
      <c r="J172" s="22">
        <v>162</v>
      </c>
      <c r="K172" s="22">
        <v>0.94268799999999997</v>
      </c>
      <c r="L172">
        <f t="shared" si="24"/>
        <v>17.062399999999997</v>
      </c>
      <c r="M172">
        <f t="shared" si="25"/>
        <v>16.110556953599996</v>
      </c>
      <c r="N172" s="9"/>
      <c r="O172" s="22">
        <v>0.71579000000000004</v>
      </c>
      <c r="P172" s="22">
        <v>100.181</v>
      </c>
      <c r="Q172" s="22">
        <v>-9.7442599999999994E-3</v>
      </c>
      <c r="R172" s="22">
        <v>162</v>
      </c>
      <c r="S172" s="22">
        <v>0.70870999999999995</v>
      </c>
      <c r="T172">
        <f t="shared" si="26"/>
        <v>9.7442599999999988</v>
      </c>
      <c r="U172">
        <f t="shared" si="27"/>
        <v>6.9748438653999996</v>
      </c>
      <c r="X172" s="9"/>
      <c r="Y172" s="22">
        <v>0.944214</v>
      </c>
      <c r="Z172" s="22">
        <v>149.584</v>
      </c>
      <c r="AA172" s="22">
        <v>-1.7007399999999999E-2</v>
      </c>
      <c r="AB172" s="22">
        <v>162</v>
      </c>
      <c r="AC172" s="22">
        <v>0.94299299999999997</v>
      </c>
      <c r="AD172">
        <f t="shared" si="28"/>
        <v>17.007400000000001</v>
      </c>
      <c r="AE172">
        <f t="shared" si="29"/>
        <v>16.0586251836</v>
      </c>
      <c r="AF172" s="9"/>
      <c r="AG172" s="22">
        <v>0.71579000000000004</v>
      </c>
      <c r="AH172" s="22">
        <v>198.95</v>
      </c>
      <c r="AI172" s="22">
        <v>-1.03485E-2</v>
      </c>
      <c r="AJ172" s="22">
        <v>162</v>
      </c>
      <c r="AK172" s="22">
        <v>0.71426400000000001</v>
      </c>
      <c r="AL172">
        <f t="shared" si="30"/>
        <v>10.3485</v>
      </c>
      <c r="AM172">
        <f t="shared" si="31"/>
        <v>7.4073528150000003</v>
      </c>
      <c r="AP172" s="9"/>
      <c r="AQ172" s="22">
        <v>0.944214</v>
      </c>
      <c r="AR172" s="22">
        <v>248.232</v>
      </c>
      <c r="AS172" s="22">
        <v>-1.7025800000000001E-2</v>
      </c>
      <c r="AT172" s="22">
        <v>162</v>
      </c>
      <c r="AU172" s="22">
        <v>0.94329799999999997</v>
      </c>
      <c r="AV172">
        <f t="shared" si="32"/>
        <v>17.0258</v>
      </c>
      <c r="AW172">
        <f t="shared" si="33"/>
        <v>16.075998721200001</v>
      </c>
      <c r="AX172" s="9"/>
      <c r="AY172" s="22">
        <v>0.71579000000000004</v>
      </c>
      <c r="AZ172" s="22">
        <v>297.59899999999999</v>
      </c>
      <c r="BA172" s="22">
        <v>-1.3214099999999999E-2</v>
      </c>
      <c r="BB172" s="22">
        <v>162</v>
      </c>
      <c r="BC172" s="22">
        <v>0.71646100000000001</v>
      </c>
      <c r="BD172">
        <f t="shared" si="34"/>
        <v>13.2141</v>
      </c>
      <c r="BE172">
        <f t="shared" si="35"/>
        <v>9.4585206390000014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0.93917799999999996</v>
      </c>
      <c r="H173" s="22">
        <v>50.947699999999998</v>
      </c>
      <c r="I173" s="22">
        <v>-1.7065400000000001E-2</v>
      </c>
      <c r="J173" s="22">
        <v>163</v>
      </c>
      <c r="K173" s="22">
        <v>0.93902600000000003</v>
      </c>
      <c r="L173">
        <f t="shared" si="24"/>
        <v>17.0654</v>
      </c>
      <c r="M173">
        <f t="shared" si="25"/>
        <v>16.027448241199998</v>
      </c>
      <c r="N173" s="9"/>
      <c r="O173" s="22">
        <v>0.72082500000000005</v>
      </c>
      <c r="P173" s="22">
        <v>100.191</v>
      </c>
      <c r="Q173" s="22">
        <v>-8.9996299999999998E-3</v>
      </c>
      <c r="R173" s="22">
        <v>163</v>
      </c>
      <c r="S173" s="22">
        <v>0.71704100000000004</v>
      </c>
      <c r="T173">
        <f t="shared" si="26"/>
        <v>8.9996299999999998</v>
      </c>
      <c r="U173">
        <f t="shared" si="27"/>
        <v>6.4871582947500004</v>
      </c>
      <c r="X173" s="9"/>
      <c r="Y173" s="22">
        <v>0.93917799999999996</v>
      </c>
      <c r="Z173" s="22">
        <v>149.59399999999999</v>
      </c>
      <c r="AA173" s="22">
        <v>-1.7019699999999999E-2</v>
      </c>
      <c r="AB173" s="22">
        <v>163</v>
      </c>
      <c r="AC173" s="22">
        <v>0.93811</v>
      </c>
      <c r="AD173">
        <f t="shared" si="28"/>
        <v>17.0197</v>
      </c>
      <c r="AE173">
        <f t="shared" si="29"/>
        <v>15.984527806599999</v>
      </c>
      <c r="AF173" s="9"/>
      <c r="AG173" s="22">
        <v>0.72082500000000005</v>
      </c>
      <c r="AH173" s="22">
        <v>198.96</v>
      </c>
      <c r="AI173" s="22">
        <v>-9.3627899999999993E-3</v>
      </c>
      <c r="AJ173" s="22">
        <v>163</v>
      </c>
      <c r="AK173" s="22">
        <v>0.71997100000000003</v>
      </c>
      <c r="AL173">
        <f t="shared" si="30"/>
        <v>9.3627899999999986</v>
      </c>
      <c r="AM173">
        <f t="shared" si="31"/>
        <v>6.7489331017499996</v>
      </c>
      <c r="AP173" s="9"/>
      <c r="AQ173" s="22">
        <v>0.93917799999999996</v>
      </c>
      <c r="AR173" s="22">
        <v>248.24199999999999</v>
      </c>
      <c r="AS173" s="22">
        <v>-1.7025800000000001E-2</v>
      </c>
      <c r="AT173" s="22">
        <v>163</v>
      </c>
      <c r="AU173" s="22">
        <v>0.93811</v>
      </c>
      <c r="AV173">
        <f t="shared" si="32"/>
        <v>17.0258</v>
      </c>
      <c r="AW173">
        <f t="shared" si="33"/>
        <v>15.9902567924</v>
      </c>
      <c r="AX173" s="9"/>
      <c r="AY173" s="22">
        <v>0.72082500000000005</v>
      </c>
      <c r="AZ173" s="22">
        <v>297.60899999999998</v>
      </c>
      <c r="BA173" s="22">
        <v>-1.2982199999999999E-2</v>
      </c>
      <c r="BB173" s="22">
        <v>163</v>
      </c>
      <c r="BC173" s="22">
        <v>0.72006199999999998</v>
      </c>
      <c r="BD173">
        <f t="shared" si="34"/>
        <v>12.982199999999999</v>
      </c>
      <c r="BE173">
        <f t="shared" si="35"/>
        <v>9.3578943149999994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0.93414299999999995</v>
      </c>
      <c r="H174" s="22">
        <v>50.957799999999999</v>
      </c>
      <c r="I174" s="22">
        <v>-1.7065400000000001E-2</v>
      </c>
      <c r="J174" s="22">
        <v>164</v>
      </c>
      <c r="K174" s="22">
        <v>0.93353299999999995</v>
      </c>
      <c r="L174">
        <f t="shared" si="24"/>
        <v>17.0654</v>
      </c>
      <c r="M174">
        <f t="shared" si="25"/>
        <v>15.941523952199999</v>
      </c>
      <c r="N174" s="9"/>
      <c r="O174" s="22">
        <v>0.72586099999999998</v>
      </c>
      <c r="P174" s="22">
        <v>100.20099999999999</v>
      </c>
      <c r="Q174" s="22">
        <v>-6.6894500000000004E-3</v>
      </c>
      <c r="R174" s="22">
        <v>164</v>
      </c>
      <c r="S174" s="22">
        <v>0.72244299999999995</v>
      </c>
      <c r="T174">
        <f t="shared" si="26"/>
        <v>6.6894500000000008</v>
      </c>
      <c r="U174">
        <f t="shared" si="27"/>
        <v>4.8556108664500002</v>
      </c>
      <c r="X174" s="9"/>
      <c r="Y174" s="22">
        <v>0.93414299999999995</v>
      </c>
      <c r="Z174" s="22">
        <v>149.60400000000001</v>
      </c>
      <c r="AA174" s="22">
        <v>-1.7019699999999999E-2</v>
      </c>
      <c r="AB174" s="22">
        <v>164</v>
      </c>
      <c r="AC174" s="22">
        <v>0.93322799999999995</v>
      </c>
      <c r="AD174">
        <f t="shared" si="28"/>
        <v>17.0197</v>
      </c>
      <c r="AE174">
        <f t="shared" si="29"/>
        <v>15.898833617099999</v>
      </c>
      <c r="AF174" s="9"/>
      <c r="AG174" s="22">
        <v>0.72586099999999998</v>
      </c>
      <c r="AH174" s="22">
        <v>198.97</v>
      </c>
      <c r="AI174" s="22">
        <v>-8.2458500000000007E-3</v>
      </c>
      <c r="AJ174" s="22">
        <v>164</v>
      </c>
      <c r="AK174" s="22">
        <v>0.72424299999999997</v>
      </c>
      <c r="AL174">
        <f t="shared" si="30"/>
        <v>8.2458500000000008</v>
      </c>
      <c r="AM174">
        <f t="shared" si="31"/>
        <v>5.9853409268500002</v>
      </c>
      <c r="AP174" s="9"/>
      <c r="AQ174" s="22">
        <v>0.93414299999999995</v>
      </c>
      <c r="AR174" s="22">
        <v>248.25299999999999</v>
      </c>
      <c r="AS174" s="22">
        <v>-1.7034899999999999E-2</v>
      </c>
      <c r="AT174" s="22">
        <v>164</v>
      </c>
      <c r="AU174" s="22">
        <v>0.93353299999999995</v>
      </c>
      <c r="AV174">
        <f t="shared" si="32"/>
        <v>17.0349</v>
      </c>
      <c r="AW174">
        <f t="shared" si="33"/>
        <v>15.913032590699999</v>
      </c>
      <c r="AX174" s="9"/>
      <c r="AY174" s="22">
        <v>0.72586099999999998</v>
      </c>
      <c r="AZ174" s="22">
        <v>297.61900000000003</v>
      </c>
      <c r="BA174" s="22">
        <v>-1.21887E-2</v>
      </c>
      <c r="BB174" s="22">
        <v>164</v>
      </c>
      <c r="BC174" s="22">
        <v>0.72439600000000004</v>
      </c>
      <c r="BD174">
        <f t="shared" si="34"/>
        <v>12.188700000000001</v>
      </c>
      <c r="BE174">
        <f t="shared" si="35"/>
        <v>8.8473019707000002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0.92910800000000004</v>
      </c>
      <c r="H175" s="22">
        <v>50.9679</v>
      </c>
      <c r="I175" s="22">
        <v>-1.70685E-2</v>
      </c>
      <c r="J175" s="22">
        <v>165</v>
      </c>
      <c r="K175" s="22">
        <v>0.92864999999999998</v>
      </c>
      <c r="L175">
        <f t="shared" si="24"/>
        <v>17.0685</v>
      </c>
      <c r="M175">
        <f t="shared" si="25"/>
        <v>15.858479898000001</v>
      </c>
      <c r="N175" s="9"/>
      <c r="O175" s="22">
        <v>0.73089599999999999</v>
      </c>
      <c r="P175" s="22">
        <v>100.211</v>
      </c>
      <c r="Q175" s="22">
        <v>-8.8989299999999993E-3</v>
      </c>
      <c r="R175" s="22">
        <v>165</v>
      </c>
      <c r="S175" s="22">
        <v>0.74481200000000003</v>
      </c>
      <c r="T175">
        <f t="shared" si="26"/>
        <v>8.89893</v>
      </c>
      <c r="U175">
        <f t="shared" si="27"/>
        <v>6.5041923412799996</v>
      </c>
      <c r="X175" s="9"/>
      <c r="Y175" s="22">
        <v>0.92910800000000004</v>
      </c>
      <c r="Z175" s="22">
        <v>149.614</v>
      </c>
      <c r="AA175" s="22">
        <v>-1.7025800000000001E-2</v>
      </c>
      <c r="AB175" s="22">
        <v>165</v>
      </c>
      <c r="AC175" s="22">
        <v>0.92773399999999995</v>
      </c>
      <c r="AD175">
        <f t="shared" si="28"/>
        <v>17.0258</v>
      </c>
      <c r="AE175">
        <f t="shared" si="29"/>
        <v>15.8188069864</v>
      </c>
      <c r="AF175" s="9"/>
      <c r="AG175" s="22">
        <v>0.73089599999999999</v>
      </c>
      <c r="AH175" s="22">
        <v>198.98</v>
      </c>
      <c r="AI175" s="22">
        <v>-6.9580099999999997E-3</v>
      </c>
      <c r="AJ175" s="22">
        <v>165</v>
      </c>
      <c r="AK175" s="22">
        <v>0.73043800000000003</v>
      </c>
      <c r="AL175">
        <f t="shared" si="30"/>
        <v>6.9580099999999998</v>
      </c>
      <c r="AM175">
        <f t="shared" si="31"/>
        <v>5.0855816769599995</v>
      </c>
      <c r="AP175" s="9"/>
      <c r="AQ175" s="22">
        <v>0.92910800000000004</v>
      </c>
      <c r="AR175" s="22">
        <v>248.26300000000001</v>
      </c>
      <c r="AS175" s="22">
        <v>-1.7041000000000001E-2</v>
      </c>
      <c r="AT175" s="22">
        <v>165</v>
      </c>
      <c r="AU175" s="22">
        <v>0.92864999999999998</v>
      </c>
      <c r="AV175">
        <f t="shared" si="32"/>
        <v>17.041</v>
      </c>
      <c r="AW175">
        <f t="shared" si="33"/>
        <v>15.832929428000002</v>
      </c>
      <c r="AX175" s="9"/>
      <c r="AY175" s="22">
        <v>0.73089599999999999</v>
      </c>
      <c r="AZ175" s="22">
        <v>297.62900000000002</v>
      </c>
      <c r="BA175" s="22">
        <v>-1.15814E-2</v>
      </c>
      <c r="BB175" s="22">
        <v>165</v>
      </c>
      <c r="BC175" s="22">
        <v>0.72952300000000003</v>
      </c>
      <c r="BD175">
        <f t="shared" si="34"/>
        <v>11.5814</v>
      </c>
      <c r="BE175">
        <f t="shared" si="35"/>
        <v>8.464798934400001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0.924072</v>
      </c>
      <c r="H176" s="22">
        <v>50.977899999999998</v>
      </c>
      <c r="I176" s="22">
        <v>-1.7074599999999999E-2</v>
      </c>
      <c r="J176" s="22">
        <v>166</v>
      </c>
      <c r="K176" s="22">
        <v>0.92254599999999998</v>
      </c>
      <c r="L176">
        <f t="shared" si="24"/>
        <v>17.0746</v>
      </c>
      <c r="M176">
        <f t="shared" si="25"/>
        <v>15.7781597712</v>
      </c>
      <c r="N176" s="9"/>
      <c r="O176" s="22">
        <v>0.735931</v>
      </c>
      <c r="P176" s="22">
        <v>100.221</v>
      </c>
      <c r="Q176" s="22">
        <v>-1.14441E-3</v>
      </c>
      <c r="R176" s="22">
        <v>166</v>
      </c>
      <c r="S176" s="22">
        <v>0.73287999999999998</v>
      </c>
      <c r="T176">
        <f t="shared" si="26"/>
        <v>1.1444099999999999</v>
      </c>
      <c r="U176">
        <f t="shared" si="27"/>
        <v>0.8422067957099999</v>
      </c>
      <c r="X176" s="9"/>
      <c r="Y176" s="22">
        <v>0.924072</v>
      </c>
      <c r="Z176" s="22">
        <v>149.624</v>
      </c>
      <c r="AA176" s="22">
        <v>-1.7031899999999999E-2</v>
      </c>
      <c r="AB176" s="22">
        <v>166</v>
      </c>
      <c r="AC176" s="22">
        <v>0.92285200000000001</v>
      </c>
      <c r="AD176">
        <f t="shared" si="28"/>
        <v>17.0319</v>
      </c>
      <c r="AE176">
        <f t="shared" si="29"/>
        <v>15.7387018968</v>
      </c>
      <c r="AF176" s="9"/>
      <c r="AG176" s="22">
        <v>0.735931</v>
      </c>
      <c r="AH176" s="22">
        <v>198.99</v>
      </c>
      <c r="AI176" s="22">
        <v>-5.2856400000000003E-3</v>
      </c>
      <c r="AJ176" s="22">
        <v>166</v>
      </c>
      <c r="AK176" s="22">
        <v>0.73526000000000002</v>
      </c>
      <c r="AL176">
        <f t="shared" si="30"/>
        <v>5.2856399999999999</v>
      </c>
      <c r="AM176">
        <f t="shared" si="31"/>
        <v>3.8898663308399999</v>
      </c>
      <c r="AP176" s="9"/>
      <c r="AQ176" s="22">
        <v>0.924072</v>
      </c>
      <c r="AR176" s="22">
        <v>248.273</v>
      </c>
      <c r="AS176" s="22">
        <v>-1.70441E-2</v>
      </c>
      <c r="AT176" s="22">
        <v>166</v>
      </c>
      <c r="AU176" s="22">
        <v>0.92315700000000001</v>
      </c>
      <c r="AV176">
        <f t="shared" si="32"/>
        <v>17.0441</v>
      </c>
      <c r="AW176">
        <f t="shared" si="33"/>
        <v>15.749975575200001</v>
      </c>
      <c r="AX176" s="9"/>
      <c r="AY176" s="22">
        <v>0.735931</v>
      </c>
      <c r="AZ176" s="22">
        <v>297.63900000000001</v>
      </c>
      <c r="BA176" s="22">
        <v>-1.11755E-2</v>
      </c>
      <c r="BB176" s="22">
        <v>166</v>
      </c>
      <c r="BC176" s="22">
        <v>0.73458900000000005</v>
      </c>
      <c r="BD176">
        <f t="shared" si="34"/>
        <v>11.1755</v>
      </c>
      <c r="BE176">
        <f t="shared" si="35"/>
        <v>8.2243968904999996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0.91903699999999999</v>
      </c>
      <c r="H177" s="22">
        <v>50.988</v>
      </c>
      <c r="I177" s="22">
        <v>-1.70837E-2</v>
      </c>
      <c r="J177" s="22">
        <v>167</v>
      </c>
      <c r="K177" s="22">
        <v>0.91827400000000003</v>
      </c>
      <c r="L177">
        <f t="shared" si="24"/>
        <v>17.0837</v>
      </c>
      <c r="M177">
        <f t="shared" si="25"/>
        <v>15.700552396900001</v>
      </c>
      <c r="N177" s="9"/>
      <c r="O177" s="22">
        <v>0.74096700000000004</v>
      </c>
      <c r="P177" s="22">
        <v>100.23099999999999</v>
      </c>
      <c r="Q177" s="22">
        <v>6.4331100000000003E-4</v>
      </c>
      <c r="R177" s="22">
        <v>167</v>
      </c>
      <c r="S177" s="22">
        <v>0.74316400000000005</v>
      </c>
      <c r="T177">
        <f t="shared" si="26"/>
        <v>-0.64331100000000008</v>
      </c>
      <c r="U177">
        <f t="shared" si="27"/>
        <v>-0.47667222173700008</v>
      </c>
      <c r="X177" s="9"/>
      <c r="Y177" s="22">
        <v>0.91903699999999999</v>
      </c>
      <c r="Z177" s="22">
        <v>149.63399999999999</v>
      </c>
      <c r="AA177" s="22">
        <v>-1.7038000000000001E-2</v>
      </c>
      <c r="AB177" s="22">
        <v>167</v>
      </c>
      <c r="AC177" s="22">
        <v>0.91827400000000003</v>
      </c>
      <c r="AD177">
        <f t="shared" si="28"/>
        <v>17.038</v>
      </c>
      <c r="AE177">
        <f t="shared" si="29"/>
        <v>15.658552406</v>
      </c>
      <c r="AF177" s="9"/>
      <c r="AG177" s="22">
        <v>0.74096700000000004</v>
      </c>
      <c r="AH177" s="22">
        <v>199</v>
      </c>
      <c r="AI177" s="22">
        <v>-3.3541899999999999E-3</v>
      </c>
      <c r="AJ177" s="22">
        <v>167</v>
      </c>
      <c r="AK177" s="22">
        <v>0.74035600000000001</v>
      </c>
      <c r="AL177">
        <f t="shared" si="30"/>
        <v>3.35419</v>
      </c>
      <c r="AM177">
        <f t="shared" si="31"/>
        <v>2.48534410173</v>
      </c>
      <c r="AP177" s="9"/>
      <c r="AQ177" s="22">
        <v>0.91903699999999999</v>
      </c>
      <c r="AR177" s="22">
        <v>248.28299999999999</v>
      </c>
      <c r="AS177" s="22">
        <v>-1.70441E-2</v>
      </c>
      <c r="AT177" s="22">
        <v>167</v>
      </c>
      <c r="AU177" s="22">
        <v>0.91857900000000003</v>
      </c>
      <c r="AV177">
        <f t="shared" si="32"/>
        <v>17.0441</v>
      </c>
      <c r="AW177">
        <f t="shared" si="33"/>
        <v>15.6641585317</v>
      </c>
      <c r="AX177" s="9"/>
      <c r="AY177" s="22">
        <v>0.74096700000000004</v>
      </c>
      <c r="AZ177" s="22">
        <v>297.649</v>
      </c>
      <c r="BA177" s="22">
        <v>-1.06842E-2</v>
      </c>
      <c r="BB177" s="22">
        <v>167</v>
      </c>
      <c r="BC177" s="22">
        <v>0.74179099999999998</v>
      </c>
      <c r="BD177">
        <f t="shared" si="34"/>
        <v>10.684199999999999</v>
      </c>
      <c r="BE177">
        <f t="shared" si="35"/>
        <v>7.9166396213999999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0.91400099999999995</v>
      </c>
      <c r="H178" s="22">
        <v>50.998100000000001</v>
      </c>
      <c r="I178" s="22">
        <v>-1.70837E-2</v>
      </c>
      <c r="J178" s="22">
        <v>168</v>
      </c>
      <c r="K178" s="22">
        <v>0.91339099999999995</v>
      </c>
      <c r="L178">
        <f t="shared" si="24"/>
        <v>17.0837</v>
      </c>
      <c r="M178">
        <f t="shared" si="25"/>
        <v>15.614518883699999</v>
      </c>
      <c r="N178" s="9"/>
      <c r="O178" s="22">
        <v>0.74600200000000005</v>
      </c>
      <c r="P178" s="22">
        <v>100.241</v>
      </c>
      <c r="Q178" s="22">
        <v>2.8747600000000001E-3</v>
      </c>
      <c r="R178" s="22">
        <v>168</v>
      </c>
      <c r="S178" s="22">
        <v>0.74093600000000004</v>
      </c>
      <c r="T178">
        <f t="shared" si="26"/>
        <v>-2.8747600000000002</v>
      </c>
      <c r="U178">
        <f t="shared" si="27"/>
        <v>-2.1445767095200003</v>
      </c>
      <c r="X178" s="9"/>
      <c r="Y178" s="22">
        <v>0.91400099999999995</v>
      </c>
      <c r="Z178" s="22">
        <v>149.64400000000001</v>
      </c>
      <c r="AA178" s="22">
        <v>-1.7041000000000001E-2</v>
      </c>
      <c r="AB178" s="22">
        <v>168</v>
      </c>
      <c r="AC178" s="22">
        <v>0.91278099999999995</v>
      </c>
      <c r="AD178">
        <f t="shared" si="28"/>
        <v>17.041</v>
      </c>
      <c r="AE178">
        <f t="shared" si="29"/>
        <v>15.575491040999999</v>
      </c>
      <c r="AF178" s="9"/>
      <c r="AG178" s="22">
        <v>0.74600200000000005</v>
      </c>
      <c r="AH178" s="22">
        <v>199.01</v>
      </c>
      <c r="AI178" s="22">
        <v>-1.16547E-3</v>
      </c>
      <c r="AJ178" s="22">
        <v>168</v>
      </c>
      <c r="AK178" s="22">
        <v>0.74526999999999999</v>
      </c>
      <c r="AL178">
        <f t="shared" si="30"/>
        <v>1.16547</v>
      </c>
      <c r="AM178">
        <f t="shared" si="31"/>
        <v>0.86944295094000001</v>
      </c>
      <c r="AP178" s="9"/>
      <c r="AQ178" s="22">
        <v>0.91400099999999995</v>
      </c>
      <c r="AR178" s="22">
        <v>248.29300000000001</v>
      </c>
      <c r="AS178" s="22">
        <v>-1.70441E-2</v>
      </c>
      <c r="AT178" s="22">
        <v>168</v>
      </c>
      <c r="AU178" s="22">
        <v>0.91247599999999995</v>
      </c>
      <c r="AV178">
        <f t="shared" si="32"/>
        <v>17.0441</v>
      </c>
      <c r="AW178">
        <f t="shared" si="33"/>
        <v>15.5783244441</v>
      </c>
      <c r="AX178" s="9"/>
      <c r="AY178" s="22">
        <v>0.74600200000000005</v>
      </c>
      <c r="AZ178" s="22">
        <v>297.65899999999999</v>
      </c>
      <c r="BA178" s="22">
        <v>-9.61914E-3</v>
      </c>
      <c r="BB178" s="22">
        <v>168</v>
      </c>
      <c r="BC178" s="22">
        <v>0.74548300000000001</v>
      </c>
      <c r="BD178">
        <f t="shared" si="34"/>
        <v>9.6191399999999998</v>
      </c>
      <c r="BE178">
        <f t="shared" si="35"/>
        <v>7.1758976782800001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0.90896600000000005</v>
      </c>
      <c r="H179" s="22">
        <v>51.008099999999999</v>
      </c>
      <c r="I179" s="22">
        <v>-1.7086799999999999E-2</v>
      </c>
      <c r="J179" s="22">
        <v>169</v>
      </c>
      <c r="K179" s="22">
        <v>0.90820299999999998</v>
      </c>
      <c r="L179">
        <f t="shared" si="24"/>
        <v>17.0868</v>
      </c>
      <c r="M179">
        <f t="shared" si="25"/>
        <v>15.531320248800002</v>
      </c>
      <c r="N179" s="9"/>
      <c r="O179" s="22">
        <v>0.75103799999999998</v>
      </c>
      <c r="P179" s="22">
        <v>100.252</v>
      </c>
      <c r="Q179" s="22">
        <v>4.0893600000000002E-3</v>
      </c>
      <c r="R179" s="22">
        <v>169</v>
      </c>
      <c r="S179" s="22">
        <v>0.749664</v>
      </c>
      <c r="T179">
        <f t="shared" si="26"/>
        <v>-4.0893600000000001</v>
      </c>
      <c r="U179">
        <f t="shared" si="27"/>
        <v>-3.0712647556800001</v>
      </c>
      <c r="X179" s="9"/>
      <c r="Y179" s="22">
        <v>0.90896600000000005</v>
      </c>
      <c r="Z179" s="22">
        <v>149.654</v>
      </c>
      <c r="AA179" s="22">
        <v>-1.7041000000000001E-2</v>
      </c>
      <c r="AB179" s="22">
        <v>169</v>
      </c>
      <c r="AC179" s="22">
        <v>0.90789799999999998</v>
      </c>
      <c r="AD179">
        <f t="shared" si="28"/>
        <v>17.041</v>
      </c>
      <c r="AE179">
        <f t="shared" si="29"/>
        <v>15.489689606000001</v>
      </c>
      <c r="AF179" s="9"/>
      <c r="AG179" s="22">
        <v>0.75103799999999998</v>
      </c>
      <c r="AH179" s="22">
        <v>199.02</v>
      </c>
      <c r="AI179" s="22">
        <v>1.9015499999999999E-3</v>
      </c>
      <c r="AJ179" s="22">
        <v>169</v>
      </c>
      <c r="AK179" s="22">
        <v>0.75012199999999996</v>
      </c>
      <c r="AL179">
        <f t="shared" si="30"/>
        <v>-1.9015499999999999</v>
      </c>
      <c r="AM179">
        <f t="shared" si="31"/>
        <v>-1.4281363088999999</v>
      </c>
      <c r="AP179" s="9"/>
      <c r="AQ179" s="22">
        <v>0.90896600000000005</v>
      </c>
      <c r="AR179" s="22">
        <v>248.303</v>
      </c>
      <c r="AS179" s="22">
        <v>-1.7050200000000001E-2</v>
      </c>
      <c r="AT179" s="22">
        <v>169</v>
      </c>
      <c r="AU179" s="22">
        <v>0.90789799999999998</v>
      </c>
      <c r="AV179">
        <f t="shared" si="32"/>
        <v>17.0502</v>
      </c>
      <c r="AW179">
        <f t="shared" si="33"/>
        <v>15.498052093200002</v>
      </c>
      <c r="AX179" s="9"/>
      <c r="AY179" s="22">
        <v>0.75103799999999998</v>
      </c>
      <c r="AZ179" s="22">
        <v>297.66899999999998</v>
      </c>
      <c r="BA179" s="22">
        <v>-8.0474899999999992E-3</v>
      </c>
      <c r="BB179" s="22">
        <v>169</v>
      </c>
      <c r="BC179" s="22">
        <v>0.750641</v>
      </c>
      <c r="BD179">
        <f t="shared" si="34"/>
        <v>8.0474899999999998</v>
      </c>
      <c r="BE179">
        <f t="shared" si="35"/>
        <v>6.0439707946199999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0.90393100000000004</v>
      </c>
      <c r="H180" s="22">
        <v>51.0182</v>
      </c>
      <c r="I180" s="22">
        <v>-1.7089799999999999E-2</v>
      </c>
      <c r="J180" s="22">
        <v>170</v>
      </c>
      <c r="K180" s="22">
        <v>0.90301500000000001</v>
      </c>
      <c r="L180">
        <f t="shared" si="24"/>
        <v>17.0898</v>
      </c>
      <c r="M180">
        <f t="shared" si="25"/>
        <v>15.448000003800001</v>
      </c>
      <c r="N180" s="9"/>
      <c r="O180" s="22">
        <v>0.756073</v>
      </c>
      <c r="P180" s="22">
        <v>100.262</v>
      </c>
      <c r="Q180" s="22">
        <v>1.8350199999999999E-3</v>
      </c>
      <c r="R180" s="22">
        <v>170</v>
      </c>
      <c r="S180" s="22">
        <v>0.75012199999999996</v>
      </c>
      <c r="T180">
        <f t="shared" si="26"/>
        <v>-1.8350199999999999</v>
      </c>
      <c r="U180">
        <f t="shared" si="27"/>
        <v>-1.38740907646</v>
      </c>
      <c r="X180" s="9"/>
      <c r="Y180" s="22">
        <v>0.90393100000000004</v>
      </c>
      <c r="Z180" s="22">
        <v>149.66399999999999</v>
      </c>
      <c r="AA180" s="22">
        <v>-1.7047099999999999E-2</v>
      </c>
      <c r="AB180" s="22">
        <v>170</v>
      </c>
      <c r="AC180" s="22">
        <v>0.90271000000000001</v>
      </c>
      <c r="AD180">
        <f t="shared" si="28"/>
        <v>17.0471</v>
      </c>
      <c r="AE180">
        <f t="shared" si="29"/>
        <v>15.409402150100002</v>
      </c>
      <c r="AF180" s="9"/>
      <c r="AG180" s="22">
        <v>0.756073</v>
      </c>
      <c r="AH180" s="22">
        <v>199.03100000000001</v>
      </c>
      <c r="AI180" s="22">
        <v>5.5725100000000001E-3</v>
      </c>
      <c r="AJ180" s="22">
        <v>170</v>
      </c>
      <c r="AK180" s="22">
        <v>0.75408900000000001</v>
      </c>
      <c r="AL180">
        <f t="shared" si="30"/>
        <v>-5.5725100000000003</v>
      </c>
      <c r="AM180">
        <f t="shared" si="31"/>
        <v>-4.2132243532300002</v>
      </c>
      <c r="AP180" s="9"/>
      <c r="AQ180" s="22">
        <v>0.90393100000000004</v>
      </c>
      <c r="AR180" s="22">
        <v>248.31299999999999</v>
      </c>
      <c r="AS180" s="22">
        <v>-1.7053200000000001E-2</v>
      </c>
      <c r="AT180" s="22">
        <v>170</v>
      </c>
      <c r="AU180" s="22">
        <v>0.90271000000000001</v>
      </c>
      <c r="AV180">
        <f t="shared" si="32"/>
        <v>17.0532</v>
      </c>
      <c r="AW180">
        <f t="shared" si="33"/>
        <v>15.414916129200002</v>
      </c>
      <c r="AX180" s="9"/>
      <c r="AY180" s="22">
        <v>0.756073</v>
      </c>
      <c r="AZ180" s="22">
        <v>297.67899999999997</v>
      </c>
      <c r="BA180" s="22">
        <v>-7.0678700000000004E-3</v>
      </c>
      <c r="BB180" s="22">
        <v>170</v>
      </c>
      <c r="BC180" s="22">
        <v>0.75592000000000004</v>
      </c>
      <c r="BD180">
        <f t="shared" si="34"/>
        <v>7.0678700000000001</v>
      </c>
      <c r="BE180">
        <f t="shared" si="35"/>
        <v>5.3438256745099997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0.898895</v>
      </c>
      <c r="H181" s="22">
        <v>51.028300000000002</v>
      </c>
      <c r="I181" s="22">
        <v>-1.7095900000000001E-2</v>
      </c>
      <c r="J181" s="22">
        <v>171</v>
      </c>
      <c r="K181" s="22">
        <v>0.89813200000000004</v>
      </c>
      <c r="L181">
        <f t="shared" si="24"/>
        <v>17.0959</v>
      </c>
      <c r="M181">
        <f t="shared" si="25"/>
        <v>15.367419030500001</v>
      </c>
      <c r="N181" s="9"/>
      <c r="O181" s="22">
        <v>0.76110800000000001</v>
      </c>
      <c r="P181" s="22">
        <v>100.27200000000001</v>
      </c>
      <c r="Q181" s="22">
        <v>1.06812E-2</v>
      </c>
      <c r="R181" s="22">
        <v>171</v>
      </c>
      <c r="S181" s="22">
        <v>0.75775099999999995</v>
      </c>
      <c r="T181">
        <f t="shared" si="26"/>
        <v>-10.6812</v>
      </c>
      <c r="U181">
        <f t="shared" si="27"/>
        <v>-8.129546769600001</v>
      </c>
      <c r="X181" s="9"/>
      <c r="Y181" s="22">
        <v>0.898895</v>
      </c>
      <c r="Z181" s="22">
        <v>149.67400000000001</v>
      </c>
      <c r="AA181" s="22">
        <v>-1.7047099999999999E-2</v>
      </c>
      <c r="AB181" s="22">
        <v>171</v>
      </c>
      <c r="AC181" s="22">
        <v>0.89843799999999996</v>
      </c>
      <c r="AD181">
        <f t="shared" si="28"/>
        <v>17.0471</v>
      </c>
      <c r="AE181">
        <f t="shared" si="29"/>
        <v>15.3235529545</v>
      </c>
      <c r="AF181" s="9"/>
      <c r="AG181" s="22">
        <v>0.76110800000000001</v>
      </c>
      <c r="AH181" s="22">
        <v>199.041</v>
      </c>
      <c r="AI181" s="22">
        <v>1.03088E-2</v>
      </c>
      <c r="AJ181" s="22">
        <v>171</v>
      </c>
      <c r="AK181" s="22">
        <v>0.75958300000000001</v>
      </c>
      <c r="AL181">
        <f t="shared" si="30"/>
        <v>-10.3088</v>
      </c>
      <c r="AM181">
        <f t="shared" si="31"/>
        <v>-7.8461101503999995</v>
      </c>
      <c r="AP181" s="9"/>
      <c r="AQ181" s="22">
        <v>0.898895</v>
      </c>
      <c r="AR181" s="22">
        <v>248.32300000000001</v>
      </c>
      <c r="AS181" s="22">
        <v>-1.7059299999999999E-2</v>
      </c>
      <c r="AT181" s="22">
        <v>171</v>
      </c>
      <c r="AU181" s="22">
        <v>0.89782700000000004</v>
      </c>
      <c r="AV181">
        <f t="shared" si="32"/>
        <v>17.0593</v>
      </c>
      <c r="AW181">
        <f t="shared" si="33"/>
        <v>15.3345194735</v>
      </c>
      <c r="AX181" s="9"/>
      <c r="AY181" s="22">
        <v>0.76110800000000001</v>
      </c>
      <c r="AZ181" s="22">
        <v>297.68900000000002</v>
      </c>
      <c r="BA181" s="22">
        <v>-6.3720699999999996E-3</v>
      </c>
      <c r="BB181" s="22">
        <v>171</v>
      </c>
      <c r="BC181" s="22">
        <v>0.76019300000000001</v>
      </c>
      <c r="BD181">
        <f t="shared" si="34"/>
        <v>6.3720699999999999</v>
      </c>
      <c r="BE181">
        <f t="shared" si="35"/>
        <v>4.8498334535599996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0.89385999999999999</v>
      </c>
      <c r="H182" s="22">
        <v>51.038400000000003</v>
      </c>
      <c r="I182" s="22">
        <v>-1.7095900000000001E-2</v>
      </c>
      <c r="J182" s="22">
        <v>172</v>
      </c>
      <c r="K182" s="22">
        <v>0.89263899999999996</v>
      </c>
      <c r="L182">
        <f t="shared" si="24"/>
        <v>17.0959</v>
      </c>
      <c r="M182">
        <f t="shared" si="25"/>
        <v>15.281341174</v>
      </c>
      <c r="N182" s="9"/>
      <c r="O182" s="22">
        <v>0.76614400000000005</v>
      </c>
      <c r="P182" s="22">
        <v>100.282</v>
      </c>
      <c r="Q182" s="22">
        <v>1.5356399999999999E-2</v>
      </c>
      <c r="R182" s="22">
        <v>172</v>
      </c>
      <c r="S182" s="22">
        <v>0.76446499999999995</v>
      </c>
      <c r="T182">
        <f t="shared" si="26"/>
        <v>-15.356399999999999</v>
      </c>
      <c r="U182">
        <f t="shared" si="27"/>
        <v>-11.7652137216</v>
      </c>
      <c r="X182" s="9"/>
      <c r="Y182" s="22">
        <v>0.89385999999999999</v>
      </c>
      <c r="Z182" s="22">
        <v>149.684</v>
      </c>
      <c r="AA182" s="22">
        <v>-1.7059299999999999E-2</v>
      </c>
      <c r="AB182" s="22">
        <v>172</v>
      </c>
      <c r="AC182" s="22">
        <v>0.89324999999999999</v>
      </c>
      <c r="AD182">
        <f t="shared" si="28"/>
        <v>17.0593</v>
      </c>
      <c r="AE182">
        <f t="shared" si="29"/>
        <v>15.248625898</v>
      </c>
      <c r="AF182" s="9"/>
      <c r="AG182" s="22">
        <v>0.76614400000000005</v>
      </c>
      <c r="AH182" s="22">
        <v>199.05099999999999</v>
      </c>
      <c r="AI182" s="22">
        <v>1.45538E-2</v>
      </c>
      <c r="AJ182" s="22">
        <v>172</v>
      </c>
      <c r="AK182" s="22">
        <v>0.76507599999999998</v>
      </c>
      <c r="AL182">
        <f t="shared" si="30"/>
        <v>-14.553800000000001</v>
      </c>
      <c r="AM182">
        <f t="shared" si="31"/>
        <v>-11.150306547200001</v>
      </c>
      <c r="AP182" s="9"/>
      <c r="AQ182" s="22">
        <v>0.89385999999999999</v>
      </c>
      <c r="AR182" s="22">
        <v>248.333</v>
      </c>
      <c r="AS182" s="22">
        <v>-1.7059299999999999E-2</v>
      </c>
      <c r="AT182" s="22">
        <v>172</v>
      </c>
      <c r="AU182" s="22">
        <v>0.89294399999999996</v>
      </c>
      <c r="AV182">
        <f t="shared" si="32"/>
        <v>17.0593</v>
      </c>
      <c r="AW182">
        <f t="shared" si="33"/>
        <v>15.248625898</v>
      </c>
      <c r="AX182" s="9"/>
      <c r="AY182" s="22">
        <v>0.76614400000000005</v>
      </c>
      <c r="AZ182" s="22">
        <v>297.7</v>
      </c>
      <c r="BA182" s="22">
        <v>-4.9438499999999996E-3</v>
      </c>
      <c r="BB182" s="22">
        <v>172</v>
      </c>
      <c r="BC182" s="22">
        <v>0.76568599999999998</v>
      </c>
      <c r="BD182">
        <f t="shared" si="34"/>
        <v>4.9438499999999994</v>
      </c>
      <c r="BE182">
        <f t="shared" si="35"/>
        <v>3.7877010143999996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0.88882399999999995</v>
      </c>
      <c r="H183" s="22">
        <v>51.048400000000001</v>
      </c>
      <c r="I183" s="22">
        <v>-1.7095900000000001E-2</v>
      </c>
      <c r="J183" s="22">
        <v>173</v>
      </c>
      <c r="K183" s="22">
        <v>0.88775599999999999</v>
      </c>
      <c r="L183">
        <f t="shared" si="24"/>
        <v>17.0959</v>
      </c>
      <c r="M183">
        <f t="shared" si="25"/>
        <v>15.1952462216</v>
      </c>
      <c r="N183" s="9"/>
      <c r="O183" s="22">
        <v>0.77117899999999995</v>
      </c>
      <c r="P183" s="22">
        <v>100.292</v>
      </c>
      <c r="Q183" s="22">
        <v>1.55914E-2</v>
      </c>
      <c r="R183" s="22">
        <v>173</v>
      </c>
      <c r="S183" s="22">
        <v>0.76385499999999995</v>
      </c>
      <c r="T183">
        <f t="shared" si="26"/>
        <v>-15.5914</v>
      </c>
      <c r="U183">
        <f t="shared" si="27"/>
        <v>-12.0237602606</v>
      </c>
      <c r="X183" s="9"/>
      <c r="Y183" s="22">
        <v>0.88882399999999995</v>
      </c>
      <c r="Z183" s="22">
        <v>149.69399999999999</v>
      </c>
      <c r="AA183" s="22">
        <v>-1.70563E-2</v>
      </c>
      <c r="AB183" s="22">
        <v>173</v>
      </c>
      <c r="AC183" s="22">
        <v>0.88745099999999999</v>
      </c>
      <c r="AD183">
        <f t="shared" si="28"/>
        <v>17.0563</v>
      </c>
      <c r="AE183">
        <f t="shared" si="29"/>
        <v>15.160048791199999</v>
      </c>
      <c r="AF183" s="9"/>
      <c r="AG183" s="22">
        <v>0.77117899999999995</v>
      </c>
      <c r="AH183" s="22">
        <v>199.06100000000001</v>
      </c>
      <c r="AI183" s="22">
        <v>1.9058200000000001E-2</v>
      </c>
      <c r="AJ183" s="22">
        <v>173</v>
      </c>
      <c r="AK183" s="22">
        <v>0.77056899999999995</v>
      </c>
      <c r="AL183">
        <f t="shared" si="30"/>
        <v>-19.058199999999999</v>
      </c>
      <c r="AM183">
        <f t="shared" si="31"/>
        <v>-14.697283617799998</v>
      </c>
      <c r="AP183" s="9"/>
      <c r="AQ183" s="22">
        <v>0.88882399999999995</v>
      </c>
      <c r="AR183" s="22">
        <v>248.34299999999999</v>
      </c>
      <c r="AS183" s="22">
        <v>-1.7059299999999999E-2</v>
      </c>
      <c r="AT183" s="22">
        <v>173</v>
      </c>
      <c r="AU183" s="22">
        <v>0.88775599999999999</v>
      </c>
      <c r="AV183">
        <f t="shared" si="32"/>
        <v>17.0593</v>
      </c>
      <c r="AW183">
        <f t="shared" si="33"/>
        <v>15.162715263199999</v>
      </c>
      <c r="AX183" s="9"/>
      <c r="AY183" s="22">
        <v>0.77117899999999995</v>
      </c>
      <c r="AZ183" s="22">
        <v>297.70999999999998</v>
      </c>
      <c r="BA183" s="22">
        <v>-2.4536100000000002E-3</v>
      </c>
      <c r="BB183" s="22">
        <v>173</v>
      </c>
      <c r="BC183" s="22">
        <v>0.77026399999999995</v>
      </c>
      <c r="BD183">
        <f t="shared" si="34"/>
        <v>2.4536100000000003</v>
      </c>
      <c r="BE183">
        <f t="shared" si="35"/>
        <v>1.8921725061900001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0.88378900000000005</v>
      </c>
      <c r="H184" s="22">
        <v>51.058500000000002</v>
      </c>
      <c r="I184" s="22">
        <v>-1.7102099999999999E-2</v>
      </c>
      <c r="J184" s="22">
        <v>174</v>
      </c>
      <c r="K184" s="22">
        <v>0.88226300000000002</v>
      </c>
      <c r="L184">
        <f t="shared" si="24"/>
        <v>17.1021</v>
      </c>
      <c r="M184">
        <f t="shared" si="25"/>
        <v>15.114647856900001</v>
      </c>
      <c r="N184" s="9"/>
      <c r="O184" s="22">
        <v>0.77621499999999999</v>
      </c>
      <c r="P184" s="22">
        <v>100.30200000000001</v>
      </c>
      <c r="Q184" s="22">
        <v>1.4563E-2</v>
      </c>
      <c r="R184" s="22">
        <v>174</v>
      </c>
      <c r="S184" s="22">
        <v>0.77880899999999997</v>
      </c>
      <c r="T184">
        <f t="shared" si="26"/>
        <v>-14.562999999999999</v>
      </c>
      <c r="U184">
        <f t="shared" si="27"/>
        <v>-11.304019044999999</v>
      </c>
      <c r="X184" s="9"/>
      <c r="Y184" s="22">
        <v>0.88378900000000005</v>
      </c>
      <c r="Z184" s="22">
        <v>149.70400000000001</v>
      </c>
      <c r="AA184" s="22">
        <v>-1.7062399999999998E-2</v>
      </c>
      <c r="AB184" s="22">
        <v>174</v>
      </c>
      <c r="AC184" s="22">
        <v>0.88256800000000002</v>
      </c>
      <c r="AD184">
        <f t="shared" si="28"/>
        <v>17.062399999999997</v>
      </c>
      <c r="AE184">
        <f t="shared" si="29"/>
        <v>15.079561433599999</v>
      </c>
      <c r="AF184" s="9"/>
      <c r="AG184" s="22">
        <v>0.77621499999999999</v>
      </c>
      <c r="AH184" s="22">
        <v>199.071</v>
      </c>
      <c r="AI184" s="22">
        <v>2.3611500000000001E-2</v>
      </c>
      <c r="AJ184" s="22">
        <v>174</v>
      </c>
      <c r="AK184" s="22">
        <v>0.775146</v>
      </c>
      <c r="AL184">
        <f t="shared" si="30"/>
        <v>-23.611499999999999</v>
      </c>
      <c r="AM184">
        <f t="shared" si="31"/>
        <v>-18.327600472499999</v>
      </c>
      <c r="AP184" s="9"/>
      <c r="AQ184" s="22">
        <v>0.88378900000000005</v>
      </c>
      <c r="AR184" s="22">
        <v>248.35300000000001</v>
      </c>
      <c r="AS184" s="22">
        <v>-1.7062399999999998E-2</v>
      </c>
      <c r="AT184" s="22">
        <v>174</v>
      </c>
      <c r="AU184" s="22">
        <v>0.88287400000000005</v>
      </c>
      <c r="AV184">
        <f t="shared" si="32"/>
        <v>17.062399999999997</v>
      </c>
      <c r="AW184">
        <f t="shared" si="33"/>
        <v>15.079561433599999</v>
      </c>
      <c r="AX184" s="9"/>
      <c r="AY184" s="22">
        <v>0.77621499999999999</v>
      </c>
      <c r="AZ184" s="22">
        <v>297.72000000000003</v>
      </c>
      <c r="BA184" s="22">
        <v>-1.6986099999999999E-3</v>
      </c>
      <c r="BB184" s="22">
        <v>174</v>
      </c>
      <c r="BC184" s="22">
        <v>0.77697799999999995</v>
      </c>
      <c r="BD184">
        <f t="shared" si="34"/>
        <v>1.69861</v>
      </c>
      <c r="BE184">
        <f t="shared" si="35"/>
        <v>1.3184865611499998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0.87875400000000004</v>
      </c>
      <c r="H185" s="22">
        <v>51.068600000000004</v>
      </c>
      <c r="I185" s="22">
        <v>-1.7105100000000002E-2</v>
      </c>
      <c r="J185" s="22">
        <v>175</v>
      </c>
      <c r="K185" s="22">
        <v>0.87799099999999997</v>
      </c>
      <c r="L185">
        <f t="shared" si="24"/>
        <v>17.1051</v>
      </c>
      <c r="M185">
        <f t="shared" si="25"/>
        <v>15.031175045400001</v>
      </c>
      <c r="N185" s="9"/>
      <c r="O185" s="22">
        <v>0.78125</v>
      </c>
      <c r="P185" s="22">
        <v>100.312</v>
      </c>
      <c r="Q185" s="22">
        <v>3.0673200000000001E-2</v>
      </c>
      <c r="R185" s="22">
        <v>175</v>
      </c>
      <c r="S185" s="22">
        <v>0.77911399999999997</v>
      </c>
      <c r="T185">
        <f t="shared" si="26"/>
        <v>-30.673200000000001</v>
      </c>
      <c r="U185">
        <f t="shared" si="27"/>
        <v>-23.963437500000001</v>
      </c>
      <c r="X185" s="9"/>
      <c r="Y185" s="22">
        <v>0.87875400000000004</v>
      </c>
      <c r="Z185" s="22">
        <v>149.714</v>
      </c>
      <c r="AA185" s="22">
        <v>-1.7065400000000001E-2</v>
      </c>
      <c r="AB185" s="22">
        <v>175</v>
      </c>
      <c r="AC185" s="22">
        <v>0.87799099999999997</v>
      </c>
      <c r="AD185">
        <f t="shared" si="28"/>
        <v>17.0654</v>
      </c>
      <c r="AE185">
        <f t="shared" si="29"/>
        <v>14.996288511600001</v>
      </c>
      <c r="AF185" s="9"/>
      <c r="AG185" s="22">
        <v>0.78125</v>
      </c>
      <c r="AH185" s="22">
        <v>199.08099999999999</v>
      </c>
      <c r="AI185" s="22">
        <v>2.87262E-2</v>
      </c>
      <c r="AJ185" s="22">
        <v>175</v>
      </c>
      <c r="AK185" s="22">
        <v>0.78033399999999997</v>
      </c>
      <c r="AL185">
        <f t="shared" si="30"/>
        <v>-28.726199999999999</v>
      </c>
      <c r="AM185">
        <f t="shared" si="31"/>
        <v>-22.442343749999999</v>
      </c>
      <c r="AP185" s="9"/>
      <c r="AQ185" s="22">
        <v>0.87875400000000004</v>
      </c>
      <c r="AR185" s="22">
        <v>248.363</v>
      </c>
      <c r="AS185" s="22">
        <v>-1.70685E-2</v>
      </c>
      <c r="AT185" s="22">
        <v>175</v>
      </c>
      <c r="AU185" s="22">
        <v>0.87829599999999997</v>
      </c>
      <c r="AV185">
        <f t="shared" si="32"/>
        <v>17.0685</v>
      </c>
      <c r="AW185">
        <f t="shared" si="33"/>
        <v>14.999012649000001</v>
      </c>
      <c r="AX185" s="9"/>
      <c r="AY185" s="22">
        <v>0.78125</v>
      </c>
      <c r="AZ185" s="22">
        <v>297.73</v>
      </c>
      <c r="BA185" s="22">
        <v>4.26056E-3</v>
      </c>
      <c r="BB185" s="22">
        <v>175</v>
      </c>
      <c r="BC185" s="22">
        <v>0.77941899999999997</v>
      </c>
      <c r="BD185">
        <f t="shared" si="34"/>
        <v>-4.2605599999999999</v>
      </c>
      <c r="BE185">
        <f t="shared" si="35"/>
        <v>-3.3285624999999999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0.87371799999999999</v>
      </c>
      <c r="H186" s="22">
        <v>51.078600000000002</v>
      </c>
      <c r="I186" s="22">
        <v>-1.71082E-2</v>
      </c>
      <c r="J186" s="22">
        <v>176</v>
      </c>
      <c r="K186" s="22">
        <v>0.872803</v>
      </c>
      <c r="L186">
        <f t="shared" si="24"/>
        <v>17.1082</v>
      </c>
      <c r="M186">
        <f t="shared" si="25"/>
        <v>14.947742287600001</v>
      </c>
      <c r="N186" s="9"/>
      <c r="O186" s="22">
        <v>0.78628500000000001</v>
      </c>
      <c r="P186" s="22">
        <v>100.322</v>
      </c>
      <c r="Q186" s="22">
        <v>3.3996600000000002E-2</v>
      </c>
      <c r="R186" s="22">
        <v>176</v>
      </c>
      <c r="S186" s="22">
        <v>0.78949000000000003</v>
      </c>
      <c r="T186">
        <f t="shared" si="26"/>
        <v>-33.996600000000001</v>
      </c>
      <c r="U186">
        <f t="shared" si="27"/>
        <v>-26.731016631000003</v>
      </c>
      <c r="X186" s="9"/>
      <c r="Y186" s="22">
        <v>0.87371799999999999</v>
      </c>
      <c r="Z186" s="22">
        <v>149.72399999999999</v>
      </c>
      <c r="AA186" s="22">
        <v>-1.70685E-2</v>
      </c>
      <c r="AB186" s="22">
        <v>176</v>
      </c>
      <c r="AC186" s="22">
        <v>0.87341299999999999</v>
      </c>
      <c r="AD186">
        <f t="shared" si="28"/>
        <v>17.0685</v>
      </c>
      <c r="AE186">
        <f t="shared" si="29"/>
        <v>14.913055683</v>
      </c>
      <c r="AF186" s="9"/>
      <c r="AG186" s="22">
        <v>0.78628500000000001</v>
      </c>
      <c r="AH186" s="22">
        <v>199.09100000000001</v>
      </c>
      <c r="AI186" s="22">
        <v>3.2632399999999999E-2</v>
      </c>
      <c r="AJ186" s="22">
        <v>176</v>
      </c>
      <c r="AK186" s="22">
        <v>0.78521700000000005</v>
      </c>
      <c r="AL186">
        <f t="shared" si="30"/>
        <v>-32.632399999999997</v>
      </c>
      <c r="AM186">
        <f t="shared" si="31"/>
        <v>-25.658366633999997</v>
      </c>
      <c r="AP186" s="9"/>
      <c r="AQ186" s="22">
        <v>0.87371799999999999</v>
      </c>
      <c r="AR186" s="22">
        <v>248.37299999999999</v>
      </c>
      <c r="AS186" s="22">
        <v>-1.7074599999999999E-2</v>
      </c>
      <c r="AT186" s="22">
        <v>176</v>
      </c>
      <c r="AU186" s="22">
        <v>0.87371799999999999</v>
      </c>
      <c r="AV186">
        <f t="shared" si="32"/>
        <v>17.0746</v>
      </c>
      <c r="AW186">
        <f t="shared" si="33"/>
        <v>14.9183853628</v>
      </c>
      <c r="AX186" s="9"/>
      <c r="AY186" s="22">
        <v>0.78628500000000001</v>
      </c>
      <c r="AZ186" s="22">
        <v>297.74</v>
      </c>
      <c r="BA186" s="22">
        <v>8.7219199999999993E-3</v>
      </c>
      <c r="BB186" s="22">
        <v>176</v>
      </c>
      <c r="BC186" s="22">
        <v>0.78582799999999997</v>
      </c>
      <c r="BD186">
        <f t="shared" si="34"/>
        <v>-8.721919999999999</v>
      </c>
      <c r="BE186">
        <f t="shared" si="35"/>
        <v>-6.857914867199999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0.86868299999999998</v>
      </c>
      <c r="H187" s="22">
        <v>51.088700000000003</v>
      </c>
      <c r="I187" s="22">
        <v>-1.71112E-2</v>
      </c>
      <c r="J187" s="22">
        <v>177</v>
      </c>
      <c r="K187" s="22">
        <v>0.86761500000000003</v>
      </c>
      <c r="L187">
        <f t="shared" si="24"/>
        <v>17.1112</v>
      </c>
      <c r="M187">
        <f t="shared" si="25"/>
        <v>14.864208549600001</v>
      </c>
      <c r="N187" s="9"/>
      <c r="O187" s="22">
        <v>0.79132100000000005</v>
      </c>
      <c r="P187" s="22">
        <v>100.33199999999999</v>
      </c>
      <c r="Q187" s="22">
        <v>3.6428799999999997E-2</v>
      </c>
      <c r="R187" s="22">
        <v>177</v>
      </c>
      <c r="S187" s="22">
        <v>0.78979500000000002</v>
      </c>
      <c r="T187">
        <f t="shared" si="26"/>
        <v>-36.428799999999995</v>
      </c>
      <c r="U187">
        <f t="shared" si="27"/>
        <v>-28.826874444799998</v>
      </c>
      <c r="X187" s="9"/>
      <c r="Y187" s="22">
        <v>0.86868299999999998</v>
      </c>
      <c r="Z187" s="22">
        <v>149.73500000000001</v>
      </c>
      <c r="AA187" s="22">
        <v>-1.70715E-2</v>
      </c>
      <c r="AB187" s="22">
        <v>177</v>
      </c>
      <c r="AC187" s="22">
        <v>0.86761500000000003</v>
      </c>
      <c r="AD187">
        <f t="shared" si="28"/>
        <v>17.0715</v>
      </c>
      <c r="AE187">
        <f t="shared" si="29"/>
        <v>14.829721834500001</v>
      </c>
      <c r="AF187" s="9"/>
      <c r="AG187" s="22">
        <v>0.79132100000000005</v>
      </c>
      <c r="AH187" s="22">
        <v>199.101</v>
      </c>
      <c r="AI187" s="22">
        <v>3.6981199999999999E-2</v>
      </c>
      <c r="AJ187" s="22">
        <v>177</v>
      </c>
      <c r="AK187" s="22">
        <v>0.79040500000000002</v>
      </c>
      <c r="AL187">
        <f t="shared" si="30"/>
        <v>-36.981200000000001</v>
      </c>
      <c r="AM187">
        <f t="shared" si="31"/>
        <v>-29.264000165200002</v>
      </c>
      <c r="AP187" s="9"/>
      <c r="AQ187" s="22">
        <v>0.86868299999999998</v>
      </c>
      <c r="AR187" s="22">
        <v>248.38300000000001</v>
      </c>
      <c r="AS187" s="22">
        <v>-1.7077599999999998E-2</v>
      </c>
      <c r="AT187" s="22">
        <v>177</v>
      </c>
      <c r="AU187" s="22">
        <v>0.86853000000000002</v>
      </c>
      <c r="AV187">
        <f t="shared" si="32"/>
        <v>17.077599999999997</v>
      </c>
      <c r="AW187">
        <f t="shared" si="33"/>
        <v>14.835020800799997</v>
      </c>
      <c r="AX187" s="9"/>
      <c r="AY187" s="22">
        <v>0.79132100000000005</v>
      </c>
      <c r="AZ187" s="22">
        <v>297.75</v>
      </c>
      <c r="BA187" s="22">
        <v>1.4947500000000001E-2</v>
      </c>
      <c r="BB187" s="22">
        <v>177</v>
      </c>
      <c r="BC187" s="22">
        <v>0.78552200000000005</v>
      </c>
      <c r="BD187">
        <f t="shared" si="34"/>
        <v>-14.947500000000002</v>
      </c>
      <c r="BE187">
        <f t="shared" si="35"/>
        <v>-11.828270647500002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0.86364700000000005</v>
      </c>
      <c r="H188" s="22">
        <v>51.098799999999997</v>
      </c>
      <c r="I188" s="22">
        <v>-1.7120400000000001E-2</v>
      </c>
      <c r="J188" s="22">
        <v>178</v>
      </c>
      <c r="K188" s="22">
        <v>0.86273200000000005</v>
      </c>
      <c r="L188">
        <f t="shared" si="24"/>
        <v>17.1204</v>
      </c>
      <c r="M188">
        <f t="shared" si="25"/>
        <v>14.785982098800002</v>
      </c>
      <c r="N188" s="9"/>
      <c r="O188" s="22">
        <v>0.79635599999999995</v>
      </c>
      <c r="P188" s="22">
        <v>100.342</v>
      </c>
      <c r="Q188" s="22">
        <v>3.5421800000000003E-2</v>
      </c>
      <c r="R188" s="22">
        <v>178</v>
      </c>
      <c r="S188" s="22">
        <v>0.794678</v>
      </c>
      <c r="T188">
        <f t="shared" si="26"/>
        <v>-35.421800000000005</v>
      </c>
      <c r="U188">
        <f t="shared" si="27"/>
        <v>-28.208362960800002</v>
      </c>
      <c r="X188" s="9"/>
      <c r="Y188" s="22">
        <v>0.86364700000000005</v>
      </c>
      <c r="Z188" s="22">
        <v>149.745</v>
      </c>
      <c r="AA188" s="22">
        <v>-1.7077599999999998E-2</v>
      </c>
      <c r="AB188" s="22">
        <v>178</v>
      </c>
      <c r="AC188" s="22">
        <v>0.86273200000000005</v>
      </c>
      <c r="AD188">
        <f t="shared" si="28"/>
        <v>17.077599999999997</v>
      </c>
      <c r="AE188">
        <f t="shared" si="29"/>
        <v>14.749018007199998</v>
      </c>
      <c r="AF188" s="9"/>
      <c r="AG188" s="22">
        <v>0.79635599999999995</v>
      </c>
      <c r="AH188" s="22">
        <v>199.11099999999999</v>
      </c>
      <c r="AI188" s="22">
        <v>4.2059300000000001E-2</v>
      </c>
      <c r="AJ188" s="22">
        <v>178</v>
      </c>
      <c r="AK188" s="22">
        <v>0.79528799999999999</v>
      </c>
      <c r="AL188">
        <f t="shared" si="30"/>
        <v>-42.0593</v>
      </c>
      <c r="AM188">
        <f t="shared" si="31"/>
        <v>-33.494175910799996</v>
      </c>
      <c r="AP188" s="9"/>
      <c r="AQ188" s="22">
        <v>0.86364700000000005</v>
      </c>
      <c r="AR188" s="22">
        <v>248.39400000000001</v>
      </c>
      <c r="AS188" s="22">
        <v>-1.7080700000000001E-2</v>
      </c>
      <c r="AT188" s="22">
        <v>178</v>
      </c>
      <c r="AU188" s="22">
        <v>0.86273200000000005</v>
      </c>
      <c r="AV188">
        <f t="shared" si="32"/>
        <v>17.0807</v>
      </c>
      <c r="AW188">
        <f t="shared" si="33"/>
        <v>14.751695312900001</v>
      </c>
      <c r="AX188" s="9"/>
      <c r="AY188" s="22">
        <v>0.79635599999999995</v>
      </c>
      <c r="AZ188" s="22">
        <v>297.76</v>
      </c>
      <c r="BA188" s="22">
        <v>1.97968E-2</v>
      </c>
      <c r="BB188" s="22">
        <v>178</v>
      </c>
      <c r="BC188" s="22">
        <v>0.79620400000000002</v>
      </c>
      <c r="BD188">
        <f t="shared" si="34"/>
        <v>-19.796800000000001</v>
      </c>
      <c r="BE188">
        <f t="shared" si="35"/>
        <v>-15.765300460800001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0.85861200000000004</v>
      </c>
      <c r="H189" s="22">
        <v>51.108899999999998</v>
      </c>
      <c r="I189" s="22">
        <v>-1.71234E-2</v>
      </c>
      <c r="J189" s="22">
        <v>179</v>
      </c>
      <c r="K189" s="22">
        <v>0.85723899999999997</v>
      </c>
      <c r="L189">
        <f t="shared" si="24"/>
        <v>17.1234</v>
      </c>
      <c r="M189">
        <f t="shared" si="25"/>
        <v>14.702356720800001</v>
      </c>
      <c r="N189" s="9"/>
      <c r="O189" s="22">
        <v>0.80139199999999999</v>
      </c>
      <c r="P189" s="22">
        <v>100.352</v>
      </c>
      <c r="Q189" s="22">
        <v>4.0621900000000002E-2</v>
      </c>
      <c r="R189" s="22">
        <v>179</v>
      </c>
      <c r="S189" s="22">
        <v>0.79162600000000005</v>
      </c>
      <c r="T189">
        <f t="shared" si="26"/>
        <v>-40.621900000000004</v>
      </c>
      <c r="U189">
        <f t="shared" si="27"/>
        <v>-32.554065684800001</v>
      </c>
      <c r="X189" s="9"/>
      <c r="Y189" s="22">
        <v>0.85861200000000004</v>
      </c>
      <c r="Z189" s="22">
        <v>149.755</v>
      </c>
      <c r="AA189" s="22">
        <v>-1.70837E-2</v>
      </c>
      <c r="AB189" s="22">
        <v>179</v>
      </c>
      <c r="AC189" s="22">
        <v>0.85845899999999997</v>
      </c>
      <c r="AD189">
        <f t="shared" si="28"/>
        <v>17.0837</v>
      </c>
      <c r="AE189">
        <f t="shared" si="29"/>
        <v>14.668269824400001</v>
      </c>
      <c r="AF189" s="9"/>
      <c r="AG189" s="22">
        <v>0.80139199999999999</v>
      </c>
      <c r="AH189" s="22">
        <v>199.12100000000001</v>
      </c>
      <c r="AI189" s="22">
        <v>4.6618699999999999E-2</v>
      </c>
      <c r="AJ189" s="22">
        <v>179</v>
      </c>
      <c r="AK189" s="22">
        <v>0.80078099999999997</v>
      </c>
      <c r="AL189">
        <f t="shared" si="30"/>
        <v>-46.618699999999997</v>
      </c>
      <c r="AM189">
        <f t="shared" si="31"/>
        <v>-37.359853230399999</v>
      </c>
      <c r="AP189" s="9"/>
      <c r="AQ189" s="22">
        <v>0.85861200000000004</v>
      </c>
      <c r="AR189" s="22">
        <v>248.404</v>
      </c>
      <c r="AS189" s="22">
        <v>-1.70837E-2</v>
      </c>
      <c r="AT189" s="22">
        <v>179</v>
      </c>
      <c r="AU189" s="22">
        <v>0.85754399999999997</v>
      </c>
      <c r="AV189">
        <f t="shared" si="32"/>
        <v>17.0837</v>
      </c>
      <c r="AW189">
        <f t="shared" si="33"/>
        <v>14.668269824400001</v>
      </c>
      <c r="AX189" s="9"/>
      <c r="AY189" s="22">
        <v>0.80139199999999999</v>
      </c>
      <c r="AZ189" s="22">
        <v>297.77</v>
      </c>
      <c r="BA189" s="22">
        <v>2.1209700000000001E-2</v>
      </c>
      <c r="BB189" s="22">
        <v>179</v>
      </c>
      <c r="BC189" s="22">
        <v>0.80200199999999999</v>
      </c>
      <c r="BD189">
        <f t="shared" si="34"/>
        <v>-21.209700000000002</v>
      </c>
      <c r="BE189">
        <f t="shared" si="35"/>
        <v>-16.9972839024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0.85357700000000003</v>
      </c>
      <c r="H190" s="22">
        <v>51.118899999999996</v>
      </c>
      <c r="I190" s="22">
        <v>-1.71234E-2</v>
      </c>
      <c r="J190" s="22">
        <v>180</v>
      </c>
      <c r="K190" s="22">
        <v>0.852966</v>
      </c>
      <c r="L190">
        <f t="shared" si="24"/>
        <v>17.1234</v>
      </c>
      <c r="M190">
        <f t="shared" si="25"/>
        <v>14.616140401800001</v>
      </c>
      <c r="N190" s="9"/>
      <c r="O190" s="22">
        <v>0.806427</v>
      </c>
      <c r="P190" s="22">
        <v>100.36199999999999</v>
      </c>
      <c r="Q190" s="22">
        <v>5.3347800000000001E-2</v>
      </c>
      <c r="R190" s="22">
        <v>180</v>
      </c>
      <c r="S190" s="22">
        <v>0.80383300000000002</v>
      </c>
      <c r="T190">
        <f t="shared" si="26"/>
        <v>-53.347799999999999</v>
      </c>
      <c r="U190">
        <f t="shared" si="27"/>
        <v>-43.021106310599997</v>
      </c>
      <c r="X190" s="9"/>
      <c r="Y190" s="22">
        <v>0.85357700000000003</v>
      </c>
      <c r="Z190" s="22">
        <v>149.76499999999999</v>
      </c>
      <c r="AA190" s="22">
        <v>-1.7089799999999999E-2</v>
      </c>
      <c r="AB190" s="22">
        <v>180</v>
      </c>
      <c r="AC190" s="22">
        <v>0.852966</v>
      </c>
      <c r="AD190">
        <f t="shared" si="28"/>
        <v>17.0898</v>
      </c>
      <c r="AE190">
        <f t="shared" si="29"/>
        <v>14.5874602146</v>
      </c>
      <c r="AF190" s="9"/>
      <c r="AG190" s="22">
        <v>0.806427</v>
      </c>
      <c r="AH190" s="22">
        <v>199.131</v>
      </c>
      <c r="AI190" s="22">
        <v>5.1065100000000002E-2</v>
      </c>
      <c r="AJ190" s="22">
        <v>180</v>
      </c>
      <c r="AK190" s="22">
        <v>0.80566400000000005</v>
      </c>
      <c r="AL190">
        <f t="shared" si="30"/>
        <v>-51.065100000000001</v>
      </c>
      <c r="AM190">
        <f t="shared" si="31"/>
        <v>-41.180275397700001</v>
      </c>
      <c r="AP190" s="9"/>
      <c r="AQ190" s="22">
        <v>0.85357700000000003</v>
      </c>
      <c r="AR190" s="22">
        <v>248.41399999999999</v>
      </c>
      <c r="AS190" s="22">
        <v>-1.7089799999999999E-2</v>
      </c>
      <c r="AT190" s="22">
        <v>180</v>
      </c>
      <c r="AU190" s="22">
        <v>0.852356</v>
      </c>
      <c r="AV190">
        <f t="shared" si="32"/>
        <v>17.0898</v>
      </c>
      <c r="AW190">
        <f t="shared" si="33"/>
        <v>14.5874602146</v>
      </c>
      <c r="AX190" s="9"/>
      <c r="AY190" s="22">
        <v>0.806427</v>
      </c>
      <c r="AZ190" s="22">
        <v>297.77999999999997</v>
      </c>
      <c r="BA190" s="22">
        <v>2.9052700000000001E-2</v>
      </c>
      <c r="BB190" s="22">
        <v>180</v>
      </c>
      <c r="BC190" s="22">
        <v>0.80535900000000005</v>
      </c>
      <c r="BD190">
        <f t="shared" si="34"/>
        <v>-29.052700000000002</v>
      </c>
      <c r="BE190">
        <f t="shared" si="35"/>
        <v>-23.4288817029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0.84854099999999999</v>
      </c>
      <c r="H191" s="22">
        <v>51.128999999999998</v>
      </c>
      <c r="I191" s="22">
        <v>-1.71234E-2</v>
      </c>
      <c r="J191" s="22">
        <v>181</v>
      </c>
      <c r="K191" s="22">
        <v>0.84808300000000003</v>
      </c>
      <c r="L191">
        <f t="shared" si="24"/>
        <v>17.1234</v>
      </c>
      <c r="M191">
        <f t="shared" si="25"/>
        <v>14.5299069594</v>
      </c>
      <c r="N191" s="9"/>
      <c r="O191" s="22">
        <v>0.81146200000000002</v>
      </c>
      <c r="P191" s="22">
        <v>100.372</v>
      </c>
      <c r="Q191" s="22">
        <v>5.9243799999999999E-2</v>
      </c>
      <c r="R191" s="22">
        <v>181</v>
      </c>
      <c r="S191" s="22">
        <v>0.80841099999999999</v>
      </c>
      <c r="T191">
        <f t="shared" si="26"/>
        <v>-59.2438</v>
      </c>
      <c r="U191">
        <f t="shared" si="27"/>
        <v>-48.074092435600001</v>
      </c>
      <c r="X191" s="9"/>
      <c r="Y191" s="22">
        <v>0.84854099999999999</v>
      </c>
      <c r="Z191" s="22">
        <v>149.77500000000001</v>
      </c>
      <c r="AA191" s="22">
        <v>-1.7092900000000001E-2</v>
      </c>
      <c r="AB191" s="22">
        <v>181</v>
      </c>
      <c r="AC191" s="22">
        <v>0.84777800000000003</v>
      </c>
      <c r="AD191">
        <f t="shared" si="28"/>
        <v>17.0929</v>
      </c>
      <c r="AE191">
        <f t="shared" si="29"/>
        <v>14.5040264589</v>
      </c>
      <c r="AF191" s="9"/>
      <c r="AG191" s="22">
        <v>0.81146200000000002</v>
      </c>
      <c r="AH191" s="22">
        <v>199.14099999999999</v>
      </c>
      <c r="AI191" s="22">
        <v>5.5630499999999999E-2</v>
      </c>
      <c r="AJ191" s="22">
        <v>181</v>
      </c>
      <c r="AK191" s="22">
        <v>0.81054700000000002</v>
      </c>
      <c r="AL191">
        <f t="shared" si="30"/>
        <v>-55.630499999999998</v>
      </c>
      <c r="AM191">
        <f t="shared" si="31"/>
        <v>-45.142036791000002</v>
      </c>
      <c r="AP191" s="9"/>
      <c r="AQ191" s="22">
        <v>0.84854099999999999</v>
      </c>
      <c r="AR191" s="22">
        <v>248.42400000000001</v>
      </c>
      <c r="AS191" s="22">
        <v>-1.7089799999999999E-2</v>
      </c>
      <c r="AT191" s="22">
        <v>181</v>
      </c>
      <c r="AU191" s="22">
        <v>0.84808300000000003</v>
      </c>
      <c r="AV191">
        <f t="shared" si="32"/>
        <v>17.0898</v>
      </c>
      <c r="AW191">
        <f t="shared" si="33"/>
        <v>14.5013959818</v>
      </c>
      <c r="AX191" s="9"/>
      <c r="AY191" s="22">
        <v>0.81146200000000002</v>
      </c>
      <c r="AZ191" s="22">
        <v>297.79000000000002</v>
      </c>
      <c r="BA191" s="22">
        <v>3.3932499999999997E-2</v>
      </c>
      <c r="BB191" s="22">
        <v>181</v>
      </c>
      <c r="BC191" s="22">
        <v>0.81115700000000002</v>
      </c>
      <c r="BD191">
        <f t="shared" si="34"/>
        <v>-33.932499999999997</v>
      </c>
      <c r="BE191">
        <f t="shared" si="35"/>
        <v>-27.534934314999997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0.84350599999999998</v>
      </c>
      <c r="H192" s="22">
        <v>51.139099999999999</v>
      </c>
      <c r="I192" s="22">
        <v>-1.7126499999999999E-2</v>
      </c>
      <c r="J192" s="22">
        <v>182</v>
      </c>
      <c r="K192" s="22">
        <v>0.84258999999999995</v>
      </c>
      <c r="L192">
        <f t="shared" si="24"/>
        <v>17.1265</v>
      </c>
      <c r="M192">
        <f t="shared" si="25"/>
        <v>14.446305509</v>
      </c>
      <c r="N192" s="9"/>
      <c r="O192" s="22">
        <v>0.81649799999999995</v>
      </c>
      <c r="P192" s="22">
        <v>100.38200000000001</v>
      </c>
      <c r="Q192" s="22">
        <v>6.7477400000000007E-2</v>
      </c>
      <c r="R192" s="22">
        <v>182</v>
      </c>
      <c r="S192" s="22">
        <v>0.81573499999999999</v>
      </c>
      <c r="T192">
        <f t="shared" si="26"/>
        <v>-67.477400000000003</v>
      </c>
      <c r="U192">
        <f t="shared" si="27"/>
        <v>-55.0951621452</v>
      </c>
      <c r="X192" s="9"/>
      <c r="Y192" s="22">
        <v>0.84350599999999998</v>
      </c>
      <c r="Z192" s="22">
        <v>149.785</v>
      </c>
      <c r="AA192" s="22">
        <v>-1.7102099999999999E-2</v>
      </c>
      <c r="AB192" s="22">
        <v>182</v>
      </c>
      <c r="AC192" s="22">
        <v>0.84258999999999995</v>
      </c>
      <c r="AD192">
        <f t="shared" si="28"/>
        <v>17.1021</v>
      </c>
      <c r="AE192">
        <f t="shared" si="29"/>
        <v>14.425723962599999</v>
      </c>
      <c r="AF192" s="9"/>
      <c r="AG192" s="22">
        <v>0.81649799999999995</v>
      </c>
      <c r="AH192" s="22">
        <v>199.15100000000001</v>
      </c>
      <c r="AI192" s="22">
        <v>6.0903899999999997E-2</v>
      </c>
      <c r="AJ192" s="22">
        <v>182</v>
      </c>
      <c r="AK192" s="22">
        <v>0.81420899999999996</v>
      </c>
      <c r="AL192">
        <f t="shared" si="30"/>
        <v>-60.9039</v>
      </c>
      <c r="AM192">
        <f t="shared" si="31"/>
        <v>-49.727912542199995</v>
      </c>
      <c r="AP192" s="9"/>
      <c r="AQ192" s="22">
        <v>0.84350599999999998</v>
      </c>
      <c r="AR192" s="22">
        <v>248.434</v>
      </c>
      <c r="AS192" s="22">
        <v>-1.7095900000000001E-2</v>
      </c>
      <c r="AT192" s="22">
        <v>182</v>
      </c>
      <c r="AU192" s="22">
        <v>0.84289599999999998</v>
      </c>
      <c r="AV192">
        <f t="shared" si="32"/>
        <v>17.0959</v>
      </c>
      <c r="AW192">
        <f t="shared" si="33"/>
        <v>14.420494225400001</v>
      </c>
      <c r="AX192" s="9"/>
      <c r="AY192" s="22">
        <v>0.81649799999999995</v>
      </c>
      <c r="AZ192" s="22">
        <v>297.8</v>
      </c>
      <c r="BA192" s="22">
        <v>3.7609900000000002E-2</v>
      </c>
      <c r="BB192" s="22">
        <v>182</v>
      </c>
      <c r="BC192" s="22">
        <v>0.81542999999999999</v>
      </c>
      <c r="BD192">
        <f t="shared" si="34"/>
        <v>-37.609900000000003</v>
      </c>
      <c r="BE192">
        <f t="shared" si="35"/>
        <v>-30.708408130200002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0.83847000000000005</v>
      </c>
      <c r="H193" s="22">
        <v>51.149099999999997</v>
      </c>
      <c r="I193" s="22">
        <v>-1.7132600000000001E-2</v>
      </c>
      <c r="J193" s="22">
        <v>183</v>
      </c>
      <c r="K193" s="22">
        <v>0.83831800000000001</v>
      </c>
      <c r="L193">
        <f t="shared" si="24"/>
        <v>17.1326</v>
      </c>
      <c r="M193">
        <f t="shared" si="25"/>
        <v>14.365171122000001</v>
      </c>
      <c r="N193" s="9"/>
      <c r="O193" s="22">
        <v>0.82153299999999996</v>
      </c>
      <c r="P193" s="22">
        <v>100.393</v>
      </c>
      <c r="Q193" s="22">
        <v>0.157135</v>
      </c>
      <c r="R193" s="22">
        <v>183</v>
      </c>
      <c r="S193" s="22">
        <v>0.120728</v>
      </c>
      <c r="T193">
        <f t="shared" si="26"/>
        <v>-157.13499999999999</v>
      </c>
      <c r="U193">
        <f t="shared" si="27"/>
        <v>-129.09158795499999</v>
      </c>
      <c r="X193" s="9"/>
      <c r="Y193" s="22">
        <v>0.83847000000000005</v>
      </c>
      <c r="Z193" s="22">
        <v>149.79499999999999</v>
      </c>
      <c r="AA193" s="22">
        <v>-1.7105100000000002E-2</v>
      </c>
      <c r="AB193" s="22">
        <v>183</v>
      </c>
      <c r="AC193" s="22">
        <v>0.83770800000000001</v>
      </c>
      <c r="AD193">
        <f t="shared" si="28"/>
        <v>17.1051</v>
      </c>
      <c r="AE193">
        <f t="shared" si="29"/>
        <v>14.342113197000002</v>
      </c>
      <c r="AF193" s="9"/>
      <c r="AG193" s="22">
        <v>0.82153299999999996</v>
      </c>
      <c r="AH193" s="22">
        <v>199.161</v>
      </c>
      <c r="AI193" s="22">
        <v>0.156525</v>
      </c>
      <c r="AJ193" s="22">
        <v>183</v>
      </c>
      <c r="AK193" s="22">
        <v>0.27456700000000001</v>
      </c>
      <c r="AL193">
        <f t="shared" si="30"/>
        <v>-156.52500000000001</v>
      </c>
      <c r="AM193">
        <f t="shared" si="31"/>
        <v>-128.590452825</v>
      </c>
      <c r="AP193" s="9"/>
      <c r="AQ193" s="22">
        <v>0.83847000000000005</v>
      </c>
      <c r="AR193" s="22">
        <v>248.44399999999999</v>
      </c>
      <c r="AS193" s="22">
        <v>-1.7095900000000001E-2</v>
      </c>
      <c r="AT193" s="22">
        <v>183</v>
      </c>
      <c r="AU193" s="22">
        <v>0.83648699999999998</v>
      </c>
      <c r="AV193">
        <f t="shared" si="32"/>
        <v>17.0959</v>
      </c>
      <c r="AW193">
        <f t="shared" si="33"/>
        <v>14.334399273000001</v>
      </c>
      <c r="AX193" s="9"/>
      <c r="AY193" s="22">
        <v>0.82153299999999996</v>
      </c>
      <c r="AZ193" s="22">
        <v>297.81</v>
      </c>
      <c r="BA193" s="22">
        <v>4.4332900000000001E-2</v>
      </c>
      <c r="BB193" s="22">
        <v>183</v>
      </c>
      <c r="BC193" s="22">
        <v>0.81970200000000004</v>
      </c>
      <c r="BD193">
        <f t="shared" si="34"/>
        <v>-44.332900000000002</v>
      </c>
      <c r="BE193">
        <f t="shared" si="35"/>
        <v>-36.420940335700003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0.83343500000000004</v>
      </c>
      <c r="H194" s="22">
        <v>51.159199999999998</v>
      </c>
      <c r="I194" s="22">
        <v>-1.7135600000000001E-2</v>
      </c>
      <c r="J194" s="22">
        <v>184</v>
      </c>
      <c r="K194" s="22">
        <v>0.83221400000000001</v>
      </c>
      <c r="L194">
        <f t="shared" si="24"/>
        <v>17.1356</v>
      </c>
      <c r="M194">
        <f t="shared" si="25"/>
        <v>14.281408786</v>
      </c>
      <c r="N194" s="9"/>
      <c r="O194" s="22">
        <v>0.826569</v>
      </c>
      <c r="P194" s="22">
        <v>100.40300000000001</v>
      </c>
      <c r="Q194" s="22">
        <v>0.153748</v>
      </c>
      <c r="R194" s="22">
        <v>184</v>
      </c>
      <c r="S194" s="22">
        <v>0.28073100000000001</v>
      </c>
      <c r="T194">
        <f t="shared" si="26"/>
        <v>-153.74799999999999</v>
      </c>
      <c r="U194">
        <f t="shared" si="27"/>
        <v>-127.083330612</v>
      </c>
      <c r="X194" s="9"/>
      <c r="Y194" s="22">
        <v>0.83343500000000004</v>
      </c>
      <c r="Z194" s="22">
        <v>149.80500000000001</v>
      </c>
      <c r="AA194" s="22">
        <v>-1.71112E-2</v>
      </c>
      <c r="AB194" s="22">
        <v>184</v>
      </c>
      <c r="AC194" s="22">
        <v>0.83343500000000004</v>
      </c>
      <c r="AD194">
        <f t="shared" si="28"/>
        <v>17.1112</v>
      </c>
      <c r="AE194">
        <f t="shared" si="29"/>
        <v>14.261072972000001</v>
      </c>
      <c r="AF194" s="9"/>
      <c r="AG194" s="22">
        <v>0.826569</v>
      </c>
      <c r="AH194" s="22">
        <v>199.17099999999999</v>
      </c>
      <c r="AI194" s="22">
        <v>0.15267900000000001</v>
      </c>
      <c r="AJ194" s="22">
        <v>184</v>
      </c>
      <c r="AK194" s="22">
        <v>0.27496300000000001</v>
      </c>
      <c r="AL194">
        <f t="shared" si="30"/>
        <v>-152.679</v>
      </c>
      <c r="AM194">
        <f t="shared" si="31"/>
        <v>-126.199728351</v>
      </c>
      <c r="AP194" s="9"/>
      <c r="AQ194" s="22">
        <v>0.83343500000000004</v>
      </c>
      <c r="AR194" s="22">
        <v>248.45400000000001</v>
      </c>
      <c r="AS194" s="22">
        <v>-1.7102099999999999E-2</v>
      </c>
      <c r="AT194" s="22">
        <v>184</v>
      </c>
      <c r="AU194" s="22">
        <v>0.83221400000000001</v>
      </c>
      <c r="AV194">
        <f t="shared" si="32"/>
        <v>17.1021</v>
      </c>
      <c r="AW194">
        <f t="shared" si="33"/>
        <v>14.253488713500001</v>
      </c>
      <c r="AX194" s="9"/>
      <c r="AY194" s="22">
        <v>0.826569</v>
      </c>
      <c r="AZ194" s="22">
        <v>297.82</v>
      </c>
      <c r="BA194" s="22">
        <v>4.9673500000000002E-2</v>
      </c>
      <c r="BB194" s="22">
        <v>184</v>
      </c>
      <c r="BC194" s="22">
        <v>0.82550000000000001</v>
      </c>
      <c r="BD194">
        <f t="shared" si="34"/>
        <v>-49.673500000000004</v>
      </c>
      <c r="BE194">
        <f t="shared" si="35"/>
        <v>-41.0585752215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0.82840000000000003</v>
      </c>
      <c r="H195" s="22">
        <v>51.1693</v>
      </c>
      <c r="I195" s="22">
        <v>-1.7144800000000002E-2</v>
      </c>
      <c r="J195" s="22">
        <v>185</v>
      </c>
      <c r="K195" s="22">
        <v>0.82702600000000004</v>
      </c>
      <c r="L195">
        <f t="shared" si="24"/>
        <v>17.1448</v>
      </c>
      <c r="M195">
        <f t="shared" si="25"/>
        <v>14.20275232</v>
      </c>
      <c r="N195" s="9"/>
      <c r="O195" s="22">
        <v>0.83160400000000001</v>
      </c>
      <c r="P195" s="22">
        <v>100.413</v>
      </c>
      <c r="Q195" s="22">
        <v>0.15148900000000001</v>
      </c>
      <c r="R195" s="22">
        <v>185</v>
      </c>
      <c r="S195" s="22">
        <v>0.27719100000000002</v>
      </c>
      <c r="T195">
        <f t="shared" si="26"/>
        <v>-151.489</v>
      </c>
      <c r="U195">
        <f t="shared" si="27"/>
        <v>-125.978858356</v>
      </c>
      <c r="X195" s="9"/>
      <c r="Y195" s="22">
        <v>0.82840000000000003</v>
      </c>
      <c r="Z195" s="22">
        <v>149.815</v>
      </c>
      <c r="AA195" s="22">
        <v>-1.7114299999999999E-2</v>
      </c>
      <c r="AB195" s="22">
        <v>185</v>
      </c>
      <c r="AC195" s="22">
        <v>0.82794199999999996</v>
      </c>
      <c r="AD195">
        <f t="shared" si="28"/>
        <v>17.1143</v>
      </c>
      <c r="AE195">
        <f t="shared" si="29"/>
        <v>14.177486120000001</v>
      </c>
      <c r="AF195" s="9"/>
      <c r="AG195" s="22">
        <v>0.83160400000000001</v>
      </c>
      <c r="AH195" s="22">
        <v>199.18199999999999</v>
      </c>
      <c r="AI195" s="22">
        <v>0.150726</v>
      </c>
      <c r="AJ195" s="22">
        <v>185</v>
      </c>
      <c r="AK195" s="22">
        <v>0.27520800000000001</v>
      </c>
      <c r="AL195">
        <f t="shared" si="30"/>
        <v>-150.726</v>
      </c>
      <c r="AM195">
        <f t="shared" si="31"/>
        <v>-125.34434450400001</v>
      </c>
      <c r="AP195" s="9"/>
      <c r="AQ195" s="22">
        <v>0.82840000000000003</v>
      </c>
      <c r="AR195" s="22">
        <v>248.464</v>
      </c>
      <c r="AS195" s="22">
        <v>-1.7099E-2</v>
      </c>
      <c r="AT195" s="22">
        <v>185</v>
      </c>
      <c r="AU195" s="22">
        <v>0.82763699999999996</v>
      </c>
      <c r="AV195">
        <f t="shared" si="32"/>
        <v>17.099</v>
      </c>
      <c r="AW195">
        <f t="shared" si="33"/>
        <v>14.1648116</v>
      </c>
      <c r="AX195" s="9"/>
      <c r="AY195" s="22">
        <v>0.83160400000000001</v>
      </c>
      <c r="AZ195" s="22">
        <v>297.83</v>
      </c>
      <c r="BA195" s="22">
        <v>5.5242899999999998E-2</v>
      </c>
      <c r="BB195" s="22">
        <v>185</v>
      </c>
      <c r="BC195" s="22">
        <v>0.83038299999999998</v>
      </c>
      <c r="BD195">
        <f t="shared" si="34"/>
        <v>-55.242899999999999</v>
      </c>
      <c r="BE195">
        <f t="shared" si="35"/>
        <v>-45.9402166116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0.82336399999999998</v>
      </c>
      <c r="H196" s="22">
        <v>51.179299999999998</v>
      </c>
      <c r="I196" s="22">
        <v>-1.7147800000000001E-2</v>
      </c>
      <c r="J196" s="22">
        <v>186</v>
      </c>
      <c r="K196" s="22">
        <v>0.82336399999999998</v>
      </c>
      <c r="L196">
        <f t="shared" si="24"/>
        <v>17.1478</v>
      </c>
      <c r="M196">
        <f t="shared" si="25"/>
        <v>14.118881199200001</v>
      </c>
      <c r="N196" s="9"/>
      <c r="O196" s="22">
        <v>0.83663900000000002</v>
      </c>
      <c r="P196" s="22">
        <v>100.423</v>
      </c>
      <c r="Q196" s="22">
        <v>0.150146</v>
      </c>
      <c r="R196" s="22">
        <v>186</v>
      </c>
      <c r="S196" s="22">
        <v>0.27764899999999998</v>
      </c>
      <c r="T196">
        <f t="shared" si="26"/>
        <v>-150.14600000000002</v>
      </c>
      <c r="U196">
        <f t="shared" si="27"/>
        <v>-125.61799929400001</v>
      </c>
      <c r="X196" s="9"/>
      <c r="Y196" s="22">
        <v>0.82336399999999998</v>
      </c>
      <c r="Z196" s="22">
        <v>149.82499999999999</v>
      </c>
      <c r="AA196" s="22">
        <v>-1.7114299999999999E-2</v>
      </c>
      <c r="AB196" s="22">
        <v>186</v>
      </c>
      <c r="AC196" s="22">
        <v>0.82244899999999999</v>
      </c>
      <c r="AD196">
        <f t="shared" si="28"/>
        <v>17.1143</v>
      </c>
      <c r="AE196">
        <f t="shared" si="29"/>
        <v>14.091298505199999</v>
      </c>
      <c r="AF196" s="9"/>
      <c r="AG196" s="22">
        <v>0.83663900000000002</v>
      </c>
      <c r="AH196" s="22">
        <v>199.19200000000001</v>
      </c>
      <c r="AI196" s="22">
        <v>0.149475</v>
      </c>
      <c r="AJ196" s="22">
        <v>186</v>
      </c>
      <c r="AK196" s="22">
        <v>0.27481100000000003</v>
      </c>
      <c r="AL196">
        <f t="shared" si="30"/>
        <v>-149.47499999999999</v>
      </c>
      <c r="AM196">
        <f t="shared" si="31"/>
        <v>-125.056614525</v>
      </c>
      <c r="AP196" s="9"/>
      <c r="AQ196" s="22">
        <v>0.82336399999999998</v>
      </c>
      <c r="AR196" s="22">
        <v>248.47399999999999</v>
      </c>
      <c r="AS196" s="22">
        <v>-1.7102099999999999E-2</v>
      </c>
      <c r="AT196" s="22">
        <v>186</v>
      </c>
      <c r="AU196" s="22">
        <v>0.82244899999999999</v>
      </c>
      <c r="AV196">
        <f t="shared" si="32"/>
        <v>17.1021</v>
      </c>
      <c r="AW196">
        <f t="shared" si="33"/>
        <v>14.0812534644</v>
      </c>
      <c r="AX196" s="9"/>
      <c r="AY196" s="22">
        <v>0.83663900000000002</v>
      </c>
      <c r="AZ196" s="22">
        <v>297.84100000000001</v>
      </c>
      <c r="BA196" s="22">
        <v>5.9787E-2</v>
      </c>
      <c r="BB196" s="22">
        <v>186</v>
      </c>
      <c r="BC196" s="22">
        <v>0.83526599999999995</v>
      </c>
      <c r="BD196">
        <f t="shared" si="34"/>
        <v>-59.786999999999999</v>
      </c>
      <c r="BE196">
        <f t="shared" si="35"/>
        <v>-50.020135893000003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0.81832899999999997</v>
      </c>
      <c r="H197" s="22">
        <v>51.189399999999999</v>
      </c>
      <c r="I197" s="22">
        <v>-1.71509E-2</v>
      </c>
      <c r="J197" s="22">
        <v>187</v>
      </c>
      <c r="K197" s="22">
        <v>0.81726100000000002</v>
      </c>
      <c r="L197">
        <f t="shared" si="24"/>
        <v>17.1509</v>
      </c>
      <c r="M197">
        <f t="shared" si="25"/>
        <v>14.035078846099999</v>
      </c>
      <c r="N197" s="9"/>
      <c r="O197" s="22">
        <v>0.84167499999999995</v>
      </c>
      <c r="P197" s="22">
        <v>100.43300000000001</v>
      </c>
      <c r="Q197" s="22">
        <v>0.14965800000000001</v>
      </c>
      <c r="R197" s="22">
        <v>187</v>
      </c>
      <c r="S197" s="22">
        <v>0.27673300000000001</v>
      </c>
      <c r="T197">
        <f t="shared" si="26"/>
        <v>-149.65800000000002</v>
      </c>
      <c r="U197">
        <f t="shared" si="27"/>
        <v>-125.96339715000001</v>
      </c>
      <c r="X197" s="9"/>
      <c r="Y197" s="22">
        <v>0.81832899999999997</v>
      </c>
      <c r="Z197" s="22">
        <v>149.83500000000001</v>
      </c>
      <c r="AA197" s="22">
        <v>-1.7117299999999998E-2</v>
      </c>
      <c r="AB197" s="22">
        <v>187</v>
      </c>
      <c r="AC197" s="22">
        <v>0.81756600000000001</v>
      </c>
      <c r="AD197">
        <f t="shared" si="28"/>
        <v>17.1173</v>
      </c>
      <c r="AE197">
        <f t="shared" si="29"/>
        <v>14.0075829917</v>
      </c>
      <c r="AF197" s="9"/>
      <c r="AG197" s="22">
        <v>0.84167499999999995</v>
      </c>
      <c r="AH197" s="22">
        <v>199.202</v>
      </c>
      <c r="AI197" s="22">
        <v>0.14837600000000001</v>
      </c>
      <c r="AJ197" s="22">
        <v>187</v>
      </c>
      <c r="AK197" s="22">
        <v>0.274536</v>
      </c>
      <c r="AL197">
        <f t="shared" si="30"/>
        <v>-148.376</v>
      </c>
      <c r="AM197">
        <f t="shared" si="31"/>
        <v>-124.8843698</v>
      </c>
      <c r="AP197" s="9"/>
      <c r="AQ197" s="22">
        <v>0.81832899999999997</v>
      </c>
      <c r="AR197" s="22">
        <v>248.48400000000001</v>
      </c>
      <c r="AS197" s="22">
        <v>-1.7105100000000002E-2</v>
      </c>
      <c r="AT197" s="22">
        <v>187</v>
      </c>
      <c r="AU197" s="22">
        <v>0.81726100000000002</v>
      </c>
      <c r="AV197">
        <f t="shared" si="32"/>
        <v>17.1051</v>
      </c>
      <c r="AW197">
        <f t="shared" si="33"/>
        <v>13.9975993779</v>
      </c>
      <c r="AX197" s="9"/>
      <c r="AY197" s="22">
        <v>0.84167499999999995</v>
      </c>
      <c r="AZ197" s="22">
        <v>297.851</v>
      </c>
      <c r="BA197" s="22">
        <v>6.4956700000000006E-2</v>
      </c>
      <c r="BB197" s="22">
        <v>187</v>
      </c>
      <c r="BC197" s="22">
        <v>0.84014900000000003</v>
      </c>
      <c r="BD197">
        <f t="shared" si="34"/>
        <v>-64.956700000000012</v>
      </c>
      <c r="BE197">
        <f t="shared" si="35"/>
        <v>-54.672430472500004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0.81329300000000004</v>
      </c>
      <c r="H198" s="22">
        <v>51.1995</v>
      </c>
      <c r="I198" s="22">
        <v>-1.7156999999999999E-2</v>
      </c>
      <c r="J198" s="22">
        <v>188</v>
      </c>
      <c r="K198" s="22">
        <v>0.81237800000000004</v>
      </c>
      <c r="L198">
        <f t="shared" si="24"/>
        <v>17.157</v>
      </c>
      <c r="M198">
        <f t="shared" si="25"/>
        <v>13.953668001</v>
      </c>
      <c r="N198" s="9"/>
      <c r="O198" s="22">
        <v>0.84670999999999996</v>
      </c>
      <c r="P198" s="22">
        <v>100.443</v>
      </c>
      <c r="Q198" s="22">
        <v>0.14871200000000001</v>
      </c>
      <c r="R198" s="22">
        <v>188</v>
      </c>
      <c r="S198" s="22">
        <v>0.27596999999999999</v>
      </c>
      <c r="T198">
        <f t="shared" si="26"/>
        <v>-148.71200000000002</v>
      </c>
      <c r="U198">
        <f t="shared" si="27"/>
        <v>-125.91593752000001</v>
      </c>
      <c r="X198" s="9"/>
      <c r="Y198" s="22">
        <v>0.81329300000000004</v>
      </c>
      <c r="Z198" s="22">
        <v>149.845</v>
      </c>
      <c r="AA198" s="22">
        <v>-1.71234E-2</v>
      </c>
      <c r="AB198" s="22">
        <v>188</v>
      </c>
      <c r="AC198" s="22">
        <v>0.81207300000000004</v>
      </c>
      <c r="AD198">
        <f t="shared" si="28"/>
        <v>17.1234</v>
      </c>
      <c r="AE198">
        <f t="shared" si="29"/>
        <v>13.9263413562</v>
      </c>
      <c r="AF198" s="9"/>
      <c r="AG198" s="22">
        <v>0.84670999999999996</v>
      </c>
      <c r="AH198" s="22">
        <v>199.21199999999999</v>
      </c>
      <c r="AI198" s="22">
        <v>0.14749100000000001</v>
      </c>
      <c r="AJ198" s="22">
        <v>188</v>
      </c>
      <c r="AK198" s="22">
        <v>0.27459699999999998</v>
      </c>
      <c r="AL198">
        <f t="shared" si="30"/>
        <v>-147.49100000000001</v>
      </c>
      <c r="AM198">
        <f t="shared" si="31"/>
        <v>-124.88210461000001</v>
      </c>
      <c r="AP198" s="9"/>
      <c r="AQ198" s="22">
        <v>0.81329300000000004</v>
      </c>
      <c r="AR198" s="22">
        <v>248.494</v>
      </c>
      <c r="AS198" s="22">
        <v>-1.7105100000000002E-2</v>
      </c>
      <c r="AT198" s="22">
        <v>188</v>
      </c>
      <c r="AU198" s="22">
        <v>0.81237800000000004</v>
      </c>
      <c r="AV198">
        <f t="shared" si="32"/>
        <v>17.1051</v>
      </c>
      <c r="AW198">
        <f t="shared" si="33"/>
        <v>13.9114580943</v>
      </c>
      <c r="AX198" s="9"/>
      <c r="AY198" s="22">
        <v>0.84670999999999996</v>
      </c>
      <c r="AZ198" s="22">
        <v>297.86099999999999</v>
      </c>
      <c r="BA198" s="22">
        <v>-1.65649E-2</v>
      </c>
      <c r="BB198" s="22">
        <v>188</v>
      </c>
      <c r="BC198" s="22">
        <v>0.846252</v>
      </c>
      <c r="BD198">
        <f t="shared" si="34"/>
        <v>16.564900000000002</v>
      </c>
      <c r="BE198">
        <f t="shared" si="35"/>
        <v>14.025666479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0.80825800000000003</v>
      </c>
      <c r="H199" s="22">
        <v>51.209600000000002</v>
      </c>
      <c r="I199" s="22">
        <v>-1.7163100000000001E-2</v>
      </c>
      <c r="J199" s="22">
        <v>189</v>
      </c>
      <c r="K199" s="22">
        <v>0.80749499999999996</v>
      </c>
      <c r="L199">
        <f t="shared" si="24"/>
        <v>17.1631</v>
      </c>
      <c r="M199">
        <f t="shared" si="25"/>
        <v>13.872212879800001</v>
      </c>
      <c r="N199" s="9"/>
      <c r="O199" s="22">
        <v>0.851746</v>
      </c>
      <c r="P199" s="22">
        <v>100.453</v>
      </c>
      <c r="Q199" s="22">
        <v>0.147675</v>
      </c>
      <c r="R199" s="22">
        <v>189</v>
      </c>
      <c r="S199" s="22">
        <v>0.27731299999999998</v>
      </c>
      <c r="T199">
        <f t="shared" si="26"/>
        <v>-147.67500000000001</v>
      </c>
      <c r="U199">
        <f t="shared" si="27"/>
        <v>-125.78159055</v>
      </c>
      <c r="X199" s="9"/>
      <c r="Y199" s="22">
        <v>0.80825800000000003</v>
      </c>
      <c r="Z199" s="22">
        <v>149.85499999999999</v>
      </c>
      <c r="AA199" s="22">
        <v>-1.71234E-2</v>
      </c>
      <c r="AB199" s="22">
        <v>189</v>
      </c>
      <c r="AC199" s="22">
        <v>0.80779999999999996</v>
      </c>
      <c r="AD199">
        <f t="shared" si="28"/>
        <v>17.1234</v>
      </c>
      <c r="AE199">
        <f t="shared" si="29"/>
        <v>13.8401250372</v>
      </c>
      <c r="AF199" s="9"/>
      <c r="AG199" s="22">
        <v>0.851746</v>
      </c>
      <c r="AH199" s="22">
        <v>199.22200000000001</v>
      </c>
      <c r="AI199" s="22">
        <v>0.146729</v>
      </c>
      <c r="AJ199" s="22">
        <v>189</v>
      </c>
      <c r="AK199" s="22">
        <v>0.27545199999999997</v>
      </c>
      <c r="AL199">
        <f t="shared" si="30"/>
        <v>-146.72899999999998</v>
      </c>
      <c r="AM199">
        <f t="shared" si="31"/>
        <v>-124.97583883399999</v>
      </c>
      <c r="AP199" s="9"/>
      <c r="AQ199" s="22">
        <v>0.80825800000000003</v>
      </c>
      <c r="AR199" s="22">
        <v>248.50399999999999</v>
      </c>
      <c r="AS199" s="22">
        <v>-1.7105100000000002E-2</v>
      </c>
      <c r="AT199" s="22">
        <v>189</v>
      </c>
      <c r="AU199" s="22">
        <v>0.80749499999999996</v>
      </c>
      <c r="AV199">
        <f t="shared" si="32"/>
        <v>17.1051</v>
      </c>
      <c r="AW199">
        <f t="shared" si="33"/>
        <v>13.8253339158</v>
      </c>
      <c r="AX199" s="9"/>
      <c r="AY199" s="22">
        <v>0.851746</v>
      </c>
      <c r="AZ199" s="22">
        <v>297.87099999999998</v>
      </c>
      <c r="BA199" s="22">
        <v>-1.6574100000000001E-2</v>
      </c>
      <c r="BB199" s="22">
        <v>189</v>
      </c>
      <c r="BC199" s="22">
        <v>0.851746</v>
      </c>
      <c r="BD199">
        <f t="shared" si="34"/>
        <v>16.574100000000001</v>
      </c>
      <c r="BE199">
        <f t="shared" si="35"/>
        <v>14.116923378600001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0.80322300000000002</v>
      </c>
      <c r="H200" s="22">
        <v>51.2196</v>
      </c>
      <c r="I200" s="22">
        <v>-1.7169199999999999E-2</v>
      </c>
      <c r="J200" s="22">
        <v>190</v>
      </c>
      <c r="K200" s="22">
        <v>0.80261199999999999</v>
      </c>
      <c r="L200">
        <f t="shared" si="24"/>
        <v>17.1692</v>
      </c>
      <c r="M200">
        <f t="shared" si="25"/>
        <v>13.7906963316</v>
      </c>
      <c r="N200" s="9"/>
      <c r="O200" s="22">
        <v>0.85678100000000001</v>
      </c>
      <c r="P200" s="22">
        <v>100.46299999999999</v>
      </c>
      <c r="Q200" s="22">
        <v>0.147095</v>
      </c>
      <c r="R200" s="22">
        <v>190</v>
      </c>
      <c r="S200" s="22">
        <v>0.27743499999999999</v>
      </c>
      <c r="T200">
        <f t="shared" si="26"/>
        <v>-147.095</v>
      </c>
      <c r="U200">
        <f t="shared" si="27"/>
        <v>-126.02820119500001</v>
      </c>
      <c r="X200" s="9"/>
      <c r="Y200" s="22">
        <v>0.80322300000000002</v>
      </c>
      <c r="Z200" s="22">
        <v>149.86500000000001</v>
      </c>
      <c r="AA200" s="22">
        <v>-1.7129499999999999E-2</v>
      </c>
      <c r="AB200" s="22">
        <v>190</v>
      </c>
      <c r="AC200" s="22">
        <v>0.80200199999999999</v>
      </c>
      <c r="AD200">
        <f t="shared" si="28"/>
        <v>17.1295</v>
      </c>
      <c r="AE200">
        <f t="shared" si="29"/>
        <v>13.758808378500001</v>
      </c>
      <c r="AF200" s="9"/>
      <c r="AG200" s="22">
        <v>0.85678100000000001</v>
      </c>
      <c r="AH200" s="22">
        <v>199.232</v>
      </c>
      <c r="AI200" s="22">
        <v>0.146088</v>
      </c>
      <c r="AJ200" s="22">
        <v>190</v>
      </c>
      <c r="AK200" s="22">
        <v>0.27459699999999998</v>
      </c>
      <c r="AL200">
        <f t="shared" si="30"/>
        <v>-146.08799999999999</v>
      </c>
      <c r="AM200">
        <f t="shared" si="31"/>
        <v>-125.165422728</v>
      </c>
      <c r="AP200" s="9"/>
      <c r="AQ200" s="22">
        <v>0.80322300000000002</v>
      </c>
      <c r="AR200" s="22">
        <v>248.51400000000001</v>
      </c>
      <c r="AS200" s="22">
        <v>-1.71112E-2</v>
      </c>
      <c r="AT200" s="22">
        <v>190</v>
      </c>
      <c r="AU200" s="22">
        <v>0.80200199999999999</v>
      </c>
      <c r="AV200">
        <f t="shared" si="32"/>
        <v>17.1112</v>
      </c>
      <c r="AW200">
        <f t="shared" si="33"/>
        <v>13.744109397600001</v>
      </c>
      <c r="AX200" s="9"/>
      <c r="AY200" s="22">
        <v>0.85678100000000001</v>
      </c>
      <c r="AZ200" s="22">
        <v>297.88099999999997</v>
      </c>
      <c r="BA200" s="22">
        <v>-1.65649E-2</v>
      </c>
      <c r="BB200" s="22">
        <v>190</v>
      </c>
      <c r="BC200" s="22">
        <v>0.85449200000000003</v>
      </c>
      <c r="BD200">
        <f t="shared" si="34"/>
        <v>16.564900000000002</v>
      </c>
      <c r="BE200">
        <f t="shared" si="35"/>
        <v>14.192491586900001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0.79818699999999998</v>
      </c>
      <c r="H201" s="22">
        <v>51.229700000000001</v>
      </c>
      <c r="I201" s="22">
        <v>-1.7172199999999999E-2</v>
      </c>
      <c r="J201" s="22">
        <v>191</v>
      </c>
      <c r="K201" s="22">
        <v>0.79772900000000002</v>
      </c>
      <c r="L201">
        <f t="shared" si="24"/>
        <v>17.1722</v>
      </c>
      <c r="M201">
        <f t="shared" si="25"/>
        <v>13.706626801400001</v>
      </c>
      <c r="N201" s="9"/>
      <c r="O201" s="22">
        <v>0.86181600000000003</v>
      </c>
      <c r="P201" s="22">
        <v>100.473</v>
      </c>
      <c r="Q201" s="22">
        <v>0.146454</v>
      </c>
      <c r="R201" s="22">
        <v>191</v>
      </c>
      <c r="S201" s="22">
        <v>0.27670299999999998</v>
      </c>
      <c r="T201">
        <f t="shared" si="26"/>
        <v>-146.45400000000001</v>
      </c>
      <c r="U201">
        <f t="shared" si="27"/>
        <v>-126.21640046400002</v>
      </c>
      <c r="X201" s="9"/>
      <c r="Y201" s="22">
        <v>0.79818699999999998</v>
      </c>
      <c r="Z201" s="22">
        <v>149.876</v>
      </c>
      <c r="AA201" s="22">
        <v>-1.7132600000000001E-2</v>
      </c>
      <c r="AB201" s="22">
        <v>191</v>
      </c>
      <c r="AC201" s="22">
        <v>0.79742400000000002</v>
      </c>
      <c r="AD201">
        <f t="shared" si="28"/>
        <v>17.1326</v>
      </c>
      <c r="AE201">
        <f t="shared" si="29"/>
        <v>13.675018596199999</v>
      </c>
      <c r="AF201" s="9"/>
      <c r="AG201" s="22">
        <v>0.86181600000000003</v>
      </c>
      <c r="AH201" s="22">
        <v>199.24199999999999</v>
      </c>
      <c r="AI201" s="22">
        <v>0.145264</v>
      </c>
      <c r="AJ201" s="22">
        <v>191</v>
      </c>
      <c r="AK201" s="22">
        <v>0.27490199999999998</v>
      </c>
      <c r="AL201">
        <f t="shared" si="30"/>
        <v>-145.26400000000001</v>
      </c>
      <c r="AM201">
        <f t="shared" si="31"/>
        <v>-125.19083942400002</v>
      </c>
      <c r="AP201" s="9"/>
      <c r="AQ201" s="22">
        <v>0.79818699999999998</v>
      </c>
      <c r="AR201" s="22">
        <v>248.524</v>
      </c>
      <c r="AS201" s="22">
        <v>-1.7117299999999998E-2</v>
      </c>
      <c r="AT201" s="22">
        <v>191</v>
      </c>
      <c r="AU201" s="22">
        <v>0.79711900000000002</v>
      </c>
      <c r="AV201">
        <f t="shared" si="32"/>
        <v>17.1173</v>
      </c>
      <c r="AW201">
        <f t="shared" si="33"/>
        <v>13.662806335099999</v>
      </c>
      <c r="AX201" s="9"/>
      <c r="AY201" s="22">
        <v>0.86181600000000003</v>
      </c>
      <c r="AZ201" s="22">
        <v>297.89100000000002</v>
      </c>
      <c r="BA201" s="22">
        <v>-1.6567999999999999E-2</v>
      </c>
      <c r="BB201" s="22">
        <v>191</v>
      </c>
      <c r="BC201" s="22">
        <v>0.859375</v>
      </c>
      <c r="BD201">
        <f t="shared" si="34"/>
        <v>16.567999999999998</v>
      </c>
      <c r="BE201">
        <f t="shared" si="35"/>
        <v>14.278567487999998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0.79315199999999997</v>
      </c>
      <c r="H202" s="22">
        <v>51.239800000000002</v>
      </c>
      <c r="I202" s="22">
        <v>-1.7175300000000001E-2</v>
      </c>
      <c r="J202" s="22">
        <v>192</v>
      </c>
      <c r="K202" s="22">
        <v>0.79223600000000005</v>
      </c>
      <c r="L202">
        <f t="shared" si="24"/>
        <v>17.1753</v>
      </c>
      <c r="M202">
        <f t="shared" si="25"/>
        <v>13.6226235456</v>
      </c>
      <c r="N202" s="9"/>
      <c r="O202" s="22">
        <v>0.86685199999999996</v>
      </c>
      <c r="P202" s="22">
        <v>100.483</v>
      </c>
      <c r="Q202" s="22">
        <v>0.14605699999999999</v>
      </c>
      <c r="R202" s="22">
        <v>192</v>
      </c>
      <c r="S202" s="22">
        <v>0.27691700000000002</v>
      </c>
      <c r="T202">
        <f t="shared" si="26"/>
        <v>-146.05699999999999</v>
      </c>
      <c r="U202">
        <f t="shared" si="27"/>
        <v>-126.60980256399998</v>
      </c>
      <c r="X202" s="9"/>
      <c r="Y202" s="22">
        <v>0.79315199999999997</v>
      </c>
      <c r="Z202" s="22">
        <v>149.886</v>
      </c>
      <c r="AA202" s="22">
        <v>-1.7135600000000001E-2</v>
      </c>
      <c r="AB202" s="22">
        <v>192</v>
      </c>
      <c r="AC202" s="22">
        <v>0.79254199999999997</v>
      </c>
      <c r="AD202">
        <f t="shared" si="28"/>
        <v>17.1356</v>
      </c>
      <c r="AE202">
        <f t="shared" si="29"/>
        <v>13.5911354112</v>
      </c>
      <c r="AF202" s="9"/>
      <c r="AG202" s="22">
        <v>0.86685199999999996</v>
      </c>
      <c r="AH202" s="22">
        <v>199.25200000000001</v>
      </c>
      <c r="AI202" s="22">
        <v>0.145233</v>
      </c>
      <c r="AJ202" s="22">
        <v>192</v>
      </c>
      <c r="AK202" s="22">
        <v>0.27435300000000001</v>
      </c>
      <c r="AL202">
        <f t="shared" si="30"/>
        <v>-145.233</v>
      </c>
      <c r="AM202">
        <f t="shared" si="31"/>
        <v>-125.895516516</v>
      </c>
      <c r="AP202" s="9"/>
      <c r="AQ202" s="22">
        <v>0.79315199999999997</v>
      </c>
      <c r="AR202" s="22">
        <v>248.535</v>
      </c>
      <c r="AS202" s="22">
        <v>-1.71234E-2</v>
      </c>
      <c r="AT202" s="22">
        <v>192</v>
      </c>
      <c r="AU202" s="22">
        <v>0.79284699999999997</v>
      </c>
      <c r="AV202">
        <f t="shared" si="32"/>
        <v>17.1234</v>
      </c>
      <c r="AW202">
        <f t="shared" si="33"/>
        <v>13.581458956799999</v>
      </c>
      <c r="AX202" s="9"/>
      <c r="AY202" s="22">
        <v>0.86685199999999996</v>
      </c>
      <c r="AZ202" s="22">
        <v>297.90100000000001</v>
      </c>
      <c r="BA202" s="22">
        <v>-1.6570999999999999E-2</v>
      </c>
      <c r="BB202" s="22">
        <v>192</v>
      </c>
      <c r="BC202" s="22">
        <v>0.866699</v>
      </c>
      <c r="BD202">
        <f t="shared" si="34"/>
        <v>16.570999999999998</v>
      </c>
      <c r="BE202">
        <f t="shared" si="35"/>
        <v>14.364604491999998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0.78811600000000004</v>
      </c>
      <c r="H203" s="22">
        <v>51.2498</v>
      </c>
      <c r="I203" s="22">
        <v>-1.7178300000000001E-2</v>
      </c>
      <c r="J203" s="22">
        <v>193</v>
      </c>
      <c r="K203" s="22">
        <v>0.787354</v>
      </c>
      <c r="L203">
        <f t="shared" si="24"/>
        <v>17.1783</v>
      </c>
      <c r="M203">
        <f t="shared" si="25"/>
        <v>13.538493082800001</v>
      </c>
      <c r="N203" s="9"/>
      <c r="O203" s="22">
        <v>0.87188699999999997</v>
      </c>
      <c r="P203" s="22">
        <v>100.49299999999999</v>
      </c>
      <c r="Q203" s="22">
        <v>0.145477</v>
      </c>
      <c r="R203" s="22">
        <v>193</v>
      </c>
      <c r="S203" s="22">
        <v>0.27651999999999999</v>
      </c>
      <c r="T203">
        <f t="shared" si="26"/>
        <v>-145.477</v>
      </c>
      <c r="U203">
        <f t="shared" si="27"/>
        <v>-126.83950509899999</v>
      </c>
      <c r="X203" s="9"/>
      <c r="Y203" s="22">
        <v>0.78811600000000004</v>
      </c>
      <c r="Z203" s="22">
        <v>149.89599999999999</v>
      </c>
      <c r="AA203" s="22">
        <v>-1.7135600000000001E-2</v>
      </c>
      <c r="AB203" s="22">
        <v>193</v>
      </c>
      <c r="AC203" s="22">
        <v>0.78704799999999997</v>
      </c>
      <c r="AD203">
        <f t="shared" si="28"/>
        <v>17.1356</v>
      </c>
      <c r="AE203">
        <f t="shared" si="29"/>
        <v>13.504840529600001</v>
      </c>
      <c r="AF203" s="9"/>
      <c r="AG203" s="22">
        <v>0.87188699999999997</v>
      </c>
      <c r="AH203" s="22">
        <v>199.262</v>
      </c>
      <c r="AI203" s="22">
        <v>0.14505000000000001</v>
      </c>
      <c r="AJ203" s="22">
        <v>193</v>
      </c>
      <c r="AK203" s="22">
        <v>0.274231</v>
      </c>
      <c r="AL203">
        <f t="shared" si="30"/>
        <v>-145.05000000000001</v>
      </c>
      <c r="AM203">
        <f t="shared" si="31"/>
        <v>-126.46720935</v>
      </c>
      <c r="AP203" s="9"/>
      <c r="AQ203" s="22">
        <v>0.78811600000000004</v>
      </c>
      <c r="AR203" s="22">
        <v>248.54499999999999</v>
      </c>
      <c r="AS203" s="22">
        <v>-1.7126499999999999E-2</v>
      </c>
      <c r="AT203" s="22">
        <v>193</v>
      </c>
      <c r="AU203" s="22">
        <v>0.78704799999999997</v>
      </c>
      <c r="AV203">
        <f t="shared" si="32"/>
        <v>17.1265</v>
      </c>
      <c r="AW203">
        <f t="shared" si="33"/>
        <v>13.497668674000002</v>
      </c>
      <c r="AX203" s="9"/>
      <c r="AY203" s="22">
        <v>0.87188699999999997</v>
      </c>
      <c r="AZ203" s="22">
        <v>297.911</v>
      </c>
      <c r="BA203" s="22">
        <v>-1.6577100000000001E-2</v>
      </c>
      <c r="BB203" s="22">
        <v>193</v>
      </c>
      <c r="BC203" s="22">
        <v>0.86883500000000002</v>
      </c>
      <c r="BD203">
        <f t="shared" si="34"/>
        <v>16.577100000000002</v>
      </c>
      <c r="BE203">
        <f t="shared" si="35"/>
        <v>14.4533579877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0.78308100000000003</v>
      </c>
      <c r="H204" s="22">
        <v>51.259900000000002</v>
      </c>
      <c r="I204" s="22">
        <v>-1.7175300000000001E-2</v>
      </c>
      <c r="J204" s="22">
        <v>194</v>
      </c>
      <c r="K204" s="22">
        <v>0.78247100000000003</v>
      </c>
      <c r="L204">
        <f t="shared" ref="L204:L267" si="36">-I204/$F$2*1000</f>
        <v>17.1753</v>
      </c>
      <c r="M204">
        <f t="shared" ref="M204:M267" si="37">L204*G204</f>
        <v>13.4496510993</v>
      </c>
      <c r="N204" s="9"/>
      <c r="O204" s="22">
        <v>0.87692300000000001</v>
      </c>
      <c r="P204" s="22">
        <v>100.503</v>
      </c>
      <c r="Q204" s="22">
        <v>0.14508099999999999</v>
      </c>
      <c r="R204" s="22">
        <v>194</v>
      </c>
      <c r="S204" s="22">
        <v>0.27542100000000003</v>
      </c>
      <c r="T204">
        <f t="shared" ref="T204:T267" si="38">-Q204/$F$2*1000</f>
        <v>-145.08099999999999</v>
      </c>
      <c r="U204">
        <f t="shared" ref="U204:U267" si="39">T204*O204</f>
        <v>-127.224865763</v>
      </c>
      <c r="X204" s="9"/>
      <c r="Y204" s="22">
        <v>0.78308100000000003</v>
      </c>
      <c r="Z204" s="22">
        <v>149.90600000000001</v>
      </c>
      <c r="AA204" s="22">
        <v>-1.7135600000000001E-2</v>
      </c>
      <c r="AB204" s="22">
        <v>194</v>
      </c>
      <c r="AC204" s="22">
        <v>0.78216600000000003</v>
      </c>
      <c r="AD204">
        <f t="shared" ref="AD204:AD267" si="40">-AA204/$F$2*1000</f>
        <v>17.1356</v>
      </c>
      <c r="AE204">
        <f t="shared" ref="AE204:AE267" si="41">AD204*Y204</f>
        <v>13.418562783600001</v>
      </c>
      <c r="AF204" s="9"/>
      <c r="AG204" s="22">
        <v>0.87692300000000001</v>
      </c>
      <c r="AH204" s="22">
        <v>199.27199999999999</v>
      </c>
      <c r="AI204" s="22">
        <v>0.144623</v>
      </c>
      <c r="AJ204" s="22">
        <v>194</v>
      </c>
      <c r="AK204" s="22">
        <v>0.275391</v>
      </c>
      <c r="AL204">
        <f t="shared" ref="AL204:AL267" si="42">-AI204/$F$2*1000</f>
        <v>-144.62299999999999</v>
      </c>
      <c r="AM204">
        <f t="shared" ref="AM204:AM267" si="43">AL204*AG204</f>
        <v>-126.82323502899999</v>
      </c>
      <c r="AP204" s="9"/>
      <c r="AQ204" s="22">
        <v>0.78308100000000003</v>
      </c>
      <c r="AR204" s="22">
        <v>248.55500000000001</v>
      </c>
      <c r="AS204" s="22">
        <v>-1.7126499999999999E-2</v>
      </c>
      <c r="AT204" s="22">
        <v>194</v>
      </c>
      <c r="AU204" s="22">
        <v>0.78186</v>
      </c>
      <c r="AV204">
        <f t="shared" ref="AV204:AV267" si="44">-AS204/$F$2*1000</f>
        <v>17.1265</v>
      </c>
      <c r="AW204">
        <f t="shared" ref="AW204:AW267" si="45">AV204*AQ204</f>
        <v>13.4114367465</v>
      </c>
      <c r="AX204" s="9"/>
      <c r="AY204" s="22">
        <v>0.87692300000000001</v>
      </c>
      <c r="AZ204" s="22">
        <v>297.92099999999999</v>
      </c>
      <c r="BA204" s="22">
        <v>-1.6577100000000001E-2</v>
      </c>
      <c r="BB204" s="22">
        <v>194</v>
      </c>
      <c r="BC204" s="22">
        <v>0.87219199999999997</v>
      </c>
      <c r="BD204">
        <f t="shared" ref="BD204:BD267" si="46">-BA204/$F$2*1000</f>
        <v>16.577100000000002</v>
      </c>
      <c r="BE204">
        <f t="shared" ref="BE204:BE267" si="47">BD204*AY204</f>
        <v>14.536840263300002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0.77804600000000002</v>
      </c>
      <c r="H205" s="22">
        <v>51.27</v>
      </c>
      <c r="I205" s="22">
        <v>-1.7178300000000001E-2</v>
      </c>
      <c r="J205" s="22">
        <v>195</v>
      </c>
      <c r="K205" s="22">
        <v>0.77728299999999995</v>
      </c>
      <c r="L205">
        <f t="shared" si="36"/>
        <v>17.1783</v>
      </c>
      <c r="M205">
        <f t="shared" si="37"/>
        <v>13.365507601800001</v>
      </c>
      <c r="N205" s="9"/>
      <c r="O205" s="22">
        <v>0.88195800000000002</v>
      </c>
      <c r="P205" s="22">
        <v>100.51300000000001</v>
      </c>
      <c r="Q205" s="22">
        <v>0.14514199999999999</v>
      </c>
      <c r="R205" s="22">
        <v>195</v>
      </c>
      <c r="S205" s="22">
        <v>0.27667199999999997</v>
      </c>
      <c r="T205">
        <f t="shared" si="38"/>
        <v>-145.142</v>
      </c>
      <c r="U205">
        <f t="shared" si="39"/>
        <v>-128.009148036</v>
      </c>
      <c r="X205" s="9"/>
      <c r="Y205" s="22">
        <v>0.77804600000000002</v>
      </c>
      <c r="Z205" s="22">
        <v>149.916</v>
      </c>
      <c r="AA205" s="22">
        <v>-1.71387E-2</v>
      </c>
      <c r="AB205" s="22">
        <v>195</v>
      </c>
      <c r="AC205" s="22">
        <v>0.77728299999999995</v>
      </c>
      <c r="AD205">
        <f t="shared" si="40"/>
        <v>17.1387</v>
      </c>
      <c r="AE205">
        <f t="shared" si="41"/>
        <v>13.3346969802</v>
      </c>
      <c r="AF205" s="9"/>
      <c r="AG205" s="22">
        <v>0.88195800000000002</v>
      </c>
      <c r="AH205" s="22">
        <v>199.28200000000001</v>
      </c>
      <c r="AI205" s="22">
        <v>0.14422599999999999</v>
      </c>
      <c r="AJ205" s="22">
        <v>195</v>
      </c>
      <c r="AK205" s="22">
        <v>0.27572600000000003</v>
      </c>
      <c r="AL205">
        <f t="shared" si="42"/>
        <v>-144.226</v>
      </c>
      <c r="AM205">
        <f t="shared" si="43"/>
        <v>-127.201274508</v>
      </c>
      <c r="AP205" s="9"/>
      <c r="AQ205" s="22">
        <v>0.77804600000000002</v>
      </c>
      <c r="AR205" s="22">
        <v>248.565</v>
      </c>
      <c r="AS205" s="22">
        <v>-1.7135600000000001E-2</v>
      </c>
      <c r="AT205" s="22">
        <v>195</v>
      </c>
      <c r="AU205" s="22">
        <v>0.77728299999999995</v>
      </c>
      <c r="AV205">
        <f t="shared" si="44"/>
        <v>17.1356</v>
      </c>
      <c r="AW205">
        <f t="shared" si="45"/>
        <v>13.3322850376</v>
      </c>
      <c r="AX205" s="9"/>
      <c r="AY205" s="22">
        <v>0.88195800000000002</v>
      </c>
      <c r="AZ205" s="22">
        <v>297.93099999999998</v>
      </c>
      <c r="BA205" s="22">
        <v>-1.6577100000000001E-2</v>
      </c>
      <c r="BB205" s="22">
        <v>195</v>
      </c>
      <c r="BC205" s="22">
        <v>0.88012699999999999</v>
      </c>
      <c r="BD205">
        <f t="shared" si="46"/>
        <v>16.577100000000002</v>
      </c>
      <c r="BE205">
        <f t="shared" si="47"/>
        <v>14.620305961800002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0.77300999999999997</v>
      </c>
      <c r="H206" s="22">
        <v>51.280099999999997</v>
      </c>
      <c r="I206" s="22">
        <v>-1.7184399999999999E-2</v>
      </c>
      <c r="J206" s="22">
        <v>196</v>
      </c>
      <c r="K206" s="22">
        <v>0.77148399999999995</v>
      </c>
      <c r="L206">
        <f t="shared" si="36"/>
        <v>17.1844</v>
      </c>
      <c r="M206">
        <f t="shared" si="37"/>
        <v>13.283713043999999</v>
      </c>
      <c r="N206" s="9"/>
      <c r="O206" s="22">
        <v>0.88699300000000003</v>
      </c>
      <c r="P206" s="22">
        <v>100.523</v>
      </c>
      <c r="Q206" s="22">
        <v>0.14480599999999999</v>
      </c>
      <c r="R206" s="22">
        <v>196</v>
      </c>
      <c r="S206" s="22">
        <v>0.27642800000000001</v>
      </c>
      <c r="T206">
        <f t="shared" si="38"/>
        <v>-144.80599999999998</v>
      </c>
      <c r="U206">
        <f t="shared" si="39"/>
        <v>-128.44190835799998</v>
      </c>
      <c r="X206" s="9"/>
      <c r="Y206" s="22">
        <v>0.77300999999999997</v>
      </c>
      <c r="Z206" s="22">
        <v>149.92599999999999</v>
      </c>
      <c r="AA206" s="22">
        <v>-1.7141699999999999E-2</v>
      </c>
      <c r="AB206" s="22">
        <v>196</v>
      </c>
      <c r="AC206" s="22">
        <v>0.77239999999999998</v>
      </c>
      <c r="AD206">
        <f t="shared" si="40"/>
        <v>17.1417</v>
      </c>
      <c r="AE206">
        <f t="shared" si="41"/>
        <v>13.250705517</v>
      </c>
      <c r="AF206" s="9"/>
      <c r="AG206" s="22">
        <v>0.88699300000000003</v>
      </c>
      <c r="AH206" s="22">
        <v>199.292</v>
      </c>
      <c r="AI206" s="22">
        <v>0.143738</v>
      </c>
      <c r="AJ206" s="22">
        <v>196</v>
      </c>
      <c r="AK206" s="22">
        <v>0.27447500000000002</v>
      </c>
      <c r="AL206">
        <f t="shared" si="42"/>
        <v>-143.738</v>
      </c>
      <c r="AM206">
        <f t="shared" si="43"/>
        <v>-127.494599834</v>
      </c>
      <c r="AP206" s="9"/>
      <c r="AQ206" s="22">
        <v>0.77300999999999997</v>
      </c>
      <c r="AR206" s="22">
        <v>248.57499999999999</v>
      </c>
      <c r="AS206" s="22">
        <v>-1.7144800000000002E-2</v>
      </c>
      <c r="AT206" s="22">
        <v>196</v>
      </c>
      <c r="AU206" s="22">
        <v>0.77209499999999998</v>
      </c>
      <c r="AV206">
        <f t="shared" si="44"/>
        <v>17.1448</v>
      </c>
      <c r="AW206">
        <f t="shared" si="45"/>
        <v>13.253101848</v>
      </c>
      <c r="AX206" s="9"/>
      <c r="AY206" s="22">
        <v>0.88699300000000003</v>
      </c>
      <c r="AZ206" s="22">
        <v>297.94099999999997</v>
      </c>
      <c r="BA206" s="22">
        <v>-1.65375E-2</v>
      </c>
      <c r="BB206" s="22">
        <v>196</v>
      </c>
      <c r="BC206" s="22">
        <v>0.88195800000000002</v>
      </c>
      <c r="BD206">
        <f t="shared" si="46"/>
        <v>16.537500000000001</v>
      </c>
      <c r="BE206">
        <f t="shared" si="47"/>
        <v>14.668646737500001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0.76797499999999996</v>
      </c>
      <c r="H207" s="22">
        <v>51.290100000000002</v>
      </c>
      <c r="I207" s="22">
        <v>-1.71906E-2</v>
      </c>
      <c r="J207" s="22">
        <v>197</v>
      </c>
      <c r="K207" s="22">
        <v>0.76660200000000001</v>
      </c>
      <c r="L207">
        <f t="shared" si="36"/>
        <v>17.1906</v>
      </c>
      <c r="M207">
        <f t="shared" si="37"/>
        <v>13.201951034999999</v>
      </c>
      <c r="N207" s="9"/>
      <c r="O207" s="22">
        <v>0.89202899999999996</v>
      </c>
      <c r="P207" s="22">
        <v>100.53400000000001</v>
      </c>
      <c r="Q207" s="22">
        <v>0.14453099999999999</v>
      </c>
      <c r="R207" s="22">
        <v>197</v>
      </c>
      <c r="S207" s="22">
        <v>0.275696</v>
      </c>
      <c r="T207">
        <f t="shared" si="38"/>
        <v>-144.53100000000001</v>
      </c>
      <c r="U207">
        <f t="shared" si="39"/>
        <v>-128.925843399</v>
      </c>
      <c r="X207" s="9"/>
      <c r="Y207" s="22">
        <v>0.76797499999999996</v>
      </c>
      <c r="Z207" s="22">
        <v>149.93600000000001</v>
      </c>
      <c r="AA207" s="22">
        <v>-1.7141699999999999E-2</v>
      </c>
      <c r="AB207" s="22">
        <v>197</v>
      </c>
      <c r="AC207" s="22">
        <v>0.767517</v>
      </c>
      <c r="AD207">
        <f t="shared" si="40"/>
        <v>17.1417</v>
      </c>
      <c r="AE207">
        <f t="shared" si="41"/>
        <v>13.164397057499999</v>
      </c>
      <c r="AF207" s="9"/>
      <c r="AG207" s="22">
        <v>0.89202899999999996</v>
      </c>
      <c r="AH207" s="22">
        <v>199.30199999999999</v>
      </c>
      <c r="AI207" s="22">
        <v>0.14349400000000001</v>
      </c>
      <c r="AJ207" s="22">
        <v>197</v>
      </c>
      <c r="AK207" s="22">
        <v>0.275177</v>
      </c>
      <c r="AL207">
        <f t="shared" si="42"/>
        <v>-143.494</v>
      </c>
      <c r="AM207">
        <f t="shared" si="43"/>
        <v>-128.000809326</v>
      </c>
      <c r="AP207" s="9"/>
      <c r="AQ207" s="22">
        <v>0.76797499999999996</v>
      </c>
      <c r="AR207" s="22">
        <v>248.58500000000001</v>
      </c>
      <c r="AS207" s="22">
        <v>-1.7144800000000002E-2</v>
      </c>
      <c r="AT207" s="22">
        <v>197</v>
      </c>
      <c r="AU207" s="22">
        <v>0.767517</v>
      </c>
      <c r="AV207">
        <f t="shared" si="44"/>
        <v>17.1448</v>
      </c>
      <c r="AW207">
        <f t="shared" si="45"/>
        <v>13.166777779999999</v>
      </c>
      <c r="AX207" s="9"/>
      <c r="AY207" s="22">
        <v>0.89202899999999996</v>
      </c>
      <c r="AZ207" s="22">
        <v>297.95100000000002</v>
      </c>
      <c r="BA207" s="22">
        <v>-1.6534400000000001E-2</v>
      </c>
      <c r="BB207" s="22">
        <v>197</v>
      </c>
      <c r="BC207" s="22">
        <v>0.89263899999999996</v>
      </c>
      <c r="BD207">
        <f t="shared" si="46"/>
        <v>16.534400000000002</v>
      </c>
      <c r="BE207">
        <f t="shared" si="47"/>
        <v>14.7491642976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0.76293900000000003</v>
      </c>
      <c r="H208" s="22">
        <v>51.300199999999997</v>
      </c>
      <c r="I208" s="22">
        <v>-1.7196699999999999E-2</v>
      </c>
      <c r="J208" s="22">
        <v>198</v>
      </c>
      <c r="K208" s="22">
        <v>0.76171900000000003</v>
      </c>
      <c r="L208">
        <f t="shared" si="36"/>
        <v>17.1967</v>
      </c>
      <c r="M208">
        <f t="shared" si="37"/>
        <v>13.120033101300001</v>
      </c>
      <c r="N208" s="9"/>
      <c r="O208" s="22">
        <v>0.89706399999999997</v>
      </c>
      <c r="P208" s="22">
        <v>100.544</v>
      </c>
      <c r="Q208" s="22">
        <v>0.14422599999999999</v>
      </c>
      <c r="R208" s="22">
        <v>198</v>
      </c>
      <c r="S208" s="22">
        <v>0.27529900000000002</v>
      </c>
      <c r="T208">
        <f t="shared" si="38"/>
        <v>-144.226</v>
      </c>
      <c r="U208">
        <f t="shared" si="39"/>
        <v>-129.37995246399998</v>
      </c>
      <c r="X208" s="9"/>
      <c r="Y208" s="22">
        <v>0.76293900000000003</v>
      </c>
      <c r="Z208" s="22">
        <v>149.946</v>
      </c>
      <c r="AA208" s="22">
        <v>-1.7144800000000002E-2</v>
      </c>
      <c r="AB208" s="22">
        <v>198</v>
      </c>
      <c r="AC208" s="22">
        <v>0.76171900000000003</v>
      </c>
      <c r="AD208">
        <f t="shared" si="40"/>
        <v>17.1448</v>
      </c>
      <c r="AE208">
        <f t="shared" si="41"/>
        <v>13.080436567200001</v>
      </c>
      <c r="AF208" s="9"/>
      <c r="AG208" s="22">
        <v>0.89706399999999997</v>
      </c>
      <c r="AH208" s="22">
        <v>199.31200000000001</v>
      </c>
      <c r="AI208" s="22">
        <v>0.143402</v>
      </c>
      <c r="AJ208" s="22">
        <v>198</v>
      </c>
      <c r="AK208" s="22">
        <v>0.27383400000000002</v>
      </c>
      <c r="AL208">
        <f t="shared" si="42"/>
        <v>-143.40200000000002</v>
      </c>
      <c r="AM208">
        <f t="shared" si="43"/>
        <v>-128.640771728</v>
      </c>
      <c r="AP208" s="9"/>
      <c r="AQ208" s="22">
        <v>0.76293900000000003</v>
      </c>
      <c r="AR208" s="22">
        <v>248.595</v>
      </c>
      <c r="AS208" s="22">
        <v>-1.7147800000000001E-2</v>
      </c>
      <c r="AT208" s="22">
        <v>198</v>
      </c>
      <c r="AU208" s="22">
        <v>0.76171900000000003</v>
      </c>
      <c r="AV208">
        <f t="shared" si="44"/>
        <v>17.1478</v>
      </c>
      <c r="AW208">
        <f t="shared" si="45"/>
        <v>13.082725384200002</v>
      </c>
      <c r="AX208" s="9"/>
      <c r="AY208" s="22">
        <v>0.89706399999999997</v>
      </c>
      <c r="AZ208" s="22">
        <v>297.96100000000001</v>
      </c>
      <c r="BA208" s="22">
        <v>-1.6534400000000001E-2</v>
      </c>
      <c r="BB208" s="22">
        <v>198</v>
      </c>
      <c r="BC208" s="22">
        <v>0.89752200000000004</v>
      </c>
      <c r="BD208">
        <f t="shared" si="46"/>
        <v>16.534400000000002</v>
      </c>
      <c r="BE208">
        <f t="shared" si="47"/>
        <v>14.832415001600001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0.75790400000000002</v>
      </c>
      <c r="H209" s="22">
        <v>51.310299999999998</v>
      </c>
      <c r="I209" s="22">
        <v>-1.7199699999999998E-2</v>
      </c>
      <c r="J209" s="22">
        <v>199</v>
      </c>
      <c r="K209" s="22">
        <v>0.75714099999999995</v>
      </c>
      <c r="L209">
        <f t="shared" si="36"/>
        <v>17.1997</v>
      </c>
      <c r="M209">
        <f t="shared" si="37"/>
        <v>13.035721428800001</v>
      </c>
      <c r="N209" s="9"/>
      <c r="O209" s="22">
        <v>0.90210000000000001</v>
      </c>
      <c r="P209" s="22">
        <v>100.554</v>
      </c>
      <c r="Q209" s="22">
        <v>0.143951</v>
      </c>
      <c r="R209" s="22">
        <v>199</v>
      </c>
      <c r="S209" s="22">
        <v>0.27493299999999998</v>
      </c>
      <c r="T209">
        <f t="shared" si="38"/>
        <v>-143.95099999999999</v>
      </c>
      <c r="U209">
        <f t="shared" si="39"/>
        <v>-129.85819709999998</v>
      </c>
      <c r="X209" s="9"/>
      <c r="Y209" s="22">
        <v>0.75790400000000002</v>
      </c>
      <c r="Z209" s="22">
        <v>149.95599999999999</v>
      </c>
      <c r="AA209" s="22">
        <v>-1.71509E-2</v>
      </c>
      <c r="AB209" s="22">
        <v>199</v>
      </c>
      <c r="AC209" s="22">
        <v>0.75683599999999995</v>
      </c>
      <c r="AD209">
        <f t="shared" si="40"/>
        <v>17.1509</v>
      </c>
      <c r="AE209">
        <f t="shared" si="41"/>
        <v>12.9987357136</v>
      </c>
      <c r="AF209" s="9"/>
      <c r="AG209" s="22">
        <v>0.90210000000000001</v>
      </c>
      <c r="AH209" s="22">
        <v>199.32300000000001</v>
      </c>
      <c r="AI209" s="22">
        <v>0.143036</v>
      </c>
      <c r="AJ209" s="22">
        <v>199</v>
      </c>
      <c r="AK209" s="22">
        <v>0.27429199999999998</v>
      </c>
      <c r="AL209">
        <f t="shared" si="42"/>
        <v>-143.036</v>
      </c>
      <c r="AM209">
        <f t="shared" si="43"/>
        <v>-129.03277560000001</v>
      </c>
      <c r="AP209" s="9"/>
      <c r="AQ209" s="22">
        <v>0.75790400000000002</v>
      </c>
      <c r="AR209" s="22">
        <v>248.60499999999999</v>
      </c>
      <c r="AS209" s="22">
        <v>-1.71509E-2</v>
      </c>
      <c r="AT209" s="22">
        <v>199</v>
      </c>
      <c r="AU209" s="22">
        <v>0.75744599999999995</v>
      </c>
      <c r="AV209">
        <f t="shared" si="44"/>
        <v>17.1509</v>
      </c>
      <c r="AW209">
        <f t="shared" si="45"/>
        <v>12.9987357136</v>
      </c>
      <c r="AX209" s="9"/>
      <c r="AY209" s="22">
        <v>0.90210000000000001</v>
      </c>
      <c r="AZ209" s="22">
        <v>297.971</v>
      </c>
      <c r="BA209" s="22">
        <v>-1.6513099999999999E-2</v>
      </c>
      <c r="BB209" s="22">
        <v>199</v>
      </c>
      <c r="BC209" s="22">
        <v>0.90057399999999999</v>
      </c>
      <c r="BD209">
        <f t="shared" si="46"/>
        <v>16.513099999999998</v>
      </c>
      <c r="BE209">
        <f t="shared" si="47"/>
        <v>14.896467509999999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0.75286900000000001</v>
      </c>
      <c r="H210" s="22">
        <v>51.320300000000003</v>
      </c>
      <c r="I210" s="22">
        <v>-1.7202800000000001E-2</v>
      </c>
      <c r="J210" s="22">
        <v>200</v>
      </c>
      <c r="K210" s="22">
        <v>0.75195299999999998</v>
      </c>
      <c r="L210">
        <f t="shared" si="36"/>
        <v>17.2028</v>
      </c>
      <c r="M210">
        <f t="shared" si="37"/>
        <v>12.9514548332</v>
      </c>
      <c r="N210" s="9"/>
      <c r="O210" s="22">
        <v>0.90713500000000002</v>
      </c>
      <c r="P210" s="22">
        <v>100.56399999999999</v>
      </c>
      <c r="Q210" s="22">
        <v>0.143738</v>
      </c>
      <c r="R210" s="22">
        <v>200</v>
      </c>
      <c r="S210" s="22">
        <v>0.27478000000000002</v>
      </c>
      <c r="T210">
        <f t="shared" si="38"/>
        <v>-143.738</v>
      </c>
      <c r="U210">
        <f t="shared" si="39"/>
        <v>-130.38977063000002</v>
      </c>
      <c r="X210" s="9"/>
      <c r="Y210" s="22">
        <v>0.75286900000000001</v>
      </c>
      <c r="Z210" s="22">
        <v>149.96600000000001</v>
      </c>
      <c r="AA210" s="22">
        <v>-1.71509E-2</v>
      </c>
      <c r="AB210" s="22">
        <v>200</v>
      </c>
      <c r="AC210" s="22">
        <v>0.75164799999999998</v>
      </c>
      <c r="AD210">
        <f t="shared" si="40"/>
        <v>17.1509</v>
      </c>
      <c r="AE210">
        <f t="shared" si="41"/>
        <v>12.9123809321</v>
      </c>
      <c r="AF210" s="9"/>
      <c r="AG210" s="22">
        <v>0.90713500000000002</v>
      </c>
      <c r="AH210" s="22">
        <v>199.333</v>
      </c>
      <c r="AI210" s="22">
        <v>0.142761</v>
      </c>
      <c r="AJ210" s="22">
        <v>200</v>
      </c>
      <c r="AK210" s="22">
        <v>0.27456700000000001</v>
      </c>
      <c r="AL210">
        <f t="shared" si="42"/>
        <v>-142.761</v>
      </c>
      <c r="AM210">
        <f t="shared" si="43"/>
        <v>-129.50349973499999</v>
      </c>
      <c r="AP210" s="9"/>
      <c r="AQ210" s="22">
        <v>0.75286900000000001</v>
      </c>
      <c r="AR210" s="22">
        <v>248.61500000000001</v>
      </c>
      <c r="AS210" s="22">
        <v>-1.71539E-2</v>
      </c>
      <c r="AT210" s="22">
        <v>200</v>
      </c>
      <c r="AU210" s="22">
        <v>0.75164799999999998</v>
      </c>
      <c r="AV210">
        <f t="shared" si="44"/>
        <v>17.1539</v>
      </c>
      <c r="AW210">
        <f t="shared" si="45"/>
        <v>12.9146395391</v>
      </c>
      <c r="AX210" s="9"/>
      <c r="AY210" s="22">
        <v>0.90713500000000002</v>
      </c>
      <c r="AZ210" s="22">
        <v>297.98200000000003</v>
      </c>
      <c r="BA210" s="22">
        <v>-1.6507000000000001E-2</v>
      </c>
      <c r="BB210" s="22">
        <v>200</v>
      </c>
      <c r="BC210" s="22">
        <v>0.90637199999999996</v>
      </c>
      <c r="BD210">
        <f t="shared" si="46"/>
        <v>16.507000000000001</v>
      </c>
      <c r="BE210">
        <f t="shared" si="47"/>
        <v>14.974077445000002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0.74783299999999997</v>
      </c>
      <c r="H211" s="22">
        <v>51.330399999999997</v>
      </c>
      <c r="I211" s="22">
        <v>-1.7202800000000001E-2</v>
      </c>
      <c r="J211" s="22">
        <v>201</v>
      </c>
      <c r="K211" s="22">
        <v>0.74728399999999995</v>
      </c>
      <c r="L211">
        <f t="shared" si="36"/>
        <v>17.2028</v>
      </c>
      <c r="M211">
        <f t="shared" si="37"/>
        <v>12.864821532399999</v>
      </c>
      <c r="N211" s="9"/>
      <c r="O211" s="22">
        <v>0.91217000000000004</v>
      </c>
      <c r="P211" s="22">
        <v>100.574</v>
      </c>
      <c r="Q211" s="22">
        <v>0.14349400000000001</v>
      </c>
      <c r="R211" s="22">
        <v>201</v>
      </c>
      <c r="S211" s="22">
        <v>0.274841</v>
      </c>
      <c r="T211">
        <f t="shared" si="38"/>
        <v>-143.494</v>
      </c>
      <c r="U211">
        <f t="shared" si="39"/>
        <v>-130.89092198</v>
      </c>
      <c r="X211" s="9"/>
      <c r="Y211" s="22">
        <v>0.74783299999999997</v>
      </c>
      <c r="Z211" s="22">
        <v>149.976</v>
      </c>
      <c r="AA211" s="22">
        <v>-1.7156999999999999E-2</v>
      </c>
      <c r="AB211" s="22">
        <v>201</v>
      </c>
      <c r="AC211" s="22">
        <v>0.74713099999999999</v>
      </c>
      <c r="AD211">
        <f t="shared" si="40"/>
        <v>17.157</v>
      </c>
      <c r="AE211">
        <f t="shared" si="41"/>
        <v>12.830570780999999</v>
      </c>
      <c r="AF211" s="9"/>
      <c r="AG211" s="22">
        <v>0.91217000000000004</v>
      </c>
      <c r="AH211" s="22">
        <v>199.34299999999999</v>
      </c>
      <c r="AI211" s="22">
        <v>0.14254800000000001</v>
      </c>
      <c r="AJ211" s="22">
        <v>201</v>
      </c>
      <c r="AK211" s="22">
        <v>0.27444499999999999</v>
      </c>
      <c r="AL211">
        <f t="shared" si="42"/>
        <v>-142.548</v>
      </c>
      <c r="AM211">
        <f t="shared" si="43"/>
        <v>-130.02800916000001</v>
      </c>
      <c r="AP211" s="9"/>
      <c r="AQ211" s="22">
        <v>0.74783299999999997</v>
      </c>
      <c r="AR211" s="22">
        <v>248.625</v>
      </c>
      <c r="AS211" s="22">
        <v>-1.7156999999999999E-2</v>
      </c>
      <c r="AT211" s="22">
        <v>201</v>
      </c>
      <c r="AU211" s="22">
        <v>0.74734500000000004</v>
      </c>
      <c r="AV211">
        <f t="shared" si="44"/>
        <v>17.157</v>
      </c>
      <c r="AW211">
        <f t="shared" si="45"/>
        <v>12.830570780999999</v>
      </c>
      <c r="AX211" s="9"/>
      <c r="AY211" s="22">
        <v>0.91217000000000004</v>
      </c>
      <c r="AZ211" s="22">
        <v>297.99200000000002</v>
      </c>
      <c r="BA211" s="22">
        <v>-1.64948E-2</v>
      </c>
      <c r="BB211" s="22">
        <v>201</v>
      </c>
      <c r="BC211" s="22">
        <v>0.90606699999999996</v>
      </c>
      <c r="BD211">
        <f t="shared" si="46"/>
        <v>16.494800000000001</v>
      </c>
      <c r="BE211">
        <f t="shared" si="47"/>
        <v>15.046061716000002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0.74279799999999996</v>
      </c>
      <c r="H212" s="22">
        <v>51.340499999999999</v>
      </c>
      <c r="I212" s="22">
        <v>-1.7208899999999999E-2</v>
      </c>
      <c r="J212" s="22">
        <v>202</v>
      </c>
      <c r="K212" s="22">
        <v>0.741699</v>
      </c>
      <c r="L212">
        <f t="shared" si="36"/>
        <v>17.2089</v>
      </c>
      <c r="M212">
        <f t="shared" si="37"/>
        <v>12.782736502199999</v>
      </c>
      <c r="N212" s="9"/>
      <c r="O212" s="22">
        <v>0.91720599999999997</v>
      </c>
      <c r="P212" s="22">
        <v>100.584</v>
      </c>
      <c r="Q212" s="22">
        <v>0.14327999999999999</v>
      </c>
      <c r="R212" s="22">
        <v>202</v>
      </c>
      <c r="S212" s="22">
        <v>0.27612300000000001</v>
      </c>
      <c r="T212">
        <f t="shared" si="38"/>
        <v>-143.28</v>
      </c>
      <c r="U212">
        <f t="shared" si="39"/>
        <v>-131.41727567999999</v>
      </c>
      <c r="X212" s="9"/>
      <c r="Y212" s="22">
        <v>0.74279799999999996</v>
      </c>
      <c r="Z212" s="22">
        <v>149.98599999999999</v>
      </c>
      <c r="AA212" s="22">
        <v>-1.7160000000000002E-2</v>
      </c>
      <c r="AB212" s="22">
        <v>202</v>
      </c>
      <c r="AC212" s="22">
        <v>0.74221800000000004</v>
      </c>
      <c r="AD212">
        <f t="shared" si="40"/>
        <v>17.16</v>
      </c>
      <c r="AE212">
        <f t="shared" si="41"/>
        <v>12.74641368</v>
      </c>
      <c r="AF212" s="9"/>
      <c r="AG212" s="22">
        <v>0.91720599999999997</v>
      </c>
      <c r="AH212" s="22">
        <v>199.35300000000001</v>
      </c>
      <c r="AI212" s="22">
        <v>0.14239499999999999</v>
      </c>
      <c r="AJ212" s="22">
        <v>202</v>
      </c>
      <c r="AK212" s="22">
        <v>0.27462799999999998</v>
      </c>
      <c r="AL212">
        <f t="shared" si="42"/>
        <v>-142.39499999999998</v>
      </c>
      <c r="AM212">
        <f t="shared" si="43"/>
        <v>-130.60554836999998</v>
      </c>
      <c r="AP212" s="9"/>
      <c r="AQ212" s="22">
        <v>0.74279799999999996</v>
      </c>
      <c r="AR212" s="22">
        <v>248.63499999999999</v>
      </c>
      <c r="AS212" s="22">
        <v>-1.7160000000000002E-2</v>
      </c>
      <c r="AT212" s="22">
        <v>202</v>
      </c>
      <c r="AU212" s="22">
        <v>0.74234</v>
      </c>
      <c r="AV212">
        <f t="shared" si="44"/>
        <v>17.16</v>
      </c>
      <c r="AW212">
        <f t="shared" si="45"/>
        <v>12.74641368</v>
      </c>
      <c r="AX212" s="9"/>
      <c r="AY212" s="22">
        <v>0.91720599999999997</v>
      </c>
      <c r="AZ212" s="22">
        <v>298.00200000000001</v>
      </c>
      <c r="BA212" s="22">
        <v>-1.6507000000000001E-2</v>
      </c>
      <c r="BB212" s="22">
        <v>202</v>
      </c>
      <c r="BC212" s="22">
        <v>0.91552699999999998</v>
      </c>
      <c r="BD212">
        <f t="shared" si="46"/>
        <v>16.507000000000001</v>
      </c>
      <c r="BE212">
        <f t="shared" si="47"/>
        <v>15.140319442000001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0.73776200000000003</v>
      </c>
      <c r="H213" s="22">
        <v>51.3506</v>
      </c>
      <c r="I213" s="22">
        <v>-1.7208899999999999E-2</v>
      </c>
      <c r="J213" s="22">
        <v>203</v>
      </c>
      <c r="K213" s="22">
        <v>0.73724400000000001</v>
      </c>
      <c r="L213">
        <f t="shared" si="36"/>
        <v>17.2089</v>
      </c>
      <c r="M213">
        <f t="shared" si="37"/>
        <v>12.6960724818</v>
      </c>
      <c r="N213" s="9"/>
      <c r="O213" s="22">
        <v>0.92224099999999998</v>
      </c>
      <c r="P213" s="22">
        <v>100.59399999999999</v>
      </c>
      <c r="Q213" s="22">
        <v>0.14300499999999999</v>
      </c>
      <c r="R213" s="22">
        <v>203</v>
      </c>
      <c r="S213" s="22">
        <v>0.27596999999999999</v>
      </c>
      <c r="T213">
        <f t="shared" si="38"/>
        <v>-143.005</v>
      </c>
      <c r="U213">
        <f t="shared" si="39"/>
        <v>-131.885074205</v>
      </c>
      <c r="X213" s="9"/>
      <c r="Y213" s="22">
        <v>0.73776200000000003</v>
      </c>
      <c r="Z213" s="22">
        <v>149.99600000000001</v>
      </c>
      <c r="AA213" s="22">
        <v>-1.7163100000000001E-2</v>
      </c>
      <c r="AB213" s="22">
        <v>203</v>
      </c>
      <c r="AC213" s="22">
        <v>0.73696899999999999</v>
      </c>
      <c r="AD213">
        <f t="shared" si="40"/>
        <v>17.1631</v>
      </c>
      <c r="AE213">
        <f t="shared" si="41"/>
        <v>12.662282982200001</v>
      </c>
      <c r="AF213" s="9"/>
      <c r="AG213" s="22">
        <v>0.92224099999999998</v>
      </c>
      <c r="AH213" s="22">
        <v>199.363</v>
      </c>
      <c r="AI213" s="22">
        <v>0.14221200000000001</v>
      </c>
      <c r="AJ213" s="22">
        <v>203</v>
      </c>
      <c r="AK213" s="22">
        <v>0.27407799999999999</v>
      </c>
      <c r="AL213">
        <f t="shared" si="42"/>
        <v>-142.21200000000002</v>
      </c>
      <c r="AM213">
        <f t="shared" si="43"/>
        <v>-131.153737092</v>
      </c>
      <c r="AP213" s="9"/>
      <c r="AQ213" s="22">
        <v>0.73776200000000003</v>
      </c>
      <c r="AR213" s="22">
        <v>248.64500000000001</v>
      </c>
      <c r="AS213" s="22">
        <v>-1.7156999999999999E-2</v>
      </c>
      <c r="AT213" s="22">
        <v>203</v>
      </c>
      <c r="AU213" s="22">
        <v>0.73696899999999999</v>
      </c>
      <c r="AV213">
        <f t="shared" si="44"/>
        <v>17.157</v>
      </c>
      <c r="AW213">
        <f t="shared" si="45"/>
        <v>12.657782634</v>
      </c>
      <c r="AX213" s="9"/>
      <c r="AY213" s="22">
        <v>0.92224099999999998</v>
      </c>
      <c r="AZ213" s="22">
        <v>298.012</v>
      </c>
      <c r="BA213" s="22">
        <v>-1.6448999999999998E-2</v>
      </c>
      <c r="BB213" s="22">
        <v>203</v>
      </c>
      <c r="BC213" s="22">
        <v>0.92132599999999998</v>
      </c>
      <c r="BD213">
        <f t="shared" si="46"/>
        <v>16.448999999999998</v>
      </c>
      <c r="BE213">
        <f t="shared" si="47"/>
        <v>15.169942208999998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0.73272700000000002</v>
      </c>
      <c r="H214" s="22">
        <v>51.360599999999998</v>
      </c>
      <c r="I214" s="22">
        <v>-1.7211899999999999E-2</v>
      </c>
      <c r="J214" s="22">
        <v>204</v>
      </c>
      <c r="K214" s="22">
        <v>0.73202500000000004</v>
      </c>
      <c r="L214">
        <f t="shared" si="36"/>
        <v>17.2119</v>
      </c>
      <c r="M214">
        <f t="shared" si="37"/>
        <v>12.611623851300001</v>
      </c>
      <c r="N214" s="9"/>
      <c r="O214" s="22">
        <v>0.92727700000000002</v>
      </c>
      <c r="P214" s="22">
        <v>100.604</v>
      </c>
      <c r="Q214" s="22">
        <v>0.14288300000000001</v>
      </c>
      <c r="R214" s="22">
        <v>204</v>
      </c>
      <c r="S214" s="22">
        <v>0.27444499999999999</v>
      </c>
      <c r="T214">
        <f t="shared" si="38"/>
        <v>-142.88300000000001</v>
      </c>
      <c r="U214">
        <f t="shared" si="39"/>
        <v>-132.49211959100001</v>
      </c>
      <c r="X214" s="9"/>
      <c r="Y214" s="22">
        <v>0.73272700000000002</v>
      </c>
      <c r="Z214" s="22">
        <v>150.006</v>
      </c>
      <c r="AA214" s="22">
        <v>-1.7169199999999999E-2</v>
      </c>
      <c r="AB214" s="22">
        <v>204</v>
      </c>
      <c r="AC214" s="22">
        <v>0.73202500000000004</v>
      </c>
      <c r="AD214">
        <f t="shared" si="40"/>
        <v>17.1692</v>
      </c>
      <c r="AE214">
        <f t="shared" si="41"/>
        <v>12.580336408400001</v>
      </c>
      <c r="AF214" s="9"/>
      <c r="AG214" s="22">
        <v>0.92727700000000002</v>
      </c>
      <c r="AH214" s="22">
        <v>199.37299999999999</v>
      </c>
      <c r="AI214" s="22">
        <v>0.14205899999999999</v>
      </c>
      <c r="AJ214" s="22">
        <v>204</v>
      </c>
      <c r="AK214" s="22">
        <v>0.27441399999999999</v>
      </c>
      <c r="AL214">
        <f t="shared" si="42"/>
        <v>-142.059</v>
      </c>
      <c r="AM214">
        <f t="shared" si="43"/>
        <v>-131.728043343</v>
      </c>
      <c r="AP214" s="9"/>
      <c r="AQ214" s="22">
        <v>0.73272700000000002</v>
      </c>
      <c r="AR214" s="22">
        <v>248.655</v>
      </c>
      <c r="AS214" s="22">
        <v>-1.7160000000000002E-2</v>
      </c>
      <c r="AT214" s="22">
        <v>204</v>
      </c>
      <c r="AU214" s="22">
        <v>0.73196399999999995</v>
      </c>
      <c r="AV214">
        <f t="shared" si="44"/>
        <v>17.16</v>
      </c>
      <c r="AW214">
        <f t="shared" si="45"/>
        <v>12.573595320000001</v>
      </c>
      <c r="AX214" s="9"/>
      <c r="AY214" s="22">
        <v>0.92727700000000002</v>
      </c>
      <c r="AZ214" s="22">
        <v>298.02199999999999</v>
      </c>
      <c r="BA214" s="22">
        <v>-1.6507000000000001E-2</v>
      </c>
      <c r="BB214" s="22">
        <v>204</v>
      </c>
      <c r="BC214" s="22">
        <v>0.92559800000000003</v>
      </c>
      <c r="BD214">
        <f t="shared" si="46"/>
        <v>16.507000000000001</v>
      </c>
      <c r="BE214">
        <f t="shared" si="47"/>
        <v>15.306561439000001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0.72769200000000001</v>
      </c>
      <c r="H215" s="22">
        <v>51.370699999999999</v>
      </c>
      <c r="I215" s="22">
        <v>-1.7215000000000001E-2</v>
      </c>
      <c r="J215" s="22">
        <v>205</v>
      </c>
      <c r="K215" s="22">
        <v>0.72677599999999998</v>
      </c>
      <c r="L215">
        <f t="shared" si="36"/>
        <v>17.215</v>
      </c>
      <c r="M215">
        <f t="shared" si="37"/>
        <v>12.527217780000001</v>
      </c>
      <c r="N215" s="9"/>
      <c r="O215" s="22">
        <v>0.93231200000000003</v>
      </c>
      <c r="P215" s="22">
        <v>100.614</v>
      </c>
      <c r="Q215" s="22">
        <v>0.142731</v>
      </c>
      <c r="R215" s="22">
        <v>205</v>
      </c>
      <c r="S215" s="22">
        <v>0.27404800000000001</v>
      </c>
      <c r="T215">
        <f t="shared" si="38"/>
        <v>-142.73099999999999</v>
      </c>
      <c r="U215">
        <f t="shared" si="39"/>
        <v>-133.06982407199999</v>
      </c>
      <c r="X215" s="9"/>
      <c r="Y215" s="22">
        <v>0.72769200000000001</v>
      </c>
      <c r="Z215" s="22">
        <v>150.017</v>
      </c>
      <c r="AA215" s="22">
        <v>-1.7172199999999999E-2</v>
      </c>
      <c r="AB215" s="22">
        <v>205</v>
      </c>
      <c r="AC215" s="22">
        <v>0.72699000000000003</v>
      </c>
      <c r="AD215">
        <f t="shared" si="40"/>
        <v>17.1722</v>
      </c>
      <c r="AE215">
        <f t="shared" si="41"/>
        <v>12.4960725624</v>
      </c>
      <c r="AF215" s="9"/>
      <c r="AG215" s="22">
        <v>0.93231200000000003</v>
      </c>
      <c r="AH215" s="22">
        <v>199.38300000000001</v>
      </c>
      <c r="AI215" s="22">
        <v>0.141815</v>
      </c>
      <c r="AJ215" s="22">
        <v>205</v>
      </c>
      <c r="AK215" s="22">
        <v>0.27523799999999998</v>
      </c>
      <c r="AL215">
        <f t="shared" si="42"/>
        <v>-141.815</v>
      </c>
      <c r="AM215">
        <f t="shared" si="43"/>
        <v>-132.21582628000002</v>
      </c>
      <c r="AP215" s="9"/>
      <c r="AQ215" s="22">
        <v>0.72769200000000001</v>
      </c>
      <c r="AR215" s="22">
        <v>248.66499999999999</v>
      </c>
      <c r="AS215" s="22">
        <v>-1.7163100000000001E-2</v>
      </c>
      <c r="AT215" s="22">
        <v>205</v>
      </c>
      <c r="AU215" s="22">
        <v>0.72686799999999996</v>
      </c>
      <c r="AV215">
        <f t="shared" si="44"/>
        <v>17.1631</v>
      </c>
      <c r="AW215">
        <f t="shared" si="45"/>
        <v>12.4894505652</v>
      </c>
      <c r="AX215" s="9"/>
      <c r="AY215" s="22">
        <v>0.93231200000000003</v>
      </c>
      <c r="AZ215" s="22">
        <v>298.03199999999998</v>
      </c>
      <c r="BA215" s="22">
        <v>-1.64948E-2</v>
      </c>
      <c r="BB215" s="22">
        <v>205</v>
      </c>
      <c r="BC215" s="22">
        <v>0.93261700000000003</v>
      </c>
      <c r="BD215">
        <f t="shared" si="46"/>
        <v>16.494800000000001</v>
      </c>
      <c r="BE215">
        <f t="shared" si="47"/>
        <v>15.378299977600001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0.72265599999999997</v>
      </c>
      <c r="H216" s="22">
        <v>51.380800000000001</v>
      </c>
      <c r="I216" s="22">
        <v>-1.7218000000000001E-2</v>
      </c>
      <c r="J216" s="22">
        <v>206</v>
      </c>
      <c r="K216" s="22">
        <v>0.72201499999999996</v>
      </c>
      <c r="L216">
        <f t="shared" si="36"/>
        <v>17.218</v>
      </c>
      <c r="M216">
        <f t="shared" si="37"/>
        <v>12.442691007999999</v>
      </c>
      <c r="N216" s="9"/>
      <c r="O216" s="22">
        <v>0.93734700000000004</v>
      </c>
      <c r="P216" s="22">
        <v>100.624</v>
      </c>
      <c r="Q216" s="22">
        <v>0.14254800000000001</v>
      </c>
      <c r="R216" s="22">
        <v>206</v>
      </c>
      <c r="S216" s="22">
        <v>0.275482</v>
      </c>
      <c r="T216">
        <f t="shared" si="38"/>
        <v>-142.548</v>
      </c>
      <c r="U216">
        <f t="shared" si="39"/>
        <v>-133.616940156</v>
      </c>
      <c r="X216" s="9"/>
      <c r="Y216" s="22">
        <v>0.72265599999999997</v>
      </c>
      <c r="Z216" s="22">
        <v>150.02699999999999</v>
      </c>
      <c r="AA216" s="22">
        <v>-1.7181399999999999E-2</v>
      </c>
      <c r="AB216" s="22">
        <v>206</v>
      </c>
      <c r="AC216" s="22">
        <v>0.72186300000000003</v>
      </c>
      <c r="AD216">
        <f t="shared" si="40"/>
        <v>17.1814</v>
      </c>
      <c r="AE216">
        <f t="shared" si="41"/>
        <v>12.4162417984</v>
      </c>
      <c r="AF216" s="9"/>
      <c r="AG216" s="22">
        <v>0.93734700000000004</v>
      </c>
      <c r="AH216" s="22">
        <v>199.393</v>
      </c>
      <c r="AI216" s="22">
        <v>0.14160200000000001</v>
      </c>
      <c r="AJ216" s="22">
        <v>206</v>
      </c>
      <c r="AK216" s="22">
        <v>0.27395599999999998</v>
      </c>
      <c r="AL216">
        <f t="shared" si="42"/>
        <v>-141.602</v>
      </c>
      <c r="AM216">
        <f t="shared" si="43"/>
        <v>-132.73020989400001</v>
      </c>
      <c r="AP216" s="9"/>
      <c r="AQ216" s="22">
        <v>0.72265599999999997</v>
      </c>
      <c r="AR216" s="22">
        <v>248.67500000000001</v>
      </c>
      <c r="AS216" s="22">
        <v>-1.7163100000000001E-2</v>
      </c>
      <c r="AT216" s="22">
        <v>206</v>
      </c>
      <c r="AU216" s="22">
        <v>0.72207600000000005</v>
      </c>
      <c r="AV216">
        <f t="shared" si="44"/>
        <v>17.1631</v>
      </c>
      <c r="AW216">
        <f t="shared" si="45"/>
        <v>12.4030171936</v>
      </c>
      <c r="AX216" s="9"/>
      <c r="AY216" s="22">
        <v>0.93734700000000004</v>
      </c>
      <c r="AZ216" s="22">
        <v>298.04199999999997</v>
      </c>
      <c r="BA216" s="22">
        <v>-1.6445899999999999E-2</v>
      </c>
      <c r="BB216" s="22">
        <v>206</v>
      </c>
      <c r="BC216" s="22">
        <v>0.93383799999999995</v>
      </c>
      <c r="BD216">
        <f t="shared" si="46"/>
        <v>16.445899999999998</v>
      </c>
      <c r="BE216">
        <f t="shared" si="47"/>
        <v>15.4155150273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0.71762099999999995</v>
      </c>
      <c r="H217" s="22">
        <v>51.390799999999999</v>
      </c>
      <c r="I217" s="22">
        <v>-1.7224099999999999E-2</v>
      </c>
      <c r="J217" s="22">
        <v>207</v>
      </c>
      <c r="K217" s="22">
        <v>0.71658299999999997</v>
      </c>
      <c r="L217">
        <f t="shared" si="36"/>
        <v>17.2241</v>
      </c>
      <c r="M217">
        <f t="shared" si="37"/>
        <v>12.3603758661</v>
      </c>
      <c r="N217" s="9"/>
      <c r="O217" s="22">
        <v>0.94238299999999997</v>
      </c>
      <c r="P217" s="22">
        <v>100.634</v>
      </c>
      <c r="Q217" s="22">
        <v>0.14236499999999999</v>
      </c>
      <c r="R217" s="22">
        <v>207</v>
      </c>
      <c r="S217" s="22">
        <v>0.27542100000000003</v>
      </c>
      <c r="T217">
        <f t="shared" si="38"/>
        <v>-142.36499999999998</v>
      </c>
      <c r="U217">
        <f t="shared" si="39"/>
        <v>-134.16235579499997</v>
      </c>
      <c r="X217" s="9"/>
      <c r="Y217" s="22">
        <v>0.71762099999999995</v>
      </c>
      <c r="Z217" s="22">
        <v>150.03700000000001</v>
      </c>
      <c r="AA217" s="22">
        <v>-1.7187500000000001E-2</v>
      </c>
      <c r="AB217" s="22">
        <v>207</v>
      </c>
      <c r="AC217" s="22">
        <v>0.71649200000000002</v>
      </c>
      <c r="AD217">
        <f t="shared" si="40"/>
        <v>17.1875</v>
      </c>
      <c r="AE217">
        <f t="shared" si="41"/>
        <v>12.334110937499998</v>
      </c>
      <c r="AF217" s="9"/>
      <c r="AG217" s="22">
        <v>0.94238299999999997</v>
      </c>
      <c r="AH217" s="22">
        <v>199.40299999999999</v>
      </c>
      <c r="AI217" s="22">
        <v>0.14141799999999999</v>
      </c>
      <c r="AJ217" s="22">
        <v>207</v>
      </c>
      <c r="AK217" s="22">
        <v>0.27407799999999999</v>
      </c>
      <c r="AL217">
        <f t="shared" si="42"/>
        <v>-141.41799999999998</v>
      </c>
      <c r="AM217">
        <f t="shared" si="43"/>
        <v>-133.26991909399999</v>
      </c>
      <c r="AP217" s="9"/>
      <c r="AQ217" s="22">
        <v>0.71762099999999995</v>
      </c>
      <c r="AR217" s="22">
        <v>248.68600000000001</v>
      </c>
      <c r="AS217" s="22">
        <v>-1.7163100000000001E-2</v>
      </c>
      <c r="AT217" s="22">
        <v>207</v>
      </c>
      <c r="AU217" s="22">
        <v>0.71710200000000002</v>
      </c>
      <c r="AV217">
        <f t="shared" si="44"/>
        <v>17.1631</v>
      </c>
      <c r="AW217">
        <f t="shared" si="45"/>
        <v>12.316600985099999</v>
      </c>
      <c r="AX217" s="9"/>
      <c r="AY217" s="22">
        <v>0.94238299999999997</v>
      </c>
      <c r="AZ217" s="22">
        <v>298.05200000000002</v>
      </c>
      <c r="BA217" s="22">
        <v>-1.6412400000000001E-2</v>
      </c>
      <c r="BB217" s="22">
        <v>207</v>
      </c>
      <c r="BC217" s="22">
        <v>0.94055200000000005</v>
      </c>
      <c r="BD217">
        <f t="shared" si="46"/>
        <v>16.412400000000002</v>
      </c>
      <c r="BE217">
        <f t="shared" si="47"/>
        <v>15.466766749200001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0.71258500000000002</v>
      </c>
      <c r="H218" s="22">
        <v>51.4009</v>
      </c>
      <c r="I218" s="22">
        <v>-1.7227200000000002E-2</v>
      </c>
      <c r="J218" s="22">
        <v>208</v>
      </c>
      <c r="K218" s="22">
        <v>0.71200600000000003</v>
      </c>
      <c r="L218">
        <f t="shared" si="36"/>
        <v>17.2272</v>
      </c>
      <c r="M218">
        <f t="shared" si="37"/>
        <v>12.275844312</v>
      </c>
      <c r="N218" s="9"/>
      <c r="O218" s="22">
        <v>0.94741799999999998</v>
      </c>
      <c r="P218" s="22">
        <v>100.64400000000001</v>
      </c>
      <c r="Q218" s="22">
        <v>0.142181</v>
      </c>
      <c r="R218" s="22">
        <v>208</v>
      </c>
      <c r="S218" s="22">
        <v>0.27587899999999999</v>
      </c>
      <c r="T218">
        <f t="shared" si="38"/>
        <v>-142.18100000000001</v>
      </c>
      <c r="U218">
        <f t="shared" si="39"/>
        <v>-134.704838658</v>
      </c>
      <c r="X218" s="9"/>
      <c r="Y218" s="22">
        <v>0.71258500000000002</v>
      </c>
      <c r="Z218" s="22">
        <v>150.047</v>
      </c>
      <c r="AA218" s="22">
        <v>-1.7184399999999999E-2</v>
      </c>
      <c r="AB218" s="22">
        <v>208</v>
      </c>
      <c r="AC218" s="22">
        <v>0.71179199999999998</v>
      </c>
      <c r="AD218">
        <f t="shared" si="40"/>
        <v>17.1844</v>
      </c>
      <c r="AE218">
        <f t="shared" si="41"/>
        <v>12.245345674000001</v>
      </c>
      <c r="AF218" s="9"/>
      <c r="AG218" s="22">
        <v>0.94741799999999998</v>
      </c>
      <c r="AH218" s="22">
        <v>199.41300000000001</v>
      </c>
      <c r="AI218" s="22">
        <v>0.141296</v>
      </c>
      <c r="AJ218" s="22">
        <v>208</v>
      </c>
      <c r="AK218" s="22">
        <v>0.27410899999999999</v>
      </c>
      <c r="AL218">
        <f t="shared" si="42"/>
        <v>-141.29599999999999</v>
      </c>
      <c r="AM218">
        <f t="shared" si="43"/>
        <v>-133.86637372799999</v>
      </c>
      <c r="AP218" s="9"/>
      <c r="AQ218" s="22">
        <v>0.71258500000000002</v>
      </c>
      <c r="AR218" s="22">
        <v>248.696</v>
      </c>
      <c r="AS218" s="22">
        <v>-1.7169199999999999E-2</v>
      </c>
      <c r="AT218" s="22">
        <v>208</v>
      </c>
      <c r="AU218" s="22">
        <v>0.712036</v>
      </c>
      <c r="AV218">
        <f t="shared" si="44"/>
        <v>17.1692</v>
      </c>
      <c r="AW218">
        <f t="shared" si="45"/>
        <v>12.234514382</v>
      </c>
      <c r="AX218" s="9"/>
      <c r="AY218" s="22">
        <v>0.94741799999999998</v>
      </c>
      <c r="AZ218" s="22">
        <v>298.06200000000001</v>
      </c>
      <c r="BA218" s="22">
        <v>-1.64032E-2</v>
      </c>
      <c r="BB218" s="22">
        <v>208</v>
      </c>
      <c r="BC218" s="22">
        <v>0.94635000000000002</v>
      </c>
      <c r="BD218">
        <f t="shared" si="46"/>
        <v>16.403199999999998</v>
      </c>
      <c r="BE218">
        <f t="shared" si="47"/>
        <v>15.540686937599999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0.70755000000000001</v>
      </c>
      <c r="H219" s="22">
        <v>51.411000000000001</v>
      </c>
      <c r="I219" s="22">
        <v>-1.72333E-2</v>
      </c>
      <c r="J219" s="22">
        <v>209</v>
      </c>
      <c r="K219" s="22">
        <v>0.70733599999999996</v>
      </c>
      <c r="L219">
        <f t="shared" si="36"/>
        <v>17.2333</v>
      </c>
      <c r="M219">
        <f t="shared" si="37"/>
        <v>12.193421415</v>
      </c>
      <c r="N219" s="9"/>
      <c r="O219" s="22">
        <v>0.95245400000000002</v>
      </c>
      <c r="P219" s="22">
        <v>100.654</v>
      </c>
      <c r="Q219" s="22">
        <v>0.14172399999999999</v>
      </c>
      <c r="R219" s="22">
        <v>209</v>
      </c>
      <c r="S219" s="22">
        <v>0.27594000000000002</v>
      </c>
      <c r="T219">
        <f t="shared" si="38"/>
        <v>-141.72399999999999</v>
      </c>
      <c r="U219">
        <f t="shared" si="39"/>
        <v>-134.985590696</v>
      </c>
      <c r="X219" s="9"/>
      <c r="Y219" s="22">
        <v>0.70755000000000001</v>
      </c>
      <c r="Z219" s="22">
        <v>150.05699999999999</v>
      </c>
      <c r="AA219" s="22">
        <v>-1.7184399999999999E-2</v>
      </c>
      <c r="AB219" s="22">
        <v>209</v>
      </c>
      <c r="AC219" s="22">
        <v>0.70681799999999995</v>
      </c>
      <c r="AD219">
        <f t="shared" si="40"/>
        <v>17.1844</v>
      </c>
      <c r="AE219">
        <f t="shared" si="41"/>
        <v>12.158822220000001</v>
      </c>
      <c r="AF219" s="9"/>
      <c r="AG219" s="22">
        <v>0.95245400000000002</v>
      </c>
      <c r="AH219" s="22">
        <v>199.423</v>
      </c>
      <c r="AI219" s="22">
        <v>0.14117399999999999</v>
      </c>
      <c r="AJ219" s="22">
        <v>209</v>
      </c>
      <c r="AK219" s="22">
        <v>0.27444499999999999</v>
      </c>
      <c r="AL219">
        <f t="shared" si="42"/>
        <v>-141.17400000000001</v>
      </c>
      <c r="AM219">
        <f t="shared" si="43"/>
        <v>-134.461740996</v>
      </c>
      <c r="AP219" s="9"/>
      <c r="AQ219" s="22">
        <v>0.70755000000000001</v>
      </c>
      <c r="AR219" s="22">
        <v>248.70599999999999</v>
      </c>
      <c r="AS219" s="22">
        <v>-1.71661E-2</v>
      </c>
      <c r="AT219" s="22">
        <v>209</v>
      </c>
      <c r="AU219" s="22">
        <v>0.70687900000000004</v>
      </c>
      <c r="AV219">
        <f t="shared" si="44"/>
        <v>17.1661</v>
      </c>
      <c r="AW219">
        <f t="shared" si="45"/>
        <v>12.145874055</v>
      </c>
      <c r="AX219" s="9"/>
      <c r="AY219" s="22">
        <v>0.95245400000000002</v>
      </c>
      <c r="AZ219" s="22">
        <v>298.072</v>
      </c>
      <c r="BA219" s="22">
        <v>-1.63483E-2</v>
      </c>
      <c r="BB219" s="22">
        <v>209</v>
      </c>
      <c r="BC219" s="22">
        <v>0.94940199999999997</v>
      </c>
      <c r="BD219">
        <f t="shared" si="46"/>
        <v>16.348299999999998</v>
      </c>
      <c r="BE219">
        <f t="shared" si="47"/>
        <v>15.571003728199999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0.702515</v>
      </c>
      <c r="H220" s="22">
        <v>51.421100000000003</v>
      </c>
      <c r="I220" s="22">
        <v>-1.72333E-2</v>
      </c>
      <c r="J220" s="22">
        <v>210</v>
      </c>
      <c r="K220" s="22">
        <v>0.70150800000000002</v>
      </c>
      <c r="L220">
        <f t="shared" si="36"/>
        <v>17.2333</v>
      </c>
      <c r="M220">
        <f t="shared" si="37"/>
        <v>12.106651749499999</v>
      </c>
      <c r="N220" s="9"/>
      <c r="O220" s="22">
        <v>0.95748900000000003</v>
      </c>
      <c r="P220" s="22">
        <v>100.664</v>
      </c>
      <c r="Q220" s="22">
        <v>0.14105200000000001</v>
      </c>
      <c r="R220" s="22">
        <v>210</v>
      </c>
      <c r="S220" s="22">
        <v>0.27612300000000001</v>
      </c>
      <c r="T220">
        <f t="shared" si="38"/>
        <v>-141.05200000000002</v>
      </c>
      <c r="U220">
        <f t="shared" si="39"/>
        <v>-135.05573842800001</v>
      </c>
      <c r="X220" s="9"/>
      <c r="Y220" s="22">
        <v>0.702515</v>
      </c>
      <c r="Z220" s="22">
        <v>150.06700000000001</v>
      </c>
      <c r="AA220" s="22">
        <v>-1.7187500000000001E-2</v>
      </c>
      <c r="AB220" s="22">
        <v>210</v>
      </c>
      <c r="AC220" s="22">
        <v>0.70162999999999998</v>
      </c>
      <c r="AD220">
        <f t="shared" si="40"/>
        <v>17.1875</v>
      </c>
      <c r="AE220">
        <f t="shared" si="41"/>
        <v>12.074476562499999</v>
      </c>
      <c r="AF220" s="9"/>
      <c r="AG220" s="22">
        <v>0.95748900000000003</v>
      </c>
      <c r="AH220" s="22">
        <v>199.43299999999999</v>
      </c>
      <c r="AI220" s="22">
        <v>0.14105200000000001</v>
      </c>
      <c r="AJ220" s="22">
        <v>210</v>
      </c>
      <c r="AK220" s="22">
        <v>0.27450600000000003</v>
      </c>
      <c r="AL220">
        <f t="shared" si="42"/>
        <v>-141.05200000000002</v>
      </c>
      <c r="AM220">
        <f t="shared" si="43"/>
        <v>-135.05573842800001</v>
      </c>
      <c r="AP220" s="9"/>
      <c r="AQ220" s="22">
        <v>0.702515</v>
      </c>
      <c r="AR220" s="22">
        <v>248.71600000000001</v>
      </c>
      <c r="AS220" s="22">
        <v>-1.7169199999999999E-2</v>
      </c>
      <c r="AT220" s="22">
        <v>210</v>
      </c>
      <c r="AU220" s="22">
        <v>0.70181300000000002</v>
      </c>
      <c r="AV220">
        <f t="shared" si="44"/>
        <v>17.1692</v>
      </c>
      <c r="AW220">
        <f t="shared" si="45"/>
        <v>12.061620538</v>
      </c>
      <c r="AX220" s="9"/>
      <c r="AY220" s="22">
        <v>0.95748900000000003</v>
      </c>
      <c r="AZ220" s="22">
        <v>298.08199999999999</v>
      </c>
      <c r="BA220" s="22">
        <v>-1.6345200000000001E-2</v>
      </c>
      <c r="BB220" s="22">
        <v>210</v>
      </c>
      <c r="BC220" s="22">
        <v>0.95703099999999997</v>
      </c>
      <c r="BD220">
        <f t="shared" si="46"/>
        <v>16.345200000000002</v>
      </c>
      <c r="BE220">
        <f t="shared" si="47"/>
        <v>15.650349202800003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0.69747899999999996</v>
      </c>
      <c r="H221" s="22">
        <v>51.431100000000001</v>
      </c>
      <c r="I221" s="22">
        <v>-1.7230200000000001E-2</v>
      </c>
      <c r="J221" s="22">
        <v>211</v>
      </c>
      <c r="K221" s="22">
        <v>0.69680799999999998</v>
      </c>
      <c r="L221">
        <f t="shared" si="36"/>
        <v>17.2302</v>
      </c>
      <c r="M221">
        <f t="shared" si="37"/>
        <v>12.0177026658</v>
      </c>
      <c r="N221" s="9"/>
      <c r="O221" s="22">
        <v>0.96252400000000005</v>
      </c>
      <c r="P221" s="22">
        <v>100.675</v>
      </c>
      <c r="Q221" s="22">
        <v>0.14166300000000001</v>
      </c>
      <c r="R221" s="22">
        <v>211</v>
      </c>
      <c r="S221" s="22">
        <v>0.27624500000000002</v>
      </c>
      <c r="T221">
        <f t="shared" si="38"/>
        <v>-141.66300000000001</v>
      </c>
      <c r="U221">
        <f t="shared" si="39"/>
        <v>-136.35403741200003</v>
      </c>
      <c r="X221" s="9"/>
      <c r="Y221" s="22">
        <v>0.69747899999999996</v>
      </c>
      <c r="Z221" s="22">
        <v>150.077</v>
      </c>
      <c r="AA221" s="22">
        <v>-1.71906E-2</v>
      </c>
      <c r="AB221" s="22">
        <v>211</v>
      </c>
      <c r="AC221" s="22">
        <v>0.69665500000000002</v>
      </c>
      <c r="AD221">
        <f t="shared" si="40"/>
        <v>17.1906</v>
      </c>
      <c r="AE221">
        <f t="shared" si="41"/>
        <v>11.9900824974</v>
      </c>
      <c r="AF221" s="9"/>
      <c r="AG221" s="22">
        <v>0.96252400000000005</v>
      </c>
      <c r="AH221" s="22">
        <v>199.44300000000001</v>
      </c>
      <c r="AI221" s="22">
        <v>0.1409</v>
      </c>
      <c r="AJ221" s="22">
        <v>211</v>
      </c>
      <c r="AK221" s="22">
        <v>0.27456700000000001</v>
      </c>
      <c r="AL221">
        <f t="shared" si="42"/>
        <v>-140.9</v>
      </c>
      <c r="AM221">
        <f t="shared" si="43"/>
        <v>-135.61963160000002</v>
      </c>
      <c r="AP221" s="9"/>
      <c r="AQ221" s="22">
        <v>0.69747899999999996</v>
      </c>
      <c r="AR221" s="22">
        <v>248.726</v>
      </c>
      <c r="AS221" s="22">
        <v>-1.7175300000000001E-2</v>
      </c>
      <c r="AT221" s="22">
        <v>211</v>
      </c>
      <c r="AU221" s="22">
        <v>0.69696000000000002</v>
      </c>
      <c r="AV221">
        <f t="shared" si="44"/>
        <v>17.1753</v>
      </c>
      <c r="AW221">
        <f t="shared" si="45"/>
        <v>11.979411068699999</v>
      </c>
      <c r="AX221" s="9"/>
      <c r="AY221" s="22">
        <v>0.96252400000000005</v>
      </c>
      <c r="AZ221" s="22">
        <v>298.09199999999998</v>
      </c>
      <c r="BA221" s="22">
        <v>-1.6262800000000001E-2</v>
      </c>
      <c r="BB221" s="22">
        <v>211</v>
      </c>
      <c r="BC221" s="22">
        <v>0.96221900000000005</v>
      </c>
      <c r="BD221">
        <f t="shared" si="46"/>
        <v>16.262800000000002</v>
      </c>
      <c r="BE221">
        <f t="shared" si="47"/>
        <v>15.653335307200003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0.69244399999999995</v>
      </c>
      <c r="H222" s="22">
        <v>51.441200000000002</v>
      </c>
      <c r="I222" s="22">
        <v>-1.72363E-2</v>
      </c>
      <c r="J222" s="22">
        <v>212</v>
      </c>
      <c r="K222" s="22">
        <v>0.69183300000000003</v>
      </c>
      <c r="L222">
        <f t="shared" si="36"/>
        <v>17.2363</v>
      </c>
      <c r="M222">
        <f t="shared" si="37"/>
        <v>11.9351725172</v>
      </c>
      <c r="N222" s="9"/>
      <c r="O222" s="22">
        <v>0.96755999999999998</v>
      </c>
      <c r="P222" s="22">
        <v>100.685</v>
      </c>
      <c r="Q222" s="22">
        <v>0.141571</v>
      </c>
      <c r="R222" s="22">
        <v>212</v>
      </c>
      <c r="S222" s="22">
        <v>0.27554299999999998</v>
      </c>
      <c r="T222">
        <f t="shared" si="38"/>
        <v>-141.571</v>
      </c>
      <c r="U222">
        <f t="shared" si="39"/>
        <v>-136.97843675999999</v>
      </c>
      <c r="X222" s="9"/>
      <c r="Y222" s="22">
        <v>0.69244399999999995</v>
      </c>
      <c r="Z222" s="22">
        <v>150.08699999999999</v>
      </c>
      <c r="AA222" s="22">
        <v>-1.71906E-2</v>
      </c>
      <c r="AB222" s="22">
        <v>212</v>
      </c>
      <c r="AC222" s="22">
        <v>0.69229099999999999</v>
      </c>
      <c r="AD222">
        <f t="shared" si="40"/>
        <v>17.1906</v>
      </c>
      <c r="AE222">
        <f t="shared" si="41"/>
        <v>11.9035278264</v>
      </c>
      <c r="AF222" s="9"/>
      <c r="AG222" s="22">
        <v>0.96755999999999998</v>
      </c>
      <c r="AH222" s="22">
        <v>199.453</v>
      </c>
      <c r="AI222" s="22">
        <v>0.14077799999999999</v>
      </c>
      <c r="AJ222" s="22">
        <v>212</v>
      </c>
      <c r="AK222" s="22">
        <v>0.27496300000000001</v>
      </c>
      <c r="AL222">
        <f t="shared" si="42"/>
        <v>-140.77799999999999</v>
      </c>
      <c r="AM222">
        <f t="shared" si="43"/>
        <v>-136.21116167999998</v>
      </c>
      <c r="AP222" s="9"/>
      <c r="AQ222" s="22">
        <v>0.69244399999999995</v>
      </c>
      <c r="AR222" s="22">
        <v>248.73599999999999</v>
      </c>
      <c r="AS222" s="22">
        <v>-1.7178300000000001E-2</v>
      </c>
      <c r="AT222" s="22">
        <v>212</v>
      </c>
      <c r="AU222" s="22">
        <v>0.69171099999999996</v>
      </c>
      <c r="AV222">
        <f t="shared" si="44"/>
        <v>17.1783</v>
      </c>
      <c r="AW222">
        <f t="shared" si="45"/>
        <v>11.895010765199999</v>
      </c>
      <c r="AX222" s="9"/>
      <c r="AY222" s="22">
        <v>0.96755999999999998</v>
      </c>
      <c r="AZ222" s="22">
        <v>298.10199999999998</v>
      </c>
      <c r="BA222" s="22">
        <v>-1.6262800000000001E-2</v>
      </c>
      <c r="BB222" s="22">
        <v>212</v>
      </c>
      <c r="BC222" s="22">
        <v>0.96099900000000005</v>
      </c>
      <c r="BD222">
        <f t="shared" si="46"/>
        <v>16.262800000000002</v>
      </c>
      <c r="BE222">
        <f t="shared" si="47"/>
        <v>15.735234768000002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0.68740800000000002</v>
      </c>
      <c r="H223" s="22">
        <v>51.451300000000003</v>
      </c>
      <c r="I223" s="22">
        <v>-1.7239399999999998E-2</v>
      </c>
      <c r="J223" s="22">
        <v>213</v>
      </c>
      <c r="K223" s="22">
        <v>0.68670699999999996</v>
      </c>
      <c r="L223">
        <f t="shared" si="36"/>
        <v>17.2394</v>
      </c>
      <c r="M223">
        <f t="shared" si="37"/>
        <v>11.8505014752</v>
      </c>
      <c r="N223" s="9"/>
      <c r="O223" s="22">
        <v>0.97259499999999999</v>
      </c>
      <c r="P223" s="22">
        <v>100.69499999999999</v>
      </c>
      <c r="Q223" s="22">
        <v>0.14135700000000001</v>
      </c>
      <c r="R223" s="22">
        <v>213</v>
      </c>
      <c r="S223" s="22">
        <v>0.27450600000000003</v>
      </c>
      <c r="T223">
        <f t="shared" si="38"/>
        <v>-141.357</v>
      </c>
      <c r="U223">
        <f t="shared" si="39"/>
        <v>-137.483111415</v>
      </c>
      <c r="X223" s="9"/>
      <c r="Y223" s="22">
        <v>0.68740800000000002</v>
      </c>
      <c r="Z223" s="22">
        <v>150.09700000000001</v>
      </c>
      <c r="AA223" s="22">
        <v>-1.71936E-2</v>
      </c>
      <c r="AB223" s="22">
        <v>213</v>
      </c>
      <c r="AC223" s="22">
        <v>0.686554</v>
      </c>
      <c r="AD223">
        <f t="shared" si="40"/>
        <v>17.1936</v>
      </c>
      <c r="AE223">
        <f t="shared" si="41"/>
        <v>11.819018188799999</v>
      </c>
      <c r="AF223" s="9"/>
      <c r="AG223" s="22">
        <v>0.97259499999999999</v>
      </c>
      <c r="AH223" s="22">
        <v>199.464</v>
      </c>
      <c r="AI223" s="22">
        <v>0.14056399999999999</v>
      </c>
      <c r="AJ223" s="22">
        <v>213</v>
      </c>
      <c r="AK223" s="22">
        <v>0.27465800000000001</v>
      </c>
      <c r="AL223">
        <f t="shared" si="42"/>
        <v>-140.56399999999999</v>
      </c>
      <c r="AM223">
        <f t="shared" si="43"/>
        <v>-136.71184357999999</v>
      </c>
      <c r="AP223" s="9"/>
      <c r="AQ223" s="22">
        <v>0.68740800000000002</v>
      </c>
      <c r="AR223" s="22">
        <v>248.74600000000001</v>
      </c>
      <c r="AS223" s="22">
        <v>-1.7181399999999999E-2</v>
      </c>
      <c r="AT223" s="22">
        <v>213</v>
      </c>
      <c r="AU223" s="22">
        <v>0.68667599999999995</v>
      </c>
      <c r="AV223">
        <f t="shared" si="44"/>
        <v>17.1814</v>
      </c>
      <c r="AW223">
        <f t="shared" si="45"/>
        <v>11.8106318112</v>
      </c>
      <c r="AX223" s="9"/>
      <c r="AY223" s="22">
        <v>0.97259499999999999</v>
      </c>
      <c r="AZ223" s="22">
        <v>298.11200000000002</v>
      </c>
      <c r="BA223" s="22">
        <v>-1.62506E-2</v>
      </c>
      <c r="BB223" s="22">
        <v>213</v>
      </c>
      <c r="BC223" s="22">
        <v>0.96984899999999996</v>
      </c>
      <c r="BD223">
        <f t="shared" si="46"/>
        <v>16.250600000000002</v>
      </c>
      <c r="BE223">
        <f t="shared" si="47"/>
        <v>15.805252307000002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0.68237300000000001</v>
      </c>
      <c r="H224" s="22">
        <v>51.461300000000001</v>
      </c>
      <c r="I224" s="22">
        <v>-1.7242400000000001E-2</v>
      </c>
      <c r="J224" s="22">
        <v>214</v>
      </c>
      <c r="K224" s="22">
        <v>0.68154899999999996</v>
      </c>
      <c r="L224">
        <f t="shared" si="36"/>
        <v>17.2424</v>
      </c>
      <c r="M224">
        <f t="shared" si="37"/>
        <v>11.7657482152</v>
      </c>
      <c r="N224" s="9"/>
      <c r="O224" s="22">
        <v>0.97763100000000003</v>
      </c>
      <c r="P224" s="22">
        <v>100.705</v>
      </c>
      <c r="Q224" s="22">
        <v>0.141235</v>
      </c>
      <c r="R224" s="22">
        <v>214</v>
      </c>
      <c r="S224" s="22">
        <v>0.27404800000000001</v>
      </c>
      <c r="T224">
        <f t="shared" si="38"/>
        <v>-141.23500000000001</v>
      </c>
      <c r="U224">
        <f t="shared" si="39"/>
        <v>-138.075714285</v>
      </c>
      <c r="X224" s="9"/>
      <c r="Y224" s="22">
        <v>0.68237300000000001</v>
      </c>
      <c r="Z224" s="22">
        <v>150.107</v>
      </c>
      <c r="AA224" s="22">
        <v>-1.7196699999999999E-2</v>
      </c>
      <c r="AB224" s="22">
        <v>214</v>
      </c>
      <c r="AC224" s="22">
        <v>0.68151899999999999</v>
      </c>
      <c r="AD224">
        <f t="shared" si="40"/>
        <v>17.1967</v>
      </c>
      <c r="AE224">
        <f t="shared" si="41"/>
        <v>11.734563769099999</v>
      </c>
      <c r="AF224" s="9"/>
      <c r="AG224" s="22">
        <v>0.97763100000000003</v>
      </c>
      <c r="AH224" s="22">
        <v>199.47399999999999</v>
      </c>
      <c r="AI224" s="22">
        <v>0.14007600000000001</v>
      </c>
      <c r="AJ224" s="22">
        <v>214</v>
      </c>
      <c r="AK224" s="22">
        <v>0.27465800000000001</v>
      </c>
      <c r="AL224">
        <f t="shared" si="42"/>
        <v>-140.07599999999999</v>
      </c>
      <c r="AM224">
        <f t="shared" si="43"/>
        <v>-136.94263995599999</v>
      </c>
      <c r="AP224" s="9"/>
      <c r="AQ224" s="22">
        <v>0.68237300000000001</v>
      </c>
      <c r="AR224" s="22">
        <v>248.756</v>
      </c>
      <c r="AS224" s="22">
        <v>-1.7184399999999999E-2</v>
      </c>
      <c r="AT224" s="22">
        <v>214</v>
      </c>
      <c r="AU224" s="22">
        <v>0.68157999999999996</v>
      </c>
      <c r="AV224">
        <f t="shared" si="44"/>
        <v>17.1844</v>
      </c>
      <c r="AW224">
        <f t="shared" si="45"/>
        <v>11.7261705812</v>
      </c>
      <c r="AX224" s="9"/>
      <c r="AY224" s="22">
        <v>0.97763100000000003</v>
      </c>
      <c r="AZ224" s="22">
        <v>298.12200000000001</v>
      </c>
      <c r="BA224" s="22">
        <v>-1.62506E-2</v>
      </c>
      <c r="BB224" s="22">
        <v>214</v>
      </c>
      <c r="BC224" s="22">
        <v>0.97900399999999999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0.677338</v>
      </c>
      <c r="H225" s="22">
        <v>51.471400000000003</v>
      </c>
      <c r="I225" s="22">
        <v>-1.7242400000000001E-2</v>
      </c>
      <c r="J225" s="22">
        <v>215</v>
      </c>
      <c r="K225" s="22">
        <v>0.67660500000000001</v>
      </c>
      <c r="L225">
        <f t="shared" si="36"/>
        <v>17.2424</v>
      </c>
      <c r="M225">
        <f t="shared" si="37"/>
        <v>11.6789327312</v>
      </c>
      <c r="N225" s="9"/>
      <c r="O225" s="22">
        <v>0.98266600000000004</v>
      </c>
      <c r="P225" s="22">
        <v>100.715</v>
      </c>
      <c r="Q225" s="22">
        <v>0.14114399999999999</v>
      </c>
      <c r="R225" s="22">
        <v>215</v>
      </c>
      <c r="S225" s="22">
        <v>0.27462799999999998</v>
      </c>
      <c r="T225">
        <f t="shared" si="38"/>
        <v>-141.14400000000001</v>
      </c>
      <c r="U225">
        <f t="shared" si="39"/>
        <v>-138.69740990400001</v>
      </c>
      <c r="X225" s="9"/>
      <c r="Y225" s="22">
        <v>0.677338</v>
      </c>
      <c r="Z225" s="22">
        <v>150.11699999999999</v>
      </c>
      <c r="AA225" s="22">
        <v>-1.72058E-2</v>
      </c>
      <c r="AB225" s="22">
        <v>215</v>
      </c>
      <c r="AC225" s="22">
        <v>0.67666599999999999</v>
      </c>
      <c r="AD225">
        <f t="shared" si="40"/>
        <v>17.2058</v>
      </c>
      <c r="AE225">
        <f t="shared" si="41"/>
        <v>11.654142160399999</v>
      </c>
      <c r="AF225" s="9"/>
      <c r="AG225" s="22">
        <v>0.98266600000000004</v>
      </c>
      <c r="AH225" s="22">
        <v>199.48400000000001</v>
      </c>
      <c r="AI225" s="22">
        <v>0.140015</v>
      </c>
      <c r="AJ225" s="22">
        <v>215</v>
      </c>
      <c r="AK225" s="22">
        <v>0.27410899999999999</v>
      </c>
      <c r="AL225">
        <f t="shared" si="42"/>
        <v>-140.01499999999999</v>
      </c>
      <c r="AM225">
        <f t="shared" si="43"/>
        <v>-137.58797998999998</v>
      </c>
      <c r="AP225" s="9"/>
      <c r="AQ225" s="22">
        <v>0.677338</v>
      </c>
      <c r="AR225" s="22">
        <v>248.76599999999999</v>
      </c>
      <c r="AS225" s="22">
        <v>-1.7184399999999999E-2</v>
      </c>
      <c r="AT225" s="22">
        <v>215</v>
      </c>
      <c r="AU225" s="22">
        <v>0.67660500000000001</v>
      </c>
      <c r="AV225">
        <f t="shared" si="44"/>
        <v>17.1844</v>
      </c>
      <c r="AW225">
        <f t="shared" si="45"/>
        <v>11.6396471272</v>
      </c>
      <c r="AX225" s="9"/>
      <c r="AY225" s="22">
        <v>0.98266600000000004</v>
      </c>
      <c r="AZ225" s="22">
        <v>298.13299999999998</v>
      </c>
      <c r="BA225" s="22">
        <v>-1.6275000000000001E-2</v>
      </c>
      <c r="BB225" s="22">
        <v>215</v>
      </c>
      <c r="BC225" s="22">
        <v>0.98236100000000004</v>
      </c>
      <c r="BD225">
        <f t="shared" si="46"/>
        <v>16.275000000000002</v>
      </c>
      <c r="BE225">
        <f t="shared" si="47"/>
        <v>15.992889150000003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0.67230199999999996</v>
      </c>
      <c r="H226" s="22">
        <v>51.481499999999997</v>
      </c>
      <c r="I226" s="22">
        <v>-1.7242400000000001E-2</v>
      </c>
      <c r="J226" s="22">
        <v>216</v>
      </c>
      <c r="K226" s="22">
        <v>0.671539</v>
      </c>
      <c r="L226">
        <f t="shared" si="36"/>
        <v>17.2424</v>
      </c>
      <c r="M226">
        <f t="shared" si="37"/>
        <v>11.592100004799999</v>
      </c>
      <c r="N226" s="9"/>
      <c r="O226" s="22">
        <v>0.98770100000000005</v>
      </c>
      <c r="P226" s="22">
        <v>100.72499999999999</v>
      </c>
      <c r="Q226" s="22">
        <v>0.14093</v>
      </c>
      <c r="R226" s="22">
        <v>216</v>
      </c>
      <c r="S226" s="22">
        <v>0.27413900000000002</v>
      </c>
      <c r="T226">
        <f t="shared" si="38"/>
        <v>-140.93</v>
      </c>
      <c r="U226">
        <f t="shared" si="39"/>
        <v>-139.19670193000002</v>
      </c>
      <c r="X226" s="9"/>
      <c r="Y226" s="22">
        <v>0.67230199999999996</v>
      </c>
      <c r="Z226" s="22">
        <v>150.12700000000001</v>
      </c>
      <c r="AA226" s="22">
        <v>-1.7211899999999999E-2</v>
      </c>
      <c r="AB226" s="22">
        <v>216</v>
      </c>
      <c r="AC226" s="22">
        <v>0.67159999999999997</v>
      </c>
      <c r="AD226">
        <f t="shared" si="40"/>
        <v>17.2119</v>
      </c>
      <c r="AE226">
        <f t="shared" si="41"/>
        <v>11.571594793799999</v>
      </c>
      <c r="AF226" s="9"/>
      <c r="AG226" s="22">
        <v>0.98770100000000005</v>
      </c>
      <c r="AH226" s="22">
        <v>199.494</v>
      </c>
      <c r="AI226" s="22">
        <v>0.14007600000000001</v>
      </c>
      <c r="AJ226" s="22">
        <v>216</v>
      </c>
      <c r="AK226" s="22">
        <v>0.27456700000000001</v>
      </c>
      <c r="AL226">
        <f t="shared" si="42"/>
        <v>-140.07599999999999</v>
      </c>
      <c r="AM226">
        <f t="shared" si="43"/>
        <v>-138.35320527600001</v>
      </c>
      <c r="AP226" s="9"/>
      <c r="AQ226" s="22">
        <v>0.67230199999999996</v>
      </c>
      <c r="AR226" s="22">
        <v>248.77600000000001</v>
      </c>
      <c r="AS226" s="22">
        <v>-1.7184399999999999E-2</v>
      </c>
      <c r="AT226" s="22">
        <v>216</v>
      </c>
      <c r="AU226" s="22">
        <v>0.67150900000000002</v>
      </c>
      <c r="AV226">
        <f t="shared" si="44"/>
        <v>17.1844</v>
      </c>
      <c r="AW226">
        <f t="shared" si="45"/>
        <v>11.553106488799999</v>
      </c>
      <c r="AX226" s="9"/>
      <c r="AY226" s="22">
        <v>0.98770100000000005</v>
      </c>
      <c r="AZ226" s="22">
        <v>298.14299999999997</v>
      </c>
      <c r="BA226" s="22">
        <v>-1.6268899999999999E-2</v>
      </c>
      <c r="BB226" s="22">
        <v>216</v>
      </c>
      <c r="BC226" s="22">
        <v>0.99212599999999995</v>
      </c>
      <c r="BD226">
        <f t="shared" si="46"/>
        <v>16.268899999999999</v>
      </c>
      <c r="BE226">
        <f t="shared" si="47"/>
        <v>16.068808798900001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0.66726700000000005</v>
      </c>
      <c r="H227" s="22">
        <v>51.491500000000002</v>
      </c>
      <c r="I227" s="22">
        <v>-1.72455E-2</v>
      </c>
      <c r="J227" s="22">
        <v>217</v>
      </c>
      <c r="K227" s="22">
        <v>0.66650399999999999</v>
      </c>
      <c r="L227">
        <f t="shared" si="36"/>
        <v>17.2455</v>
      </c>
      <c r="M227">
        <f t="shared" si="37"/>
        <v>11.507353048500001</v>
      </c>
      <c r="N227" s="9"/>
      <c r="O227" s="22">
        <v>0.99273699999999998</v>
      </c>
      <c r="P227" s="22">
        <v>100.735</v>
      </c>
      <c r="Q227" s="22">
        <v>0.14071700000000001</v>
      </c>
      <c r="R227" s="22">
        <v>217</v>
      </c>
      <c r="S227" s="22">
        <v>0.27456700000000001</v>
      </c>
      <c r="T227">
        <f t="shared" si="38"/>
        <v>-140.71700000000001</v>
      </c>
      <c r="U227">
        <f t="shared" si="39"/>
        <v>-139.69497242900002</v>
      </c>
      <c r="X227" s="9"/>
      <c r="Y227" s="22">
        <v>0.66726700000000005</v>
      </c>
      <c r="Z227" s="22">
        <v>150.137</v>
      </c>
      <c r="AA227" s="22">
        <v>-1.7208899999999999E-2</v>
      </c>
      <c r="AB227" s="22">
        <v>217</v>
      </c>
      <c r="AC227" s="22">
        <v>0.66644300000000001</v>
      </c>
      <c r="AD227">
        <f t="shared" si="40"/>
        <v>17.2089</v>
      </c>
      <c r="AE227">
        <f t="shared" si="41"/>
        <v>11.482931076300002</v>
      </c>
      <c r="AF227" s="9"/>
      <c r="AG227" s="22">
        <v>0.99273699999999998</v>
      </c>
      <c r="AH227" s="22">
        <v>199.50399999999999</v>
      </c>
      <c r="AI227" s="22">
        <v>0.139954</v>
      </c>
      <c r="AJ227" s="22">
        <v>217</v>
      </c>
      <c r="AK227" s="22">
        <v>0.27426099999999998</v>
      </c>
      <c r="AL227">
        <f t="shared" si="42"/>
        <v>-139.95400000000001</v>
      </c>
      <c r="AM227">
        <f t="shared" si="43"/>
        <v>-138.93751409800001</v>
      </c>
      <c r="AP227" s="9"/>
      <c r="AQ227" s="22">
        <v>0.66726700000000005</v>
      </c>
      <c r="AR227" s="22">
        <v>248.786</v>
      </c>
      <c r="AS227" s="22">
        <v>-1.7184399999999999E-2</v>
      </c>
      <c r="AT227" s="22">
        <v>217</v>
      </c>
      <c r="AU227" s="22">
        <v>0.66635100000000003</v>
      </c>
      <c r="AV227">
        <f t="shared" si="44"/>
        <v>17.1844</v>
      </c>
      <c r="AW227">
        <f t="shared" si="45"/>
        <v>11.466583034800001</v>
      </c>
      <c r="AX227" s="9"/>
      <c r="AY227" s="22">
        <v>0.99273699999999998</v>
      </c>
      <c r="AZ227" s="22">
        <v>298.15300000000002</v>
      </c>
      <c r="BA227" s="22">
        <v>-1.61011E-2</v>
      </c>
      <c r="BB227" s="22">
        <v>217</v>
      </c>
      <c r="BC227" s="22">
        <v>0.98999000000000004</v>
      </c>
      <c r="BD227">
        <f t="shared" si="46"/>
        <v>16.101099999999999</v>
      </c>
      <c r="BE227">
        <f t="shared" si="47"/>
        <v>15.984157710699998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0.66223100000000001</v>
      </c>
      <c r="H228" s="22">
        <v>51.501600000000003</v>
      </c>
      <c r="I228" s="22">
        <v>-1.72485E-2</v>
      </c>
      <c r="J228" s="22">
        <v>218</v>
      </c>
      <c r="K228" s="22">
        <v>0.66125500000000004</v>
      </c>
      <c r="L228">
        <f t="shared" si="36"/>
        <v>17.2485</v>
      </c>
      <c r="M228">
        <f t="shared" si="37"/>
        <v>11.4224914035</v>
      </c>
      <c r="N228" s="9"/>
      <c r="O228" s="22">
        <v>0.99777199999999999</v>
      </c>
      <c r="P228" s="22">
        <v>100.745</v>
      </c>
      <c r="Q228" s="22">
        <v>0.140594</v>
      </c>
      <c r="R228" s="22">
        <v>218</v>
      </c>
      <c r="S228" s="22">
        <v>0.27526899999999999</v>
      </c>
      <c r="T228">
        <f t="shared" si="38"/>
        <v>-140.59399999999999</v>
      </c>
      <c r="U228">
        <f t="shared" si="39"/>
        <v>-140.28075656799999</v>
      </c>
      <c r="X228" s="9"/>
      <c r="Y228" s="22">
        <v>0.66223100000000001</v>
      </c>
      <c r="Z228" s="22">
        <v>150.14699999999999</v>
      </c>
      <c r="AA228" s="22">
        <v>-1.7211899999999999E-2</v>
      </c>
      <c r="AB228" s="22">
        <v>218</v>
      </c>
      <c r="AC228" s="22">
        <v>0.66146899999999997</v>
      </c>
      <c r="AD228">
        <f t="shared" si="40"/>
        <v>17.2119</v>
      </c>
      <c r="AE228">
        <f t="shared" si="41"/>
        <v>11.3982537489</v>
      </c>
      <c r="AF228" s="9"/>
      <c r="AG228" s="22">
        <v>0.99777199999999999</v>
      </c>
      <c r="AH228" s="22">
        <v>199.51400000000001</v>
      </c>
      <c r="AI228" s="22">
        <v>0.13986199999999999</v>
      </c>
      <c r="AJ228" s="22">
        <v>218</v>
      </c>
      <c r="AK228" s="22">
        <v>0.27496300000000001</v>
      </c>
      <c r="AL228">
        <f t="shared" si="42"/>
        <v>-139.86199999999999</v>
      </c>
      <c r="AM228">
        <f t="shared" si="43"/>
        <v>-139.55038746399998</v>
      </c>
      <c r="AP228" s="9"/>
      <c r="AQ228" s="22">
        <v>0.66223100000000001</v>
      </c>
      <c r="AR228" s="22">
        <v>248.79599999999999</v>
      </c>
      <c r="AS228" s="22">
        <v>-1.7187500000000001E-2</v>
      </c>
      <c r="AT228" s="22">
        <v>218</v>
      </c>
      <c r="AU228" s="22">
        <v>0.66146899999999997</v>
      </c>
      <c r="AV228">
        <f t="shared" si="44"/>
        <v>17.1875</v>
      </c>
      <c r="AW228">
        <f t="shared" si="45"/>
        <v>11.382095312500001</v>
      </c>
      <c r="AX228" s="9"/>
      <c r="AY228" s="22">
        <v>0.99777199999999999</v>
      </c>
      <c r="AZ228" s="22">
        <v>298.16300000000001</v>
      </c>
      <c r="BA228" s="22">
        <v>-1.5655499999999999E-2</v>
      </c>
      <c r="BB228" s="22">
        <v>218</v>
      </c>
      <c r="BC228" s="22">
        <v>0.99121099999999995</v>
      </c>
      <c r="BD228">
        <f t="shared" si="46"/>
        <v>15.6555</v>
      </c>
      <c r="BE228">
        <f t="shared" si="47"/>
        <v>15.620619546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0.657196</v>
      </c>
      <c r="H229" s="22">
        <v>51.511699999999998</v>
      </c>
      <c r="I229" s="22">
        <v>-1.72485E-2</v>
      </c>
      <c r="J229" s="22">
        <v>219</v>
      </c>
      <c r="K229" s="22">
        <v>0.65625</v>
      </c>
      <c r="L229">
        <f t="shared" si="36"/>
        <v>17.2485</v>
      </c>
      <c r="M229">
        <f t="shared" si="37"/>
        <v>11.335645206000001</v>
      </c>
      <c r="N229" s="9"/>
      <c r="O229" s="22">
        <v>1.00281</v>
      </c>
      <c r="P229" s="22">
        <v>100.755</v>
      </c>
      <c r="Q229" s="22">
        <v>0.14050299999999999</v>
      </c>
      <c r="R229" s="22">
        <v>219</v>
      </c>
      <c r="S229" s="22">
        <v>0.27594000000000002</v>
      </c>
      <c r="T229">
        <f t="shared" si="38"/>
        <v>-140.50299999999999</v>
      </c>
      <c r="U229">
        <f t="shared" si="39"/>
        <v>-140.89781342999999</v>
      </c>
      <c r="X229" s="9"/>
      <c r="Y229" s="22">
        <v>0.657196</v>
      </c>
      <c r="Z229" s="22">
        <v>150.15799999999999</v>
      </c>
      <c r="AA229" s="22">
        <v>-1.72058E-2</v>
      </c>
      <c r="AB229" s="22">
        <v>219</v>
      </c>
      <c r="AC229" s="22">
        <v>0.65649400000000002</v>
      </c>
      <c r="AD229">
        <f t="shared" si="40"/>
        <v>17.2058</v>
      </c>
      <c r="AE229">
        <f t="shared" si="41"/>
        <v>11.307582936799999</v>
      </c>
      <c r="AF229" s="9"/>
      <c r="AG229" s="22">
        <v>1.00281</v>
      </c>
      <c r="AH229" s="22">
        <v>199.524</v>
      </c>
      <c r="AI229" s="22">
        <v>0.13974</v>
      </c>
      <c r="AJ229" s="22">
        <v>219</v>
      </c>
      <c r="AK229" s="22">
        <v>0.27526899999999999</v>
      </c>
      <c r="AL229">
        <f t="shared" si="42"/>
        <v>-139.74</v>
      </c>
      <c r="AM229">
        <f t="shared" si="43"/>
        <v>-140.1326694</v>
      </c>
      <c r="AP229" s="9"/>
      <c r="AQ229" s="22">
        <v>0.657196</v>
      </c>
      <c r="AR229" s="22">
        <v>248.80600000000001</v>
      </c>
      <c r="AS229" s="22">
        <v>-1.71936E-2</v>
      </c>
      <c r="AT229" s="22">
        <v>219</v>
      </c>
      <c r="AU229" s="22">
        <v>0.65640299999999996</v>
      </c>
      <c r="AV229">
        <f t="shared" si="44"/>
        <v>17.1936</v>
      </c>
      <c r="AW229">
        <f t="shared" si="45"/>
        <v>11.299565145600001</v>
      </c>
      <c r="AX229" s="9"/>
      <c r="AY229" s="22">
        <v>1.00281</v>
      </c>
      <c r="AZ229" s="22">
        <v>298.173</v>
      </c>
      <c r="BA229" s="22">
        <v>-1.58844E-2</v>
      </c>
      <c r="BB229" s="22">
        <v>219</v>
      </c>
      <c r="BC229" s="22">
        <v>0.99883999999999995</v>
      </c>
      <c r="BD229">
        <f t="shared" si="46"/>
        <v>15.884399999999999</v>
      </c>
      <c r="BE229">
        <f t="shared" si="47"/>
        <v>15.929035163999998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0.65216099999999999</v>
      </c>
      <c r="H230" s="22">
        <v>51.521799999999999</v>
      </c>
      <c r="I230" s="22">
        <v>-1.72455E-2</v>
      </c>
      <c r="J230" s="22">
        <v>220</v>
      </c>
      <c r="K230" s="22">
        <v>0.65093999999999996</v>
      </c>
      <c r="L230">
        <f t="shared" si="36"/>
        <v>17.2455</v>
      </c>
      <c r="M230">
        <f t="shared" si="37"/>
        <v>11.2468425255</v>
      </c>
      <c r="N230" s="9"/>
      <c r="O230" s="22">
        <v>1.0078400000000001</v>
      </c>
      <c r="P230" s="22">
        <v>100.765</v>
      </c>
      <c r="Q230" s="22">
        <v>0.14035</v>
      </c>
      <c r="R230" s="22">
        <v>220</v>
      </c>
      <c r="S230" s="22">
        <v>0.27560400000000002</v>
      </c>
      <c r="T230">
        <f t="shared" si="38"/>
        <v>-140.35</v>
      </c>
      <c r="U230">
        <f t="shared" si="39"/>
        <v>-141.450344</v>
      </c>
      <c r="X230" s="9"/>
      <c r="Y230" s="22">
        <v>0.65216099999999999</v>
      </c>
      <c r="Z230" s="22">
        <v>150.16800000000001</v>
      </c>
      <c r="AA230" s="22">
        <v>-1.7215000000000001E-2</v>
      </c>
      <c r="AB230" s="22">
        <v>220</v>
      </c>
      <c r="AC230" s="22">
        <v>0.65130600000000005</v>
      </c>
      <c r="AD230">
        <f t="shared" si="40"/>
        <v>17.215</v>
      </c>
      <c r="AE230">
        <f t="shared" si="41"/>
        <v>11.226951614999999</v>
      </c>
      <c r="AF230" s="9"/>
      <c r="AG230" s="22">
        <v>1.0078400000000001</v>
      </c>
      <c r="AH230" s="22">
        <v>199.53399999999999</v>
      </c>
      <c r="AI230" s="22">
        <v>0.13958699999999999</v>
      </c>
      <c r="AJ230" s="22">
        <v>220</v>
      </c>
      <c r="AK230" s="22">
        <v>0.27429199999999998</v>
      </c>
      <c r="AL230">
        <f t="shared" si="42"/>
        <v>-139.58699999999999</v>
      </c>
      <c r="AM230">
        <f t="shared" si="43"/>
        <v>-140.68136207999999</v>
      </c>
      <c r="AP230" s="9"/>
      <c r="AQ230" s="22">
        <v>0.65216099999999999</v>
      </c>
      <c r="AR230" s="22">
        <v>248.816</v>
      </c>
      <c r="AS230" s="22">
        <v>-1.7202800000000001E-2</v>
      </c>
      <c r="AT230" s="22">
        <v>220</v>
      </c>
      <c r="AU230" s="22">
        <v>0.65158099999999997</v>
      </c>
      <c r="AV230">
        <f t="shared" si="44"/>
        <v>17.2028</v>
      </c>
      <c r="AW230">
        <f t="shared" si="45"/>
        <v>11.218995250799999</v>
      </c>
      <c r="AX230" s="9"/>
      <c r="AY230" s="22">
        <v>1.0078400000000001</v>
      </c>
      <c r="AZ230" s="22">
        <v>298.18299999999999</v>
      </c>
      <c r="BA230" s="22">
        <v>-1.57501E-2</v>
      </c>
      <c r="BB230" s="22">
        <v>220</v>
      </c>
      <c r="BC230" s="22">
        <v>1.0037199999999999</v>
      </c>
      <c r="BD230">
        <f t="shared" si="46"/>
        <v>15.7501</v>
      </c>
      <c r="BE230">
        <f t="shared" si="47"/>
        <v>15.873580784000001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0.64712499999999995</v>
      </c>
      <c r="H231" s="22">
        <v>51.531799999999997</v>
      </c>
      <c r="I231" s="22">
        <v>-1.7251599999999999E-2</v>
      </c>
      <c r="J231" s="22">
        <v>221</v>
      </c>
      <c r="K231" s="22">
        <v>0.64630100000000001</v>
      </c>
      <c r="L231">
        <f t="shared" si="36"/>
        <v>17.2516</v>
      </c>
      <c r="M231">
        <f t="shared" si="37"/>
        <v>11.163941649999998</v>
      </c>
      <c r="N231" s="9"/>
      <c r="O231" s="22">
        <v>1.01288</v>
      </c>
      <c r="P231" s="22">
        <v>100.77500000000001</v>
      </c>
      <c r="Q231" s="22">
        <v>0.14022799999999999</v>
      </c>
      <c r="R231" s="22">
        <v>221</v>
      </c>
      <c r="S231" s="22">
        <v>0.27606199999999997</v>
      </c>
      <c r="T231">
        <f t="shared" si="38"/>
        <v>-140.22799999999998</v>
      </c>
      <c r="U231">
        <f t="shared" si="39"/>
        <v>-142.03413663999999</v>
      </c>
      <c r="X231" s="9"/>
      <c r="Y231" s="22">
        <v>0.64712499999999995</v>
      </c>
      <c r="Z231" s="22">
        <v>150.178</v>
      </c>
      <c r="AA231" s="22">
        <v>-1.7218000000000001E-2</v>
      </c>
      <c r="AB231" s="22">
        <v>221</v>
      </c>
      <c r="AC231" s="22">
        <v>0.64633200000000002</v>
      </c>
      <c r="AD231">
        <f t="shared" si="40"/>
        <v>17.218</v>
      </c>
      <c r="AE231">
        <f t="shared" si="41"/>
        <v>11.14219825</v>
      </c>
      <c r="AF231" s="9"/>
      <c r="AG231" s="22">
        <v>1.01288</v>
      </c>
      <c r="AH231" s="22">
        <v>199.54400000000001</v>
      </c>
      <c r="AI231" s="22">
        <v>0.13949600000000001</v>
      </c>
      <c r="AJ231" s="22">
        <v>221</v>
      </c>
      <c r="AK231" s="22">
        <v>0.27481100000000003</v>
      </c>
      <c r="AL231">
        <f t="shared" si="42"/>
        <v>-139.49600000000001</v>
      </c>
      <c r="AM231">
        <f t="shared" si="43"/>
        <v>-141.29270848000002</v>
      </c>
      <c r="AP231" s="9"/>
      <c r="AQ231" s="22">
        <v>0.64712499999999995</v>
      </c>
      <c r="AR231" s="22">
        <v>248.827</v>
      </c>
      <c r="AS231" s="22">
        <v>-1.7208899999999999E-2</v>
      </c>
      <c r="AT231" s="22">
        <v>221</v>
      </c>
      <c r="AU231" s="22">
        <v>0.64633200000000002</v>
      </c>
      <c r="AV231">
        <f t="shared" si="44"/>
        <v>17.2089</v>
      </c>
      <c r="AW231">
        <f t="shared" si="45"/>
        <v>11.136309412499999</v>
      </c>
      <c r="AX231" s="9"/>
      <c r="AY231" s="22">
        <v>1.01288</v>
      </c>
      <c r="AZ231" s="22">
        <v>298.19299999999998</v>
      </c>
      <c r="BA231" s="22">
        <v>-1.62933E-2</v>
      </c>
      <c r="BB231" s="22">
        <v>221</v>
      </c>
      <c r="BC231" s="22">
        <v>1.01044</v>
      </c>
      <c r="BD231">
        <f t="shared" si="46"/>
        <v>16.293299999999999</v>
      </c>
      <c r="BE231">
        <f t="shared" si="47"/>
        <v>16.503157703999999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0.64209000000000005</v>
      </c>
      <c r="H232" s="22">
        <v>51.541899999999998</v>
      </c>
      <c r="I232" s="22">
        <v>-1.72607E-2</v>
      </c>
      <c r="J232" s="22">
        <v>222</v>
      </c>
      <c r="K232" s="22">
        <v>0.64147900000000002</v>
      </c>
      <c r="L232">
        <f t="shared" si="36"/>
        <v>17.2607</v>
      </c>
      <c r="M232">
        <f t="shared" si="37"/>
        <v>11.082922863</v>
      </c>
      <c r="N232" s="9"/>
      <c r="O232" s="22">
        <v>1.0179100000000001</v>
      </c>
      <c r="P232" s="22">
        <v>100.785</v>
      </c>
      <c r="Q232" s="22">
        <v>0.14025899999999999</v>
      </c>
      <c r="R232" s="22">
        <v>222</v>
      </c>
      <c r="S232" s="22">
        <v>0.27609299999999998</v>
      </c>
      <c r="T232">
        <f t="shared" si="38"/>
        <v>-140.25899999999999</v>
      </c>
      <c r="U232">
        <f t="shared" si="39"/>
        <v>-142.77103869000001</v>
      </c>
      <c r="X232" s="9"/>
      <c r="Y232" s="22">
        <v>0.64209000000000005</v>
      </c>
      <c r="Z232" s="22">
        <v>150.18799999999999</v>
      </c>
      <c r="AA232" s="22">
        <v>-1.7218000000000001E-2</v>
      </c>
      <c r="AB232" s="22">
        <v>222</v>
      </c>
      <c r="AC232" s="22">
        <v>0.64138799999999996</v>
      </c>
      <c r="AD232">
        <f t="shared" si="40"/>
        <v>17.218</v>
      </c>
      <c r="AE232">
        <f t="shared" si="41"/>
        <v>11.055505620000002</v>
      </c>
      <c r="AF232" s="9"/>
      <c r="AG232" s="22">
        <v>1.0179100000000001</v>
      </c>
      <c r="AH232" s="22">
        <v>199.554</v>
      </c>
      <c r="AI232" s="22">
        <v>0.139435</v>
      </c>
      <c r="AJ232" s="22">
        <v>222</v>
      </c>
      <c r="AK232" s="22">
        <v>0.27499400000000002</v>
      </c>
      <c r="AL232">
        <f t="shared" si="42"/>
        <v>-139.435</v>
      </c>
      <c r="AM232">
        <f t="shared" si="43"/>
        <v>-141.93228085000001</v>
      </c>
      <c r="AP232" s="9"/>
      <c r="AQ232" s="22">
        <v>0.64209000000000005</v>
      </c>
      <c r="AR232" s="22">
        <v>248.83699999999999</v>
      </c>
      <c r="AS232" s="22">
        <v>-1.7211899999999999E-2</v>
      </c>
      <c r="AT232" s="22">
        <v>222</v>
      </c>
      <c r="AU232" s="22">
        <v>0.64147900000000002</v>
      </c>
      <c r="AV232">
        <f t="shared" si="44"/>
        <v>17.2119</v>
      </c>
      <c r="AW232">
        <f t="shared" si="45"/>
        <v>11.051588871000002</v>
      </c>
      <c r="AX232" s="9"/>
      <c r="AY232" s="22">
        <v>1.0179100000000001</v>
      </c>
      <c r="AZ232" s="22">
        <v>298.20299999999997</v>
      </c>
      <c r="BA232" s="22">
        <v>-1.6333E-2</v>
      </c>
      <c r="BB232" s="22">
        <v>222</v>
      </c>
      <c r="BC232" s="22">
        <v>1.01807</v>
      </c>
      <c r="BD232">
        <f t="shared" si="46"/>
        <v>16.333000000000002</v>
      </c>
      <c r="BE232">
        <f t="shared" si="47"/>
        <v>16.625524030000005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0.63705400000000001</v>
      </c>
      <c r="H233" s="22">
        <v>51.552</v>
      </c>
      <c r="I233" s="22">
        <v>-1.7263799999999999E-2</v>
      </c>
      <c r="J233" s="22">
        <v>223</v>
      </c>
      <c r="K233" s="22">
        <v>0.63662700000000005</v>
      </c>
      <c r="L233">
        <f t="shared" si="36"/>
        <v>17.2638</v>
      </c>
      <c r="M233">
        <f t="shared" si="37"/>
        <v>10.9979728452</v>
      </c>
      <c r="N233" s="9"/>
      <c r="O233" s="22">
        <v>1.02295</v>
      </c>
      <c r="P233" s="22">
        <v>100.795</v>
      </c>
      <c r="Q233" s="22">
        <v>0.14022799999999999</v>
      </c>
      <c r="R233" s="22">
        <v>223</v>
      </c>
      <c r="S233" s="22">
        <v>0.27587899999999999</v>
      </c>
      <c r="T233">
        <f t="shared" si="38"/>
        <v>-140.22799999999998</v>
      </c>
      <c r="U233">
        <f t="shared" si="39"/>
        <v>-143.44623259999997</v>
      </c>
      <c r="X233" s="9"/>
      <c r="Y233" s="22">
        <v>0.63705400000000001</v>
      </c>
      <c r="Z233" s="22">
        <v>150.19800000000001</v>
      </c>
      <c r="AA233" s="22">
        <v>-1.72211E-2</v>
      </c>
      <c r="AB233" s="22">
        <v>223</v>
      </c>
      <c r="AC233" s="22">
        <v>0.63635299999999995</v>
      </c>
      <c r="AD233">
        <f t="shared" si="40"/>
        <v>17.2211</v>
      </c>
      <c r="AE233">
        <f t="shared" si="41"/>
        <v>10.9707706394</v>
      </c>
      <c r="AF233" s="9"/>
      <c r="AG233" s="22">
        <v>1.02295</v>
      </c>
      <c r="AH233" s="22">
        <v>199.56399999999999</v>
      </c>
      <c r="AI233" s="22">
        <v>0.13931299999999999</v>
      </c>
      <c r="AJ233" s="22">
        <v>223</v>
      </c>
      <c r="AK233" s="22">
        <v>0.27456700000000001</v>
      </c>
      <c r="AL233">
        <f t="shared" si="42"/>
        <v>-139.31299999999999</v>
      </c>
      <c r="AM233">
        <f t="shared" si="43"/>
        <v>-142.51023334999999</v>
      </c>
      <c r="AP233" s="9"/>
      <c r="AQ233" s="22">
        <v>0.63705400000000001</v>
      </c>
      <c r="AR233" s="22">
        <v>248.84700000000001</v>
      </c>
      <c r="AS233" s="22">
        <v>-1.7218000000000001E-2</v>
      </c>
      <c r="AT233" s="22">
        <v>223</v>
      </c>
      <c r="AU233" s="22">
        <v>0.63647500000000001</v>
      </c>
      <c r="AV233">
        <f t="shared" si="44"/>
        <v>17.218</v>
      </c>
      <c r="AW233">
        <f t="shared" si="45"/>
        <v>10.968795772</v>
      </c>
      <c r="AX233" s="9"/>
      <c r="AY233" s="22">
        <v>1.02295</v>
      </c>
      <c r="AZ233" s="22">
        <v>298.21300000000002</v>
      </c>
      <c r="BA233" s="22">
        <v>-1.6024799999999999E-2</v>
      </c>
      <c r="BB233" s="22">
        <v>223</v>
      </c>
      <c r="BC233" s="22">
        <v>1.02142</v>
      </c>
      <c r="BD233">
        <f t="shared" si="46"/>
        <v>16.024799999999999</v>
      </c>
      <c r="BE233">
        <f t="shared" si="47"/>
        <v>16.392569160000001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0.632019</v>
      </c>
      <c r="H234" s="22">
        <v>51.561999999999998</v>
      </c>
      <c r="I234" s="22">
        <v>-1.7272900000000001E-2</v>
      </c>
      <c r="J234" s="22">
        <v>224</v>
      </c>
      <c r="K234" s="22">
        <v>0.63125600000000004</v>
      </c>
      <c r="L234">
        <f t="shared" si="36"/>
        <v>17.2729</v>
      </c>
      <c r="M234">
        <f t="shared" si="37"/>
        <v>10.9168009851</v>
      </c>
      <c r="N234" s="9"/>
      <c r="O234" s="22">
        <v>1.0279799999999999</v>
      </c>
      <c r="P234" s="22">
        <v>100.80500000000001</v>
      </c>
      <c r="Q234" s="22">
        <v>0.139954</v>
      </c>
      <c r="R234" s="22">
        <v>224</v>
      </c>
      <c r="S234" s="22">
        <v>0.27651999999999999</v>
      </c>
      <c r="T234">
        <f t="shared" si="38"/>
        <v>-139.95400000000001</v>
      </c>
      <c r="U234">
        <f t="shared" si="39"/>
        <v>-143.86991291999999</v>
      </c>
      <c r="X234" s="9"/>
      <c r="Y234" s="22">
        <v>0.632019</v>
      </c>
      <c r="Z234" s="22">
        <v>150.208</v>
      </c>
      <c r="AA234" s="22">
        <v>-1.7218000000000001E-2</v>
      </c>
      <c r="AB234" s="22">
        <v>224</v>
      </c>
      <c r="AC234" s="22">
        <v>0.63146999999999998</v>
      </c>
      <c r="AD234">
        <f t="shared" si="40"/>
        <v>17.218</v>
      </c>
      <c r="AE234">
        <f t="shared" si="41"/>
        <v>10.882103142</v>
      </c>
      <c r="AF234" s="9"/>
      <c r="AG234" s="22">
        <v>1.0279799999999999</v>
      </c>
      <c r="AH234" s="22">
        <v>199.57400000000001</v>
      </c>
      <c r="AI234" s="22">
        <v>0.13925199999999999</v>
      </c>
      <c r="AJ234" s="22">
        <v>224</v>
      </c>
      <c r="AK234" s="22">
        <v>0.27490199999999998</v>
      </c>
      <c r="AL234">
        <f t="shared" si="42"/>
        <v>-139.25199999999998</v>
      </c>
      <c r="AM234">
        <f t="shared" si="43"/>
        <v>-143.14827095999996</v>
      </c>
      <c r="AP234" s="9"/>
      <c r="AQ234" s="22">
        <v>0.632019</v>
      </c>
      <c r="AR234" s="22">
        <v>248.857</v>
      </c>
      <c r="AS234" s="22">
        <v>-1.72211E-2</v>
      </c>
      <c r="AT234" s="22">
        <v>224</v>
      </c>
      <c r="AU234" s="22">
        <v>0.63183599999999995</v>
      </c>
      <c r="AV234">
        <f t="shared" si="44"/>
        <v>17.2211</v>
      </c>
      <c r="AW234">
        <f t="shared" si="45"/>
        <v>10.8840624009</v>
      </c>
      <c r="AX234" s="9"/>
      <c r="AY234" s="22">
        <v>1.0279799999999999</v>
      </c>
      <c r="AZ234" s="22">
        <v>298.22300000000001</v>
      </c>
      <c r="BA234" s="22">
        <v>-1.4566000000000001E-2</v>
      </c>
      <c r="BB234" s="22">
        <v>224</v>
      </c>
      <c r="BC234" s="22">
        <v>1.026</v>
      </c>
      <c r="BD234">
        <f t="shared" si="46"/>
        <v>14.566000000000001</v>
      </c>
      <c r="BE234">
        <f t="shared" si="47"/>
        <v>14.97355668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0.62698399999999999</v>
      </c>
      <c r="H235" s="22">
        <v>51.572099999999999</v>
      </c>
      <c r="I235" s="22">
        <v>-1.7276E-2</v>
      </c>
      <c r="J235" s="22">
        <v>225</v>
      </c>
      <c r="K235" s="22">
        <v>0.62612900000000005</v>
      </c>
      <c r="L235">
        <f t="shared" si="36"/>
        <v>17.276</v>
      </c>
      <c r="M235">
        <f t="shared" si="37"/>
        <v>10.831775583999999</v>
      </c>
      <c r="N235" s="9"/>
      <c r="O235" s="22">
        <v>1.03302</v>
      </c>
      <c r="P235" s="22">
        <v>100.816</v>
      </c>
      <c r="Q235" s="22">
        <v>0.139954</v>
      </c>
      <c r="R235" s="22">
        <v>225</v>
      </c>
      <c r="S235" s="22">
        <v>0.27737400000000001</v>
      </c>
      <c r="T235">
        <f t="shared" si="38"/>
        <v>-139.95400000000001</v>
      </c>
      <c r="U235">
        <f t="shared" si="39"/>
        <v>-144.57528108000002</v>
      </c>
      <c r="X235" s="9"/>
      <c r="Y235" s="22">
        <v>0.62698399999999999</v>
      </c>
      <c r="Z235" s="22">
        <v>150.21799999999999</v>
      </c>
      <c r="AA235" s="22">
        <v>-1.7218000000000001E-2</v>
      </c>
      <c r="AB235" s="22">
        <v>225</v>
      </c>
      <c r="AC235" s="22">
        <v>0.62606799999999996</v>
      </c>
      <c r="AD235">
        <f t="shared" si="40"/>
        <v>17.218</v>
      </c>
      <c r="AE235">
        <f t="shared" si="41"/>
        <v>10.795410512</v>
      </c>
      <c r="AF235" s="9"/>
      <c r="AG235" s="22">
        <v>1.03302</v>
      </c>
      <c r="AH235" s="22">
        <v>199.584</v>
      </c>
      <c r="AI235" s="22">
        <v>0.13919100000000001</v>
      </c>
      <c r="AJ235" s="22">
        <v>225</v>
      </c>
      <c r="AK235" s="22">
        <v>0.27490199999999998</v>
      </c>
      <c r="AL235">
        <f t="shared" si="42"/>
        <v>-139.191</v>
      </c>
      <c r="AM235">
        <f t="shared" si="43"/>
        <v>-143.78708682000001</v>
      </c>
      <c r="AP235" s="9"/>
      <c r="AQ235" s="22">
        <v>0.62698399999999999</v>
      </c>
      <c r="AR235" s="22">
        <v>248.86699999999999</v>
      </c>
      <c r="AS235" s="22">
        <v>-1.72211E-2</v>
      </c>
      <c r="AT235" s="22">
        <v>225</v>
      </c>
      <c r="AU235" s="22">
        <v>0.625946</v>
      </c>
      <c r="AV235">
        <f t="shared" si="44"/>
        <v>17.2211</v>
      </c>
      <c r="AW235">
        <f t="shared" si="45"/>
        <v>10.7973541624</v>
      </c>
      <c r="AX235" s="9"/>
      <c r="AY235" s="22">
        <v>1.03302</v>
      </c>
      <c r="AZ235" s="22">
        <v>298.233</v>
      </c>
      <c r="BA235" s="22">
        <v>-1.4385999999999999E-2</v>
      </c>
      <c r="BB235" s="22">
        <v>225</v>
      </c>
      <c r="BC235" s="22">
        <v>1.03241</v>
      </c>
      <c r="BD235">
        <f t="shared" si="46"/>
        <v>14.385999999999999</v>
      </c>
      <c r="BE235">
        <f t="shared" si="47"/>
        <v>14.861025720000001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0.62194799999999995</v>
      </c>
      <c r="H236" s="22">
        <v>51.5822</v>
      </c>
      <c r="I236" s="22">
        <v>-1.7276E-2</v>
      </c>
      <c r="J236" s="22">
        <v>226</v>
      </c>
      <c r="K236" s="22">
        <v>0.62152099999999999</v>
      </c>
      <c r="L236">
        <f t="shared" si="36"/>
        <v>17.276</v>
      </c>
      <c r="M236">
        <f t="shared" si="37"/>
        <v>10.744773647999999</v>
      </c>
      <c r="N236" s="9"/>
      <c r="O236" s="22">
        <v>1.03806</v>
      </c>
      <c r="P236" s="22">
        <v>100.82599999999999</v>
      </c>
      <c r="Q236" s="22">
        <v>0.13989299999999999</v>
      </c>
      <c r="R236" s="22">
        <v>226</v>
      </c>
      <c r="S236" s="22">
        <v>0.27682499999999999</v>
      </c>
      <c r="T236">
        <f t="shared" si="38"/>
        <v>-139.893</v>
      </c>
      <c r="U236">
        <f t="shared" si="39"/>
        <v>-145.21732757999999</v>
      </c>
      <c r="X236" s="9"/>
      <c r="Y236" s="22">
        <v>0.62194799999999995</v>
      </c>
      <c r="Z236" s="22">
        <v>150.22800000000001</v>
      </c>
      <c r="AA236" s="22">
        <v>-1.72211E-2</v>
      </c>
      <c r="AB236" s="22">
        <v>226</v>
      </c>
      <c r="AC236" s="22">
        <v>0.62097199999999997</v>
      </c>
      <c r="AD236">
        <f t="shared" si="40"/>
        <v>17.2211</v>
      </c>
      <c r="AE236">
        <f t="shared" si="41"/>
        <v>10.710628702799999</v>
      </c>
      <c r="AF236" s="9"/>
      <c r="AG236" s="22">
        <v>1.03806</v>
      </c>
      <c r="AH236" s="22">
        <v>199.59399999999999</v>
      </c>
      <c r="AI236" s="22">
        <v>0.13925199999999999</v>
      </c>
      <c r="AJ236" s="22">
        <v>226</v>
      </c>
      <c r="AK236" s="22">
        <v>0.27322400000000002</v>
      </c>
      <c r="AL236">
        <f t="shared" si="42"/>
        <v>-139.25199999999998</v>
      </c>
      <c r="AM236">
        <f t="shared" si="43"/>
        <v>-144.55193111999998</v>
      </c>
      <c r="AP236" s="9"/>
      <c r="AQ236" s="22">
        <v>0.62194799999999995</v>
      </c>
      <c r="AR236" s="22">
        <v>248.87700000000001</v>
      </c>
      <c r="AS236" s="22">
        <v>-1.7218000000000001E-2</v>
      </c>
      <c r="AT236" s="22">
        <v>226</v>
      </c>
      <c r="AU236" s="22">
        <v>0.62130700000000005</v>
      </c>
      <c r="AV236">
        <f t="shared" si="44"/>
        <v>17.218</v>
      </c>
      <c r="AW236">
        <f t="shared" si="45"/>
        <v>10.708700663999998</v>
      </c>
      <c r="AX236" s="9"/>
      <c r="AY236" s="22">
        <v>1.03806</v>
      </c>
      <c r="AZ236" s="22">
        <v>298.24299999999999</v>
      </c>
      <c r="BA236" s="22">
        <v>-1.4190700000000001E-2</v>
      </c>
      <c r="BB236" s="22">
        <v>226</v>
      </c>
      <c r="BC236" s="22">
        <v>1.0376000000000001</v>
      </c>
      <c r="BD236">
        <f t="shared" si="46"/>
        <v>14.1907</v>
      </c>
      <c r="BE236">
        <f t="shared" si="47"/>
        <v>14.730798042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0.61691300000000004</v>
      </c>
      <c r="H237" s="22">
        <v>51.592300000000002</v>
      </c>
      <c r="I237" s="22">
        <v>-1.7276E-2</v>
      </c>
      <c r="J237" s="22">
        <v>227</v>
      </c>
      <c r="K237" s="22">
        <v>0.61614999999999998</v>
      </c>
      <c r="L237">
        <f t="shared" si="36"/>
        <v>17.276</v>
      </c>
      <c r="M237">
        <f t="shared" si="37"/>
        <v>10.657788988</v>
      </c>
      <c r="N237" s="9"/>
      <c r="O237" s="22">
        <v>1.0430900000000001</v>
      </c>
      <c r="P237" s="22">
        <v>100.836</v>
      </c>
      <c r="Q237" s="22">
        <v>0.13980100000000001</v>
      </c>
      <c r="R237" s="22">
        <v>227</v>
      </c>
      <c r="S237" s="22">
        <v>0.27624500000000002</v>
      </c>
      <c r="T237">
        <f t="shared" si="38"/>
        <v>-139.80100000000002</v>
      </c>
      <c r="U237">
        <f t="shared" si="39"/>
        <v>-145.82502509000003</v>
      </c>
      <c r="X237" s="9"/>
      <c r="Y237" s="22">
        <v>0.61691300000000004</v>
      </c>
      <c r="Z237" s="22">
        <v>150.238</v>
      </c>
      <c r="AA237" s="22">
        <v>-1.7227200000000002E-2</v>
      </c>
      <c r="AB237" s="22">
        <v>227</v>
      </c>
      <c r="AC237" s="22">
        <v>0.616425</v>
      </c>
      <c r="AD237">
        <f t="shared" si="40"/>
        <v>17.2272</v>
      </c>
      <c r="AE237">
        <f t="shared" si="41"/>
        <v>10.6276836336</v>
      </c>
      <c r="AF237" s="9"/>
      <c r="AG237" s="22">
        <v>1.0430900000000001</v>
      </c>
      <c r="AH237" s="22">
        <v>199.60499999999999</v>
      </c>
      <c r="AI237" s="22">
        <v>0.139069</v>
      </c>
      <c r="AJ237" s="22">
        <v>227</v>
      </c>
      <c r="AK237" s="22">
        <v>0.27410899999999999</v>
      </c>
      <c r="AL237">
        <f t="shared" si="42"/>
        <v>-139.06899999999999</v>
      </c>
      <c r="AM237">
        <f t="shared" si="43"/>
        <v>-145.06148321000001</v>
      </c>
      <c r="AP237" s="9"/>
      <c r="AQ237" s="22">
        <v>0.61691300000000004</v>
      </c>
      <c r="AR237" s="22">
        <v>248.887</v>
      </c>
      <c r="AS237" s="22">
        <v>-1.72211E-2</v>
      </c>
      <c r="AT237" s="22">
        <v>227</v>
      </c>
      <c r="AU237" s="22">
        <v>0.61648599999999998</v>
      </c>
      <c r="AV237">
        <f t="shared" si="44"/>
        <v>17.2211</v>
      </c>
      <c r="AW237">
        <f t="shared" si="45"/>
        <v>10.623920464300001</v>
      </c>
      <c r="AX237" s="9"/>
      <c r="AY237" s="22">
        <v>1.0430900000000001</v>
      </c>
      <c r="AZ237" s="22">
        <v>298.25299999999999</v>
      </c>
      <c r="BA237" s="22">
        <v>-1.40503E-2</v>
      </c>
      <c r="BB237" s="22">
        <v>227</v>
      </c>
      <c r="BC237" s="22">
        <v>1.0427900000000001</v>
      </c>
      <c r="BD237">
        <f t="shared" si="46"/>
        <v>14.0503</v>
      </c>
      <c r="BE237">
        <f t="shared" si="47"/>
        <v>14.655727427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0.611877</v>
      </c>
      <c r="H238" s="22">
        <v>51.6023</v>
      </c>
      <c r="I238" s="22">
        <v>-1.7276E-2</v>
      </c>
      <c r="J238" s="22">
        <v>228</v>
      </c>
      <c r="K238" s="22">
        <v>0.61123700000000003</v>
      </c>
      <c r="L238">
        <f t="shared" si="36"/>
        <v>17.276</v>
      </c>
      <c r="M238">
        <f t="shared" si="37"/>
        <v>10.570787052</v>
      </c>
      <c r="N238" s="9"/>
      <c r="O238" s="22">
        <v>1.04813</v>
      </c>
      <c r="P238" s="22">
        <v>100.846</v>
      </c>
      <c r="Q238" s="22">
        <v>0.139679</v>
      </c>
      <c r="R238" s="22">
        <v>228</v>
      </c>
      <c r="S238" s="22">
        <v>0.276947</v>
      </c>
      <c r="T238">
        <f t="shared" si="38"/>
        <v>-139.679</v>
      </c>
      <c r="U238">
        <f t="shared" si="39"/>
        <v>-146.40175027000001</v>
      </c>
      <c r="X238" s="9"/>
      <c r="Y238" s="22">
        <v>0.611877</v>
      </c>
      <c r="Z238" s="22">
        <v>150.24799999999999</v>
      </c>
      <c r="AA238" s="22">
        <v>-1.72363E-2</v>
      </c>
      <c r="AB238" s="22">
        <v>228</v>
      </c>
      <c r="AC238" s="22">
        <v>0.61132799999999998</v>
      </c>
      <c r="AD238">
        <f t="shared" si="40"/>
        <v>17.2363</v>
      </c>
      <c r="AE238">
        <f t="shared" si="41"/>
        <v>10.5464955351</v>
      </c>
      <c r="AF238" s="9"/>
      <c r="AG238" s="22">
        <v>1.04813</v>
      </c>
      <c r="AH238" s="22">
        <v>199.61500000000001</v>
      </c>
      <c r="AI238" s="22">
        <v>0.13894699999999999</v>
      </c>
      <c r="AJ238" s="22">
        <v>228</v>
      </c>
      <c r="AK238" s="22">
        <v>0.27365099999999998</v>
      </c>
      <c r="AL238">
        <f t="shared" si="42"/>
        <v>-138.94699999999997</v>
      </c>
      <c r="AM238">
        <f t="shared" si="43"/>
        <v>-145.63451910999999</v>
      </c>
      <c r="AP238" s="9"/>
      <c r="AQ238" s="22">
        <v>0.611877</v>
      </c>
      <c r="AR238" s="22">
        <v>248.89699999999999</v>
      </c>
      <c r="AS238" s="22">
        <v>-1.7224099999999999E-2</v>
      </c>
      <c r="AT238" s="22">
        <v>228</v>
      </c>
      <c r="AU238" s="22">
        <v>0.61096200000000001</v>
      </c>
      <c r="AV238">
        <f t="shared" si="44"/>
        <v>17.2241</v>
      </c>
      <c r="AW238">
        <f t="shared" si="45"/>
        <v>10.5390306357</v>
      </c>
      <c r="AX238" s="9"/>
      <c r="AY238" s="22">
        <v>1.04813</v>
      </c>
      <c r="AZ238" s="22">
        <v>298.26299999999998</v>
      </c>
      <c r="BA238" s="22">
        <v>-1.41418E-2</v>
      </c>
      <c r="BB238" s="22">
        <v>228</v>
      </c>
      <c r="BC238" s="22">
        <v>1.0485800000000001</v>
      </c>
      <c r="BD238">
        <f t="shared" si="46"/>
        <v>14.1418</v>
      </c>
      <c r="BE238">
        <f t="shared" si="47"/>
        <v>14.822444834000001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0.60684199999999999</v>
      </c>
      <c r="H239" s="22">
        <v>51.612400000000001</v>
      </c>
      <c r="I239" s="22">
        <v>-1.7282100000000002E-2</v>
      </c>
      <c r="J239" s="22">
        <v>229</v>
      </c>
      <c r="K239" s="22">
        <v>0.60604899999999995</v>
      </c>
      <c r="L239">
        <f t="shared" si="36"/>
        <v>17.282100000000003</v>
      </c>
      <c r="M239">
        <f t="shared" si="37"/>
        <v>10.487504128200001</v>
      </c>
      <c r="N239" s="9"/>
      <c r="O239" s="22">
        <v>1.0531600000000001</v>
      </c>
      <c r="P239" s="22">
        <v>100.85599999999999</v>
      </c>
      <c r="Q239" s="22">
        <v>0.13955699999999999</v>
      </c>
      <c r="R239" s="22">
        <v>229</v>
      </c>
      <c r="S239" s="22">
        <v>0.27682499999999999</v>
      </c>
      <c r="T239">
        <f t="shared" si="38"/>
        <v>-139.55699999999999</v>
      </c>
      <c r="U239">
        <f t="shared" si="39"/>
        <v>-146.97585011999999</v>
      </c>
      <c r="X239" s="9"/>
      <c r="Y239" s="22">
        <v>0.60684199999999999</v>
      </c>
      <c r="Z239" s="22">
        <v>150.25800000000001</v>
      </c>
      <c r="AA239" s="22">
        <v>-1.7239399999999998E-2</v>
      </c>
      <c r="AB239" s="22">
        <v>229</v>
      </c>
      <c r="AC239" s="22">
        <v>0.60617100000000002</v>
      </c>
      <c r="AD239">
        <f t="shared" si="40"/>
        <v>17.2394</v>
      </c>
      <c r="AE239">
        <f t="shared" si="41"/>
        <v>10.461591974799999</v>
      </c>
      <c r="AF239" s="9"/>
      <c r="AG239" s="22">
        <v>1.0531600000000001</v>
      </c>
      <c r="AH239" s="22">
        <v>199.625</v>
      </c>
      <c r="AI239" s="22">
        <v>0.138824</v>
      </c>
      <c r="AJ239" s="22">
        <v>229</v>
      </c>
      <c r="AK239" s="22">
        <v>0.27298</v>
      </c>
      <c r="AL239">
        <f t="shared" si="42"/>
        <v>-138.82400000000001</v>
      </c>
      <c r="AM239">
        <f t="shared" si="43"/>
        <v>-146.20388384000003</v>
      </c>
      <c r="AP239" s="9"/>
      <c r="AQ239" s="22">
        <v>0.60684199999999999</v>
      </c>
      <c r="AR239" s="22">
        <v>248.90700000000001</v>
      </c>
      <c r="AS239" s="22">
        <v>-1.7230200000000001E-2</v>
      </c>
      <c r="AT239" s="22">
        <v>229</v>
      </c>
      <c r="AU239" s="22">
        <v>0.60604899999999995</v>
      </c>
      <c r="AV239">
        <f t="shared" si="44"/>
        <v>17.2302</v>
      </c>
      <c r="AW239">
        <f t="shared" si="45"/>
        <v>10.4560090284</v>
      </c>
      <c r="AX239" s="9"/>
      <c r="AY239" s="22">
        <v>1.0531600000000001</v>
      </c>
      <c r="AZ239" s="22">
        <v>298.274</v>
      </c>
      <c r="BA239" s="22">
        <v>-1.28662E-2</v>
      </c>
      <c r="BB239" s="22">
        <v>229</v>
      </c>
      <c r="BC239" s="22">
        <v>1.0565199999999999</v>
      </c>
      <c r="BD239">
        <f t="shared" si="46"/>
        <v>12.866199999999999</v>
      </c>
      <c r="BE239">
        <f t="shared" si="47"/>
        <v>13.550167192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0.60180699999999998</v>
      </c>
      <c r="H240" s="22">
        <v>51.622500000000002</v>
      </c>
      <c r="I240" s="22">
        <v>-1.7282100000000002E-2</v>
      </c>
      <c r="J240" s="22">
        <v>230</v>
      </c>
      <c r="K240" s="22">
        <v>0.60116599999999998</v>
      </c>
      <c r="L240">
        <f t="shared" si="36"/>
        <v>17.282100000000003</v>
      </c>
      <c r="M240">
        <f t="shared" si="37"/>
        <v>10.400488754700001</v>
      </c>
      <c r="N240" s="9"/>
      <c r="O240" s="22">
        <v>1.0582</v>
      </c>
      <c r="P240" s="22">
        <v>100.866</v>
      </c>
      <c r="Q240" s="22">
        <v>0.13928199999999999</v>
      </c>
      <c r="R240" s="22">
        <v>230</v>
      </c>
      <c r="S240" s="22">
        <v>0.27563500000000002</v>
      </c>
      <c r="T240">
        <f t="shared" si="38"/>
        <v>-139.28199999999998</v>
      </c>
      <c r="U240">
        <f t="shared" si="39"/>
        <v>-147.38821239999999</v>
      </c>
      <c r="X240" s="9"/>
      <c r="Y240" s="22">
        <v>0.60180699999999998</v>
      </c>
      <c r="Z240" s="22">
        <v>150.268</v>
      </c>
      <c r="AA240" s="22">
        <v>-1.7239399999999998E-2</v>
      </c>
      <c r="AB240" s="22">
        <v>230</v>
      </c>
      <c r="AC240" s="22">
        <v>0.60098300000000004</v>
      </c>
      <c r="AD240">
        <f t="shared" si="40"/>
        <v>17.2394</v>
      </c>
      <c r="AE240">
        <f t="shared" si="41"/>
        <v>10.3747915958</v>
      </c>
      <c r="AF240" s="9"/>
      <c r="AG240" s="22">
        <v>1.0582</v>
      </c>
      <c r="AH240" s="22">
        <v>199.63499999999999</v>
      </c>
      <c r="AI240" s="22">
        <v>0.138763</v>
      </c>
      <c r="AJ240" s="22">
        <v>230</v>
      </c>
      <c r="AK240" s="22">
        <v>0.27365099999999998</v>
      </c>
      <c r="AL240">
        <f t="shared" si="42"/>
        <v>-138.76300000000001</v>
      </c>
      <c r="AM240">
        <f t="shared" si="43"/>
        <v>-146.8390066</v>
      </c>
      <c r="AP240" s="9"/>
      <c r="AQ240" s="22">
        <v>0.60180699999999998</v>
      </c>
      <c r="AR240" s="22">
        <v>248.917</v>
      </c>
      <c r="AS240" s="22">
        <v>-1.7230200000000001E-2</v>
      </c>
      <c r="AT240" s="22">
        <v>230</v>
      </c>
      <c r="AU240" s="22">
        <v>0.60098300000000004</v>
      </c>
      <c r="AV240">
        <f t="shared" si="44"/>
        <v>17.2302</v>
      </c>
      <c r="AW240">
        <f t="shared" si="45"/>
        <v>10.3692549714</v>
      </c>
      <c r="AX240" s="9"/>
      <c r="AY240" s="22">
        <v>1.0582</v>
      </c>
      <c r="AZ240" s="22">
        <v>298.28399999999999</v>
      </c>
      <c r="BA240" s="22">
        <v>-1.24756E-2</v>
      </c>
      <c r="BB240" s="22">
        <v>230</v>
      </c>
      <c r="BC240" s="22">
        <v>1.0549900000000001</v>
      </c>
      <c r="BD240">
        <f t="shared" si="46"/>
        <v>12.4756</v>
      </c>
      <c r="BE240">
        <f t="shared" si="47"/>
        <v>13.20167992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0.59677100000000005</v>
      </c>
      <c r="H241" s="22">
        <v>51.6325</v>
      </c>
      <c r="I241" s="22">
        <v>-1.72882E-2</v>
      </c>
      <c r="J241" s="22">
        <v>231</v>
      </c>
      <c r="K241" s="22">
        <v>0.59591700000000003</v>
      </c>
      <c r="L241">
        <f t="shared" si="36"/>
        <v>17.2882</v>
      </c>
      <c r="M241">
        <f t="shared" si="37"/>
        <v>10.317096402200001</v>
      </c>
      <c r="N241" s="9"/>
      <c r="O241" s="22">
        <v>1.0632299999999999</v>
      </c>
      <c r="P241" s="22">
        <v>100.876</v>
      </c>
      <c r="Q241" s="22">
        <v>0.13913</v>
      </c>
      <c r="R241" s="22">
        <v>231</v>
      </c>
      <c r="S241" s="22">
        <v>0.27468900000000002</v>
      </c>
      <c r="T241">
        <f t="shared" si="38"/>
        <v>-139.13</v>
      </c>
      <c r="U241">
        <f t="shared" si="39"/>
        <v>-147.92718989999997</v>
      </c>
      <c r="X241" s="9"/>
      <c r="Y241" s="22">
        <v>0.59677100000000005</v>
      </c>
      <c r="Z241" s="22">
        <v>150.27799999999999</v>
      </c>
      <c r="AA241" s="22">
        <v>-1.72455E-2</v>
      </c>
      <c r="AB241" s="22">
        <v>231</v>
      </c>
      <c r="AC241" s="22">
        <v>0.59600799999999998</v>
      </c>
      <c r="AD241">
        <f t="shared" si="40"/>
        <v>17.2455</v>
      </c>
      <c r="AE241">
        <f t="shared" si="41"/>
        <v>10.291614280500001</v>
      </c>
      <c r="AF241" s="9"/>
      <c r="AG241" s="22">
        <v>1.0632299999999999</v>
      </c>
      <c r="AH241" s="22">
        <v>199.64500000000001</v>
      </c>
      <c r="AI241" s="22">
        <v>0.13867199999999999</v>
      </c>
      <c r="AJ241" s="22">
        <v>231</v>
      </c>
      <c r="AK241" s="22">
        <v>0.27316299999999999</v>
      </c>
      <c r="AL241">
        <f t="shared" si="42"/>
        <v>-138.672</v>
      </c>
      <c r="AM241">
        <f t="shared" si="43"/>
        <v>-147.44023055999997</v>
      </c>
      <c r="AP241" s="9"/>
      <c r="AQ241" s="22">
        <v>0.59677100000000005</v>
      </c>
      <c r="AR241" s="22">
        <v>248.92699999999999</v>
      </c>
      <c r="AS241" s="22">
        <v>-1.72363E-2</v>
      </c>
      <c r="AT241" s="22">
        <v>231</v>
      </c>
      <c r="AU241" s="22">
        <v>0.59576399999999996</v>
      </c>
      <c r="AV241">
        <f t="shared" si="44"/>
        <v>17.2363</v>
      </c>
      <c r="AW241">
        <f t="shared" si="45"/>
        <v>10.286123987300002</v>
      </c>
      <c r="AX241" s="9"/>
      <c r="AY241" s="22">
        <v>1.0632299999999999</v>
      </c>
      <c r="AZ241" s="22">
        <v>298.29399999999998</v>
      </c>
      <c r="BA241" s="22">
        <v>-1.2908899999999999E-2</v>
      </c>
      <c r="BB241" s="22">
        <v>231</v>
      </c>
      <c r="BC241" s="22">
        <v>1.07178</v>
      </c>
      <c r="BD241">
        <f t="shared" si="46"/>
        <v>12.908899999999999</v>
      </c>
      <c r="BE241">
        <f t="shared" si="47"/>
        <v>13.725129746999999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0.59173600000000004</v>
      </c>
      <c r="H242" s="22">
        <v>51.642600000000002</v>
      </c>
      <c r="I242" s="22">
        <v>-1.7294299999999999E-2</v>
      </c>
      <c r="J242" s="22">
        <v>232</v>
      </c>
      <c r="K242" s="22">
        <v>0.59127799999999997</v>
      </c>
      <c r="L242">
        <f t="shared" si="36"/>
        <v>17.2943</v>
      </c>
      <c r="M242">
        <f t="shared" si="37"/>
        <v>10.233659904800001</v>
      </c>
      <c r="N242" s="9"/>
      <c r="O242" s="22">
        <v>1.0682700000000001</v>
      </c>
      <c r="P242" s="22">
        <v>100.886</v>
      </c>
      <c r="Q242" s="22">
        <v>0.13903799999999999</v>
      </c>
      <c r="R242" s="22">
        <v>232</v>
      </c>
      <c r="S242" s="22">
        <v>0.27401700000000001</v>
      </c>
      <c r="T242">
        <f t="shared" si="38"/>
        <v>-139.03799999999998</v>
      </c>
      <c r="U242">
        <f t="shared" si="39"/>
        <v>-148.53012425999998</v>
      </c>
      <c r="X242" s="9"/>
      <c r="Y242" s="22">
        <v>0.59173600000000004</v>
      </c>
      <c r="Z242" s="22">
        <v>150.28800000000001</v>
      </c>
      <c r="AA242" s="22">
        <v>-1.7251599999999999E-2</v>
      </c>
      <c r="AB242" s="22">
        <v>232</v>
      </c>
      <c r="AC242" s="22">
        <v>0.59097299999999997</v>
      </c>
      <c r="AD242">
        <f t="shared" si="40"/>
        <v>17.2516</v>
      </c>
      <c r="AE242">
        <f t="shared" si="41"/>
        <v>10.2083927776</v>
      </c>
      <c r="AF242" s="9"/>
      <c r="AG242" s="22">
        <v>1.0682700000000001</v>
      </c>
      <c r="AH242" s="22">
        <v>199.655</v>
      </c>
      <c r="AI242" s="22">
        <v>0.13858000000000001</v>
      </c>
      <c r="AJ242" s="22">
        <v>232</v>
      </c>
      <c r="AK242" s="22">
        <v>0.27227800000000002</v>
      </c>
      <c r="AL242">
        <f t="shared" si="42"/>
        <v>-138.58000000000001</v>
      </c>
      <c r="AM242">
        <f t="shared" si="43"/>
        <v>-148.04085660000001</v>
      </c>
      <c r="AP242" s="9"/>
      <c r="AQ242" s="22">
        <v>0.59173600000000004</v>
      </c>
      <c r="AR242" s="22">
        <v>248.93700000000001</v>
      </c>
      <c r="AS242" s="22">
        <v>-1.7239399999999998E-2</v>
      </c>
      <c r="AT242" s="22">
        <v>232</v>
      </c>
      <c r="AU242" s="22">
        <v>0.59075900000000003</v>
      </c>
      <c r="AV242">
        <f t="shared" si="44"/>
        <v>17.2394</v>
      </c>
      <c r="AW242">
        <f t="shared" si="45"/>
        <v>10.2011735984</v>
      </c>
      <c r="AX242" s="9"/>
      <c r="AY242" s="22">
        <v>1.0682700000000001</v>
      </c>
      <c r="AZ242" s="22">
        <v>298.30399999999997</v>
      </c>
      <c r="BA242" s="22">
        <v>-1.32538E-2</v>
      </c>
      <c r="BB242" s="22">
        <v>232</v>
      </c>
      <c r="BC242" s="22">
        <v>1.0552999999999999</v>
      </c>
      <c r="BD242">
        <f t="shared" si="46"/>
        <v>13.2538</v>
      </c>
      <c r="BE242">
        <f t="shared" si="47"/>
        <v>14.158636926000002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0.5867</v>
      </c>
      <c r="H243" s="22">
        <v>51.652700000000003</v>
      </c>
      <c r="I243" s="22">
        <v>-1.7294299999999999E-2</v>
      </c>
      <c r="J243" s="22">
        <v>233</v>
      </c>
      <c r="K243" s="22">
        <v>0.58618199999999998</v>
      </c>
      <c r="L243">
        <f t="shared" si="36"/>
        <v>17.2943</v>
      </c>
      <c r="M243">
        <f t="shared" si="37"/>
        <v>10.14656581</v>
      </c>
      <c r="N243" s="9"/>
      <c r="O243" s="22">
        <v>1.0732999999999999</v>
      </c>
      <c r="P243" s="22">
        <v>100.896</v>
      </c>
      <c r="Q243" s="22">
        <v>0.13900799999999999</v>
      </c>
      <c r="R243" s="22">
        <v>233</v>
      </c>
      <c r="S243" s="22">
        <v>0.27413900000000002</v>
      </c>
      <c r="T243">
        <f t="shared" si="38"/>
        <v>-139.00799999999998</v>
      </c>
      <c r="U243">
        <f t="shared" si="39"/>
        <v>-149.19728639999997</v>
      </c>
      <c r="X243" s="9"/>
      <c r="Y243" s="22">
        <v>0.5867</v>
      </c>
      <c r="Z243" s="22">
        <v>150.29900000000001</v>
      </c>
      <c r="AA243" s="22">
        <v>-1.72485E-2</v>
      </c>
      <c r="AB243" s="22">
        <v>233</v>
      </c>
      <c r="AC243" s="22">
        <v>0.58609</v>
      </c>
      <c r="AD243">
        <f t="shared" si="40"/>
        <v>17.2485</v>
      </c>
      <c r="AE243">
        <f t="shared" si="41"/>
        <v>10.11969495</v>
      </c>
      <c r="AF243" s="9"/>
      <c r="AG243" s="22">
        <v>1.0732999999999999</v>
      </c>
      <c r="AH243" s="22">
        <v>199.66499999999999</v>
      </c>
      <c r="AI243" s="22">
        <v>0.138519</v>
      </c>
      <c r="AJ243" s="22">
        <v>233</v>
      </c>
      <c r="AK243" s="22">
        <v>0.27285799999999999</v>
      </c>
      <c r="AL243">
        <f t="shared" si="42"/>
        <v>-138.51900000000001</v>
      </c>
      <c r="AM243">
        <f t="shared" si="43"/>
        <v>-148.6724427</v>
      </c>
      <c r="AP243" s="9"/>
      <c r="AQ243" s="22">
        <v>0.5867</v>
      </c>
      <c r="AR243" s="22">
        <v>248.947</v>
      </c>
      <c r="AS243" s="22">
        <v>-1.7239399999999998E-2</v>
      </c>
      <c r="AT243" s="22">
        <v>233</v>
      </c>
      <c r="AU243" s="22">
        <v>0.58602900000000002</v>
      </c>
      <c r="AV243">
        <f t="shared" si="44"/>
        <v>17.2394</v>
      </c>
      <c r="AW243">
        <f t="shared" si="45"/>
        <v>10.114355979999999</v>
      </c>
      <c r="AX243" s="9"/>
      <c r="AY243" s="22">
        <v>1.0732999999999999</v>
      </c>
      <c r="AZ243" s="22">
        <v>298.31400000000002</v>
      </c>
      <c r="BA243" s="22">
        <v>-1.28723E-2</v>
      </c>
      <c r="BB243" s="22">
        <v>233</v>
      </c>
      <c r="BC243" s="22">
        <v>1.07605</v>
      </c>
      <c r="BD243">
        <f t="shared" si="46"/>
        <v>12.872299999999999</v>
      </c>
      <c r="BE243">
        <f t="shared" si="47"/>
        <v>13.815839589999998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0.58166499999999999</v>
      </c>
      <c r="H244" s="22">
        <v>51.662799999999997</v>
      </c>
      <c r="I244" s="22">
        <v>-1.7303499999999999E-2</v>
      </c>
      <c r="J244" s="22">
        <v>234</v>
      </c>
      <c r="K244" s="22">
        <v>0.58093300000000003</v>
      </c>
      <c r="L244">
        <f t="shared" si="36"/>
        <v>17.3035</v>
      </c>
      <c r="M244">
        <f t="shared" si="37"/>
        <v>10.064840327499999</v>
      </c>
      <c r="N244" s="9"/>
      <c r="O244" s="22">
        <v>1.0783400000000001</v>
      </c>
      <c r="P244" s="22">
        <v>100.90600000000001</v>
      </c>
      <c r="Q244" s="22">
        <v>0.13891600000000001</v>
      </c>
      <c r="R244" s="22">
        <v>234</v>
      </c>
      <c r="S244" s="22">
        <v>0.27383400000000002</v>
      </c>
      <c r="T244">
        <f t="shared" si="38"/>
        <v>-138.91600000000003</v>
      </c>
      <c r="U244">
        <f t="shared" si="39"/>
        <v>-149.79867944000003</v>
      </c>
      <c r="X244" s="9"/>
      <c r="Y244" s="22">
        <v>0.58166499999999999</v>
      </c>
      <c r="Z244" s="22">
        <v>150.309</v>
      </c>
      <c r="AA244" s="22">
        <v>-1.7251599999999999E-2</v>
      </c>
      <c r="AB244" s="22">
        <v>234</v>
      </c>
      <c r="AC244" s="22">
        <v>0.58117700000000005</v>
      </c>
      <c r="AD244">
        <f t="shared" si="40"/>
        <v>17.2516</v>
      </c>
      <c r="AE244">
        <f t="shared" si="41"/>
        <v>10.034651913999999</v>
      </c>
      <c r="AF244" s="9"/>
      <c r="AG244" s="22">
        <v>1.0783400000000001</v>
      </c>
      <c r="AH244" s="22">
        <v>199.67500000000001</v>
      </c>
      <c r="AI244" s="22">
        <v>0.138428</v>
      </c>
      <c r="AJ244" s="22">
        <v>234</v>
      </c>
      <c r="AK244" s="22">
        <v>0.27252199999999999</v>
      </c>
      <c r="AL244">
        <f t="shared" si="42"/>
        <v>-138.428</v>
      </c>
      <c r="AM244">
        <f t="shared" si="43"/>
        <v>-149.27244952000001</v>
      </c>
      <c r="AP244" s="9"/>
      <c r="AQ244" s="22">
        <v>0.58166499999999999</v>
      </c>
      <c r="AR244" s="22">
        <v>248.95699999999999</v>
      </c>
      <c r="AS244" s="22">
        <v>-1.7239399999999998E-2</v>
      </c>
      <c r="AT244" s="22">
        <v>234</v>
      </c>
      <c r="AU244" s="22">
        <v>0.58123800000000003</v>
      </c>
      <c r="AV244">
        <f t="shared" si="44"/>
        <v>17.2394</v>
      </c>
      <c r="AW244">
        <f t="shared" si="45"/>
        <v>10.027555601</v>
      </c>
      <c r="AX244" s="9"/>
      <c r="AY244" s="22">
        <v>1.0783400000000001</v>
      </c>
      <c r="AZ244" s="22">
        <v>298.32400000000001</v>
      </c>
      <c r="BA244" s="22">
        <v>-1.2149E-2</v>
      </c>
      <c r="BB244" s="22">
        <v>234</v>
      </c>
      <c r="BC244" s="22">
        <v>1.07941</v>
      </c>
      <c r="BD244">
        <f t="shared" si="46"/>
        <v>12.149000000000001</v>
      </c>
      <c r="BE244">
        <f t="shared" si="47"/>
        <v>13.100752660000001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0.57662999999999998</v>
      </c>
      <c r="H245" s="22">
        <v>51.672800000000002</v>
      </c>
      <c r="I245" s="22">
        <v>-1.7309600000000001E-2</v>
      </c>
      <c r="J245" s="22">
        <v>235</v>
      </c>
      <c r="K245" s="22">
        <v>0.57577500000000004</v>
      </c>
      <c r="L245">
        <f t="shared" si="36"/>
        <v>17.3096</v>
      </c>
      <c r="M245">
        <f t="shared" si="37"/>
        <v>9.9812346479999992</v>
      </c>
      <c r="N245" s="9"/>
      <c r="O245" s="22">
        <v>1.0833699999999999</v>
      </c>
      <c r="P245" s="22">
        <v>100.916</v>
      </c>
      <c r="Q245" s="22">
        <v>0.13885500000000001</v>
      </c>
      <c r="R245" s="22">
        <v>235</v>
      </c>
      <c r="S245" s="22">
        <v>0.27304099999999998</v>
      </c>
      <c r="T245">
        <f t="shared" si="38"/>
        <v>-138.85500000000002</v>
      </c>
      <c r="U245">
        <f t="shared" si="39"/>
        <v>-150.43134135000003</v>
      </c>
      <c r="X245" s="9"/>
      <c r="Y245" s="22">
        <v>0.57662999999999998</v>
      </c>
      <c r="Z245" s="22">
        <v>150.31899999999999</v>
      </c>
      <c r="AA245" s="22">
        <v>-1.7251599999999999E-2</v>
      </c>
      <c r="AB245" s="22">
        <v>235</v>
      </c>
      <c r="AC245" s="22">
        <v>0.57577500000000004</v>
      </c>
      <c r="AD245">
        <f t="shared" si="40"/>
        <v>17.2516</v>
      </c>
      <c r="AE245">
        <f t="shared" si="41"/>
        <v>9.9477901079999995</v>
      </c>
      <c r="AF245" s="9"/>
      <c r="AG245" s="22">
        <v>1.0833699999999999</v>
      </c>
      <c r="AH245" s="22">
        <v>199.685</v>
      </c>
      <c r="AI245" s="22">
        <v>0.13833599999999999</v>
      </c>
      <c r="AJ245" s="22">
        <v>235</v>
      </c>
      <c r="AK245" s="22">
        <v>0.27246100000000001</v>
      </c>
      <c r="AL245">
        <f t="shared" si="42"/>
        <v>-138.33599999999998</v>
      </c>
      <c r="AM245">
        <f t="shared" si="43"/>
        <v>-149.86907231999999</v>
      </c>
      <c r="AP245" s="9"/>
      <c r="AQ245" s="22">
        <v>0.57662999999999998</v>
      </c>
      <c r="AR245" s="22">
        <v>248.96799999999999</v>
      </c>
      <c r="AS245" s="22">
        <v>-1.72455E-2</v>
      </c>
      <c r="AT245" s="22">
        <v>235</v>
      </c>
      <c r="AU245" s="22">
        <v>0.575928</v>
      </c>
      <c r="AV245">
        <f t="shared" si="44"/>
        <v>17.2455</v>
      </c>
      <c r="AW245">
        <f t="shared" si="45"/>
        <v>9.9442726649999997</v>
      </c>
      <c r="AX245" s="9"/>
      <c r="AY245" s="22">
        <v>1.0833699999999999</v>
      </c>
      <c r="AZ245" s="22">
        <v>298.334</v>
      </c>
      <c r="BA245" s="22">
        <v>-1.31836E-2</v>
      </c>
      <c r="BB245" s="22">
        <v>235</v>
      </c>
      <c r="BC245" s="22">
        <v>1.08368</v>
      </c>
      <c r="BD245">
        <f t="shared" si="46"/>
        <v>13.1836</v>
      </c>
      <c r="BE245">
        <f t="shared" si="47"/>
        <v>14.282716731999999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0.57159400000000005</v>
      </c>
      <c r="H246" s="22">
        <v>51.682899999999997</v>
      </c>
      <c r="I246" s="22">
        <v>-1.73157E-2</v>
      </c>
      <c r="J246" s="22">
        <v>236</v>
      </c>
      <c r="K246" s="22">
        <v>0.57089199999999996</v>
      </c>
      <c r="L246">
        <f t="shared" si="36"/>
        <v>17.3157</v>
      </c>
      <c r="M246">
        <f t="shared" si="37"/>
        <v>9.8975502257999999</v>
      </c>
      <c r="N246" s="9"/>
      <c r="O246" s="22">
        <v>1.0884100000000001</v>
      </c>
      <c r="P246" s="22">
        <v>100.926</v>
      </c>
      <c r="Q246" s="22">
        <v>0.138763</v>
      </c>
      <c r="R246" s="22">
        <v>236</v>
      </c>
      <c r="S246" s="22">
        <v>0.27331499999999997</v>
      </c>
      <c r="T246">
        <f t="shared" si="38"/>
        <v>-138.76300000000001</v>
      </c>
      <c r="U246">
        <f t="shared" si="39"/>
        <v>-151.03103683000003</v>
      </c>
      <c r="X246" s="9"/>
      <c r="Y246" s="22">
        <v>0.57159400000000005</v>
      </c>
      <c r="Z246" s="22">
        <v>150.32900000000001</v>
      </c>
      <c r="AA246" s="22">
        <v>-1.7251599999999999E-2</v>
      </c>
      <c r="AB246" s="22">
        <v>236</v>
      </c>
      <c r="AC246" s="22">
        <v>0.57028199999999996</v>
      </c>
      <c r="AD246">
        <f t="shared" si="40"/>
        <v>17.2516</v>
      </c>
      <c r="AE246">
        <f t="shared" si="41"/>
        <v>9.8609110504000004</v>
      </c>
      <c r="AF246" s="9"/>
      <c r="AG246" s="22">
        <v>1.0884100000000001</v>
      </c>
      <c r="AH246" s="22">
        <v>199.69499999999999</v>
      </c>
      <c r="AI246" s="22">
        <v>0.13827500000000001</v>
      </c>
      <c r="AJ246" s="22">
        <v>236</v>
      </c>
      <c r="AK246" s="22">
        <v>0.27288800000000002</v>
      </c>
      <c r="AL246">
        <f t="shared" si="42"/>
        <v>-138.27500000000001</v>
      </c>
      <c r="AM246">
        <f t="shared" si="43"/>
        <v>-150.49989275000001</v>
      </c>
      <c r="AP246" s="9"/>
      <c r="AQ246" s="22">
        <v>0.57159400000000005</v>
      </c>
      <c r="AR246" s="22">
        <v>248.97800000000001</v>
      </c>
      <c r="AS246" s="22">
        <v>-1.7251599999999999E-2</v>
      </c>
      <c r="AT246" s="22">
        <v>236</v>
      </c>
      <c r="AU246" s="22">
        <v>0.57055699999999998</v>
      </c>
      <c r="AV246">
        <f t="shared" si="44"/>
        <v>17.2516</v>
      </c>
      <c r="AW246">
        <f t="shared" si="45"/>
        <v>9.8609110504000004</v>
      </c>
      <c r="AX246" s="9"/>
      <c r="AY246" s="22">
        <v>1.0884100000000001</v>
      </c>
      <c r="AZ246" s="22">
        <v>298.34399999999999</v>
      </c>
      <c r="BA246" s="22">
        <v>-1.17676E-2</v>
      </c>
      <c r="BB246" s="22">
        <v>236</v>
      </c>
      <c r="BC246" s="22">
        <v>1.08948</v>
      </c>
      <c r="BD246">
        <f t="shared" si="46"/>
        <v>11.7676</v>
      </c>
      <c r="BE246">
        <f t="shared" si="47"/>
        <v>12.807973516000001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0.56655900000000003</v>
      </c>
      <c r="H247" s="22">
        <v>51.692999999999998</v>
      </c>
      <c r="I247" s="22">
        <v>-1.73157E-2</v>
      </c>
      <c r="J247" s="22">
        <v>237</v>
      </c>
      <c r="K247" s="22">
        <v>0.56564300000000001</v>
      </c>
      <c r="L247">
        <f t="shared" si="36"/>
        <v>17.3157</v>
      </c>
      <c r="M247">
        <f t="shared" si="37"/>
        <v>9.8103656763</v>
      </c>
      <c r="N247" s="9"/>
      <c r="O247" s="22">
        <v>1.09344</v>
      </c>
      <c r="P247" s="22">
        <v>100.93600000000001</v>
      </c>
      <c r="Q247" s="22">
        <v>0.138733</v>
      </c>
      <c r="R247" s="22">
        <v>237</v>
      </c>
      <c r="S247" s="22">
        <v>0.27444499999999999</v>
      </c>
      <c r="T247">
        <f t="shared" si="38"/>
        <v>-138.733</v>
      </c>
      <c r="U247">
        <f t="shared" si="39"/>
        <v>-151.69621151999999</v>
      </c>
      <c r="X247" s="9"/>
      <c r="Y247" s="22">
        <v>0.56655900000000003</v>
      </c>
      <c r="Z247" s="22">
        <v>150.339</v>
      </c>
      <c r="AA247" s="22">
        <v>-1.7254599999999998E-2</v>
      </c>
      <c r="AB247" s="22">
        <v>237</v>
      </c>
      <c r="AC247" s="22">
        <v>0.56552100000000005</v>
      </c>
      <c r="AD247">
        <f t="shared" si="40"/>
        <v>17.2546</v>
      </c>
      <c r="AE247">
        <f t="shared" si="41"/>
        <v>9.7757489214</v>
      </c>
      <c r="AF247" s="9"/>
      <c r="AG247" s="22">
        <v>1.09344</v>
      </c>
      <c r="AH247" s="22">
        <v>199.70500000000001</v>
      </c>
      <c r="AI247" s="22">
        <v>0.138153</v>
      </c>
      <c r="AJ247" s="22">
        <v>237</v>
      </c>
      <c r="AK247" s="22">
        <v>0.27337600000000001</v>
      </c>
      <c r="AL247">
        <f t="shared" si="42"/>
        <v>-138.15299999999999</v>
      </c>
      <c r="AM247">
        <f t="shared" si="43"/>
        <v>-151.06201632</v>
      </c>
      <c r="AP247" s="9"/>
      <c r="AQ247" s="22">
        <v>0.56655900000000003</v>
      </c>
      <c r="AR247" s="22">
        <v>248.988</v>
      </c>
      <c r="AS247" s="22">
        <v>-1.7254599999999998E-2</v>
      </c>
      <c r="AT247" s="22">
        <v>237</v>
      </c>
      <c r="AU247" s="22">
        <v>0.56582600000000005</v>
      </c>
      <c r="AV247">
        <f t="shared" si="44"/>
        <v>17.2546</v>
      </c>
      <c r="AW247">
        <f t="shared" si="45"/>
        <v>9.7757489214</v>
      </c>
      <c r="AX247" s="9"/>
      <c r="AY247" s="22">
        <v>1.09344</v>
      </c>
      <c r="AZ247" s="22">
        <v>298.35399999999998</v>
      </c>
      <c r="BA247" s="22">
        <v>-1.0907E-2</v>
      </c>
      <c r="BB247" s="22">
        <v>237</v>
      </c>
      <c r="BC247" s="22">
        <v>1.091</v>
      </c>
      <c r="BD247">
        <f t="shared" si="46"/>
        <v>10.907</v>
      </c>
      <c r="BE247">
        <f t="shared" si="47"/>
        <v>11.926150079999999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0.56152299999999999</v>
      </c>
      <c r="H248" s="22">
        <v>51.703000000000003</v>
      </c>
      <c r="I248" s="22">
        <v>-1.73157E-2</v>
      </c>
      <c r="J248" s="22">
        <v>238</v>
      </c>
      <c r="K248" s="22">
        <v>0.56051600000000001</v>
      </c>
      <c r="L248">
        <f t="shared" si="36"/>
        <v>17.3157</v>
      </c>
      <c r="M248">
        <f t="shared" si="37"/>
        <v>9.7231638110999992</v>
      </c>
      <c r="N248" s="9"/>
      <c r="O248" s="22">
        <v>1.0984799999999999</v>
      </c>
      <c r="P248" s="22">
        <v>100.946</v>
      </c>
      <c r="Q248" s="22">
        <v>0.13858000000000001</v>
      </c>
      <c r="R248" s="22">
        <v>238</v>
      </c>
      <c r="S248" s="22">
        <v>0.27349899999999999</v>
      </c>
      <c r="T248">
        <f t="shared" si="38"/>
        <v>-138.58000000000001</v>
      </c>
      <c r="U248">
        <f t="shared" si="39"/>
        <v>-152.22735840000001</v>
      </c>
      <c r="X248" s="9"/>
      <c r="Y248" s="22">
        <v>0.56152299999999999</v>
      </c>
      <c r="Z248" s="22">
        <v>150.34899999999999</v>
      </c>
      <c r="AA248" s="22">
        <v>-1.7257700000000001E-2</v>
      </c>
      <c r="AB248" s="22">
        <v>238</v>
      </c>
      <c r="AC248" s="22">
        <v>0.56121799999999999</v>
      </c>
      <c r="AD248">
        <f t="shared" si="40"/>
        <v>17.2577</v>
      </c>
      <c r="AE248">
        <f t="shared" si="41"/>
        <v>9.6905954771000005</v>
      </c>
      <c r="AF248" s="9"/>
      <c r="AG248" s="22">
        <v>1.0984799999999999</v>
      </c>
      <c r="AH248" s="22">
        <v>199.715</v>
      </c>
      <c r="AI248" s="22">
        <v>0.13806199999999999</v>
      </c>
      <c r="AJ248" s="22">
        <v>238</v>
      </c>
      <c r="AK248" s="22">
        <v>0.27337600000000001</v>
      </c>
      <c r="AL248">
        <f t="shared" si="42"/>
        <v>-138.06199999999998</v>
      </c>
      <c r="AM248">
        <f t="shared" si="43"/>
        <v>-151.65834575999997</v>
      </c>
      <c r="AP248" s="9"/>
      <c r="AQ248" s="22">
        <v>0.56152299999999999</v>
      </c>
      <c r="AR248" s="22">
        <v>248.99799999999999</v>
      </c>
      <c r="AS248" s="22">
        <v>-1.72607E-2</v>
      </c>
      <c r="AT248" s="22">
        <v>238</v>
      </c>
      <c r="AU248" s="22">
        <v>0.56091299999999999</v>
      </c>
      <c r="AV248">
        <f t="shared" si="44"/>
        <v>17.2607</v>
      </c>
      <c r="AW248">
        <f t="shared" si="45"/>
        <v>9.6922800461000005</v>
      </c>
      <c r="AX248" s="9"/>
      <c r="AY248" s="22">
        <v>1.0984799999999999</v>
      </c>
      <c r="AZ248" s="22">
        <v>298.36399999999998</v>
      </c>
      <c r="BA248" s="22">
        <v>-9.9212599999999995E-3</v>
      </c>
      <c r="BB248" s="22">
        <v>238</v>
      </c>
      <c r="BC248" s="22">
        <v>1.09589</v>
      </c>
      <c r="BD248">
        <f t="shared" si="46"/>
        <v>9.9212600000000002</v>
      </c>
      <c r="BE248">
        <f t="shared" si="47"/>
        <v>10.898305684799999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0.55648799999999998</v>
      </c>
      <c r="H249" s="22">
        <v>51.713099999999997</v>
      </c>
      <c r="I249" s="22">
        <v>-1.7318699999999999E-2</v>
      </c>
      <c r="J249" s="22">
        <v>239</v>
      </c>
      <c r="K249" s="22">
        <v>0.55532800000000004</v>
      </c>
      <c r="L249">
        <f t="shared" si="36"/>
        <v>17.3187</v>
      </c>
      <c r="M249">
        <f t="shared" si="37"/>
        <v>9.6376487256000001</v>
      </c>
      <c r="N249" s="9"/>
      <c r="O249" s="22">
        <v>1.1035200000000001</v>
      </c>
      <c r="P249" s="22">
        <v>100.95699999999999</v>
      </c>
      <c r="Q249" s="22">
        <v>0.13897699999999999</v>
      </c>
      <c r="R249" s="22">
        <v>239</v>
      </c>
      <c r="S249" s="22">
        <v>0.27340700000000001</v>
      </c>
      <c r="T249">
        <f t="shared" si="38"/>
        <v>-138.97699999999998</v>
      </c>
      <c r="U249">
        <f t="shared" si="39"/>
        <v>-153.36389903999998</v>
      </c>
      <c r="X249" s="9"/>
      <c r="Y249" s="22">
        <v>0.55648799999999998</v>
      </c>
      <c r="Z249" s="22">
        <v>150.35900000000001</v>
      </c>
      <c r="AA249" s="22">
        <v>-1.72607E-2</v>
      </c>
      <c r="AB249" s="22">
        <v>239</v>
      </c>
      <c r="AC249" s="22">
        <v>0.55554199999999998</v>
      </c>
      <c r="AD249">
        <f t="shared" si="40"/>
        <v>17.2607</v>
      </c>
      <c r="AE249">
        <f t="shared" si="41"/>
        <v>9.6053724216000003</v>
      </c>
      <c r="AF249" s="9"/>
      <c r="AG249" s="22">
        <v>1.1035200000000001</v>
      </c>
      <c r="AH249" s="22">
        <v>199.72499999999999</v>
      </c>
      <c r="AI249" s="22">
        <v>0.138123</v>
      </c>
      <c r="AJ249" s="22">
        <v>239</v>
      </c>
      <c r="AK249" s="22">
        <v>0.27316299999999999</v>
      </c>
      <c r="AL249">
        <f t="shared" si="42"/>
        <v>-138.12299999999999</v>
      </c>
      <c r="AM249">
        <f t="shared" si="43"/>
        <v>-152.42149295999999</v>
      </c>
      <c r="AP249" s="9"/>
      <c r="AQ249" s="22">
        <v>0.55648799999999998</v>
      </c>
      <c r="AR249" s="22">
        <v>249.00800000000001</v>
      </c>
      <c r="AS249" s="22">
        <v>-1.72607E-2</v>
      </c>
      <c r="AT249" s="22">
        <v>239</v>
      </c>
      <c r="AU249" s="22">
        <v>0.555786</v>
      </c>
      <c r="AV249">
        <f t="shared" si="44"/>
        <v>17.2607</v>
      </c>
      <c r="AW249">
        <f t="shared" si="45"/>
        <v>9.6053724216000003</v>
      </c>
      <c r="AX249" s="9"/>
      <c r="AY249" s="22">
        <v>1.1035200000000001</v>
      </c>
      <c r="AZ249" s="22">
        <v>298.37400000000002</v>
      </c>
      <c r="BA249" s="22">
        <v>-8.0474899999999992E-3</v>
      </c>
      <c r="BB249" s="22">
        <v>239</v>
      </c>
      <c r="BC249" s="22">
        <v>1.10382</v>
      </c>
      <c r="BD249">
        <f t="shared" si="46"/>
        <v>8.0474899999999998</v>
      </c>
      <c r="BE249">
        <f t="shared" si="47"/>
        <v>8.8805661647999994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0.55145299999999997</v>
      </c>
      <c r="H250" s="22">
        <v>51.723199999999999</v>
      </c>
      <c r="I250" s="22">
        <v>-1.7321799999999998E-2</v>
      </c>
      <c r="J250" s="22">
        <v>240</v>
      </c>
      <c r="K250" s="22">
        <v>0.55007899999999998</v>
      </c>
      <c r="L250">
        <f t="shared" si="36"/>
        <v>17.3218</v>
      </c>
      <c r="M250">
        <f t="shared" si="37"/>
        <v>9.5521585754</v>
      </c>
      <c r="N250" s="9"/>
      <c r="O250" s="22">
        <v>1.1085499999999999</v>
      </c>
      <c r="P250" s="22">
        <v>100.967</v>
      </c>
      <c r="Q250" s="22">
        <v>0.138824</v>
      </c>
      <c r="R250" s="22">
        <v>240</v>
      </c>
      <c r="S250" s="22">
        <v>0.273621</v>
      </c>
      <c r="T250">
        <f t="shared" si="38"/>
        <v>-138.82400000000001</v>
      </c>
      <c r="U250">
        <f t="shared" si="39"/>
        <v>-153.8933452</v>
      </c>
      <c r="X250" s="9"/>
      <c r="Y250" s="22">
        <v>0.55145299999999997</v>
      </c>
      <c r="Z250" s="22">
        <v>150.369</v>
      </c>
      <c r="AA250" s="22">
        <v>-1.72607E-2</v>
      </c>
      <c r="AB250" s="22">
        <v>240</v>
      </c>
      <c r="AC250" s="22">
        <v>0.55059800000000003</v>
      </c>
      <c r="AD250">
        <f t="shared" si="40"/>
        <v>17.2607</v>
      </c>
      <c r="AE250">
        <f t="shared" si="41"/>
        <v>9.5184647971</v>
      </c>
      <c r="AF250" s="9"/>
      <c r="AG250" s="22">
        <v>1.1085499999999999</v>
      </c>
      <c r="AH250" s="22">
        <v>199.73500000000001</v>
      </c>
      <c r="AI250" s="22">
        <v>0.13800000000000001</v>
      </c>
      <c r="AJ250" s="22">
        <v>240</v>
      </c>
      <c r="AK250" s="22">
        <v>0.27288800000000002</v>
      </c>
      <c r="AL250">
        <f t="shared" si="42"/>
        <v>-138</v>
      </c>
      <c r="AM250">
        <f t="shared" si="43"/>
        <v>-152.97989999999999</v>
      </c>
      <c r="AP250" s="9"/>
      <c r="AQ250" s="22">
        <v>0.55145299999999997</v>
      </c>
      <c r="AR250" s="22">
        <v>249.018</v>
      </c>
      <c r="AS250" s="22">
        <v>-1.7254599999999998E-2</v>
      </c>
      <c r="AT250" s="22">
        <v>240</v>
      </c>
      <c r="AU250" s="22">
        <v>0.55071999999999999</v>
      </c>
      <c r="AV250">
        <f t="shared" si="44"/>
        <v>17.2546</v>
      </c>
      <c r="AW250">
        <f t="shared" si="45"/>
        <v>9.5151009337999994</v>
      </c>
      <c r="AX250" s="9"/>
      <c r="AY250" s="22">
        <v>1.1085499999999999</v>
      </c>
      <c r="AZ250" s="22">
        <v>298.38400000000001</v>
      </c>
      <c r="BA250" s="22">
        <v>-8.3587599999999998E-3</v>
      </c>
      <c r="BB250" s="22">
        <v>240</v>
      </c>
      <c r="BC250" s="22">
        <v>1.1203000000000001</v>
      </c>
      <c r="BD250">
        <f t="shared" si="46"/>
        <v>8.3587600000000002</v>
      </c>
      <c r="BE250">
        <f t="shared" si="47"/>
        <v>9.2661033980000003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0.54641700000000004</v>
      </c>
      <c r="H251" s="22">
        <v>51.7333</v>
      </c>
      <c r="I251" s="22">
        <v>-1.73279E-2</v>
      </c>
      <c r="J251" s="22">
        <v>241</v>
      </c>
      <c r="K251" s="22">
        <v>0.54568499999999998</v>
      </c>
      <c r="L251">
        <f t="shared" si="36"/>
        <v>17.3279</v>
      </c>
      <c r="M251">
        <f t="shared" si="37"/>
        <v>9.4682591343000002</v>
      </c>
      <c r="N251" s="9"/>
      <c r="O251" s="22">
        <v>1.1135900000000001</v>
      </c>
      <c r="P251" s="22">
        <v>100.977</v>
      </c>
      <c r="Q251" s="22">
        <v>0.138794</v>
      </c>
      <c r="R251" s="22">
        <v>241</v>
      </c>
      <c r="S251" s="22">
        <v>0.27447500000000002</v>
      </c>
      <c r="T251">
        <f t="shared" si="38"/>
        <v>-138.79400000000001</v>
      </c>
      <c r="U251">
        <f t="shared" si="39"/>
        <v>-154.55961046000002</v>
      </c>
      <c r="X251" s="9"/>
      <c r="Y251" s="22">
        <v>0.54641700000000004</v>
      </c>
      <c r="Z251" s="22">
        <v>150.37899999999999</v>
      </c>
      <c r="AA251" s="22">
        <v>-1.7269900000000001E-2</v>
      </c>
      <c r="AB251" s="22">
        <v>241</v>
      </c>
      <c r="AC251" s="22">
        <v>0.54550200000000004</v>
      </c>
      <c r="AD251">
        <f t="shared" si="40"/>
        <v>17.2699</v>
      </c>
      <c r="AE251">
        <f t="shared" si="41"/>
        <v>9.4365669483000012</v>
      </c>
      <c r="AF251" s="9"/>
      <c r="AG251" s="22">
        <v>1.1135900000000001</v>
      </c>
      <c r="AH251" s="22">
        <v>199.74600000000001</v>
      </c>
      <c r="AI251" s="22">
        <v>0.13797000000000001</v>
      </c>
      <c r="AJ251" s="22">
        <v>241</v>
      </c>
      <c r="AK251" s="22">
        <v>0.27386500000000003</v>
      </c>
      <c r="AL251">
        <f t="shared" si="42"/>
        <v>-137.97</v>
      </c>
      <c r="AM251">
        <f t="shared" si="43"/>
        <v>-153.6420123</v>
      </c>
      <c r="AP251" s="9"/>
      <c r="AQ251" s="22">
        <v>0.54641700000000004</v>
      </c>
      <c r="AR251" s="22">
        <v>249.02799999999999</v>
      </c>
      <c r="AS251" s="22">
        <v>-1.7257700000000001E-2</v>
      </c>
      <c r="AT251" s="22">
        <v>241</v>
      </c>
      <c r="AU251" s="22">
        <v>0.54550200000000004</v>
      </c>
      <c r="AV251">
        <f t="shared" si="44"/>
        <v>17.2577</v>
      </c>
      <c r="AW251">
        <f t="shared" si="45"/>
        <v>9.4299006609000013</v>
      </c>
      <c r="AX251" s="9"/>
      <c r="AY251" s="22">
        <v>1.1135900000000001</v>
      </c>
      <c r="AZ251" s="22">
        <v>298.39400000000001</v>
      </c>
      <c r="BA251" s="22">
        <v>-6.8084699999999996E-3</v>
      </c>
      <c r="BB251" s="22">
        <v>241</v>
      </c>
      <c r="BC251" s="22">
        <v>1.1111500000000001</v>
      </c>
      <c r="BD251">
        <f t="shared" si="46"/>
        <v>6.8084699999999998</v>
      </c>
      <c r="BE251">
        <f t="shared" si="47"/>
        <v>7.5818441073000002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0.54138200000000003</v>
      </c>
      <c r="H252" s="22">
        <v>51.743299999999998</v>
      </c>
      <c r="I252" s="22">
        <v>-1.7333999999999999E-2</v>
      </c>
      <c r="J252" s="22">
        <v>242</v>
      </c>
      <c r="K252" s="22">
        <v>0.54043600000000003</v>
      </c>
      <c r="L252">
        <f t="shared" si="36"/>
        <v>17.334</v>
      </c>
      <c r="M252">
        <f t="shared" si="37"/>
        <v>9.3843155879999998</v>
      </c>
      <c r="N252" s="9"/>
      <c r="O252" s="22">
        <v>1.1186199999999999</v>
      </c>
      <c r="P252" s="22">
        <v>100.98699999999999</v>
      </c>
      <c r="Q252" s="22">
        <v>0.138733</v>
      </c>
      <c r="R252" s="22">
        <v>242</v>
      </c>
      <c r="S252" s="22">
        <v>0.27413900000000002</v>
      </c>
      <c r="T252">
        <f t="shared" si="38"/>
        <v>-138.733</v>
      </c>
      <c r="U252">
        <f t="shared" si="39"/>
        <v>-155.18950845999998</v>
      </c>
      <c r="X252" s="9"/>
      <c r="Y252" s="22">
        <v>0.54138200000000003</v>
      </c>
      <c r="Z252" s="22">
        <v>150.38900000000001</v>
      </c>
      <c r="AA252" s="22">
        <v>-1.7272900000000001E-2</v>
      </c>
      <c r="AB252" s="22">
        <v>242</v>
      </c>
      <c r="AC252" s="22">
        <v>0.54061899999999996</v>
      </c>
      <c r="AD252">
        <f t="shared" si="40"/>
        <v>17.2729</v>
      </c>
      <c r="AE252">
        <f t="shared" si="41"/>
        <v>9.3512371478000009</v>
      </c>
      <c r="AF252" s="9"/>
      <c r="AG252" s="22">
        <v>1.1186199999999999</v>
      </c>
      <c r="AH252" s="22">
        <v>199.756</v>
      </c>
      <c r="AI252" s="22">
        <v>0.13809199999999999</v>
      </c>
      <c r="AJ252" s="22">
        <v>242</v>
      </c>
      <c r="AK252" s="22">
        <v>0.27368199999999998</v>
      </c>
      <c r="AL252">
        <f t="shared" si="42"/>
        <v>-138.09199999999998</v>
      </c>
      <c r="AM252">
        <f t="shared" si="43"/>
        <v>-154.47247303999998</v>
      </c>
      <c r="AP252" s="9"/>
      <c r="AQ252" s="22">
        <v>0.54138200000000003</v>
      </c>
      <c r="AR252" s="22">
        <v>249.03800000000001</v>
      </c>
      <c r="AS252" s="22">
        <v>-1.7266799999999999E-2</v>
      </c>
      <c r="AT252" s="22">
        <v>242</v>
      </c>
      <c r="AU252" s="22">
        <v>0.54040500000000002</v>
      </c>
      <c r="AV252">
        <f t="shared" si="44"/>
        <v>17.2668</v>
      </c>
      <c r="AW252">
        <f t="shared" si="45"/>
        <v>9.3479347176000012</v>
      </c>
      <c r="AX252" s="9"/>
      <c r="AY252" s="22">
        <v>1.1186199999999999</v>
      </c>
      <c r="AZ252" s="22">
        <v>298.404</v>
      </c>
      <c r="BA252" s="22">
        <v>-5.6640600000000003E-3</v>
      </c>
      <c r="BB252" s="22">
        <v>242</v>
      </c>
      <c r="BC252" s="22">
        <v>1.1209100000000001</v>
      </c>
      <c r="BD252">
        <f t="shared" si="46"/>
        <v>5.6640600000000001</v>
      </c>
      <c r="BE252">
        <f t="shared" si="47"/>
        <v>6.3359307971999996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0.53634599999999999</v>
      </c>
      <c r="H253" s="22">
        <v>51.753399999999999</v>
      </c>
      <c r="I253" s="22">
        <v>-1.7337000000000002E-2</v>
      </c>
      <c r="J253" s="22">
        <v>243</v>
      </c>
      <c r="K253" s="22">
        <v>0.53573599999999999</v>
      </c>
      <c r="L253">
        <f t="shared" si="36"/>
        <v>17.337000000000003</v>
      </c>
      <c r="M253">
        <f t="shared" si="37"/>
        <v>9.2986306020000011</v>
      </c>
      <c r="N253" s="9"/>
      <c r="O253" s="22">
        <v>1.1236600000000001</v>
      </c>
      <c r="P253" s="22">
        <v>100.997</v>
      </c>
      <c r="Q253" s="22">
        <v>0.138733</v>
      </c>
      <c r="R253" s="22">
        <v>243</v>
      </c>
      <c r="S253" s="22">
        <v>0.273254</v>
      </c>
      <c r="T253">
        <f t="shared" si="38"/>
        <v>-138.733</v>
      </c>
      <c r="U253">
        <f t="shared" si="39"/>
        <v>-155.88872278000002</v>
      </c>
      <c r="X253" s="9"/>
      <c r="Y253" s="22">
        <v>0.53634599999999999</v>
      </c>
      <c r="Z253" s="22">
        <v>150.399</v>
      </c>
      <c r="AA253" s="22">
        <v>-1.7282100000000002E-2</v>
      </c>
      <c r="AB253" s="22">
        <v>243</v>
      </c>
      <c r="AC253" s="22">
        <v>0.53503400000000001</v>
      </c>
      <c r="AD253">
        <f t="shared" si="40"/>
        <v>17.282100000000003</v>
      </c>
      <c r="AE253">
        <f t="shared" si="41"/>
        <v>9.2691852066000013</v>
      </c>
      <c r="AF253" s="9"/>
      <c r="AG253" s="22">
        <v>1.1236600000000001</v>
      </c>
      <c r="AH253" s="22">
        <v>199.76599999999999</v>
      </c>
      <c r="AI253" s="22">
        <v>0.137848</v>
      </c>
      <c r="AJ253" s="22">
        <v>243</v>
      </c>
      <c r="AK253" s="22">
        <v>0.27371200000000001</v>
      </c>
      <c r="AL253">
        <f t="shared" si="42"/>
        <v>-137.84799999999998</v>
      </c>
      <c r="AM253">
        <f t="shared" si="43"/>
        <v>-154.89428368</v>
      </c>
      <c r="AP253" s="9"/>
      <c r="AQ253" s="22">
        <v>0.53634599999999999</v>
      </c>
      <c r="AR253" s="22">
        <v>249.048</v>
      </c>
      <c r="AS253" s="22">
        <v>-1.7266799999999999E-2</v>
      </c>
      <c r="AT253" s="22">
        <v>243</v>
      </c>
      <c r="AU253" s="22">
        <v>0.53579699999999997</v>
      </c>
      <c r="AV253">
        <f t="shared" si="44"/>
        <v>17.2668</v>
      </c>
      <c r="AW253">
        <f t="shared" si="45"/>
        <v>9.2609791127999994</v>
      </c>
      <c r="AX253" s="9"/>
      <c r="AY253" s="22">
        <v>1.1236600000000001</v>
      </c>
      <c r="AZ253" s="22">
        <v>298.41500000000002</v>
      </c>
      <c r="BA253" s="22">
        <v>-4.9957300000000003E-3</v>
      </c>
      <c r="BB253" s="22">
        <v>243</v>
      </c>
      <c r="BC253" s="22">
        <v>1.1297600000000001</v>
      </c>
      <c r="BD253">
        <f t="shared" si="46"/>
        <v>4.99573</v>
      </c>
      <c r="BE253">
        <f t="shared" si="47"/>
        <v>5.6135019718000008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0.53131099999999998</v>
      </c>
      <c r="H254" s="22">
        <v>51.763500000000001</v>
      </c>
      <c r="I254" s="22">
        <v>-1.73431E-2</v>
      </c>
      <c r="J254" s="22">
        <v>244</v>
      </c>
      <c r="K254" s="22">
        <v>0.53048700000000004</v>
      </c>
      <c r="L254">
        <f t="shared" si="36"/>
        <v>17.3431</v>
      </c>
      <c r="M254">
        <f t="shared" si="37"/>
        <v>9.2145798040999995</v>
      </c>
      <c r="N254" s="9"/>
      <c r="O254" s="22">
        <v>1.12869</v>
      </c>
      <c r="P254" s="22">
        <v>101.00700000000001</v>
      </c>
      <c r="Q254" s="22">
        <v>0.13861100000000001</v>
      </c>
      <c r="R254" s="22">
        <v>244</v>
      </c>
      <c r="S254" s="22">
        <v>0.273926</v>
      </c>
      <c r="T254">
        <f t="shared" si="38"/>
        <v>-138.61100000000002</v>
      </c>
      <c r="U254">
        <f t="shared" si="39"/>
        <v>-156.44884959000001</v>
      </c>
      <c r="X254" s="9"/>
      <c r="Y254" s="22">
        <v>0.53131099999999998</v>
      </c>
      <c r="Z254" s="22">
        <v>150.40899999999999</v>
      </c>
      <c r="AA254" s="22">
        <v>-1.72882E-2</v>
      </c>
      <c r="AB254" s="22">
        <v>244</v>
      </c>
      <c r="AC254" s="22">
        <v>0.53039599999999998</v>
      </c>
      <c r="AD254">
        <f t="shared" si="40"/>
        <v>17.2882</v>
      </c>
      <c r="AE254">
        <f t="shared" si="41"/>
        <v>9.1854108302000004</v>
      </c>
      <c r="AF254" s="9"/>
      <c r="AG254" s="22">
        <v>1.12869</v>
      </c>
      <c r="AH254" s="22">
        <v>199.77600000000001</v>
      </c>
      <c r="AI254" s="22">
        <v>0.13778699999999999</v>
      </c>
      <c r="AJ254" s="22">
        <v>244</v>
      </c>
      <c r="AK254" s="22">
        <v>0.27276600000000001</v>
      </c>
      <c r="AL254">
        <f t="shared" si="42"/>
        <v>-137.78700000000001</v>
      </c>
      <c r="AM254">
        <f t="shared" si="43"/>
        <v>-155.51880903</v>
      </c>
      <c r="AP254" s="9"/>
      <c r="AQ254" s="22">
        <v>0.53131099999999998</v>
      </c>
      <c r="AR254" s="22">
        <v>249.05799999999999</v>
      </c>
      <c r="AS254" s="22">
        <v>-1.7269900000000001E-2</v>
      </c>
      <c r="AT254" s="22">
        <v>244</v>
      </c>
      <c r="AU254" s="22">
        <v>0.53042599999999995</v>
      </c>
      <c r="AV254">
        <f t="shared" si="44"/>
        <v>17.2699</v>
      </c>
      <c r="AW254">
        <f t="shared" si="45"/>
        <v>9.1756878389000001</v>
      </c>
      <c r="AX254" s="9"/>
      <c r="AY254" s="22">
        <v>1.12869</v>
      </c>
      <c r="AZ254" s="22">
        <v>298.42500000000001</v>
      </c>
      <c r="BA254" s="22">
        <v>-4.2877200000000001E-3</v>
      </c>
      <c r="BB254" s="22">
        <v>244</v>
      </c>
      <c r="BC254" s="22">
        <v>1.1270100000000001</v>
      </c>
      <c r="BD254">
        <f t="shared" si="46"/>
        <v>4.2877200000000002</v>
      </c>
      <c r="BE254">
        <f t="shared" si="47"/>
        <v>4.8395066868000001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0.52627599999999997</v>
      </c>
      <c r="H255" s="22">
        <v>51.773499999999999</v>
      </c>
      <c r="I255" s="22">
        <v>-1.7346199999999999E-2</v>
      </c>
      <c r="J255" s="22">
        <v>245</v>
      </c>
      <c r="K255" s="22">
        <v>0.52511600000000003</v>
      </c>
      <c r="L255">
        <f t="shared" si="36"/>
        <v>17.3462</v>
      </c>
      <c r="M255">
        <f t="shared" si="37"/>
        <v>9.1288887511999999</v>
      </c>
      <c r="N255" s="9"/>
      <c r="O255" s="22">
        <v>1.1337299999999999</v>
      </c>
      <c r="P255" s="22">
        <v>101.017</v>
      </c>
      <c r="Q255" s="22">
        <v>0.13855000000000001</v>
      </c>
      <c r="R255" s="22">
        <v>245</v>
      </c>
      <c r="S255" s="22">
        <v>0.27371200000000001</v>
      </c>
      <c r="T255">
        <f t="shared" si="38"/>
        <v>-138.55000000000001</v>
      </c>
      <c r="U255">
        <f t="shared" si="39"/>
        <v>-157.07829150000001</v>
      </c>
      <c r="X255" s="9"/>
      <c r="Y255" s="22">
        <v>0.52627599999999997</v>
      </c>
      <c r="Z255" s="22">
        <v>150.41900000000001</v>
      </c>
      <c r="AA255" s="22">
        <v>-1.7291299999999999E-2</v>
      </c>
      <c r="AB255" s="22">
        <v>245</v>
      </c>
      <c r="AC255" s="22">
        <v>0.52502400000000005</v>
      </c>
      <c r="AD255">
        <f t="shared" si="40"/>
        <v>17.2913</v>
      </c>
      <c r="AE255">
        <f t="shared" si="41"/>
        <v>9.0999961987999995</v>
      </c>
      <c r="AF255" s="9"/>
      <c r="AG255" s="22">
        <v>1.1337299999999999</v>
      </c>
      <c r="AH255" s="22">
        <v>199.786</v>
      </c>
      <c r="AI255" s="22">
        <v>0.13769500000000001</v>
      </c>
      <c r="AJ255" s="22">
        <v>245</v>
      </c>
      <c r="AK255" s="22">
        <v>0.27270499999999998</v>
      </c>
      <c r="AL255">
        <f t="shared" si="42"/>
        <v>-137.69500000000002</v>
      </c>
      <c r="AM255">
        <f t="shared" si="43"/>
        <v>-156.10895235000001</v>
      </c>
      <c r="AP255" s="9"/>
      <c r="AQ255" s="22">
        <v>0.52627599999999997</v>
      </c>
      <c r="AR255" s="22">
        <v>249.06800000000001</v>
      </c>
      <c r="AS255" s="22">
        <v>-1.7276E-2</v>
      </c>
      <c r="AT255" s="22">
        <v>245</v>
      </c>
      <c r="AU255" s="22">
        <v>0.52551300000000001</v>
      </c>
      <c r="AV255">
        <f t="shared" si="44"/>
        <v>17.276</v>
      </c>
      <c r="AW255">
        <f t="shared" si="45"/>
        <v>9.0919441760000002</v>
      </c>
      <c r="AX255" s="9"/>
      <c r="AY255" s="22">
        <v>1.1337299999999999</v>
      </c>
      <c r="AZ255" s="22">
        <v>298.435</v>
      </c>
      <c r="BA255" s="22">
        <v>-1.6580200000000001E-3</v>
      </c>
      <c r="BB255" s="22">
        <v>245</v>
      </c>
      <c r="BC255" s="22">
        <v>1.1282300000000001</v>
      </c>
      <c r="BD255">
        <f t="shared" si="46"/>
        <v>1.65802</v>
      </c>
      <c r="BE255">
        <f t="shared" si="47"/>
        <v>1.8797470145999999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0.52124000000000004</v>
      </c>
      <c r="H256" s="22">
        <v>51.7836</v>
      </c>
      <c r="I256" s="22">
        <v>-1.7349199999999999E-2</v>
      </c>
      <c r="J256" s="22">
        <v>246</v>
      </c>
      <c r="K256" s="22">
        <v>0.52059900000000003</v>
      </c>
      <c r="L256">
        <f t="shared" si="36"/>
        <v>17.3492</v>
      </c>
      <c r="M256">
        <f t="shared" si="37"/>
        <v>9.0430970080000002</v>
      </c>
      <c r="N256" s="9"/>
      <c r="O256" s="22">
        <v>1.13876</v>
      </c>
      <c r="P256" s="22">
        <v>101.027</v>
      </c>
      <c r="Q256" s="22">
        <v>0.13830600000000001</v>
      </c>
      <c r="R256" s="22">
        <v>246</v>
      </c>
      <c r="S256" s="22">
        <v>0.27380399999999999</v>
      </c>
      <c r="T256">
        <f t="shared" si="38"/>
        <v>-138.30600000000001</v>
      </c>
      <c r="U256">
        <f t="shared" si="39"/>
        <v>-157.49734056000003</v>
      </c>
      <c r="X256" s="9"/>
      <c r="Y256" s="22">
        <v>0.52124000000000004</v>
      </c>
      <c r="Z256" s="22">
        <v>150.429</v>
      </c>
      <c r="AA256" s="22">
        <v>-1.72882E-2</v>
      </c>
      <c r="AB256" s="22">
        <v>246</v>
      </c>
      <c r="AC256" s="22">
        <v>0.52023299999999995</v>
      </c>
      <c r="AD256">
        <f t="shared" si="40"/>
        <v>17.2882</v>
      </c>
      <c r="AE256">
        <f t="shared" si="41"/>
        <v>9.0113013679999998</v>
      </c>
      <c r="AF256" s="9"/>
      <c r="AG256" s="22">
        <v>1.13876</v>
      </c>
      <c r="AH256" s="22">
        <v>199.79599999999999</v>
      </c>
      <c r="AI256" s="22">
        <v>0.137604</v>
      </c>
      <c r="AJ256" s="22">
        <v>246</v>
      </c>
      <c r="AK256" s="22">
        <v>0.27337600000000001</v>
      </c>
      <c r="AL256">
        <f t="shared" si="42"/>
        <v>-137.60400000000001</v>
      </c>
      <c r="AM256">
        <f t="shared" si="43"/>
        <v>-156.69793104000001</v>
      </c>
      <c r="AP256" s="9"/>
      <c r="AQ256" s="22">
        <v>0.52124000000000004</v>
      </c>
      <c r="AR256" s="22">
        <v>249.078</v>
      </c>
      <c r="AS256" s="22">
        <v>-1.7279099999999999E-2</v>
      </c>
      <c r="AT256" s="22">
        <v>246</v>
      </c>
      <c r="AU256" s="22">
        <v>0.52050799999999997</v>
      </c>
      <c r="AV256">
        <f t="shared" si="44"/>
        <v>17.2791</v>
      </c>
      <c r="AW256">
        <f t="shared" si="45"/>
        <v>9.0065580839999999</v>
      </c>
      <c r="AX256" s="9"/>
      <c r="AY256" s="22">
        <v>1.13876</v>
      </c>
      <c r="AZ256" s="22">
        <v>298.44499999999999</v>
      </c>
      <c r="BA256" s="22">
        <v>4.2401100000000001E-3</v>
      </c>
      <c r="BB256" s="22">
        <v>246</v>
      </c>
      <c r="BC256" s="22">
        <v>1.1383099999999999</v>
      </c>
      <c r="BD256">
        <f t="shared" si="46"/>
        <v>-4.2401100000000005</v>
      </c>
      <c r="BE256">
        <f t="shared" si="47"/>
        <v>-4.8284676636000006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0.51620500000000002</v>
      </c>
      <c r="H257" s="22">
        <v>51.793700000000001</v>
      </c>
      <c r="I257" s="22">
        <v>-1.7352300000000001E-2</v>
      </c>
      <c r="J257" s="22">
        <v>247</v>
      </c>
      <c r="K257" s="22">
        <v>0.51541099999999995</v>
      </c>
      <c r="L257">
        <f t="shared" si="36"/>
        <v>17.3523</v>
      </c>
      <c r="M257">
        <f t="shared" si="37"/>
        <v>8.9573440215000009</v>
      </c>
      <c r="N257" s="9"/>
      <c r="O257" s="22">
        <v>1.1437999999999999</v>
      </c>
      <c r="P257" s="22">
        <v>101.03700000000001</v>
      </c>
      <c r="Q257" s="22">
        <v>0.138214</v>
      </c>
      <c r="R257" s="22">
        <v>247</v>
      </c>
      <c r="S257" s="22">
        <v>0.273926</v>
      </c>
      <c r="T257">
        <f t="shared" si="38"/>
        <v>-138.214</v>
      </c>
      <c r="U257">
        <f t="shared" si="39"/>
        <v>-158.08917319999998</v>
      </c>
      <c r="X257" s="9"/>
      <c r="Y257" s="22">
        <v>0.51620500000000002</v>
      </c>
      <c r="Z257" s="22">
        <v>150.44</v>
      </c>
      <c r="AA257" s="22">
        <v>-1.7291299999999999E-2</v>
      </c>
      <c r="AB257" s="22">
        <v>247</v>
      </c>
      <c r="AC257" s="22">
        <v>0.51550300000000004</v>
      </c>
      <c r="AD257">
        <f t="shared" si="40"/>
        <v>17.2913</v>
      </c>
      <c r="AE257">
        <f t="shared" si="41"/>
        <v>8.9258555165000004</v>
      </c>
      <c r="AF257" s="9"/>
      <c r="AG257" s="22">
        <v>1.1437999999999999</v>
      </c>
      <c r="AH257" s="22">
        <v>199.80600000000001</v>
      </c>
      <c r="AI257" s="22">
        <v>0.13748199999999999</v>
      </c>
      <c r="AJ257" s="22">
        <v>247</v>
      </c>
      <c r="AK257" s="22">
        <v>0.27331499999999997</v>
      </c>
      <c r="AL257">
        <f t="shared" si="42"/>
        <v>-137.482</v>
      </c>
      <c r="AM257">
        <f t="shared" si="43"/>
        <v>-157.2519116</v>
      </c>
      <c r="AP257" s="9"/>
      <c r="AQ257" s="22">
        <v>0.51620500000000002</v>
      </c>
      <c r="AR257" s="22">
        <v>249.08799999999999</v>
      </c>
      <c r="AS257" s="22">
        <v>-1.7282100000000002E-2</v>
      </c>
      <c r="AT257" s="22">
        <v>247</v>
      </c>
      <c r="AU257" s="22">
        <v>0.515625</v>
      </c>
      <c r="AV257">
        <f t="shared" si="44"/>
        <v>17.282100000000003</v>
      </c>
      <c r="AW257">
        <f t="shared" si="45"/>
        <v>8.9211064305000018</v>
      </c>
      <c r="AX257" s="9"/>
      <c r="AY257" s="22">
        <v>1.1437999999999999</v>
      </c>
      <c r="AZ257" s="22">
        <v>298.45499999999998</v>
      </c>
      <c r="BA257" s="22">
        <v>1.7776500000000001E-2</v>
      </c>
      <c r="BB257" s="22">
        <v>247</v>
      </c>
      <c r="BC257" s="22">
        <v>1.1401399999999999</v>
      </c>
      <c r="BD257">
        <f t="shared" si="46"/>
        <v>-17.776500000000002</v>
      </c>
      <c r="BE257">
        <f t="shared" si="47"/>
        <v>-20.332760700000001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0.51116899999999998</v>
      </c>
      <c r="H258" s="22">
        <v>51.803699999999999</v>
      </c>
      <c r="I258" s="22">
        <v>-1.73584E-2</v>
      </c>
      <c r="J258" s="22">
        <v>248</v>
      </c>
      <c r="K258" s="22">
        <v>0.51058999999999999</v>
      </c>
      <c r="L258">
        <f t="shared" si="36"/>
        <v>17.3584</v>
      </c>
      <c r="M258">
        <f t="shared" si="37"/>
        <v>8.8730759696000003</v>
      </c>
      <c r="N258" s="9"/>
      <c r="O258" s="22">
        <v>1.14883</v>
      </c>
      <c r="P258" s="22">
        <v>101.047</v>
      </c>
      <c r="Q258" s="22">
        <v>0.13824500000000001</v>
      </c>
      <c r="R258" s="22">
        <v>248</v>
      </c>
      <c r="S258" s="22">
        <v>0.27398699999999998</v>
      </c>
      <c r="T258">
        <f t="shared" si="38"/>
        <v>-138.245</v>
      </c>
      <c r="U258">
        <f t="shared" si="39"/>
        <v>-158.82000335000001</v>
      </c>
      <c r="X258" s="9"/>
      <c r="Y258" s="22">
        <v>0.51116899999999998</v>
      </c>
      <c r="Z258" s="22">
        <v>150.44999999999999</v>
      </c>
      <c r="AA258" s="22">
        <v>-1.72882E-2</v>
      </c>
      <c r="AB258" s="22">
        <v>248</v>
      </c>
      <c r="AC258" s="22">
        <v>0.50994899999999999</v>
      </c>
      <c r="AD258">
        <f t="shared" si="40"/>
        <v>17.2882</v>
      </c>
      <c r="AE258">
        <f t="shared" si="41"/>
        <v>8.8371919057999992</v>
      </c>
      <c r="AF258" s="9"/>
      <c r="AG258" s="22">
        <v>1.14883</v>
      </c>
      <c r="AH258" s="22">
        <v>199.816</v>
      </c>
      <c r="AI258" s="22">
        <v>0.13742099999999999</v>
      </c>
      <c r="AJ258" s="22">
        <v>248</v>
      </c>
      <c r="AK258" s="22">
        <v>0.273254</v>
      </c>
      <c r="AL258">
        <f t="shared" si="42"/>
        <v>-137.42099999999999</v>
      </c>
      <c r="AM258">
        <f t="shared" si="43"/>
        <v>-157.87336743</v>
      </c>
      <c r="AP258" s="9"/>
      <c r="AQ258" s="22">
        <v>0.51116899999999998</v>
      </c>
      <c r="AR258" s="22">
        <v>249.09800000000001</v>
      </c>
      <c r="AS258" s="22">
        <v>-1.7282100000000002E-2</v>
      </c>
      <c r="AT258" s="22">
        <v>248</v>
      </c>
      <c r="AU258" s="22">
        <v>0.51010100000000003</v>
      </c>
      <c r="AV258">
        <f t="shared" si="44"/>
        <v>17.282100000000003</v>
      </c>
      <c r="AW258">
        <f t="shared" si="45"/>
        <v>8.834073774900002</v>
      </c>
      <c r="AX258" s="9"/>
      <c r="AY258" s="22">
        <v>1.14883</v>
      </c>
      <c r="AZ258" s="22">
        <v>298.46499999999997</v>
      </c>
      <c r="BA258" s="22">
        <v>2.7056899999999998E-2</v>
      </c>
      <c r="BB258" s="22">
        <v>248</v>
      </c>
      <c r="BC258" s="22">
        <v>1.1404399999999999</v>
      </c>
      <c r="BD258">
        <f t="shared" si="46"/>
        <v>-27.056899999999999</v>
      </c>
      <c r="BE258">
        <f t="shared" si="47"/>
        <v>-31.083778426999999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0.50613399999999997</v>
      </c>
      <c r="H259" s="22">
        <v>51.813800000000001</v>
      </c>
      <c r="I259" s="22">
        <v>-1.7352300000000001E-2</v>
      </c>
      <c r="J259" s="22">
        <v>249</v>
      </c>
      <c r="K259" s="22">
        <v>0.50592000000000004</v>
      </c>
      <c r="L259">
        <f t="shared" si="36"/>
        <v>17.3523</v>
      </c>
      <c r="M259">
        <f t="shared" si="37"/>
        <v>8.7825890081999987</v>
      </c>
      <c r="N259" s="9"/>
      <c r="O259" s="22">
        <v>1.15387</v>
      </c>
      <c r="P259" s="22">
        <v>101.057</v>
      </c>
      <c r="Q259" s="22">
        <v>0.138184</v>
      </c>
      <c r="R259" s="22">
        <v>249</v>
      </c>
      <c r="S259" s="22">
        <v>0.27343800000000001</v>
      </c>
      <c r="T259">
        <f t="shared" si="38"/>
        <v>-138.184</v>
      </c>
      <c r="U259">
        <f t="shared" si="39"/>
        <v>-159.44637208</v>
      </c>
      <c r="X259" s="9"/>
      <c r="Y259" s="22">
        <v>0.50613399999999997</v>
      </c>
      <c r="Z259" s="22">
        <v>150.46</v>
      </c>
      <c r="AA259" s="22">
        <v>-1.7285200000000001E-2</v>
      </c>
      <c r="AB259" s="22">
        <v>249</v>
      </c>
      <c r="AC259" s="22">
        <v>0.50540200000000002</v>
      </c>
      <c r="AD259">
        <f t="shared" si="40"/>
        <v>17.2852</v>
      </c>
      <c r="AE259">
        <f t="shared" si="41"/>
        <v>8.7486274167999998</v>
      </c>
      <c r="AF259" s="9"/>
      <c r="AG259" s="22">
        <v>1.15387</v>
      </c>
      <c r="AH259" s="22">
        <v>199.82599999999999</v>
      </c>
      <c r="AI259" s="22">
        <v>0.13736000000000001</v>
      </c>
      <c r="AJ259" s="22">
        <v>249</v>
      </c>
      <c r="AK259" s="22">
        <v>0.27276600000000001</v>
      </c>
      <c r="AL259">
        <f t="shared" si="42"/>
        <v>-137.36000000000001</v>
      </c>
      <c r="AM259">
        <f t="shared" si="43"/>
        <v>-158.4955832</v>
      </c>
      <c r="AP259" s="9"/>
      <c r="AQ259" s="22">
        <v>0.50613399999999997</v>
      </c>
      <c r="AR259" s="22">
        <v>249.10900000000001</v>
      </c>
      <c r="AS259" s="22">
        <v>-1.7285200000000001E-2</v>
      </c>
      <c r="AT259" s="22">
        <v>249</v>
      </c>
      <c r="AU259" s="22">
        <v>0.50509599999999999</v>
      </c>
      <c r="AV259">
        <f t="shared" si="44"/>
        <v>17.2852</v>
      </c>
      <c r="AW259">
        <f t="shared" si="45"/>
        <v>8.7486274167999998</v>
      </c>
      <c r="AX259" s="9"/>
      <c r="AY259" s="22">
        <v>1.15387</v>
      </c>
      <c r="AZ259" s="22">
        <v>298.47500000000002</v>
      </c>
      <c r="BA259" s="22">
        <v>3.2208300000000002E-2</v>
      </c>
      <c r="BB259" s="22">
        <v>249</v>
      </c>
      <c r="BC259" s="22">
        <v>1.15845</v>
      </c>
      <c r="BD259">
        <f t="shared" si="46"/>
        <v>-32.208300000000001</v>
      </c>
      <c r="BE259">
        <f t="shared" si="47"/>
        <v>-37.164191121000002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0.50109899999999996</v>
      </c>
      <c r="H260" s="22">
        <v>51.823900000000002</v>
      </c>
      <c r="I260" s="22">
        <v>-1.7355300000000001E-2</v>
      </c>
      <c r="J260" s="22">
        <v>250</v>
      </c>
      <c r="K260" s="22">
        <v>0.50051900000000005</v>
      </c>
      <c r="L260">
        <f t="shared" si="36"/>
        <v>17.3553</v>
      </c>
      <c r="M260">
        <f t="shared" si="37"/>
        <v>8.6967234746999988</v>
      </c>
      <c r="N260" s="9"/>
      <c r="O260" s="22">
        <v>1.1589100000000001</v>
      </c>
      <c r="P260" s="22">
        <v>101.06699999999999</v>
      </c>
      <c r="Q260" s="22">
        <v>0.138153</v>
      </c>
      <c r="R260" s="22">
        <v>250</v>
      </c>
      <c r="S260" s="22">
        <v>0.27365099999999998</v>
      </c>
      <c r="T260">
        <f t="shared" si="38"/>
        <v>-138.15299999999999</v>
      </c>
      <c r="U260">
        <f t="shared" si="39"/>
        <v>-160.10689323</v>
      </c>
      <c r="X260" s="9"/>
      <c r="Y260" s="22">
        <v>0.50109899999999996</v>
      </c>
      <c r="Z260" s="22">
        <v>150.47</v>
      </c>
      <c r="AA260" s="22">
        <v>-1.7285200000000001E-2</v>
      </c>
      <c r="AB260" s="22">
        <v>250</v>
      </c>
      <c r="AC260" s="22">
        <v>0.50045799999999996</v>
      </c>
      <c r="AD260">
        <f t="shared" si="40"/>
        <v>17.2852</v>
      </c>
      <c r="AE260">
        <f t="shared" si="41"/>
        <v>8.6615964347999999</v>
      </c>
      <c r="AF260" s="9"/>
      <c r="AG260" s="22">
        <v>1.1589100000000001</v>
      </c>
      <c r="AH260" s="22">
        <v>199.83600000000001</v>
      </c>
      <c r="AI260" s="22">
        <v>0.13732900000000001</v>
      </c>
      <c r="AJ260" s="22">
        <v>250</v>
      </c>
      <c r="AK260" s="22">
        <v>0.27349899999999999</v>
      </c>
      <c r="AL260">
        <f t="shared" si="42"/>
        <v>-137.32900000000001</v>
      </c>
      <c r="AM260">
        <f t="shared" si="43"/>
        <v>-159.15195139000002</v>
      </c>
      <c r="AP260" s="9"/>
      <c r="AQ260" s="22">
        <v>0.50109899999999996</v>
      </c>
      <c r="AR260" s="22">
        <v>249.119</v>
      </c>
      <c r="AS260" s="22">
        <v>-1.72882E-2</v>
      </c>
      <c r="AT260" s="22">
        <v>250</v>
      </c>
      <c r="AU260" s="22">
        <v>0.5</v>
      </c>
      <c r="AV260">
        <f t="shared" si="44"/>
        <v>17.2882</v>
      </c>
      <c r="AW260">
        <f t="shared" si="45"/>
        <v>8.6630997317999991</v>
      </c>
      <c r="AX260" s="9"/>
      <c r="AY260" s="22">
        <v>1.1589100000000001</v>
      </c>
      <c r="AZ260" s="22">
        <v>298.48500000000001</v>
      </c>
      <c r="BA260" s="22">
        <v>3.47839E-2</v>
      </c>
      <c r="BB260" s="22">
        <v>250</v>
      </c>
      <c r="BC260" s="22">
        <v>1.15845</v>
      </c>
      <c r="BD260">
        <f t="shared" si="46"/>
        <v>-34.783900000000003</v>
      </c>
      <c r="BE260">
        <f t="shared" si="47"/>
        <v>-40.311409549000004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0.49606299999999998</v>
      </c>
      <c r="H261" s="22">
        <v>51.834000000000003</v>
      </c>
      <c r="I261" s="22">
        <v>-1.73584E-2</v>
      </c>
      <c r="J261" s="22">
        <v>251</v>
      </c>
      <c r="K261" s="22">
        <v>0.49563600000000002</v>
      </c>
      <c r="L261">
        <f t="shared" si="36"/>
        <v>17.3584</v>
      </c>
      <c r="M261">
        <f t="shared" si="37"/>
        <v>8.6108599791999989</v>
      </c>
      <c r="N261" s="9"/>
      <c r="O261" s="22">
        <v>1.16394</v>
      </c>
      <c r="P261" s="22">
        <v>101.077</v>
      </c>
      <c r="Q261" s="22">
        <v>0.13806199999999999</v>
      </c>
      <c r="R261" s="22">
        <v>251</v>
      </c>
      <c r="S261" s="22">
        <v>0.27346799999999999</v>
      </c>
      <c r="T261">
        <f t="shared" si="38"/>
        <v>-138.06199999999998</v>
      </c>
      <c r="U261">
        <f t="shared" si="39"/>
        <v>-160.69588427999997</v>
      </c>
      <c r="X261" s="9"/>
      <c r="Y261" s="22">
        <v>0.49606299999999998</v>
      </c>
      <c r="Z261" s="22">
        <v>150.47999999999999</v>
      </c>
      <c r="AA261" s="22">
        <v>-1.72882E-2</v>
      </c>
      <c r="AB261" s="22">
        <v>251</v>
      </c>
      <c r="AC261" s="22">
        <v>0.49517800000000001</v>
      </c>
      <c r="AD261">
        <f t="shared" si="40"/>
        <v>17.2882</v>
      </c>
      <c r="AE261">
        <f t="shared" si="41"/>
        <v>8.5760363565999995</v>
      </c>
      <c r="AF261" s="9"/>
      <c r="AG261" s="22">
        <v>1.16394</v>
      </c>
      <c r="AH261" s="22">
        <v>199.846</v>
      </c>
      <c r="AI261" s="22">
        <v>0.13748199999999999</v>
      </c>
      <c r="AJ261" s="22">
        <v>251</v>
      </c>
      <c r="AK261" s="22">
        <v>0.27380399999999999</v>
      </c>
      <c r="AL261">
        <f t="shared" si="42"/>
        <v>-137.482</v>
      </c>
      <c r="AM261">
        <f t="shared" si="43"/>
        <v>-160.02079907999999</v>
      </c>
      <c r="AP261" s="9"/>
      <c r="AQ261" s="22">
        <v>0.49606299999999998</v>
      </c>
      <c r="AR261" s="22">
        <v>249.12899999999999</v>
      </c>
      <c r="AS261" s="22">
        <v>-1.72882E-2</v>
      </c>
      <c r="AT261" s="22">
        <v>251</v>
      </c>
      <c r="AU261" s="22">
        <v>0.495056</v>
      </c>
      <c r="AV261">
        <f t="shared" si="44"/>
        <v>17.2882</v>
      </c>
      <c r="AW261">
        <f t="shared" si="45"/>
        <v>8.5760363565999995</v>
      </c>
      <c r="AX261" s="9"/>
      <c r="AY261" s="22">
        <v>1.16394</v>
      </c>
      <c r="AZ261" s="22">
        <v>298.495</v>
      </c>
      <c r="BA261" s="22">
        <v>3.7457299999999999E-2</v>
      </c>
      <c r="BB261" s="22">
        <v>251</v>
      </c>
      <c r="BC261" s="22">
        <v>1.1624099999999999</v>
      </c>
      <c r="BD261">
        <f t="shared" si="46"/>
        <v>-37.457299999999996</v>
      </c>
      <c r="BE261">
        <f t="shared" si="47"/>
        <v>-43.598049761999995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0.49102800000000002</v>
      </c>
      <c r="H262" s="22">
        <v>51.844000000000001</v>
      </c>
      <c r="I262" s="22">
        <v>-1.7361499999999998E-2</v>
      </c>
      <c r="J262" s="22">
        <v>252</v>
      </c>
      <c r="K262" s="22">
        <v>0.49029499999999998</v>
      </c>
      <c r="L262">
        <f t="shared" si="36"/>
        <v>17.361499999999999</v>
      </c>
      <c r="M262">
        <f t="shared" si="37"/>
        <v>8.5249826219999996</v>
      </c>
      <c r="N262" s="9"/>
      <c r="O262" s="22">
        <v>1.1689799999999999</v>
      </c>
      <c r="P262" s="22">
        <v>101.087</v>
      </c>
      <c r="Q262" s="22">
        <v>0.13803099999999999</v>
      </c>
      <c r="R262" s="22">
        <v>252</v>
      </c>
      <c r="S262" s="22">
        <v>0.27288800000000002</v>
      </c>
      <c r="T262">
        <f t="shared" si="38"/>
        <v>-138.03099999999998</v>
      </c>
      <c r="U262">
        <f t="shared" si="39"/>
        <v>-161.35547837999997</v>
      </c>
      <c r="X262" s="9"/>
      <c r="Y262" s="22">
        <v>0.49102800000000002</v>
      </c>
      <c r="Z262" s="22">
        <v>150.49</v>
      </c>
      <c r="AA262" s="22">
        <v>-1.72882E-2</v>
      </c>
      <c r="AB262" s="22">
        <v>252</v>
      </c>
      <c r="AC262" s="22">
        <v>0.49029499999999998</v>
      </c>
      <c r="AD262">
        <f t="shared" si="40"/>
        <v>17.2882</v>
      </c>
      <c r="AE262">
        <f t="shared" si="41"/>
        <v>8.4889902696000004</v>
      </c>
      <c r="AF262" s="9"/>
      <c r="AG262" s="22">
        <v>1.1689799999999999</v>
      </c>
      <c r="AH262" s="22">
        <v>199.85599999999999</v>
      </c>
      <c r="AI262" s="22">
        <v>0.13717699999999999</v>
      </c>
      <c r="AJ262" s="22">
        <v>252</v>
      </c>
      <c r="AK262" s="22">
        <v>0.2742</v>
      </c>
      <c r="AL262">
        <f t="shared" si="42"/>
        <v>-137.17699999999999</v>
      </c>
      <c r="AM262">
        <f t="shared" si="43"/>
        <v>-160.35716945999997</v>
      </c>
      <c r="AP262" s="9"/>
      <c r="AQ262" s="22">
        <v>0.49102800000000002</v>
      </c>
      <c r="AR262" s="22">
        <v>249.13900000000001</v>
      </c>
      <c r="AS262" s="22">
        <v>-1.7294299999999999E-2</v>
      </c>
      <c r="AT262" s="22">
        <v>252</v>
      </c>
      <c r="AU262" s="22">
        <v>0.490234</v>
      </c>
      <c r="AV262">
        <f t="shared" si="44"/>
        <v>17.2943</v>
      </c>
      <c r="AW262">
        <f t="shared" si="45"/>
        <v>8.4919855404</v>
      </c>
      <c r="AX262" s="9"/>
      <c r="AY262" s="22">
        <v>1.1689799999999999</v>
      </c>
      <c r="AZ262" s="22">
        <v>298.505</v>
      </c>
      <c r="BA262" s="22">
        <v>4.2691E-2</v>
      </c>
      <c r="BB262" s="22">
        <v>252</v>
      </c>
      <c r="BC262" s="22">
        <v>1.16638</v>
      </c>
      <c r="BD262">
        <f t="shared" si="46"/>
        <v>-42.691000000000003</v>
      </c>
      <c r="BE262">
        <f t="shared" si="47"/>
        <v>-49.904925179999999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0.48599199999999998</v>
      </c>
      <c r="H263" s="22">
        <v>51.854100000000003</v>
      </c>
      <c r="I263" s="22">
        <v>-1.73584E-2</v>
      </c>
      <c r="J263" s="22">
        <v>253</v>
      </c>
      <c r="K263" s="22">
        <v>0.48519899999999999</v>
      </c>
      <c r="L263">
        <f t="shared" si="36"/>
        <v>17.3584</v>
      </c>
      <c r="M263">
        <f t="shared" si="37"/>
        <v>8.4360435327999994</v>
      </c>
      <c r="N263" s="9"/>
      <c r="O263" s="22">
        <v>1.17401</v>
      </c>
      <c r="P263" s="22">
        <v>101.098</v>
      </c>
      <c r="Q263" s="22">
        <v>0.13793900000000001</v>
      </c>
      <c r="R263" s="22">
        <v>253</v>
      </c>
      <c r="S263" s="22">
        <v>0.27270499999999998</v>
      </c>
      <c r="T263">
        <f t="shared" si="38"/>
        <v>-137.93899999999999</v>
      </c>
      <c r="U263">
        <f t="shared" si="39"/>
        <v>-161.94176539</v>
      </c>
      <c r="X263" s="9"/>
      <c r="Y263" s="22">
        <v>0.48599199999999998</v>
      </c>
      <c r="Z263" s="22">
        <v>150.5</v>
      </c>
      <c r="AA263" s="22">
        <v>-1.7294299999999999E-2</v>
      </c>
      <c r="AB263" s="22">
        <v>253</v>
      </c>
      <c r="AC263" s="22">
        <v>0.48507699999999998</v>
      </c>
      <c r="AD263">
        <f t="shared" si="40"/>
        <v>17.2943</v>
      </c>
      <c r="AE263">
        <f t="shared" si="41"/>
        <v>8.4048914455999988</v>
      </c>
      <c r="AF263" s="9"/>
      <c r="AG263" s="22">
        <v>1.17401</v>
      </c>
      <c r="AH263" s="22">
        <v>199.86600000000001</v>
      </c>
      <c r="AI263" s="22">
        <v>0.13714599999999999</v>
      </c>
      <c r="AJ263" s="22">
        <v>253</v>
      </c>
      <c r="AK263" s="22">
        <v>0.27429199999999998</v>
      </c>
      <c r="AL263">
        <f t="shared" si="42"/>
        <v>-137.14599999999999</v>
      </c>
      <c r="AM263">
        <f t="shared" si="43"/>
        <v>-161.01077545999999</v>
      </c>
      <c r="AP263" s="9"/>
      <c r="AQ263" s="22">
        <v>0.48599199999999998</v>
      </c>
      <c r="AR263" s="22">
        <v>249.149</v>
      </c>
      <c r="AS263" s="22">
        <v>-1.7297400000000001E-2</v>
      </c>
      <c r="AT263" s="22">
        <v>253</v>
      </c>
      <c r="AU263" s="22">
        <v>0.48526000000000002</v>
      </c>
      <c r="AV263">
        <f t="shared" si="44"/>
        <v>17.2974</v>
      </c>
      <c r="AW263">
        <f t="shared" si="45"/>
        <v>8.4063980207999993</v>
      </c>
      <c r="AX263" s="9"/>
      <c r="AY263" s="22">
        <v>1.17401</v>
      </c>
      <c r="AZ263" s="22">
        <v>298.51499999999999</v>
      </c>
      <c r="BA263" s="22">
        <v>4.8406999999999999E-2</v>
      </c>
      <c r="BB263" s="22">
        <v>253</v>
      </c>
      <c r="BC263" s="22">
        <v>1.1734</v>
      </c>
      <c r="BD263">
        <f t="shared" si="46"/>
        <v>-48.406999999999996</v>
      </c>
      <c r="BE263">
        <f t="shared" si="47"/>
        <v>-56.830302069999995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0.48095700000000002</v>
      </c>
      <c r="H264" s="22">
        <v>51.864199999999997</v>
      </c>
      <c r="I264" s="22">
        <v>-1.7364500000000001E-2</v>
      </c>
      <c r="J264" s="22">
        <v>254</v>
      </c>
      <c r="K264" s="22">
        <v>0.48028599999999999</v>
      </c>
      <c r="L264">
        <f t="shared" si="36"/>
        <v>17.364500000000003</v>
      </c>
      <c r="M264">
        <f t="shared" si="37"/>
        <v>8.3515778265000016</v>
      </c>
      <c r="N264" s="9"/>
      <c r="O264" s="22">
        <v>1.1790499999999999</v>
      </c>
      <c r="P264" s="22">
        <v>101.108</v>
      </c>
      <c r="Q264" s="22">
        <v>0.13793900000000001</v>
      </c>
      <c r="R264" s="22">
        <v>254</v>
      </c>
      <c r="S264" s="22">
        <v>0.27371200000000001</v>
      </c>
      <c r="T264">
        <f t="shared" si="38"/>
        <v>-137.93899999999999</v>
      </c>
      <c r="U264">
        <f t="shared" si="39"/>
        <v>-162.63697794999999</v>
      </c>
      <c r="X264" s="9"/>
      <c r="Y264" s="22">
        <v>0.48095700000000002</v>
      </c>
      <c r="Z264" s="22">
        <v>150.51</v>
      </c>
      <c r="AA264" s="22">
        <v>-1.7297400000000001E-2</v>
      </c>
      <c r="AB264" s="22">
        <v>254</v>
      </c>
      <c r="AC264" s="22">
        <v>0.48080400000000001</v>
      </c>
      <c r="AD264">
        <f t="shared" si="40"/>
        <v>17.2974</v>
      </c>
      <c r="AE264">
        <f t="shared" si="41"/>
        <v>8.3193056118000008</v>
      </c>
      <c r="AF264" s="9"/>
      <c r="AG264" s="22">
        <v>1.1790499999999999</v>
      </c>
      <c r="AH264" s="22">
        <v>199.876</v>
      </c>
      <c r="AI264" s="22">
        <v>0.13711499999999999</v>
      </c>
      <c r="AJ264" s="22">
        <v>254</v>
      </c>
      <c r="AK264" s="22">
        <v>0.27441399999999999</v>
      </c>
      <c r="AL264">
        <f t="shared" si="42"/>
        <v>-137.11499999999998</v>
      </c>
      <c r="AM264">
        <f t="shared" si="43"/>
        <v>-161.66544074999996</v>
      </c>
      <c r="AP264" s="9"/>
      <c r="AQ264" s="22">
        <v>0.48095700000000002</v>
      </c>
      <c r="AR264" s="22">
        <v>249.15899999999999</v>
      </c>
      <c r="AS264" s="22">
        <v>-1.7297400000000001E-2</v>
      </c>
      <c r="AT264" s="22">
        <v>254</v>
      </c>
      <c r="AU264" s="22">
        <v>0.48019400000000001</v>
      </c>
      <c r="AV264">
        <f t="shared" si="44"/>
        <v>17.2974</v>
      </c>
      <c r="AW264">
        <f t="shared" si="45"/>
        <v>8.3193056118000008</v>
      </c>
      <c r="AX264" s="9"/>
      <c r="AY264" s="22">
        <v>1.1790499999999999</v>
      </c>
      <c r="AZ264" s="22">
        <v>298.52499999999998</v>
      </c>
      <c r="BA264" s="22">
        <v>6.1431899999999998E-2</v>
      </c>
      <c r="BB264" s="22">
        <v>254</v>
      </c>
      <c r="BC264" s="22">
        <v>1.17249</v>
      </c>
      <c r="BD264">
        <f t="shared" si="46"/>
        <v>-61.431899999999999</v>
      </c>
      <c r="BE264">
        <f t="shared" si="47"/>
        <v>-72.431281694999996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0.47592200000000001</v>
      </c>
      <c r="H265" s="22">
        <v>51.874200000000002</v>
      </c>
      <c r="I265" s="22">
        <v>-1.73676E-2</v>
      </c>
      <c r="J265" s="22">
        <v>255</v>
      </c>
      <c r="K265" s="22">
        <v>0.47531099999999998</v>
      </c>
      <c r="L265">
        <f t="shared" si="36"/>
        <v>17.367599999999999</v>
      </c>
      <c r="M265">
        <f t="shared" si="37"/>
        <v>8.2656229272000008</v>
      </c>
      <c r="N265" s="9"/>
      <c r="O265" s="22">
        <v>1.18408</v>
      </c>
      <c r="P265" s="22">
        <v>101.11799999999999</v>
      </c>
      <c r="Q265" s="22">
        <v>0.13800000000000001</v>
      </c>
      <c r="R265" s="22">
        <v>255</v>
      </c>
      <c r="S265" s="22">
        <v>0.273621</v>
      </c>
      <c r="T265">
        <f t="shared" si="38"/>
        <v>-138</v>
      </c>
      <c r="U265">
        <f t="shared" si="39"/>
        <v>-163.40304</v>
      </c>
      <c r="X265" s="9"/>
      <c r="Y265" s="22">
        <v>0.47592200000000001</v>
      </c>
      <c r="Z265" s="22">
        <v>150.52000000000001</v>
      </c>
      <c r="AA265" s="22">
        <v>-1.7303499999999999E-2</v>
      </c>
      <c r="AB265" s="22">
        <v>255</v>
      </c>
      <c r="AC265" s="22">
        <v>0.47506700000000002</v>
      </c>
      <c r="AD265">
        <f t="shared" si="40"/>
        <v>17.3035</v>
      </c>
      <c r="AE265">
        <f t="shared" si="41"/>
        <v>8.2351163270000001</v>
      </c>
      <c r="AF265" s="9"/>
      <c r="AG265" s="22">
        <v>1.18408</v>
      </c>
      <c r="AH265" s="22">
        <v>199.887</v>
      </c>
      <c r="AI265" s="22">
        <v>0.13708500000000001</v>
      </c>
      <c r="AJ265" s="22">
        <v>255</v>
      </c>
      <c r="AK265" s="22">
        <v>0.27395599999999998</v>
      </c>
      <c r="AL265">
        <f t="shared" si="42"/>
        <v>-137.08500000000001</v>
      </c>
      <c r="AM265">
        <f t="shared" si="43"/>
        <v>-162.3196068</v>
      </c>
      <c r="AP265" s="9"/>
      <c r="AQ265" s="22">
        <v>0.47592200000000001</v>
      </c>
      <c r="AR265" s="22">
        <v>249.16900000000001</v>
      </c>
      <c r="AS265" s="22">
        <v>-1.7303499999999999E-2</v>
      </c>
      <c r="AT265" s="22">
        <v>255</v>
      </c>
      <c r="AU265" s="22">
        <v>0.47537200000000002</v>
      </c>
      <c r="AV265">
        <f t="shared" si="44"/>
        <v>17.3035</v>
      </c>
      <c r="AW265">
        <f t="shared" si="45"/>
        <v>8.2351163270000001</v>
      </c>
      <c r="AX265" s="9"/>
      <c r="AY265" s="22">
        <v>1.18408</v>
      </c>
      <c r="AZ265" s="22">
        <v>298.53500000000003</v>
      </c>
      <c r="BA265" s="22">
        <v>7.6415999999999998E-2</v>
      </c>
      <c r="BB265" s="22">
        <v>255</v>
      </c>
      <c r="BC265" s="22">
        <v>1.17889</v>
      </c>
      <c r="BD265">
        <f t="shared" si="46"/>
        <v>-76.415999999999997</v>
      </c>
      <c r="BE265">
        <f t="shared" si="47"/>
        <v>-90.482657279999998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0.47088600000000003</v>
      </c>
      <c r="H266" s="22">
        <v>51.884300000000003</v>
      </c>
      <c r="I266" s="22">
        <v>-1.7364500000000001E-2</v>
      </c>
      <c r="J266" s="22">
        <v>256</v>
      </c>
      <c r="K266" s="22">
        <v>0.47033700000000001</v>
      </c>
      <c r="L266">
        <f t="shared" si="36"/>
        <v>17.364500000000003</v>
      </c>
      <c r="M266">
        <f t="shared" si="37"/>
        <v>8.1766999470000012</v>
      </c>
      <c r="N266" s="9"/>
      <c r="O266" s="22">
        <v>1.18912</v>
      </c>
      <c r="P266" s="22">
        <v>101.128</v>
      </c>
      <c r="Q266" s="22">
        <v>0.137878</v>
      </c>
      <c r="R266" s="22">
        <v>256</v>
      </c>
      <c r="S266" s="22">
        <v>0.27343800000000001</v>
      </c>
      <c r="T266">
        <f t="shared" si="38"/>
        <v>-137.87800000000001</v>
      </c>
      <c r="U266">
        <f t="shared" si="39"/>
        <v>-163.95348736</v>
      </c>
      <c r="X266" s="9"/>
      <c r="Y266" s="22">
        <v>0.47088600000000003</v>
      </c>
      <c r="Z266" s="22">
        <v>150.53</v>
      </c>
      <c r="AA266" s="22">
        <v>-1.7309600000000001E-2</v>
      </c>
      <c r="AB266" s="22">
        <v>256</v>
      </c>
      <c r="AC266" s="22">
        <v>0.47042800000000001</v>
      </c>
      <c r="AD266">
        <f t="shared" si="40"/>
        <v>17.3096</v>
      </c>
      <c r="AE266">
        <f t="shared" si="41"/>
        <v>8.1508483056000003</v>
      </c>
      <c r="AF266" s="9"/>
      <c r="AG266" s="22">
        <v>1.18912</v>
      </c>
      <c r="AH266" s="22">
        <v>199.89699999999999</v>
      </c>
      <c r="AI266" s="22">
        <v>0.13702400000000001</v>
      </c>
      <c r="AJ266" s="22">
        <v>256</v>
      </c>
      <c r="AK266" s="22">
        <v>0.27395599999999998</v>
      </c>
      <c r="AL266">
        <f t="shared" si="42"/>
        <v>-137.024</v>
      </c>
      <c r="AM266">
        <f t="shared" si="43"/>
        <v>-162.93797888</v>
      </c>
      <c r="AP266" s="9"/>
      <c r="AQ266" s="22">
        <v>0.47088600000000003</v>
      </c>
      <c r="AR266" s="22">
        <v>249.179</v>
      </c>
      <c r="AS266" s="22">
        <v>-1.7306499999999999E-2</v>
      </c>
      <c r="AT266" s="22">
        <v>256</v>
      </c>
      <c r="AU266" s="22">
        <v>0.470551</v>
      </c>
      <c r="AV266">
        <f t="shared" si="44"/>
        <v>17.3065</v>
      </c>
      <c r="AW266">
        <f t="shared" si="45"/>
        <v>8.1493885590000001</v>
      </c>
      <c r="AX266" s="9"/>
      <c r="AY266" s="22">
        <v>1.18912</v>
      </c>
      <c r="AZ266" s="22">
        <v>298.54500000000002</v>
      </c>
      <c r="BA266" s="22">
        <v>0.12759400000000001</v>
      </c>
      <c r="BB266" s="22">
        <v>256</v>
      </c>
      <c r="BC266" s="22">
        <v>1.1862200000000001</v>
      </c>
      <c r="BD266">
        <f t="shared" si="46"/>
        <v>-127.59400000000001</v>
      </c>
      <c r="BE266">
        <f t="shared" si="47"/>
        <v>-151.72457728000001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0.46585100000000002</v>
      </c>
      <c r="H267" s="22">
        <v>51.894399999999997</v>
      </c>
      <c r="I267" s="22">
        <v>-1.7364500000000001E-2</v>
      </c>
      <c r="J267" s="22">
        <v>257</v>
      </c>
      <c r="K267" s="22">
        <v>0.46502700000000002</v>
      </c>
      <c r="L267">
        <f t="shared" si="36"/>
        <v>17.364500000000003</v>
      </c>
      <c r="M267">
        <f t="shared" si="37"/>
        <v>8.0892696895000018</v>
      </c>
      <c r="N267" s="9"/>
      <c r="O267" s="22">
        <v>1.19415</v>
      </c>
      <c r="P267" s="22">
        <v>101.13800000000001</v>
      </c>
      <c r="Q267" s="22">
        <v>0.137909</v>
      </c>
      <c r="R267" s="22">
        <v>257</v>
      </c>
      <c r="S267" s="22">
        <v>0.27319300000000002</v>
      </c>
      <c r="T267">
        <f t="shared" si="38"/>
        <v>-137.90899999999999</v>
      </c>
      <c r="U267">
        <f t="shared" si="39"/>
        <v>-164.68403235</v>
      </c>
      <c r="X267" s="9"/>
      <c r="Y267" s="22">
        <v>0.46585100000000002</v>
      </c>
      <c r="Z267" s="22">
        <v>150.54</v>
      </c>
      <c r="AA267" s="22">
        <v>-1.7309600000000001E-2</v>
      </c>
      <c r="AB267" s="22">
        <v>257</v>
      </c>
      <c r="AC267" s="22">
        <v>0.465424</v>
      </c>
      <c r="AD267">
        <f t="shared" si="40"/>
        <v>17.3096</v>
      </c>
      <c r="AE267">
        <f t="shared" si="41"/>
        <v>8.0636944695999997</v>
      </c>
      <c r="AF267" s="9"/>
      <c r="AG267" s="22">
        <v>1.19415</v>
      </c>
      <c r="AH267" s="22">
        <v>199.90700000000001</v>
      </c>
      <c r="AI267" s="22">
        <v>0.136932</v>
      </c>
      <c r="AJ267" s="22">
        <v>257</v>
      </c>
      <c r="AK267" s="22">
        <v>0.27435300000000001</v>
      </c>
      <c r="AL267">
        <f t="shared" si="42"/>
        <v>-136.93199999999999</v>
      </c>
      <c r="AM267">
        <f t="shared" si="43"/>
        <v>-163.51734779999998</v>
      </c>
      <c r="AP267" s="9"/>
      <c r="AQ267" s="22">
        <v>0.46585100000000002</v>
      </c>
      <c r="AR267" s="22">
        <v>249.18899999999999</v>
      </c>
      <c r="AS267" s="22">
        <v>-1.7306499999999999E-2</v>
      </c>
      <c r="AT267" s="22">
        <v>257</v>
      </c>
      <c r="AU267" s="22">
        <v>0.46517900000000001</v>
      </c>
      <c r="AV267">
        <f t="shared" si="44"/>
        <v>17.3065</v>
      </c>
      <c r="AW267">
        <f t="shared" si="45"/>
        <v>8.0622503314999996</v>
      </c>
      <c r="AX267" s="9"/>
      <c r="AY267" s="22">
        <v>1.19415</v>
      </c>
      <c r="AZ267" s="22">
        <v>298.55599999999998</v>
      </c>
      <c r="BA267" s="22">
        <v>0.153839</v>
      </c>
      <c r="BB267" s="22">
        <v>257</v>
      </c>
      <c r="BC267" s="22">
        <v>0.274536</v>
      </c>
      <c r="BD267">
        <f t="shared" si="46"/>
        <v>-153.839</v>
      </c>
      <c r="BE267">
        <f t="shared" si="47"/>
        <v>-183.70684185000002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0.46081499999999997</v>
      </c>
      <c r="H268" s="22">
        <v>51.904499999999999</v>
      </c>
      <c r="I268" s="22">
        <v>-1.73676E-2</v>
      </c>
      <c r="J268" s="22">
        <v>258</v>
      </c>
      <c r="K268" s="22">
        <v>0.460144</v>
      </c>
      <c r="L268">
        <f t="shared" ref="L268:L331" si="48">-I268/$F$2*1000</f>
        <v>17.367599999999999</v>
      </c>
      <c r="M268">
        <f t="shared" ref="M268:M331" si="49">L268*G268</f>
        <v>8.0032505939999989</v>
      </c>
      <c r="N268" s="9"/>
      <c r="O268" s="22">
        <v>1.19919</v>
      </c>
      <c r="P268" s="22">
        <v>101.148</v>
      </c>
      <c r="Q268" s="22">
        <v>0.137909</v>
      </c>
      <c r="R268" s="22">
        <v>258</v>
      </c>
      <c r="S268" s="22">
        <v>0.27365099999999998</v>
      </c>
      <c r="T268">
        <f t="shared" ref="T268:T331" si="50">-Q268/$F$2*1000</f>
        <v>-137.90899999999999</v>
      </c>
      <c r="U268">
        <f t="shared" ref="U268:U331" si="51">T268*O268</f>
        <v>-165.37909370999998</v>
      </c>
      <c r="X268" s="9"/>
      <c r="Y268" s="22">
        <v>0.46081499999999997</v>
      </c>
      <c r="Z268" s="22">
        <v>150.55000000000001</v>
      </c>
      <c r="AA268" s="22">
        <v>-1.7312600000000001E-2</v>
      </c>
      <c r="AB268" s="22">
        <v>258</v>
      </c>
      <c r="AC268" s="22">
        <v>0.46038800000000002</v>
      </c>
      <c r="AD268">
        <f t="shared" ref="AD268:AD331" si="52">-AA268/$F$2*1000</f>
        <v>17.3126</v>
      </c>
      <c r="AE268">
        <f t="shared" ref="AE268:AE331" si="53">AD268*Y268</f>
        <v>7.9779057689999995</v>
      </c>
      <c r="AF268" s="9"/>
      <c r="AG268" s="22">
        <v>1.19919</v>
      </c>
      <c r="AH268" s="22">
        <v>199.917</v>
      </c>
      <c r="AI268" s="22">
        <v>0.13684099999999999</v>
      </c>
      <c r="AJ268" s="22">
        <v>258</v>
      </c>
      <c r="AK268" s="22">
        <v>0.27417000000000002</v>
      </c>
      <c r="AL268">
        <f t="shared" ref="AL268:AL331" si="54">-AI268/$F$2*1000</f>
        <v>-136.84099999999998</v>
      </c>
      <c r="AM268">
        <f t="shared" ref="AM268:AM331" si="55">AL268*AG268</f>
        <v>-164.09835878999996</v>
      </c>
      <c r="AP268" s="9"/>
      <c r="AQ268" s="22">
        <v>0.46081499999999997</v>
      </c>
      <c r="AR268" s="22">
        <v>249.19900000000001</v>
      </c>
      <c r="AS268" s="22">
        <v>-1.7309600000000001E-2</v>
      </c>
      <c r="AT268" s="22">
        <v>258</v>
      </c>
      <c r="AU268" s="22">
        <v>0.45977800000000002</v>
      </c>
      <c r="AV268">
        <f t="shared" ref="AV268:AV331" si="56">-AS268/$F$2*1000</f>
        <v>17.3096</v>
      </c>
      <c r="AW268">
        <f t="shared" ref="AW268:AW331" si="57">AV268*AQ268</f>
        <v>7.9765233239999995</v>
      </c>
      <c r="AX268" s="9"/>
      <c r="AY268" s="22">
        <v>1.19919</v>
      </c>
      <c r="AZ268" s="22">
        <v>298.56599999999997</v>
      </c>
      <c r="BA268" s="22">
        <v>0.151031</v>
      </c>
      <c r="BB268" s="22">
        <v>258</v>
      </c>
      <c r="BC268" s="22">
        <v>0.27551300000000001</v>
      </c>
      <c r="BD268">
        <f t="shared" ref="BD268:BD331" si="58">-BA268/$F$2*1000</f>
        <v>-151.03100000000001</v>
      </c>
      <c r="BE268">
        <f t="shared" ref="BE268:BE331" si="59">BD268*AY268</f>
        <v>-181.11486489000001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0.45578000000000002</v>
      </c>
      <c r="H269" s="22">
        <v>51.914499999999997</v>
      </c>
      <c r="I269" s="22">
        <v>-1.73706E-2</v>
      </c>
      <c r="J269" s="22">
        <v>259</v>
      </c>
      <c r="K269" s="22">
        <v>0.45510899999999999</v>
      </c>
      <c r="L269">
        <f t="shared" si="48"/>
        <v>17.3706</v>
      </c>
      <c r="M269">
        <f t="shared" si="49"/>
        <v>7.9171720680000002</v>
      </c>
      <c r="N269" s="9"/>
      <c r="O269" s="22">
        <v>1.2042200000000001</v>
      </c>
      <c r="P269" s="22">
        <v>101.158</v>
      </c>
      <c r="Q269" s="22">
        <v>0.137848</v>
      </c>
      <c r="R269" s="22">
        <v>259</v>
      </c>
      <c r="S269" s="22">
        <v>0.27368199999999998</v>
      </c>
      <c r="T269">
        <f t="shared" si="50"/>
        <v>-137.84799999999998</v>
      </c>
      <c r="U269">
        <f t="shared" si="51"/>
        <v>-165.99931855999998</v>
      </c>
      <c r="X269" s="9"/>
      <c r="Y269" s="22">
        <v>0.45578000000000002</v>
      </c>
      <c r="Z269" s="22">
        <v>150.56</v>
      </c>
      <c r="AA269" s="22">
        <v>-1.73157E-2</v>
      </c>
      <c r="AB269" s="22">
        <v>259</v>
      </c>
      <c r="AC269" s="22">
        <v>0.45541399999999999</v>
      </c>
      <c r="AD269">
        <f t="shared" si="52"/>
        <v>17.3157</v>
      </c>
      <c r="AE269">
        <f t="shared" si="53"/>
        <v>7.8921497460000003</v>
      </c>
      <c r="AF269" s="9"/>
      <c r="AG269" s="22">
        <v>1.2042200000000001</v>
      </c>
      <c r="AH269" s="22">
        <v>199.92699999999999</v>
      </c>
      <c r="AI269" s="22">
        <v>0.13674900000000001</v>
      </c>
      <c r="AJ269" s="22">
        <v>259</v>
      </c>
      <c r="AK269" s="22">
        <v>0.27368199999999998</v>
      </c>
      <c r="AL269">
        <f t="shared" si="54"/>
        <v>-136.74900000000002</v>
      </c>
      <c r="AM269">
        <f t="shared" si="55"/>
        <v>-164.67588078000003</v>
      </c>
      <c r="AP269" s="9"/>
      <c r="AQ269" s="22">
        <v>0.45578000000000002</v>
      </c>
      <c r="AR269" s="22">
        <v>249.209</v>
      </c>
      <c r="AS269" s="22">
        <v>-1.7309600000000001E-2</v>
      </c>
      <c r="AT269" s="22">
        <v>259</v>
      </c>
      <c r="AU269" s="22">
        <v>0.45483400000000002</v>
      </c>
      <c r="AV269">
        <f t="shared" si="56"/>
        <v>17.3096</v>
      </c>
      <c r="AW269">
        <f t="shared" si="57"/>
        <v>7.8893694879999998</v>
      </c>
      <c r="AX269" s="9"/>
      <c r="AY269" s="22">
        <v>1.2042200000000001</v>
      </c>
      <c r="AZ269" s="22">
        <v>298.57600000000002</v>
      </c>
      <c r="BA269" s="22">
        <v>0.14941399999999999</v>
      </c>
      <c r="BB269" s="22">
        <v>259</v>
      </c>
      <c r="BC269" s="22">
        <v>0.27520800000000001</v>
      </c>
      <c r="BD269">
        <f t="shared" si="58"/>
        <v>-149.41399999999999</v>
      </c>
      <c r="BE269">
        <f t="shared" si="59"/>
        <v>-179.92732708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0.45074500000000001</v>
      </c>
      <c r="H270" s="22">
        <v>51.924599999999998</v>
      </c>
      <c r="I270" s="22">
        <v>-1.7373699999999999E-2</v>
      </c>
      <c r="J270" s="22">
        <v>260</v>
      </c>
      <c r="K270" s="22">
        <v>0.44973800000000003</v>
      </c>
      <c r="L270">
        <f t="shared" si="48"/>
        <v>17.373699999999999</v>
      </c>
      <c r="M270">
        <f t="shared" si="49"/>
        <v>7.8311084065000003</v>
      </c>
      <c r="N270" s="9"/>
      <c r="O270" s="22">
        <v>1.20926</v>
      </c>
      <c r="P270" s="22">
        <v>101.16800000000001</v>
      </c>
      <c r="Q270" s="22">
        <v>0.13769500000000001</v>
      </c>
      <c r="R270" s="22">
        <v>260</v>
      </c>
      <c r="S270" s="22">
        <v>0.27377299999999999</v>
      </c>
      <c r="T270">
        <f t="shared" si="50"/>
        <v>-137.69500000000002</v>
      </c>
      <c r="U270">
        <f t="shared" si="51"/>
        <v>-166.50905570000003</v>
      </c>
      <c r="X270" s="9"/>
      <c r="Y270" s="22">
        <v>0.45074500000000001</v>
      </c>
      <c r="Z270" s="22">
        <v>150.57</v>
      </c>
      <c r="AA270" s="22">
        <v>-1.73157E-2</v>
      </c>
      <c r="AB270" s="22">
        <v>260</v>
      </c>
      <c r="AC270" s="22">
        <v>0.45016499999999998</v>
      </c>
      <c r="AD270">
        <f t="shared" si="52"/>
        <v>17.3157</v>
      </c>
      <c r="AE270">
        <f t="shared" si="53"/>
        <v>7.8049651964999995</v>
      </c>
      <c r="AF270" s="9"/>
      <c r="AG270" s="22">
        <v>1.20926</v>
      </c>
      <c r="AH270" s="22">
        <v>199.93700000000001</v>
      </c>
      <c r="AI270" s="22">
        <v>0.136627</v>
      </c>
      <c r="AJ270" s="22">
        <v>260</v>
      </c>
      <c r="AK270" s="22">
        <v>0.27441399999999999</v>
      </c>
      <c r="AL270">
        <f t="shared" si="54"/>
        <v>-136.62700000000001</v>
      </c>
      <c r="AM270">
        <f t="shared" si="55"/>
        <v>-165.21756602000002</v>
      </c>
      <c r="AP270" s="9"/>
      <c r="AQ270" s="22">
        <v>0.45074500000000001</v>
      </c>
      <c r="AR270" s="22">
        <v>249.21899999999999</v>
      </c>
      <c r="AS270" s="22">
        <v>-1.7312600000000001E-2</v>
      </c>
      <c r="AT270" s="22">
        <v>260</v>
      </c>
      <c r="AU270" s="22">
        <v>0.45001200000000002</v>
      </c>
      <c r="AV270">
        <f t="shared" si="56"/>
        <v>17.3126</v>
      </c>
      <c r="AW270">
        <f t="shared" si="57"/>
        <v>7.8035678869999998</v>
      </c>
      <c r="AX270" s="9"/>
      <c r="AY270" s="22">
        <v>1.20926</v>
      </c>
      <c r="AZ270" s="22">
        <v>298.58600000000001</v>
      </c>
      <c r="BA270" s="22">
        <v>0.148254</v>
      </c>
      <c r="BB270" s="22">
        <v>260</v>
      </c>
      <c r="BC270" s="22">
        <v>0.27444499999999999</v>
      </c>
      <c r="BD270">
        <f t="shared" si="58"/>
        <v>-148.25399999999999</v>
      </c>
      <c r="BE270">
        <f t="shared" si="59"/>
        <v>-179.27763203999999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0.44570900000000002</v>
      </c>
      <c r="H271" s="22">
        <v>51.934699999999999</v>
      </c>
      <c r="I271" s="22">
        <v>-1.7376699999999998E-2</v>
      </c>
      <c r="J271" s="22">
        <v>261</v>
      </c>
      <c r="K271" s="22">
        <v>0.44540400000000002</v>
      </c>
      <c r="L271">
        <f t="shared" si="48"/>
        <v>17.3767</v>
      </c>
      <c r="M271">
        <f t="shared" si="49"/>
        <v>7.7449515803000004</v>
      </c>
      <c r="N271" s="9"/>
      <c r="O271" s="22">
        <v>1.2142900000000001</v>
      </c>
      <c r="P271" s="22">
        <v>101.178</v>
      </c>
      <c r="Q271" s="22">
        <v>0.13763400000000001</v>
      </c>
      <c r="R271" s="22">
        <v>261</v>
      </c>
      <c r="S271" s="22">
        <v>0.27398699999999998</v>
      </c>
      <c r="T271">
        <f t="shared" si="50"/>
        <v>-137.63400000000001</v>
      </c>
      <c r="U271">
        <f t="shared" si="51"/>
        <v>-167.12758986000003</v>
      </c>
      <c r="X271" s="9"/>
      <c r="Y271" s="22">
        <v>0.44570900000000002</v>
      </c>
      <c r="Z271" s="22">
        <v>150.58099999999999</v>
      </c>
      <c r="AA271" s="22">
        <v>-1.73157E-2</v>
      </c>
      <c r="AB271" s="22">
        <v>261</v>
      </c>
      <c r="AC271" s="22">
        <v>0.44500699999999999</v>
      </c>
      <c r="AD271">
        <f t="shared" si="52"/>
        <v>17.3157</v>
      </c>
      <c r="AE271">
        <f t="shared" si="53"/>
        <v>7.7177633313000005</v>
      </c>
      <c r="AF271" s="9"/>
      <c r="AG271" s="22">
        <v>1.2142900000000001</v>
      </c>
      <c r="AH271" s="22">
        <v>199.947</v>
      </c>
      <c r="AI271" s="22">
        <v>0.136688</v>
      </c>
      <c r="AJ271" s="22">
        <v>261</v>
      </c>
      <c r="AK271" s="22">
        <v>0.27444499999999999</v>
      </c>
      <c r="AL271">
        <f t="shared" si="54"/>
        <v>-136.68800000000002</v>
      </c>
      <c r="AM271">
        <f t="shared" si="55"/>
        <v>-165.97887152000004</v>
      </c>
      <c r="AP271" s="9"/>
      <c r="AQ271" s="22">
        <v>0.44570900000000002</v>
      </c>
      <c r="AR271" s="22">
        <v>249.22900000000001</v>
      </c>
      <c r="AS271" s="22">
        <v>-1.7318699999999999E-2</v>
      </c>
      <c r="AT271" s="22">
        <v>261</v>
      </c>
      <c r="AU271" s="22">
        <v>0.44516</v>
      </c>
      <c r="AV271">
        <f t="shared" si="56"/>
        <v>17.3187</v>
      </c>
      <c r="AW271">
        <f t="shared" si="57"/>
        <v>7.7191004583000007</v>
      </c>
      <c r="AX271" s="9"/>
      <c r="AY271" s="22">
        <v>1.2142900000000001</v>
      </c>
      <c r="AZ271" s="22">
        <v>298.596</v>
      </c>
      <c r="BA271" s="22">
        <v>0.14724699999999999</v>
      </c>
      <c r="BB271" s="22">
        <v>261</v>
      </c>
      <c r="BC271" s="22">
        <v>0.271088</v>
      </c>
      <c r="BD271">
        <f t="shared" si="58"/>
        <v>-147.24699999999999</v>
      </c>
      <c r="BE271">
        <f t="shared" si="59"/>
        <v>-178.80055963000001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0.44067400000000001</v>
      </c>
      <c r="H272" s="22">
        <v>51.944699999999997</v>
      </c>
      <c r="I272" s="22">
        <v>-1.7376699999999998E-2</v>
      </c>
      <c r="J272" s="22">
        <v>262</v>
      </c>
      <c r="K272" s="22">
        <v>0.43994100000000003</v>
      </c>
      <c r="L272">
        <f t="shared" si="48"/>
        <v>17.3767</v>
      </c>
      <c r="M272">
        <f t="shared" si="49"/>
        <v>7.6574598957999997</v>
      </c>
      <c r="N272" s="9"/>
      <c r="O272" s="22">
        <v>1.21933</v>
      </c>
      <c r="P272" s="22">
        <v>101.188</v>
      </c>
      <c r="Q272" s="22">
        <v>0.137604</v>
      </c>
      <c r="R272" s="22">
        <v>262</v>
      </c>
      <c r="S272" s="22">
        <v>0.27346799999999999</v>
      </c>
      <c r="T272">
        <f t="shared" si="50"/>
        <v>-137.60400000000001</v>
      </c>
      <c r="U272">
        <f t="shared" si="51"/>
        <v>-167.78468532000002</v>
      </c>
      <c r="X272" s="9"/>
      <c r="Y272" s="22">
        <v>0.44067400000000001</v>
      </c>
      <c r="Z272" s="22">
        <v>150.59100000000001</v>
      </c>
      <c r="AA272" s="22">
        <v>-1.73157E-2</v>
      </c>
      <c r="AB272" s="22">
        <v>262</v>
      </c>
      <c r="AC272" s="22">
        <v>0.43997199999999997</v>
      </c>
      <c r="AD272">
        <f t="shared" si="52"/>
        <v>17.3157</v>
      </c>
      <c r="AE272">
        <f t="shared" si="53"/>
        <v>7.6305787817999997</v>
      </c>
      <c r="AF272" s="9"/>
      <c r="AG272" s="22">
        <v>1.21933</v>
      </c>
      <c r="AH272" s="22">
        <v>199.95699999999999</v>
      </c>
      <c r="AI272" s="22">
        <v>0.136597</v>
      </c>
      <c r="AJ272" s="22">
        <v>262</v>
      </c>
      <c r="AK272" s="22">
        <v>0.27380399999999999</v>
      </c>
      <c r="AL272">
        <f t="shared" si="54"/>
        <v>-136.59700000000001</v>
      </c>
      <c r="AM272">
        <f t="shared" si="55"/>
        <v>-166.55682001000002</v>
      </c>
      <c r="AP272" s="9"/>
      <c r="AQ272" s="22">
        <v>0.44067400000000001</v>
      </c>
      <c r="AR272" s="22">
        <v>249.239</v>
      </c>
      <c r="AS272" s="22">
        <v>-1.7321799999999998E-2</v>
      </c>
      <c r="AT272" s="22">
        <v>262</v>
      </c>
      <c r="AU272" s="22">
        <v>0.43994100000000003</v>
      </c>
      <c r="AV272">
        <f t="shared" si="56"/>
        <v>17.3218</v>
      </c>
      <c r="AW272">
        <f t="shared" si="57"/>
        <v>7.6332668932000001</v>
      </c>
      <c r="AX272" s="9"/>
      <c r="AY272" s="22">
        <v>1.21933</v>
      </c>
      <c r="AZ272" s="22">
        <v>298.60599999999999</v>
      </c>
      <c r="BA272" s="22">
        <v>0.146454</v>
      </c>
      <c r="BB272" s="22">
        <v>262</v>
      </c>
      <c r="BC272" s="22">
        <v>0.27075199999999999</v>
      </c>
      <c r="BD272">
        <f t="shared" si="58"/>
        <v>-146.45400000000001</v>
      </c>
      <c r="BE272">
        <f t="shared" si="59"/>
        <v>-178.57575582000001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0.43563800000000003</v>
      </c>
      <c r="H273" s="22">
        <v>51.954799999999999</v>
      </c>
      <c r="I273" s="22">
        <v>-1.7379800000000001E-2</v>
      </c>
      <c r="J273" s="22">
        <v>263</v>
      </c>
      <c r="K273" s="22">
        <v>0.43496699999999999</v>
      </c>
      <c r="L273">
        <f t="shared" si="48"/>
        <v>17.379799999999999</v>
      </c>
      <c r="M273">
        <f t="shared" si="49"/>
        <v>7.5713013124000001</v>
      </c>
      <c r="N273" s="9"/>
      <c r="O273" s="22">
        <v>1.22437</v>
      </c>
      <c r="P273" s="22">
        <v>101.19799999999999</v>
      </c>
      <c r="Q273" s="22">
        <v>0.137573</v>
      </c>
      <c r="R273" s="22">
        <v>263</v>
      </c>
      <c r="S273" s="22">
        <v>0.27386500000000003</v>
      </c>
      <c r="T273">
        <f t="shared" si="50"/>
        <v>-137.57300000000001</v>
      </c>
      <c r="U273">
        <f t="shared" si="51"/>
        <v>-168.44025400999999</v>
      </c>
      <c r="X273" s="9"/>
      <c r="Y273" s="22">
        <v>0.43563800000000003</v>
      </c>
      <c r="Z273" s="22">
        <v>150.601</v>
      </c>
      <c r="AA273" s="22">
        <v>-1.7318699999999999E-2</v>
      </c>
      <c r="AB273" s="22">
        <v>263</v>
      </c>
      <c r="AC273" s="22">
        <v>0.43542500000000001</v>
      </c>
      <c r="AD273">
        <f t="shared" si="52"/>
        <v>17.3187</v>
      </c>
      <c r="AE273">
        <f t="shared" si="53"/>
        <v>7.5446838306000004</v>
      </c>
      <c r="AF273" s="9"/>
      <c r="AG273" s="22">
        <v>1.22437</v>
      </c>
      <c r="AH273" s="22">
        <v>199.96700000000001</v>
      </c>
      <c r="AI273" s="22">
        <v>0.13656599999999999</v>
      </c>
      <c r="AJ273" s="22">
        <v>263</v>
      </c>
      <c r="AK273" s="22">
        <v>0.27377299999999999</v>
      </c>
      <c r="AL273">
        <f t="shared" si="54"/>
        <v>-136.566</v>
      </c>
      <c r="AM273">
        <f t="shared" si="55"/>
        <v>-167.20731341999999</v>
      </c>
      <c r="AP273" s="9"/>
      <c r="AQ273" s="22">
        <v>0.43563800000000003</v>
      </c>
      <c r="AR273" s="22">
        <v>249.25</v>
      </c>
      <c r="AS273" s="22">
        <v>-1.7324800000000001E-2</v>
      </c>
      <c r="AT273" s="22">
        <v>263</v>
      </c>
      <c r="AU273" s="22">
        <v>0.43493700000000002</v>
      </c>
      <c r="AV273">
        <f t="shared" si="56"/>
        <v>17.3248</v>
      </c>
      <c r="AW273">
        <f t="shared" si="57"/>
        <v>7.5473412224</v>
      </c>
      <c r="AX273" s="9"/>
      <c r="AY273" s="22">
        <v>1.22437</v>
      </c>
      <c r="AZ273" s="22">
        <v>298.61599999999999</v>
      </c>
      <c r="BA273" s="22">
        <v>0.14578199999999999</v>
      </c>
      <c r="BB273" s="22">
        <v>263</v>
      </c>
      <c r="BC273" s="22">
        <v>0.27014199999999999</v>
      </c>
      <c r="BD273">
        <f t="shared" si="58"/>
        <v>-145.78199999999998</v>
      </c>
      <c r="BE273">
        <f t="shared" si="59"/>
        <v>-178.49110733999999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0.43060300000000001</v>
      </c>
      <c r="H274" s="22">
        <v>51.9649</v>
      </c>
      <c r="I274" s="22">
        <v>-1.73828E-2</v>
      </c>
      <c r="J274" s="22">
        <v>264</v>
      </c>
      <c r="K274" s="22">
        <v>0.42984</v>
      </c>
      <c r="L274">
        <f t="shared" si="48"/>
        <v>17.3828</v>
      </c>
      <c r="M274">
        <f t="shared" si="49"/>
        <v>7.4850858283999999</v>
      </c>
      <c r="N274" s="9"/>
      <c r="O274" s="22">
        <v>1.2294</v>
      </c>
      <c r="P274" s="22">
        <v>101.208</v>
      </c>
      <c r="Q274" s="22">
        <v>0.137573</v>
      </c>
      <c r="R274" s="22">
        <v>264</v>
      </c>
      <c r="S274" s="22">
        <v>0.27383400000000002</v>
      </c>
      <c r="T274">
        <f t="shared" si="50"/>
        <v>-137.57300000000001</v>
      </c>
      <c r="U274">
        <f t="shared" si="51"/>
        <v>-169.13224620000003</v>
      </c>
      <c r="X274" s="9"/>
      <c r="Y274" s="22">
        <v>0.43060300000000001</v>
      </c>
      <c r="Z274" s="22">
        <v>150.61099999999999</v>
      </c>
      <c r="AA274" s="22">
        <v>-1.7318699999999999E-2</v>
      </c>
      <c r="AB274" s="22">
        <v>264</v>
      </c>
      <c r="AC274" s="22">
        <v>0.43005399999999999</v>
      </c>
      <c r="AD274">
        <f t="shared" si="52"/>
        <v>17.3187</v>
      </c>
      <c r="AE274">
        <f t="shared" si="53"/>
        <v>7.4574841761000004</v>
      </c>
      <c r="AF274" s="9"/>
      <c r="AG274" s="22">
        <v>1.2294</v>
      </c>
      <c r="AH274" s="22">
        <v>199.977</v>
      </c>
      <c r="AI274" s="22">
        <v>0.13674900000000001</v>
      </c>
      <c r="AJ274" s="22">
        <v>264</v>
      </c>
      <c r="AK274" s="22">
        <v>0.27337600000000001</v>
      </c>
      <c r="AL274">
        <f t="shared" si="54"/>
        <v>-136.74900000000002</v>
      </c>
      <c r="AM274">
        <f t="shared" si="55"/>
        <v>-168.11922060000003</v>
      </c>
      <c r="AP274" s="9"/>
      <c r="AQ274" s="22">
        <v>0.43060300000000001</v>
      </c>
      <c r="AR274" s="22">
        <v>249.26</v>
      </c>
      <c r="AS274" s="22">
        <v>-1.73279E-2</v>
      </c>
      <c r="AT274" s="22">
        <v>264</v>
      </c>
      <c r="AU274" s="22">
        <v>0.42974899999999999</v>
      </c>
      <c r="AV274">
        <f t="shared" si="56"/>
        <v>17.3279</v>
      </c>
      <c r="AW274">
        <f t="shared" si="57"/>
        <v>7.4614457236999998</v>
      </c>
      <c r="AX274" s="9"/>
      <c r="AY274" s="22">
        <v>1.2294</v>
      </c>
      <c r="AZ274" s="22">
        <v>298.62599999999998</v>
      </c>
      <c r="BA274" s="22">
        <v>0.145264</v>
      </c>
      <c r="BB274" s="22">
        <v>264</v>
      </c>
      <c r="BC274" s="22">
        <v>0.27111800000000003</v>
      </c>
      <c r="BD274">
        <f t="shared" si="58"/>
        <v>-145.26400000000001</v>
      </c>
      <c r="BE274">
        <f t="shared" si="59"/>
        <v>-178.58756160000002</v>
      </c>
    </row>
    <row r="275" spans="6:101">
      <c r="F275" s="9"/>
      <c r="G275" s="22">
        <v>0.425568</v>
      </c>
      <c r="H275" s="22">
        <v>51.975000000000001</v>
      </c>
      <c r="I275" s="22">
        <v>-1.73828E-2</v>
      </c>
      <c r="J275" s="22">
        <v>265</v>
      </c>
      <c r="K275" s="22">
        <v>0.42529299999999998</v>
      </c>
      <c r="L275">
        <f t="shared" si="48"/>
        <v>17.3828</v>
      </c>
      <c r="M275">
        <f t="shared" si="49"/>
        <v>7.3975634304</v>
      </c>
      <c r="N275" s="9"/>
      <c r="O275" s="22">
        <v>1.23444</v>
      </c>
      <c r="P275" s="22">
        <v>101.218</v>
      </c>
      <c r="Q275" s="22">
        <v>0.13745099999999999</v>
      </c>
      <c r="R275" s="22">
        <v>265</v>
      </c>
      <c r="S275" s="22">
        <v>0.27404800000000001</v>
      </c>
      <c r="T275">
        <f t="shared" si="50"/>
        <v>-137.45099999999999</v>
      </c>
      <c r="U275">
        <f t="shared" si="51"/>
        <v>-169.67501243999999</v>
      </c>
      <c r="X275" s="9"/>
      <c r="Y275" s="22">
        <v>0.425568</v>
      </c>
      <c r="Z275" s="22">
        <v>150.62100000000001</v>
      </c>
      <c r="AA275" s="22">
        <v>-1.73279E-2</v>
      </c>
      <c r="AB275" s="22">
        <v>265</v>
      </c>
      <c r="AC275" s="22">
        <v>0.424896</v>
      </c>
      <c r="AD275">
        <f t="shared" si="52"/>
        <v>17.3279</v>
      </c>
      <c r="AE275">
        <f t="shared" si="53"/>
        <v>7.3741997471999996</v>
      </c>
      <c r="AF275" s="9"/>
      <c r="AG275" s="22">
        <v>1.23444</v>
      </c>
      <c r="AH275" s="22">
        <v>199.98699999999999</v>
      </c>
      <c r="AI275" s="22">
        <v>0.136627</v>
      </c>
      <c r="AJ275" s="22">
        <v>265</v>
      </c>
      <c r="AK275" s="22">
        <v>0.27417000000000002</v>
      </c>
      <c r="AL275">
        <f t="shared" si="54"/>
        <v>-136.62700000000001</v>
      </c>
      <c r="AM275">
        <f t="shared" si="55"/>
        <v>-168.65783388</v>
      </c>
      <c r="AP275" s="9"/>
      <c r="AQ275" s="22">
        <v>0.425568</v>
      </c>
      <c r="AR275" s="22">
        <v>249.27</v>
      </c>
      <c r="AS275" s="22">
        <v>-1.73279E-2</v>
      </c>
      <c r="AT275" s="22">
        <v>265</v>
      </c>
      <c r="AU275" s="22">
        <v>0.42535400000000001</v>
      </c>
      <c r="AV275">
        <f t="shared" si="56"/>
        <v>17.3279</v>
      </c>
      <c r="AW275">
        <f t="shared" si="57"/>
        <v>7.3741997471999996</v>
      </c>
      <c r="AX275" s="9"/>
      <c r="AY275" s="22">
        <v>1.23444</v>
      </c>
      <c r="AZ275" s="22">
        <v>298.63600000000002</v>
      </c>
      <c r="BA275" s="22">
        <v>0.14477499999999999</v>
      </c>
      <c r="BB275" s="22">
        <v>265</v>
      </c>
      <c r="BC275" s="22">
        <v>0.27038600000000002</v>
      </c>
      <c r="BD275">
        <f t="shared" si="58"/>
        <v>-144.77499999999998</v>
      </c>
      <c r="BE275">
        <f t="shared" si="59"/>
        <v>-178.71605099999996</v>
      </c>
    </row>
    <row r="276" spans="6:101">
      <c r="F276" s="9"/>
      <c r="G276" s="22">
        <v>0.42053200000000002</v>
      </c>
      <c r="H276" s="22">
        <v>51.984999999999999</v>
      </c>
      <c r="I276" s="22">
        <v>-1.73828E-2</v>
      </c>
      <c r="J276" s="22">
        <v>266</v>
      </c>
      <c r="K276" s="22">
        <v>0.42016599999999998</v>
      </c>
      <c r="L276">
        <f t="shared" si="48"/>
        <v>17.3828</v>
      </c>
      <c r="M276">
        <f t="shared" si="49"/>
        <v>7.3100236495999997</v>
      </c>
      <c r="N276" s="9"/>
      <c r="O276" s="22">
        <v>1.2394700000000001</v>
      </c>
      <c r="P276" s="22">
        <v>101.22799999999999</v>
      </c>
      <c r="Q276" s="22">
        <v>0.137543</v>
      </c>
      <c r="R276" s="22">
        <v>266</v>
      </c>
      <c r="S276" s="22">
        <v>0.27386500000000003</v>
      </c>
      <c r="T276">
        <f t="shared" si="50"/>
        <v>-137.54300000000001</v>
      </c>
      <c r="U276">
        <f t="shared" si="51"/>
        <v>-170.48042221000003</v>
      </c>
      <c r="X276" s="9"/>
      <c r="Y276" s="22">
        <v>0.42053200000000002</v>
      </c>
      <c r="Z276" s="22">
        <v>150.631</v>
      </c>
      <c r="AA276" s="22">
        <v>-1.7333999999999999E-2</v>
      </c>
      <c r="AB276" s="22">
        <v>266</v>
      </c>
      <c r="AC276" s="22">
        <v>0.41925000000000001</v>
      </c>
      <c r="AD276">
        <f t="shared" si="52"/>
        <v>17.334</v>
      </c>
      <c r="AE276">
        <f t="shared" si="53"/>
        <v>7.2895016880000005</v>
      </c>
      <c r="AF276" s="9"/>
      <c r="AG276" s="22">
        <v>1.2394700000000001</v>
      </c>
      <c r="AH276" s="22">
        <v>199.99700000000001</v>
      </c>
      <c r="AI276" s="22">
        <v>0.13656599999999999</v>
      </c>
      <c r="AJ276" s="22">
        <v>266</v>
      </c>
      <c r="AK276" s="22">
        <v>0.274841</v>
      </c>
      <c r="AL276">
        <f t="shared" si="54"/>
        <v>-136.566</v>
      </c>
      <c r="AM276">
        <f t="shared" si="55"/>
        <v>-169.26946002000003</v>
      </c>
      <c r="AP276" s="9"/>
      <c r="AQ276" s="22">
        <v>0.42053200000000002</v>
      </c>
      <c r="AR276" s="22">
        <v>249.28</v>
      </c>
      <c r="AS276" s="22">
        <v>-1.7324800000000001E-2</v>
      </c>
      <c r="AT276" s="22">
        <v>266</v>
      </c>
      <c r="AU276" s="22">
        <v>0.41982999999999998</v>
      </c>
      <c r="AV276">
        <f t="shared" si="56"/>
        <v>17.3248</v>
      </c>
      <c r="AW276">
        <f t="shared" si="57"/>
        <v>7.2856327936000005</v>
      </c>
      <c r="AX276" s="9"/>
      <c r="AY276" s="22">
        <v>1.2394700000000001</v>
      </c>
      <c r="AZ276" s="22">
        <v>298.64600000000002</v>
      </c>
      <c r="BA276" s="22">
        <v>0.14453099999999999</v>
      </c>
      <c r="BB276" s="22">
        <v>266</v>
      </c>
      <c r="BC276" s="22">
        <v>0.26980599999999999</v>
      </c>
      <c r="BD276">
        <f t="shared" si="58"/>
        <v>-144.53100000000001</v>
      </c>
      <c r="BE276">
        <f t="shared" si="59"/>
        <v>-179.14183857</v>
      </c>
    </row>
    <row r="277" spans="6:101">
      <c r="F277" s="9"/>
      <c r="G277" s="22">
        <v>0.41549700000000001</v>
      </c>
      <c r="H277" s="22">
        <v>51.995100000000001</v>
      </c>
      <c r="I277" s="22">
        <v>-1.73828E-2</v>
      </c>
      <c r="J277" s="22">
        <v>267</v>
      </c>
      <c r="K277" s="22">
        <v>0.41476400000000002</v>
      </c>
      <c r="L277">
        <f t="shared" si="48"/>
        <v>17.3828</v>
      </c>
      <c r="M277">
        <f t="shared" si="49"/>
        <v>7.2225012515999998</v>
      </c>
      <c r="N277" s="9"/>
      <c r="O277" s="22">
        <v>1.24451</v>
      </c>
      <c r="P277" s="22">
        <v>101.239</v>
      </c>
      <c r="Q277" s="22">
        <v>0.13748199999999999</v>
      </c>
      <c r="R277" s="22">
        <v>267</v>
      </c>
      <c r="S277" s="22">
        <v>0.27535999999999999</v>
      </c>
      <c r="T277">
        <f t="shared" si="50"/>
        <v>-137.482</v>
      </c>
      <c r="U277">
        <f t="shared" si="51"/>
        <v>-171.09772382</v>
      </c>
      <c r="X277" s="9"/>
      <c r="Y277" s="22">
        <v>0.41549700000000001</v>
      </c>
      <c r="Z277" s="22">
        <v>150.64099999999999</v>
      </c>
      <c r="AA277" s="22">
        <v>-1.7337000000000002E-2</v>
      </c>
      <c r="AB277" s="22">
        <v>267</v>
      </c>
      <c r="AC277" s="22">
        <v>0.41464200000000001</v>
      </c>
      <c r="AD277">
        <f t="shared" si="52"/>
        <v>17.337000000000003</v>
      </c>
      <c r="AE277">
        <f t="shared" si="53"/>
        <v>7.2034714890000018</v>
      </c>
      <c r="AF277" s="9"/>
      <c r="AG277" s="22">
        <v>1.24451</v>
      </c>
      <c r="AH277" s="22">
        <v>200.00700000000001</v>
      </c>
      <c r="AI277" s="22">
        <v>0.13644400000000001</v>
      </c>
      <c r="AJ277" s="22">
        <v>267</v>
      </c>
      <c r="AK277" s="22">
        <v>0.27502399999999999</v>
      </c>
      <c r="AL277">
        <f t="shared" si="54"/>
        <v>-136.44400000000002</v>
      </c>
      <c r="AM277">
        <f t="shared" si="55"/>
        <v>-169.80592244000002</v>
      </c>
      <c r="AP277" s="9"/>
      <c r="AQ277" s="22">
        <v>0.41549700000000001</v>
      </c>
      <c r="AR277" s="22">
        <v>249.29</v>
      </c>
      <c r="AS277" s="22">
        <v>-1.73279E-2</v>
      </c>
      <c r="AT277" s="22">
        <v>267</v>
      </c>
      <c r="AU277" s="22">
        <v>0.41470299999999999</v>
      </c>
      <c r="AV277">
        <f t="shared" si="56"/>
        <v>17.3279</v>
      </c>
      <c r="AW277">
        <f t="shared" si="57"/>
        <v>7.1996904662999999</v>
      </c>
      <c r="AX277" s="9"/>
      <c r="AY277" s="22">
        <v>1.24451</v>
      </c>
      <c r="AZ277" s="22">
        <v>298.65600000000001</v>
      </c>
      <c r="BA277" s="22">
        <v>0.14416499999999999</v>
      </c>
      <c r="BB277" s="22">
        <v>267</v>
      </c>
      <c r="BC277" s="22">
        <v>0.270874</v>
      </c>
      <c r="BD277">
        <f t="shared" si="58"/>
        <v>-144.16499999999999</v>
      </c>
      <c r="BE277">
        <f t="shared" si="59"/>
        <v>-179.41478415</v>
      </c>
    </row>
    <row r="278" spans="6:101">
      <c r="F278" s="9"/>
      <c r="G278" s="22">
        <v>0.41046100000000002</v>
      </c>
      <c r="H278" s="22">
        <v>52.005200000000002</v>
      </c>
      <c r="I278" s="22">
        <v>-1.7385899999999999E-2</v>
      </c>
      <c r="J278" s="22">
        <v>268</v>
      </c>
      <c r="K278" s="22">
        <v>0.40972900000000001</v>
      </c>
      <c r="L278">
        <f t="shared" si="48"/>
        <v>17.385899999999999</v>
      </c>
      <c r="M278">
        <f t="shared" si="49"/>
        <v>7.1362338999000006</v>
      </c>
      <c r="N278" s="9"/>
      <c r="O278" s="22">
        <v>1.2495400000000001</v>
      </c>
      <c r="P278" s="22">
        <v>101.249</v>
      </c>
      <c r="Q278" s="22">
        <v>0.13732900000000001</v>
      </c>
      <c r="R278" s="22">
        <v>268</v>
      </c>
      <c r="S278" s="22">
        <v>0.274841</v>
      </c>
      <c r="T278">
        <f t="shared" si="50"/>
        <v>-137.32900000000001</v>
      </c>
      <c r="U278">
        <f t="shared" si="51"/>
        <v>-171.59807866000003</v>
      </c>
      <c r="X278" s="9"/>
      <c r="Y278" s="22">
        <v>0.41046100000000002</v>
      </c>
      <c r="Z278" s="22">
        <v>150.65100000000001</v>
      </c>
      <c r="AA278" s="22">
        <v>-1.7337000000000002E-2</v>
      </c>
      <c r="AB278" s="22">
        <v>268</v>
      </c>
      <c r="AC278" s="22">
        <v>0.40969800000000001</v>
      </c>
      <c r="AD278">
        <f t="shared" si="52"/>
        <v>17.337000000000003</v>
      </c>
      <c r="AE278">
        <f t="shared" si="53"/>
        <v>7.1161623570000021</v>
      </c>
      <c r="AF278" s="9"/>
      <c r="AG278" s="22">
        <v>1.2495400000000001</v>
      </c>
      <c r="AH278" s="22">
        <v>200.017</v>
      </c>
      <c r="AI278" s="22">
        <v>0.13619999999999999</v>
      </c>
      <c r="AJ278" s="22">
        <v>268</v>
      </c>
      <c r="AK278" s="22">
        <v>0.27587899999999999</v>
      </c>
      <c r="AL278">
        <f t="shared" si="54"/>
        <v>-136.19999999999999</v>
      </c>
      <c r="AM278">
        <f t="shared" si="55"/>
        <v>-170.18734799999999</v>
      </c>
      <c r="AP278" s="9"/>
      <c r="AQ278" s="22">
        <v>0.41046100000000002</v>
      </c>
      <c r="AR278" s="22">
        <v>249.3</v>
      </c>
      <c r="AS278" s="22">
        <v>-1.73309E-2</v>
      </c>
      <c r="AT278" s="22">
        <v>268</v>
      </c>
      <c r="AU278" s="22">
        <v>0.40911900000000001</v>
      </c>
      <c r="AV278">
        <f t="shared" si="56"/>
        <v>17.3309</v>
      </c>
      <c r="AW278">
        <f t="shared" si="57"/>
        <v>7.1136585448999998</v>
      </c>
      <c r="AX278" s="9"/>
      <c r="AY278" s="22">
        <v>1.2495400000000001</v>
      </c>
      <c r="AZ278" s="22">
        <v>298.666</v>
      </c>
      <c r="BA278" s="22">
        <v>0.14379900000000001</v>
      </c>
      <c r="BB278" s="22">
        <v>268</v>
      </c>
      <c r="BC278" s="22">
        <v>0.27069100000000001</v>
      </c>
      <c r="BD278">
        <f t="shared" si="58"/>
        <v>-143.79900000000001</v>
      </c>
      <c r="BE278">
        <f t="shared" si="59"/>
        <v>-179.68260246000003</v>
      </c>
    </row>
    <row r="279" spans="6:101">
      <c r="F279" s="9"/>
      <c r="G279" s="22">
        <v>0.40542600000000001</v>
      </c>
      <c r="H279" s="22">
        <v>52.0152</v>
      </c>
      <c r="I279" s="22">
        <v>-1.7392000000000001E-2</v>
      </c>
      <c r="J279" s="22">
        <v>269</v>
      </c>
      <c r="K279" s="22">
        <v>0.40457199999999999</v>
      </c>
      <c r="L279">
        <f t="shared" si="48"/>
        <v>17.391999999999999</v>
      </c>
      <c r="M279">
        <f t="shared" si="49"/>
        <v>7.051168992</v>
      </c>
      <c r="N279" s="9"/>
      <c r="O279" s="22">
        <v>1.25458</v>
      </c>
      <c r="P279" s="22">
        <v>101.259</v>
      </c>
      <c r="Q279" s="22">
        <v>0.13739000000000001</v>
      </c>
      <c r="R279" s="22">
        <v>269</v>
      </c>
      <c r="S279" s="22">
        <v>0.27533000000000002</v>
      </c>
      <c r="T279">
        <f t="shared" si="50"/>
        <v>-137.39000000000001</v>
      </c>
      <c r="U279">
        <f t="shared" si="51"/>
        <v>-172.36674620000002</v>
      </c>
      <c r="X279" s="9"/>
      <c r="Y279" s="22">
        <v>0.40542600000000001</v>
      </c>
      <c r="Z279" s="22">
        <v>150.661</v>
      </c>
      <c r="AA279" s="22">
        <v>-1.73431E-2</v>
      </c>
      <c r="AB279" s="22">
        <v>269</v>
      </c>
      <c r="AC279" s="22">
        <v>0.40454099999999998</v>
      </c>
      <c r="AD279">
        <f t="shared" si="52"/>
        <v>17.3431</v>
      </c>
      <c r="AE279">
        <f t="shared" si="53"/>
        <v>7.0313436606000002</v>
      </c>
      <c r="AF279" s="9"/>
      <c r="AG279" s="22">
        <v>1.25458</v>
      </c>
      <c r="AH279" s="22">
        <v>200.02799999999999</v>
      </c>
      <c r="AI279" s="22">
        <v>0.136292</v>
      </c>
      <c r="AJ279" s="22">
        <v>269</v>
      </c>
      <c r="AK279" s="22">
        <v>0.27551300000000001</v>
      </c>
      <c r="AL279">
        <f t="shared" si="54"/>
        <v>-136.292</v>
      </c>
      <c r="AM279">
        <f t="shared" si="55"/>
        <v>-170.98921736</v>
      </c>
      <c r="AP279" s="9"/>
      <c r="AQ279" s="22">
        <v>0.40542600000000001</v>
      </c>
      <c r="AR279" s="22">
        <v>249.31</v>
      </c>
      <c r="AS279" s="22">
        <v>-1.73279E-2</v>
      </c>
      <c r="AT279" s="22">
        <v>269</v>
      </c>
      <c r="AU279" s="22">
        <v>0.40484599999999998</v>
      </c>
      <c r="AV279">
        <f t="shared" si="56"/>
        <v>17.3279</v>
      </c>
      <c r="AW279">
        <f t="shared" si="57"/>
        <v>7.0251811854000001</v>
      </c>
      <c r="AX279" s="9"/>
      <c r="AY279" s="22">
        <v>1.25458</v>
      </c>
      <c r="AZ279" s="22">
        <v>298.67599999999999</v>
      </c>
      <c r="BA279" s="22">
        <v>0.14358499999999999</v>
      </c>
      <c r="BB279" s="22">
        <v>269</v>
      </c>
      <c r="BC279" s="22">
        <v>0.27005000000000001</v>
      </c>
      <c r="BD279">
        <f t="shared" si="58"/>
        <v>-143.58499999999998</v>
      </c>
      <c r="BE279">
        <f t="shared" si="59"/>
        <v>-180.13886929999998</v>
      </c>
    </row>
    <row r="280" spans="6:101">
      <c r="F280" s="9"/>
      <c r="G280" s="22">
        <v>0.400391</v>
      </c>
      <c r="H280" s="22">
        <v>52.025300000000001</v>
      </c>
      <c r="I280" s="22">
        <v>-1.73981E-2</v>
      </c>
      <c r="J280" s="22">
        <v>270</v>
      </c>
      <c r="K280" s="22">
        <v>0.39968900000000002</v>
      </c>
      <c r="L280">
        <f t="shared" si="48"/>
        <v>17.398099999999999</v>
      </c>
      <c r="M280">
        <f t="shared" si="49"/>
        <v>6.9660426571</v>
      </c>
      <c r="N280" s="9"/>
      <c r="O280" s="22">
        <v>1.2596099999999999</v>
      </c>
      <c r="P280" s="22">
        <v>101.26900000000001</v>
      </c>
      <c r="Q280" s="22">
        <v>0.13717699999999999</v>
      </c>
      <c r="R280" s="22">
        <v>270</v>
      </c>
      <c r="S280" s="22">
        <v>0.27459699999999998</v>
      </c>
      <c r="T280">
        <f t="shared" si="50"/>
        <v>-137.17699999999999</v>
      </c>
      <c r="U280">
        <f t="shared" si="51"/>
        <v>-172.78952096999998</v>
      </c>
      <c r="X280" s="9"/>
      <c r="Y280" s="22">
        <v>0.400391</v>
      </c>
      <c r="Z280" s="22">
        <v>150.67099999999999</v>
      </c>
      <c r="AA280" s="22">
        <v>-1.73431E-2</v>
      </c>
      <c r="AB280" s="22">
        <v>270</v>
      </c>
      <c r="AC280" s="22">
        <v>0.39968900000000002</v>
      </c>
      <c r="AD280">
        <f t="shared" si="52"/>
        <v>17.3431</v>
      </c>
      <c r="AE280">
        <f t="shared" si="53"/>
        <v>6.9440211520999995</v>
      </c>
      <c r="AF280" s="9"/>
      <c r="AG280" s="22">
        <v>1.2596099999999999</v>
      </c>
      <c r="AH280" s="22">
        <v>200.03800000000001</v>
      </c>
      <c r="AI280" s="22">
        <v>0.13619999999999999</v>
      </c>
      <c r="AJ280" s="22">
        <v>270</v>
      </c>
      <c r="AK280" s="22">
        <v>0.27584799999999998</v>
      </c>
      <c r="AL280">
        <f t="shared" si="54"/>
        <v>-136.19999999999999</v>
      </c>
      <c r="AM280">
        <f t="shared" si="55"/>
        <v>-171.55888199999998</v>
      </c>
      <c r="AP280" s="9"/>
      <c r="AQ280" s="22">
        <v>0.400391</v>
      </c>
      <c r="AR280" s="22">
        <v>249.32</v>
      </c>
      <c r="AS280" s="22">
        <v>-1.7333999999999999E-2</v>
      </c>
      <c r="AT280" s="22">
        <v>270</v>
      </c>
      <c r="AU280" s="22">
        <v>0.39968900000000002</v>
      </c>
      <c r="AV280">
        <f t="shared" si="56"/>
        <v>17.334</v>
      </c>
      <c r="AW280">
        <f t="shared" si="57"/>
        <v>6.9403775940000001</v>
      </c>
      <c r="AX280" s="9"/>
      <c r="AY280" s="22">
        <v>1.2596099999999999</v>
      </c>
      <c r="AZ280" s="22">
        <v>298.68599999999998</v>
      </c>
      <c r="BA280" s="22">
        <v>0.14327999999999999</v>
      </c>
      <c r="BB280" s="22">
        <v>270</v>
      </c>
      <c r="BC280" s="22">
        <v>0.269623</v>
      </c>
      <c r="BD280">
        <f t="shared" si="58"/>
        <v>-143.28</v>
      </c>
      <c r="BE280">
        <f t="shared" si="59"/>
        <v>-180.47692079999999</v>
      </c>
    </row>
    <row r="281" spans="6:101">
      <c r="F281" s="9"/>
      <c r="G281" s="22">
        <v>0.39535500000000001</v>
      </c>
      <c r="H281" s="22">
        <v>52.035400000000003</v>
      </c>
      <c r="I281" s="22">
        <v>-1.73981E-2</v>
      </c>
      <c r="J281" s="22">
        <v>271</v>
      </c>
      <c r="K281" s="22">
        <v>0.39501999999999998</v>
      </c>
      <c r="L281">
        <f t="shared" si="48"/>
        <v>17.398099999999999</v>
      </c>
      <c r="M281">
        <f t="shared" si="49"/>
        <v>6.8784258254999999</v>
      </c>
      <c r="N281" s="9"/>
      <c r="O281" s="22">
        <v>1.2646500000000001</v>
      </c>
      <c r="P281" s="22">
        <v>101.279</v>
      </c>
      <c r="Q281" s="22">
        <v>0.13714599999999999</v>
      </c>
      <c r="R281" s="22">
        <v>271</v>
      </c>
      <c r="S281" s="22">
        <v>0.27493299999999998</v>
      </c>
      <c r="T281">
        <f t="shared" si="50"/>
        <v>-137.14599999999999</v>
      </c>
      <c r="U281">
        <f t="shared" si="51"/>
        <v>-173.4416889</v>
      </c>
      <c r="X281" s="9"/>
      <c r="Y281" s="22">
        <v>0.39535500000000001</v>
      </c>
      <c r="Z281" s="22">
        <v>150.68100000000001</v>
      </c>
      <c r="AA281" s="22">
        <v>-1.73431E-2</v>
      </c>
      <c r="AB281" s="22">
        <v>271</v>
      </c>
      <c r="AC281" s="22">
        <v>0.39450099999999999</v>
      </c>
      <c r="AD281">
        <f t="shared" si="52"/>
        <v>17.3431</v>
      </c>
      <c r="AE281">
        <f t="shared" si="53"/>
        <v>6.8566813005</v>
      </c>
      <c r="AF281" s="9"/>
      <c r="AG281" s="22">
        <v>1.2646500000000001</v>
      </c>
      <c r="AH281" s="22">
        <v>200.048</v>
      </c>
      <c r="AI281" s="22">
        <v>0.13592499999999999</v>
      </c>
      <c r="AJ281" s="22">
        <v>271</v>
      </c>
      <c r="AK281" s="22">
        <v>0.27572600000000003</v>
      </c>
      <c r="AL281">
        <f t="shared" si="54"/>
        <v>-135.92499999999998</v>
      </c>
      <c r="AM281">
        <f t="shared" si="55"/>
        <v>-171.89755124999999</v>
      </c>
      <c r="AP281" s="9"/>
      <c r="AQ281" s="22">
        <v>0.39535500000000001</v>
      </c>
      <c r="AR281" s="22">
        <v>249.33</v>
      </c>
      <c r="AS281" s="22">
        <v>-1.73279E-2</v>
      </c>
      <c r="AT281" s="22">
        <v>271</v>
      </c>
      <c r="AU281" s="22">
        <v>0.39471400000000001</v>
      </c>
      <c r="AV281">
        <f t="shared" si="56"/>
        <v>17.3279</v>
      </c>
      <c r="AW281">
        <f t="shared" si="57"/>
        <v>6.8506719045000004</v>
      </c>
      <c r="AX281" s="9"/>
      <c r="AY281" s="22">
        <v>1.2646500000000001</v>
      </c>
      <c r="AZ281" s="22">
        <v>298.697</v>
      </c>
      <c r="BA281" s="22">
        <v>0.143066</v>
      </c>
      <c r="BB281" s="22">
        <v>271</v>
      </c>
      <c r="BC281" s="22">
        <v>0.270569</v>
      </c>
      <c r="BD281">
        <f t="shared" si="58"/>
        <v>-143.066</v>
      </c>
      <c r="BE281">
        <f t="shared" si="59"/>
        <v>-180.9284169</v>
      </c>
    </row>
    <row r="282" spans="6:101">
      <c r="F282" s="9"/>
      <c r="G282" s="22">
        <v>0.39032</v>
      </c>
      <c r="H282" s="22">
        <v>52.045499999999997</v>
      </c>
      <c r="I282" s="22">
        <v>-1.7401099999999999E-2</v>
      </c>
      <c r="J282" s="22">
        <v>272</v>
      </c>
      <c r="K282" s="22">
        <v>0.38970900000000003</v>
      </c>
      <c r="L282">
        <f t="shared" si="48"/>
        <v>17.4011</v>
      </c>
      <c r="M282">
        <f t="shared" si="49"/>
        <v>6.7919973520000001</v>
      </c>
      <c r="N282" s="9"/>
      <c r="O282" s="22">
        <v>1.2696799999999999</v>
      </c>
      <c r="P282" s="22">
        <v>101.289</v>
      </c>
      <c r="Q282" s="22">
        <v>0.13708500000000001</v>
      </c>
      <c r="R282" s="22">
        <v>272</v>
      </c>
      <c r="S282" s="22">
        <v>0.27505499999999999</v>
      </c>
      <c r="T282">
        <f t="shared" si="50"/>
        <v>-137.08500000000001</v>
      </c>
      <c r="U282">
        <f t="shared" si="51"/>
        <v>-174.0540828</v>
      </c>
      <c r="X282" s="9"/>
      <c r="Y282" s="22">
        <v>0.39032</v>
      </c>
      <c r="Z282" s="22">
        <v>150.691</v>
      </c>
      <c r="AA282" s="22">
        <v>-1.7355300000000001E-2</v>
      </c>
      <c r="AB282" s="22">
        <v>272</v>
      </c>
      <c r="AC282" s="22">
        <v>0.389374</v>
      </c>
      <c r="AD282">
        <f t="shared" si="52"/>
        <v>17.3553</v>
      </c>
      <c r="AE282">
        <f t="shared" si="53"/>
        <v>6.7741206959999998</v>
      </c>
      <c r="AF282" s="9"/>
      <c r="AG282" s="22">
        <v>1.2696799999999999</v>
      </c>
      <c r="AH282" s="22">
        <v>200.05799999999999</v>
      </c>
      <c r="AI282" s="22">
        <v>0.136078</v>
      </c>
      <c r="AJ282" s="22">
        <v>272</v>
      </c>
      <c r="AK282" s="22">
        <v>0.275696</v>
      </c>
      <c r="AL282">
        <f t="shared" si="54"/>
        <v>-136.078</v>
      </c>
      <c r="AM282">
        <f t="shared" si="55"/>
        <v>-172.77551503999999</v>
      </c>
      <c r="AP282" s="9"/>
      <c r="AQ282" s="22">
        <v>0.39032</v>
      </c>
      <c r="AR282" s="22">
        <v>249.34</v>
      </c>
      <c r="AS282" s="22">
        <v>-1.7333999999999999E-2</v>
      </c>
      <c r="AT282" s="22">
        <v>272</v>
      </c>
      <c r="AU282" s="22">
        <v>0.38909899999999997</v>
      </c>
      <c r="AV282">
        <f t="shared" si="56"/>
        <v>17.334</v>
      </c>
      <c r="AW282">
        <f t="shared" si="57"/>
        <v>6.7658068799999995</v>
      </c>
      <c r="AX282" s="9"/>
      <c r="AY282" s="22">
        <v>1.2696799999999999</v>
      </c>
      <c r="AZ282" s="22">
        <v>298.70699999999999</v>
      </c>
      <c r="BA282" s="22">
        <v>0.142731</v>
      </c>
      <c r="BB282" s="22">
        <v>272</v>
      </c>
      <c r="BC282" s="22">
        <v>0.27093499999999998</v>
      </c>
      <c r="BD282">
        <f t="shared" si="58"/>
        <v>-142.73099999999999</v>
      </c>
      <c r="BE282">
        <f t="shared" si="59"/>
        <v>-181.22269607999999</v>
      </c>
    </row>
    <row r="283" spans="6:101">
      <c r="F283" s="9"/>
      <c r="G283" s="22">
        <v>0.38528400000000002</v>
      </c>
      <c r="H283" s="22">
        <v>52.055500000000002</v>
      </c>
      <c r="I283" s="22">
        <v>-1.7407200000000001E-2</v>
      </c>
      <c r="J283" s="22">
        <v>273</v>
      </c>
      <c r="K283" s="22">
        <v>0.38461299999999998</v>
      </c>
      <c r="L283">
        <f t="shared" si="48"/>
        <v>17.4072</v>
      </c>
      <c r="M283">
        <f t="shared" si="49"/>
        <v>6.7067156448</v>
      </c>
      <c r="N283" s="9"/>
      <c r="O283" s="22">
        <v>1.2747200000000001</v>
      </c>
      <c r="P283" s="22">
        <v>101.29900000000001</v>
      </c>
      <c r="Q283" s="22">
        <v>0.13717699999999999</v>
      </c>
      <c r="R283" s="22">
        <v>273</v>
      </c>
      <c r="S283" s="22">
        <v>0.274841</v>
      </c>
      <c r="T283">
        <f t="shared" si="50"/>
        <v>-137.17699999999999</v>
      </c>
      <c r="U283">
        <f t="shared" si="51"/>
        <v>-174.86226543999999</v>
      </c>
      <c r="X283" s="9"/>
      <c r="Y283" s="22">
        <v>0.38528400000000002</v>
      </c>
      <c r="Z283" s="22">
        <v>150.70099999999999</v>
      </c>
      <c r="AA283" s="22">
        <v>-1.73584E-2</v>
      </c>
      <c r="AB283" s="22">
        <v>273</v>
      </c>
      <c r="AC283" s="22">
        <v>0.38470500000000002</v>
      </c>
      <c r="AD283">
        <f t="shared" si="52"/>
        <v>17.3584</v>
      </c>
      <c r="AE283">
        <f t="shared" si="53"/>
        <v>6.6879137856000002</v>
      </c>
      <c r="AF283" s="9"/>
      <c r="AG283" s="22">
        <v>1.2747200000000001</v>
      </c>
      <c r="AH283" s="22">
        <v>200.06800000000001</v>
      </c>
      <c r="AI283" s="22">
        <v>0.13592499999999999</v>
      </c>
      <c r="AJ283" s="22">
        <v>273</v>
      </c>
      <c r="AK283" s="22">
        <v>0.27523799999999998</v>
      </c>
      <c r="AL283">
        <f t="shared" si="54"/>
        <v>-135.92499999999998</v>
      </c>
      <c r="AM283">
        <f t="shared" si="55"/>
        <v>-173.26631599999999</v>
      </c>
      <c r="AP283" s="9"/>
      <c r="AQ283" s="22">
        <v>0.38528400000000002</v>
      </c>
      <c r="AR283" s="22">
        <v>249.35</v>
      </c>
      <c r="AS283" s="22">
        <v>-1.7333999999999999E-2</v>
      </c>
      <c r="AT283" s="22">
        <v>273</v>
      </c>
      <c r="AU283" s="22">
        <v>0.38458300000000001</v>
      </c>
      <c r="AV283">
        <f t="shared" si="56"/>
        <v>17.334</v>
      </c>
      <c r="AW283">
        <f t="shared" si="57"/>
        <v>6.6785128560000002</v>
      </c>
      <c r="AX283" s="9"/>
      <c r="AY283" s="22">
        <v>1.2747200000000001</v>
      </c>
      <c r="AZ283" s="22">
        <v>298.71699999999998</v>
      </c>
      <c r="BA283" s="22">
        <v>0.14254800000000001</v>
      </c>
      <c r="BB283" s="22">
        <v>273</v>
      </c>
      <c r="BC283" s="22">
        <v>0.27121000000000001</v>
      </c>
      <c r="BD283">
        <f t="shared" si="58"/>
        <v>-142.548</v>
      </c>
      <c r="BE283">
        <f t="shared" si="59"/>
        <v>-181.70878656000002</v>
      </c>
    </row>
    <row r="284" spans="6:101">
      <c r="F284" s="9"/>
      <c r="G284" s="22">
        <v>0.380249</v>
      </c>
      <c r="H284" s="22">
        <v>52.065600000000003</v>
      </c>
      <c r="I284" s="22">
        <v>-1.74103E-2</v>
      </c>
      <c r="J284" s="22">
        <v>274</v>
      </c>
      <c r="K284" s="22">
        <v>0.37969999999999998</v>
      </c>
      <c r="L284">
        <f t="shared" si="48"/>
        <v>17.410299999999999</v>
      </c>
      <c r="M284">
        <f t="shared" si="49"/>
        <v>6.6202491646999997</v>
      </c>
      <c r="N284" s="9"/>
      <c r="O284" s="22">
        <v>1.2797499999999999</v>
      </c>
      <c r="P284" s="22">
        <v>101.309</v>
      </c>
      <c r="Q284" s="22">
        <v>0.13714599999999999</v>
      </c>
      <c r="R284" s="22">
        <v>274</v>
      </c>
      <c r="S284" s="22">
        <v>0.276306</v>
      </c>
      <c r="T284">
        <f t="shared" si="50"/>
        <v>-137.14599999999999</v>
      </c>
      <c r="U284">
        <f t="shared" si="51"/>
        <v>-175.51259349999998</v>
      </c>
      <c r="X284" s="9"/>
      <c r="Y284" s="22">
        <v>0.380249</v>
      </c>
      <c r="Z284" s="22">
        <v>150.71100000000001</v>
      </c>
      <c r="AA284" s="22">
        <v>-1.7355300000000001E-2</v>
      </c>
      <c r="AB284" s="22">
        <v>274</v>
      </c>
      <c r="AC284" s="22">
        <v>0.37979099999999999</v>
      </c>
      <c r="AD284">
        <f t="shared" si="52"/>
        <v>17.3553</v>
      </c>
      <c r="AE284">
        <f t="shared" si="53"/>
        <v>6.5993354696999997</v>
      </c>
      <c r="AF284" s="9"/>
      <c r="AG284" s="22">
        <v>1.2797499999999999</v>
      </c>
      <c r="AH284" s="22">
        <v>200.078</v>
      </c>
      <c r="AI284" s="22">
        <v>0.13580300000000001</v>
      </c>
      <c r="AJ284" s="22">
        <v>274</v>
      </c>
      <c r="AK284" s="22">
        <v>0.27563500000000002</v>
      </c>
      <c r="AL284">
        <f t="shared" si="54"/>
        <v>-135.803</v>
      </c>
      <c r="AM284">
        <f t="shared" si="55"/>
        <v>-173.79388924999998</v>
      </c>
      <c r="AP284" s="9"/>
      <c r="AQ284" s="22">
        <v>0.380249</v>
      </c>
      <c r="AR284" s="22">
        <v>249.36</v>
      </c>
      <c r="AS284" s="22">
        <v>-1.7337000000000002E-2</v>
      </c>
      <c r="AT284" s="22">
        <v>274</v>
      </c>
      <c r="AU284" s="22">
        <v>0.37942500000000001</v>
      </c>
      <c r="AV284">
        <f t="shared" si="56"/>
        <v>17.337000000000003</v>
      </c>
      <c r="AW284">
        <f t="shared" si="57"/>
        <v>6.5923769130000016</v>
      </c>
      <c r="AX284" s="9"/>
      <c r="AY284" s="22">
        <v>1.2797499999999999</v>
      </c>
      <c r="AZ284" s="22">
        <v>298.72699999999998</v>
      </c>
      <c r="BA284" s="22">
        <v>0.14239499999999999</v>
      </c>
      <c r="BB284" s="22">
        <v>274</v>
      </c>
      <c r="BC284" s="22">
        <v>0.27044699999999999</v>
      </c>
      <c r="BD284">
        <f t="shared" si="58"/>
        <v>-142.39499999999998</v>
      </c>
      <c r="BE284">
        <f t="shared" si="59"/>
        <v>-182.23000124999996</v>
      </c>
    </row>
    <row r="285" spans="6:101">
      <c r="F285" s="9"/>
      <c r="G285" s="22">
        <v>0.37521399999999999</v>
      </c>
      <c r="H285" s="22">
        <v>52.075699999999998</v>
      </c>
      <c r="I285" s="22">
        <v>-1.74103E-2</v>
      </c>
      <c r="J285" s="22">
        <v>275</v>
      </c>
      <c r="K285" s="22">
        <v>0.374695</v>
      </c>
      <c r="L285">
        <f t="shared" si="48"/>
        <v>17.410299999999999</v>
      </c>
      <c r="M285">
        <f t="shared" si="49"/>
        <v>6.5325883041999999</v>
      </c>
      <c r="N285" s="9"/>
      <c r="O285" s="22">
        <v>1.2847900000000001</v>
      </c>
      <c r="P285" s="22">
        <v>101.319</v>
      </c>
      <c r="Q285" s="22">
        <v>0.13705400000000001</v>
      </c>
      <c r="R285" s="22">
        <v>275</v>
      </c>
      <c r="S285" s="22">
        <v>0.27395599999999998</v>
      </c>
      <c r="T285">
        <f t="shared" si="50"/>
        <v>-137.054</v>
      </c>
      <c r="U285">
        <f t="shared" si="51"/>
        <v>-176.08560866000002</v>
      </c>
      <c r="X285" s="9"/>
      <c r="Y285" s="22">
        <v>0.37521399999999999</v>
      </c>
      <c r="Z285" s="22">
        <v>150.72200000000001</v>
      </c>
      <c r="AA285" s="22">
        <v>-1.73584E-2</v>
      </c>
      <c r="AB285" s="22">
        <v>275</v>
      </c>
      <c r="AC285" s="22">
        <v>0.37371799999999999</v>
      </c>
      <c r="AD285">
        <f t="shared" si="52"/>
        <v>17.3584</v>
      </c>
      <c r="AE285">
        <f t="shared" si="53"/>
        <v>6.5131146975999998</v>
      </c>
      <c r="AF285" s="9"/>
      <c r="AG285" s="22">
        <v>1.2847900000000001</v>
      </c>
      <c r="AH285" s="22">
        <v>200.08799999999999</v>
      </c>
      <c r="AI285" s="22">
        <v>0.136627</v>
      </c>
      <c r="AJ285" s="22">
        <v>275</v>
      </c>
      <c r="AK285" s="22">
        <v>0.27554299999999998</v>
      </c>
      <c r="AL285">
        <f t="shared" si="54"/>
        <v>-136.62700000000001</v>
      </c>
      <c r="AM285">
        <f t="shared" si="55"/>
        <v>-175.53700333000003</v>
      </c>
      <c r="AP285" s="9"/>
      <c r="AQ285" s="22">
        <v>0.37521399999999999</v>
      </c>
      <c r="AR285" s="22">
        <v>249.37</v>
      </c>
      <c r="AS285" s="22">
        <v>-1.7340100000000001E-2</v>
      </c>
      <c r="AT285" s="22">
        <v>275</v>
      </c>
      <c r="AU285" s="22">
        <v>0.37426799999999999</v>
      </c>
      <c r="AV285">
        <f t="shared" si="56"/>
        <v>17.3401</v>
      </c>
      <c r="AW285">
        <f t="shared" si="57"/>
        <v>6.5062482813999996</v>
      </c>
      <c r="AX285" s="9"/>
      <c r="AY285" s="22">
        <v>1.2847900000000001</v>
      </c>
      <c r="AZ285" s="22">
        <v>298.73700000000002</v>
      </c>
      <c r="BA285" s="22">
        <v>0.142181</v>
      </c>
      <c r="BB285" s="22">
        <v>275</v>
      </c>
      <c r="BC285" s="22">
        <v>0.270874</v>
      </c>
      <c r="BD285">
        <f t="shared" si="58"/>
        <v>-142.18100000000001</v>
      </c>
      <c r="BE285">
        <f t="shared" si="59"/>
        <v>-182.67272699000003</v>
      </c>
    </row>
    <row r="286" spans="6:101">
      <c r="F286" s="9"/>
      <c r="G286" s="22">
        <v>0.37017800000000001</v>
      </c>
      <c r="H286" s="22">
        <v>52.085700000000003</v>
      </c>
      <c r="I286" s="22">
        <v>-1.74133E-2</v>
      </c>
      <c r="J286" s="22">
        <v>276</v>
      </c>
      <c r="K286" s="22">
        <v>0.36947600000000003</v>
      </c>
      <c r="L286">
        <f t="shared" si="48"/>
        <v>17.4133</v>
      </c>
      <c r="M286">
        <f t="shared" si="49"/>
        <v>6.4460205673999997</v>
      </c>
      <c r="N286" s="9"/>
      <c r="O286" s="22">
        <v>1.28983</v>
      </c>
      <c r="P286" s="22">
        <v>101.32899999999999</v>
      </c>
      <c r="Q286" s="22">
        <v>0.136963</v>
      </c>
      <c r="R286" s="22">
        <v>276</v>
      </c>
      <c r="S286" s="22">
        <v>0.279449</v>
      </c>
      <c r="T286">
        <f t="shared" si="50"/>
        <v>-136.96299999999999</v>
      </c>
      <c r="U286">
        <f t="shared" si="51"/>
        <v>-176.65898629</v>
      </c>
      <c r="X286" s="9"/>
      <c r="Y286" s="22">
        <v>0.37017800000000001</v>
      </c>
      <c r="Z286" s="22">
        <v>150.732</v>
      </c>
      <c r="AA286" s="22">
        <v>-1.7361499999999998E-2</v>
      </c>
      <c r="AB286" s="22">
        <v>276</v>
      </c>
      <c r="AC286" s="22">
        <v>0.369446</v>
      </c>
      <c r="AD286">
        <f t="shared" si="52"/>
        <v>17.361499999999999</v>
      </c>
      <c r="AE286">
        <f t="shared" si="53"/>
        <v>6.4268453469999995</v>
      </c>
      <c r="AF286" s="9"/>
      <c r="AG286" s="22">
        <v>1.28983</v>
      </c>
      <c r="AH286" s="22">
        <v>200.09800000000001</v>
      </c>
      <c r="AI286" s="22">
        <v>0.136383</v>
      </c>
      <c r="AJ286" s="22">
        <v>276</v>
      </c>
      <c r="AK286" s="22">
        <v>0.27551300000000001</v>
      </c>
      <c r="AL286">
        <f t="shared" si="54"/>
        <v>-136.38300000000001</v>
      </c>
      <c r="AM286">
        <f t="shared" si="55"/>
        <v>-175.91088489000001</v>
      </c>
      <c r="AP286" s="9"/>
      <c r="AQ286" s="22">
        <v>0.37017800000000001</v>
      </c>
      <c r="AR286" s="22">
        <v>249.38</v>
      </c>
      <c r="AS286" s="22">
        <v>-1.7340100000000001E-2</v>
      </c>
      <c r="AT286" s="22">
        <v>276</v>
      </c>
      <c r="AU286" s="22">
        <v>0.36962899999999999</v>
      </c>
      <c r="AV286">
        <f t="shared" si="56"/>
        <v>17.3401</v>
      </c>
      <c r="AW286">
        <f t="shared" si="57"/>
        <v>6.4189235377999996</v>
      </c>
      <c r="AX286" s="9"/>
      <c r="AY286" s="22">
        <v>1.28983</v>
      </c>
      <c r="AZ286" s="22">
        <v>298.74700000000001</v>
      </c>
      <c r="BA286" s="22">
        <v>0.14199800000000001</v>
      </c>
      <c r="BB286" s="22">
        <v>276</v>
      </c>
      <c r="BC286" s="22">
        <v>0.27050800000000003</v>
      </c>
      <c r="BD286">
        <f t="shared" si="58"/>
        <v>-141.99800000000002</v>
      </c>
      <c r="BE286">
        <f t="shared" si="59"/>
        <v>-183.15328034000004</v>
      </c>
    </row>
    <row r="287" spans="6:101">
      <c r="F287" s="9"/>
      <c r="G287" s="22">
        <v>0.365143</v>
      </c>
      <c r="H287" s="22">
        <v>52.095799999999997</v>
      </c>
      <c r="I287" s="22">
        <v>-1.74133E-2</v>
      </c>
      <c r="J287" s="22">
        <v>277</v>
      </c>
      <c r="K287" s="22">
        <v>0.36413600000000002</v>
      </c>
      <c r="L287">
        <f t="shared" si="48"/>
        <v>17.4133</v>
      </c>
      <c r="M287">
        <f t="shared" si="49"/>
        <v>6.3583446018999998</v>
      </c>
      <c r="N287" s="9"/>
      <c r="O287" s="22">
        <v>1.2948599999999999</v>
      </c>
      <c r="P287" s="22">
        <v>101.339</v>
      </c>
      <c r="Q287" s="22">
        <v>0.136902</v>
      </c>
      <c r="R287" s="22">
        <v>277</v>
      </c>
      <c r="S287" s="22">
        <v>0.27813700000000002</v>
      </c>
      <c r="T287">
        <f t="shared" si="50"/>
        <v>-136.90199999999999</v>
      </c>
      <c r="U287">
        <f t="shared" si="51"/>
        <v>-177.26892371999998</v>
      </c>
      <c r="X287" s="9"/>
      <c r="Y287" s="22">
        <v>0.365143</v>
      </c>
      <c r="Z287" s="22">
        <v>150.74199999999999</v>
      </c>
      <c r="AA287" s="22">
        <v>-1.7361499999999998E-2</v>
      </c>
      <c r="AB287" s="22">
        <v>277</v>
      </c>
      <c r="AC287" s="22">
        <v>0.36422700000000002</v>
      </c>
      <c r="AD287">
        <f t="shared" si="52"/>
        <v>17.361499999999999</v>
      </c>
      <c r="AE287">
        <f t="shared" si="53"/>
        <v>6.3394301944999993</v>
      </c>
      <c r="AF287" s="9"/>
      <c r="AG287" s="22">
        <v>1.2948599999999999</v>
      </c>
      <c r="AH287" s="22">
        <v>200.108</v>
      </c>
      <c r="AI287" s="22">
        <v>0.136322</v>
      </c>
      <c r="AJ287" s="22">
        <v>277</v>
      </c>
      <c r="AK287" s="22">
        <v>0.27563500000000002</v>
      </c>
      <c r="AL287">
        <f t="shared" si="54"/>
        <v>-136.322</v>
      </c>
      <c r="AM287">
        <f t="shared" si="55"/>
        <v>-176.51790491999998</v>
      </c>
      <c r="AP287" s="9"/>
      <c r="AQ287" s="22">
        <v>0.365143</v>
      </c>
      <c r="AR287" s="22">
        <v>249.39099999999999</v>
      </c>
      <c r="AS287" s="22">
        <v>-1.73431E-2</v>
      </c>
      <c r="AT287" s="22">
        <v>277</v>
      </c>
      <c r="AU287" s="22">
        <v>0.36459399999999997</v>
      </c>
      <c r="AV287">
        <f t="shared" si="56"/>
        <v>17.3431</v>
      </c>
      <c r="AW287">
        <f t="shared" si="57"/>
        <v>6.3327115633000002</v>
      </c>
      <c r="AX287" s="9"/>
      <c r="AY287" s="22">
        <v>1.2948599999999999</v>
      </c>
      <c r="AZ287" s="22">
        <v>298.75700000000001</v>
      </c>
      <c r="BA287" s="22">
        <v>0.141815</v>
      </c>
      <c r="BB287" s="22">
        <v>277</v>
      </c>
      <c r="BC287" s="22">
        <v>0.27050800000000003</v>
      </c>
      <c r="BD287">
        <f t="shared" si="58"/>
        <v>-141.815</v>
      </c>
      <c r="BE287">
        <f t="shared" si="59"/>
        <v>-183.63057089999998</v>
      </c>
    </row>
    <row r="288" spans="6:101">
      <c r="F288" s="9"/>
      <c r="G288" s="22">
        <v>0.36010700000000001</v>
      </c>
      <c r="H288" s="22">
        <v>52.105899999999998</v>
      </c>
      <c r="I288" s="22">
        <v>-1.74133E-2</v>
      </c>
      <c r="J288" s="22">
        <v>278</v>
      </c>
      <c r="K288" s="22">
        <v>0.35955799999999999</v>
      </c>
      <c r="L288">
        <f t="shared" si="48"/>
        <v>17.4133</v>
      </c>
      <c r="M288">
        <f t="shared" si="49"/>
        <v>6.2706512230999998</v>
      </c>
      <c r="N288" s="9"/>
      <c r="O288" s="22">
        <v>1.2999000000000001</v>
      </c>
      <c r="P288" s="22">
        <v>101.349</v>
      </c>
      <c r="Q288" s="22">
        <v>0.136902</v>
      </c>
      <c r="R288" s="22">
        <v>278</v>
      </c>
      <c r="S288" s="22">
        <v>0.27749600000000002</v>
      </c>
      <c r="T288">
        <f t="shared" si="50"/>
        <v>-136.90199999999999</v>
      </c>
      <c r="U288">
        <f t="shared" si="51"/>
        <v>-177.95890979999999</v>
      </c>
      <c r="X288" s="9"/>
      <c r="Y288" s="22">
        <v>0.36010700000000001</v>
      </c>
      <c r="Z288" s="22">
        <v>150.75200000000001</v>
      </c>
      <c r="AA288" s="22">
        <v>-1.7364500000000001E-2</v>
      </c>
      <c r="AB288" s="22">
        <v>278</v>
      </c>
      <c r="AC288" s="22">
        <v>0.35931400000000002</v>
      </c>
      <c r="AD288">
        <f t="shared" si="52"/>
        <v>17.364500000000003</v>
      </c>
      <c r="AE288">
        <f t="shared" si="53"/>
        <v>6.2530780015000014</v>
      </c>
      <c r="AF288" s="9"/>
      <c r="AG288" s="22">
        <v>1.2999000000000001</v>
      </c>
      <c r="AH288" s="22">
        <v>200.11799999999999</v>
      </c>
      <c r="AI288" s="22">
        <v>0.136383</v>
      </c>
      <c r="AJ288" s="22">
        <v>278</v>
      </c>
      <c r="AK288" s="22">
        <v>0.27566499999999999</v>
      </c>
      <c r="AL288">
        <f t="shared" si="54"/>
        <v>-136.38300000000001</v>
      </c>
      <c r="AM288">
        <f t="shared" si="55"/>
        <v>-177.28426170000003</v>
      </c>
      <c r="AP288" s="9"/>
      <c r="AQ288" s="22">
        <v>0.36010700000000001</v>
      </c>
      <c r="AR288" s="22">
        <v>249.40100000000001</v>
      </c>
      <c r="AS288" s="22">
        <v>-1.7340100000000001E-2</v>
      </c>
      <c r="AT288" s="22">
        <v>278</v>
      </c>
      <c r="AU288" s="22">
        <v>0.35946699999999998</v>
      </c>
      <c r="AV288">
        <f t="shared" si="56"/>
        <v>17.3401</v>
      </c>
      <c r="AW288">
        <f t="shared" si="57"/>
        <v>6.2442913906999999</v>
      </c>
      <c r="AX288" s="9"/>
      <c r="AY288" s="22">
        <v>1.2999000000000001</v>
      </c>
      <c r="AZ288" s="22">
        <v>298.767</v>
      </c>
      <c r="BA288" s="22">
        <v>0.141846</v>
      </c>
      <c r="BB288" s="22">
        <v>278</v>
      </c>
      <c r="BC288" s="22">
        <v>0.270538</v>
      </c>
      <c r="BD288">
        <f t="shared" si="58"/>
        <v>-141.846</v>
      </c>
      <c r="BE288">
        <f t="shared" si="59"/>
        <v>-184.38561540000001</v>
      </c>
    </row>
    <row r="289" spans="6:57">
      <c r="F289" s="9"/>
      <c r="G289" s="22">
        <v>0.355072</v>
      </c>
      <c r="H289" s="22">
        <v>52.116</v>
      </c>
      <c r="I289" s="22">
        <v>-1.74133E-2</v>
      </c>
      <c r="J289" s="22">
        <v>279</v>
      </c>
      <c r="K289" s="22">
        <v>0.35458400000000001</v>
      </c>
      <c r="L289">
        <f t="shared" si="48"/>
        <v>17.4133</v>
      </c>
      <c r="M289">
        <f t="shared" si="49"/>
        <v>6.1829752575999999</v>
      </c>
      <c r="N289" s="9"/>
      <c r="O289" s="22">
        <v>1.3049299999999999</v>
      </c>
      <c r="P289" s="22">
        <v>101.35899999999999</v>
      </c>
      <c r="Q289" s="22">
        <v>0.136902</v>
      </c>
      <c r="R289" s="22">
        <v>279</v>
      </c>
      <c r="S289" s="22">
        <v>0.27719100000000002</v>
      </c>
      <c r="T289">
        <f t="shared" si="50"/>
        <v>-136.90199999999999</v>
      </c>
      <c r="U289">
        <f t="shared" si="51"/>
        <v>-178.64752685999997</v>
      </c>
      <c r="X289" s="9"/>
      <c r="Y289" s="22">
        <v>0.355072</v>
      </c>
      <c r="Z289" s="22">
        <v>150.762</v>
      </c>
      <c r="AA289" s="22">
        <v>-1.7364500000000001E-2</v>
      </c>
      <c r="AB289" s="22">
        <v>279</v>
      </c>
      <c r="AC289" s="22">
        <v>0.35479699999999997</v>
      </c>
      <c r="AD289">
        <f t="shared" si="52"/>
        <v>17.364500000000003</v>
      </c>
      <c r="AE289">
        <f t="shared" si="53"/>
        <v>6.165647744000001</v>
      </c>
      <c r="AF289" s="9"/>
      <c r="AG289" s="22">
        <v>1.3049299999999999</v>
      </c>
      <c r="AH289" s="22">
        <v>200.12799999999999</v>
      </c>
      <c r="AI289" s="22">
        <v>0.13641400000000001</v>
      </c>
      <c r="AJ289" s="22">
        <v>279</v>
      </c>
      <c r="AK289" s="22">
        <v>0.275696</v>
      </c>
      <c r="AL289">
        <f t="shared" si="54"/>
        <v>-136.41400000000002</v>
      </c>
      <c r="AM289">
        <f t="shared" si="55"/>
        <v>-178.01072102000001</v>
      </c>
      <c r="AP289" s="9"/>
      <c r="AQ289" s="22">
        <v>0.355072</v>
      </c>
      <c r="AR289" s="22">
        <v>249.411</v>
      </c>
      <c r="AS289" s="22">
        <v>-1.73431E-2</v>
      </c>
      <c r="AT289" s="22">
        <v>279</v>
      </c>
      <c r="AU289" s="22">
        <v>0.354462</v>
      </c>
      <c r="AV289">
        <f t="shared" si="56"/>
        <v>17.3431</v>
      </c>
      <c r="AW289">
        <f t="shared" si="57"/>
        <v>6.1580492032</v>
      </c>
      <c r="AX289" s="9"/>
      <c r="AY289" s="22">
        <v>1.3049299999999999</v>
      </c>
      <c r="AZ289" s="22">
        <v>298.77699999999999</v>
      </c>
      <c r="BA289" s="22">
        <v>0.14166300000000001</v>
      </c>
      <c r="BB289" s="22">
        <v>279</v>
      </c>
      <c r="BC289" s="22">
        <v>0.271179</v>
      </c>
      <c r="BD289">
        <f t="shared" si="58"/>
        <v>-141.66300000000001</v>
      </c>
      <c r="BE289">
        <f t="shared" si="59"/>
        <v>-184.86029859000001</v>
      </c>
    </row>
    <row r="290" spans="6:57">
      <c r="F290" s="9"/>
      <c r="G290" s="22">
        <v>0.35003699999999999</v>
      </c>
      <c r="H290" s="22">
        <v>52.125999999999998</v>
      </c>
      <c r="I290" s="22">
        <v>-1.74133E-2</v>
      </c>
      <c r="J290" s="22">
        <v>280</v>
      </c>
      <c r="K290" s="22">
        <v>0.349609</v>
      </c>
      <c r="L290">
        <f t="shared" si="48"/>
        <v>17.4133</v>
      </c>
      <c r="M290">
        <f t="shared" si="49"/>
        <v>6.0952992921</v>
      </c>
      <c r="N290" s="9"/>
      <c r="O290" s="22">
        <v>1.3099700000000001</v>
      </c>
      <c r="P290" s="22">
        <v>101.369</v>
      </c>
      <c r="Q290" s="22">
        <v>0.136963</v>
      </c>
      <c r="R290" s="22">
        <v>280</v>
      </c>
      <c r="S290" s="22">
        <v>0.277252</v>
      </c>
      <c r="T290">
        <f t="shared" si="50"/>
        <v>-136.96299999999999</v>
      </c>
      <c r="U290">
        <f t="shared" si="51"/>
        <v>-179.41742110999999</v>
      </c>
      <c r="X290" s="9"/>
      <c r="Y290" s="22">
        <v>0.35003699999999999</v>
      </c>
      <c r="Z290" s="22">
        <v>150.77199999999999</v>
      </c>
      <c r="AA290" s="22">
        <v>-1.7361499999999998E-2</v>
      </c>
      <c r="AB290" s="22">
        <v>280</v>
      </c>
      <c r="AC290" s="22">
        <v>0.34939599999999998</v>
      </c>
      <c r="AD290">
        <f t="shared" si="52"/>
        <v>17.361499999999999</v>
      </c>
      <c r="AE290">
        <f t="shared" si="53"/>
        <v>6.0771673754999993</v>
      </c>
      <c r="AF290" s="9"/>
      <c r="AG290" s="22">
        <v>1.3099700000000001</v>
      </c>
      <c r="AH290" s="22">
        <v>200.13800000000001</v>
      </c>
      <c r="AI290" s="22">
        <v>0.13626099999999999</v>
      </c>
      <c r="AJ290" s="22">
        <v>280</v>
      </c>
      <c r="AK290" s="22">
        <v>0.27493299999999998</v>
      </c>
      <c r="AL290">
        <f t="shared" si="54"/>
        <v>-136.261</v>
      </c>
      <c r="AM290">
        <f t="shared" si="55"/>
        <v>-178.49782217000001</v>
      </c>
      <c r="AP290" s="9"/>
      <c r="AQ290" s="22">
        <v>0.35003699999999999</v>
      </c>
      <c r="AR290" s="22">
        <v>249.42099999999999</v>
      </c>
      <c r="AS290" s="22">
        <v>-1.7349199999999999E-2</v>
      </c>
      <c r="AT290" s="22">
        <v>280</v>
      </c>
      <c r="AU290" s="22">
        <v>0.34957899999999997</v>
      </c>
      <c r="AV290">
        <f t="shared" si="56"/>
        <v>17.3492</v>
      </c>
      <c r="AW290">
        <f t="shared" si="57"/>
        <v>6.0728619203999994</v>
      </c>
      <c r="AX290" s="9"/>
      <c r="AY290" s="22">
        <v>1.3099700000000001</v>
      </c>
      <c r="AZ290" s="22">
        <v>298.78699999999998</v>
      </c>
      <c r="BA290" s="22">
        <v>0.14135700000000001</v>
      </c>
      <c r="BB290" s="22">
        <v>280</v>
      </c>
      <c r="BC290" s="22">
        <v>0.271088</v>
      </c>
      <c r="BD290">
        <f t="shared" si="58"/>
        <v>-141.357</v>
      </c>
      <c r="BE290">
        <f t="shared" si="59"/>
        <v>-185.17342929</v>
      </c>
    </row>
    <row r="291" spans="6:57">
      <c r="F291" s="9"/>
      <c r="G291" s="22">
        <v>0.345001</v>
      </c>
      <c r="H291" s="22">
        <v>52.136099999999999</v>
      </c>
      <c r="I291" s="22">
        <v>-1.7416399999999999E-2</v>
      </c>
      <c r="J291" s="22">
        <v>281</v>
      </c>
      <c r="K291" s="22">
        <v>0.344086</v>
      </c>
      <c r="L291">
        <f t="shared" si="48"/>
        <v>17.416399999999999</v>
      </c>
      <c r="M291">
        <f t="shared" si="49"/>
        <v>6.0086754164</v>
      </c>
      <c r="N291" s="9"/>
      <c r="O291" s="22">
        <v>1.3149999999999999</v>
      </c>
      <c r="P291" s="22">
        <v>101.38</v>
      </c>
      <c r="Q291" s="22">
        <v>0.13674900000000001</v>
      </c>
      <c r="R291" s="22">
        <v>281</v>
      </c>
      <c r="S291" s="22">
        <v>0.27743499999999999</v>
      </c>
      <c r="T291">
        <f t="shared" si="50"/>
        <v>-136.74900000000002</v>
      </c>
      <c r="U291">
        <f t="shared" si="51"/>
        <v>-179.82493500000001</v>
      </c>
      <c r="X291" s="9"/>
      <c r="Y291" s="22">
        <v>0.345001</v>
      </c>
      <c r="Z291" s="22">
        <v>150.78200000000001</v>
      </c>
      <c r="AA291" s="22">
        <v>-1.7364500000000001E-2</v>
      </c>
      <c r="AB291" s="22">
        <v>281</v>
      </c>
      <c r="AC291" s="22">
        <v>0.34457399999999999</v>
      </c>
      <c r="AD291">
        <f t="shared" si="52"/>
        <v>17.364500000000003</v>
      </c>
      <c r="AE291">
        <f t="shared" si="53"/>
        <v>5.9907698645000007</v>
      </c>
      <c r="AF291" s="9"/>
      <c r="AG291" s="22">
        <v>1.3149999999999999</v>
      </c>
      <c r="AH291" s="22">
        <v>200.148</v>
      </c>
      <c r="AI291" s="22">
        <v>0.13622999999999999</v>
      </c>
      <c r="AJ291" s="22">
        <v>281</v>
      </c>
      <c r="AK291" s="22">
        <v>0.27533000000000002</v>
      </c>
      <c r="AL291">
        <f t="shared" si="54"/>
        <v>-136.22999999999999</v>
      </c>
      <c r="AM291">
        <f t="shared" si="55"/>
        <v>-179.14244999999997</v>
      </c>
      <c r="AP291" s="9"/>
      <c r="AQ291" s="22">
        <v>0.345001</v>
      </c>
      <c r="AR291" s="22">
        <v>249.43100000000001</v>
      </c>
      <c r="AS291" s="22">
        <v>-1.7352300000000001E-2</v>
      </c>
      <c r="AT291" s="22">
        <v>281</v>
      </c>
      <c r="AU291" s="22">
        <v>0.344391</v>
      </c>
      <c r="AV291">
        <f t="shared" si="56"/>
        <v>17.3523</v>
      </c>
      <c r="AW291">
        <f t="shared" si="57"/>
        <v>5.9865608523000002</v>
      </c>
      <c r="AX291" s="9"/>
      <c r="AY291" s="22">
        <v>1.3149999999999999</v>
      </c>
      <c r="AZ291" s="22">
        <v>298.79700000000003</v>
      </c>
      <c r="BA291" s="22">
        <v>0.141266</v>
      </c>
      <c r="BB291" s="22">
        <v>281</v>
      </c>
      <c r="BC291" s="22">
        <v>0.271179</v>
      </c>
      <c r="BD291">
        <f t="shared" si="58"/>
        <v>-141.26599999999999</v>
      </c>
      <c r="BE291">
        <f t="shared" si="59"/>
        <v>-185.76478999999998</v>
      </c>
    </row>
    <row r="292" spans="6:57">
      <c r="F292" s="9"/>
      <c r="G292" s="22">
        <v>0.33996599999999999</v>
      </c>
      <c r="H292" s="22">
        <v>52.1462</v>
      </c>
      <c r="I292" s="22">
        <v>-1.74225E-2</v>
      </c>
      <c r="J292" s="22">
        <v>282</v>
      </c>
      <c r="K292" s="22">
        <v>0.339142</v>
      </c>
      <c r="L292">
        <f t="shared" si="48"/>
        <v>17.422499999999999</v>
      </c>
      <c r="M292">
        <f t="shared" si="49"/>
        <v>5.9230576349999993</v>
      </c>
      <c r="N292" s="9"/>
      <c r="O292" s="22">
        <v>1.3200400000000001</v>
      </c>
      <c r="P292" s="22">
        <v>101.39</v>
      </c>
      <c r="Q292" s="22">
        <v>0.13647500000000001</v>
      </c>
      <c r="R292" s="22">
        <v>282</v>
      </c>
      <c r="S292" s="22">
        <v>0.27786300000000003</v>
      </c>
      <c r="T292">
        <f t="shared" si="50"/>
        <v>-136.47500000000002</v>
      </c>
      <c r="U292">
        <f t="shared" si="51"/>
        <v>-180.15245900000005</v>
      </c>
      <c r="X292" s="9"/>
      <c r="Y292" s="22">
        <v>0.33996599999999999</v>
      </c>
      <c r="Z292" s="22">
        <v>150.792</v>
      </c>
      <c r="AA292" s="22">
        <v>-1.73676E-2</v>
      </c>
      <c r="AB292" s="22">
        <v>282</v>
      </c>
      <c r="AC292" s="22">
        <v>0.33923300000000001</v>
      </c>
      <c r="AD292">
        <f t="shared" si="52"/>
        <v>17.367599999999999</v>
      </c>
      <c r="AE292">
        <f t="shared" si="53"/>
        <v>5.9043935015999995</v>
      </c>
      <c r="AF292" s="9"/>
      <c r="AG292" s="22">
        <v>1.3200400000000001</v>
      </c>
      <c r="AH292" s="22">
        <v>200.15799999999999</v>
      </c>
      <c r="AI292" s="22">
        <v>0.13619999999999999</v>
      </c>
      <c r="AJ292" s="22">
        <v>282</v>
      </c>
      <c r="AK292" s="22">
        <v>0.27587899999999999</v>
      </c>
      <c r="AL292">
        <f t="shared" si="54"/>
        <v>-136.19999999999999</v>
      </c>
      <c r="AM292">
        <f t="shared" si="55"/>
        <v>-179.78944799999999</v>
      </c>
      <c r="AP292" s="9"/>
      <c r="AQ292" s="22">
        <v>0.33996599999999999</v>
      </c>
      <c r="AR292" s="22">
        <v>249.441</v>
      </c>
      <c r="AS292" s="22">
        <v>-1.73584E-2</v>
      </c>
      <c r="AT292" s="22">
        <v>282</v>
      </c>
      <c r="AU292" s="22">
        <v>0.33932499999999999</v>
      </c>
      <c r="AV292">
        <f t="shared" si="56"/>
        <v>17.3584</v>
      </c>
      <c r="AW292">
        <f t="shared" si="57"/>
        <v>5.9012658143999994</v>
      </c>
      <c r="AX292" s="9"/>
      <c r="AY292" s="22">
        <v>1.3200400000000001</v>
      </c>
      <c r="AZ292" s="22">
        <v>298.80700000000002</v>
      </c>
      <c r="BA292" s="22">
        <v>0.14111299999999999</v>
      </c>
      <c r="BB292" s="22">
        <v>282</v>
      </c>
      <c r="BC292" s="22">
        <v>0.270538</v>
      </c>
      <c r="BD292">
        <f t="shared" si="58"/>
        <v>-141.113</v>
      </c>
      <c r="BE292">
        <f t="shared" si="59"/>
        <v>-186.27480452</v>
      </c>
    </row>
    <row r="293" spans="6:57">
      <c r="F293" s="9"/>
      <c r="G293" s="22">
        <v>0.33493000000000001</v>
      </c>
      <c r="H293" s="22">
        <v>52.156199999999998</v>
      </c>
      <c r="I293" s="22">
        <v>-1.74255E-2</v>
      </c>
      <c r="J293" s="22">
        <v>283</v>
      </c>
      <c r="K293" s="22">
        <v>0.33428999999999998</v>
      </c>
      <c r="L293">
        <f t="shared" si="48"/>
        <v>17.4255</v>
      </c>
      <c r="M293">
        <f t="shared" si="49"/>
        <v>5.8363227149999997</v>
      </c>
      <c r="N293" s="9"/>
      <c r="O293" s="22">
        <v>1.32507</v>
      </c>
      <c r="P293" s="22">
        <v>101.4</v>
      </c>
      <c r="Q293" s="22">
        <v>0.136322</v>
      </c>
      <c r="R293" s="22">
        <v>283</v>
      </c>
      <c r="S293" s="22">
        <v>0.27795399999999998</v>
      </c>
      <c r="T293">
        <f t="shared" si="50"/>
        <v>-136.322</v>
      </c>
      <c r="U293">
        <f t="shared" si="51"/>
        <v>-180.63619254</v>
      </c>
      <c r="X293" s="9"/>
      <c r="Y293" s="22">
        <v>0.33493000000000001</v>
      </c>
      <c r="Z293" s="22">
        <v>150.80199999999999</v>
      </c>
      <c r="AA293" s="22">
        <v>-1.7364500000000001E-2</v>
      </c>
      <c r="AB293" s="22">
        <v>283</v>
      </c>
      <c r="AC293" s="22">
        <v>0.33435100000000001</v>
      </c>
      <c r="AD293">
        <f t="shared" si="52"/>
        <v>17.364500000000003</v>
      </c>
      <c r="AE293">
        <f t="shared" si="53"/>
        <v>5.8158919850000013</v>
      </c>
      <c r="AF293" s="9"/>
      <c r="AG293" s="22">
        <v>1.32507</v>
      </c>
      <c r="AH293" s="22">
        <v>200.16900000000001</v>
      </c>
      <c r="AI293" s="22">
        <v>0.13610800000000001</v>
      </c>
      <c r="AJ293" s="22">
        <v>283</v>
      </c>
      <c r="AK293" s="22">
        <v>0.27642800000000001</v>
      </c>
      <c r="AL293">
        <f t="shared" si="54"/>
        <v>-136.108</v>
      </c>
      <c r="AM293">
        <f t="shared" si="55"/>
        <v>-180.35262756</v>
      </c>
      <c r="AP293" s="9"/>
      <c r="AQ293" s="22">
        <v>0.33493000000000001</v>
      </c>
      <c r="AR293" s="22">
        <v>249.45099999999999</v>
      </c>
      <c r="AS293" s="22">
        <v>-1.73584E-2</v>
      </c>
      <c r="AT293" s="22">
        <v>283</v>
      </c>
      <c r="AU293" s="22">
        <v>0.33383200000000002</v>
      </c>
      <c r="AV293">
        <f t="shared" si="56"/>
        <v>17.3584</v>
      </c>
      <c r="AW293">
        <f t="shared" si="57"/>
        <v>5.8138489120000001</v>
      </c>
      <c r="AX293" s="9"/>
      <c r="AY293" s="22">
        <v>1.32507</v>
      </c>
      <c r="AZ293" s="22">
        <v>298.81700000000001</v>
      </c>
      <c r="BA293" s="22">
        <v>0.14093</v>
      </c>
      <c r="BB293" s="22">
        <v>283</v>
      </c>
      <c r="BC293" s="22">
        <v>0.26968399999999998</v>
      </c>
      <c r="BD293">
        <f t="shared" si="58"/>
        <v>-140.93</v>
      </c>
      <c r="BE293">
        <f t="shared" si="59"/>
        <v>-186.74211510000001</v>
      </c>
    </row>
    <row r="294" spans="6:57">
      <c r="F294" s="9"/>
      <c r="G294" s="22">
        <v>0.32989499999999999</v>
      </c>
      <c r="H294" s="22">
        <v>52.1663</v>
      </c>
      <c r="I294" s="22">
        <v>-1.74225E-2</v>
      </c>
      <c r="J294" s="22">
        <v>284</v>
      </c>
      <c r="K294" s="22">
        <v>0.32922400000000002</v>
      </c>
      <c r="L294">
        <f t="shared" si="48"/>
        <v>17.422499999999999</v>
      </c>
      <c r="M294">
        <f t="shared" si="49"/>
        <v>5.7475956374999999</v>
      </c>
      <c r="N294" s="9"/>
      <c r="O294" s="22">
        <v>1.3301099999999999</v>
      </c>
      <c r="P294" s="22">
        <v>101.41</v>
      </c>
      <c r="Q294" s="22">
        <v>0.136292</v>
      </c>
      <c r="R294" s="22">
        <v>284</v>
      </c>
      <c r="S294" s="22">
        <v>0.27816800000000003</v>
      </c>
      <c r="T294">
        <f t="shared" si="50"/>
        <v>-136.292</v>
      </c>
      <c r="U294">
        <f t="shared" si="51"/>
        <v>-181.28335211999999</v>
      </c>
      <c r="X294" s="9"/>
      <c r="Y294" s="22">
        <v>0.32989499999999999</v>
      </c>
      <c r="Z294" s="22">
        <v>150.81200000000001</v>
      </c>
      <c r="AA294" s="22">
        <v>-1.7364500000000001E-2</v>
      </c>
      <c r="AB294" s="22">
        <v>284</v>
      </c>
      <c r="AC294" s="22">
        <v>0.32913199999999998</v>
      </c>
      <c r="AD294">
        <f t="shared" si="52"/>
        <v>17.364500000000003</v>
      </c>
      <c r="AE294">
        <f t="shared" si="53"/>
        <v>5.7284617275000009</v>
      </c>
      <c r="AF294" s="9"/>
      <c r="AG294" s="22">
        <v>1.3301099999999999</v>
      </c>
      <c r="AH294" s="22">
        <v>200.179</v>
      </c>
      <c r="AI294" s="22">
        <v>0.136078</v>
      </c>
      <c r="AJ294" s="22">
        <v>284</v>
      </c>
      <c r="AK294" s="22">
        <v>0.27581800000000001</v>
      </c>
      <c r="AL294">
        <f t="shared" si="54"/>
        <v>-136.078</v>
      </c>
      <c r="AM294">
        <f t="shared" si="55"/>
        <v>-180.99870858</v>
      </c>
      <c r="AP294" s="9"/>
      <c r="AQ294" s="22">
        <v>0.32989499999999999</v>
      </c>
      <c r="AR294" s="22">
        <v>249.46100000000001</v>
      </c>
      <c r="AS294" s="22">
        <v>-1.73584E-2</v>
      </c>
      <c r="AT294" s="22">
        <v>284</v>
      </c>
      <c r="AU294" s="22">
        <v>0.32910200000000001</v>
      </c>
      <c r="AV294">
        <f t="shared" si="56"/>
        <v>17.3584</v>
      </c>
      <c r="AW294">
        <f t="shared" si="57"/>
        <v>5.7264493679999999</v>
      </c>
      <c r="AX294" s="9"/>
      <c r="AY294" s="22">
        <v>1.3301099999999999</v>
      </c>
      <c r="AZ294" s="22">
        <v>298.827</v>
      </c>
      <c r="BA294" s="22">
        <v>0.14077799999999999</v>
      </c>
      <c r="BB294" s="22">
        <v>284</v>
      </c>
      <c r="BC294" s="22">
        <v>0.26968399999999998</v>
      </c>
      <c r="BD294">
        <f t="shared" si="58"/>
        <v>-140.77799999999999</v>
      </c>
      <c r="BE294">
        <f t="shared" si="59"/>
        <v>-187.25022557999998</v>
      </c>
    </row>
    <row r="295" spans="6:57">
      <c r="F295" s="9"/>
      <c r="G295" s="22">
        <v>0.32485999999999998</v>
      </c>
      <c r="H295" s="22">
        <v>52.176400000000001</v>
      </c>
      <c r="I295" s="22">
        <v>-1.7428599999999999E-2</v>
      </c>
      <c r="J295" s="22">
        <v>285</v>
      </c>
      <c r="K295" s="22">
        <v>0.32400499999999999</v>
      </c>
      <c r="L295">
        <f t="shared" si="48"/>
        <v>17.428599999999999</v>
      </c>
      <c r="M295">
        <f t="shared" si="49"/>
        <v>5.6618549959999998</v>
      </c>
      <c r="N295" s="9"/>
      <c r="O295" s="22">
        <v>1.33514</v>
      </c>
      <c r="P295" s="22">
        <v>101.42</v>
      </c>
      <c r="Q295" s="22">
        <v>0.13626099999999999</v>
      </c>
      <c r="R295" s="22">
        <v>285</v>
      </c>
      <c r="S295" s="22">
        <v>0.27795399999999998</v>
      </c>
      <c r="T295">
        <f t="shared" si="50"/>
        <v>-136.261</v>
      </c>
      <c r="U295">
        <f t="shared" si="51"/>
        <v>-181.92751153999998</v>
      </c>
      <c r="X295" s="9"/>
      <c r="Y295" s="22">
        <v>0.32485999999999998</v>
      </c>
      <c r="Z295" s="22">
        <v>150.822</v>
      </c>
      <c r="AA295" s="22">
        <v>-1.7361499999999998E-2</v>
      </c>
      <c r="AB295" s="22">
        <v>285</v>
      </c>
      <c r="AC295" s="22">
        <v>0.32434099999999999</v>
      </c>
      <c r="AD295">
        <f t="shared" si="52"/>
        <v>17.361499999999999</v>
      </c>
      <c r="AE295">
        <f t="shared" si="53"/>
        <v>5.6400568899999994</v>
      </c>
      <c r="AF295" s="9"/>
      <c r="AG295" s="22">
        <v>1.33514</v>
      </c>
      <c r="AH295" s="22">
        <v>200.18899999999999</v>
      </c>
      <c r="AI295" s="22">
        <v>0.13622999999999999</v>
      </c>
      <c r="AJ295" s="22">
        <v>285</v>
      </c>
      <c r="AK295" s="22">
        <v>0.27587899999999999</v>
      </c>
      <c r="AL295">
        <f t="shared" si="54"/>
        <v>-136.22999999999999</v>
      </c>
      <c r="AM295">
        <f t="shared" si="55"/>
        <v>-181.88612219999999</v>
      </c>
      <c r="AP295" s="9"/>
      <c r="AQ295" s="22">
        <v>0.32485999999999998</v>
      </c>
      <c r="AR295" s="22">
        <v>249.471</v>
      </c>
      <c r="AS295" s="22">
        <v>-1.7361499999999998E-2</v>
      </c>
      <c r="AT295" s="22">
        <v>285</v>
      </c>
      <c r="AU295" s="22">
        <v>0.32424900000000001</v>
      </c>
      <c r="AV295">
        <f t="shared" si="56"/>
        <v>17.361499999999999</v>
      </c>
      <c r="AW295">
        <f t="shared" si="57"/>
        <v>5.6400568899999994</v>
      </c>
      <c r="AX295" s="9"/>
      <c r="AY295" s="22">
        <v>1.33514</v>
      </c>
      <c r="AZ295" s="22">
        <v>298.83800000000002</v>
      </c>
      <c r="BA295" s="22">
        <v>0.140656</v>
      </c>
      <c r="BB295" s="22">
        <v>285</v>
      </c>
      <c r="BC295" s="22">
        <v>0.27078200000000002</v>
      </c>
      <c r="BD295">
        <f t="shared" si="58"/>
        <v>-140.65600000000001</v>
      </c>
      <c r="BE295">
        <f t="shared" si="59"/>
        <v>-187.79545184</v>
      </c>
    </row>
    <row r="296" spans="6:57">
      <c r="F296" s="9"/>
      <c r="G296" s="22">
        <v>0.319824</v>
      </c>
      <c r="H296" s="22">
        <v>52.186399999999999</v>
      </c>
      <c r="I296" s="22">
        <v>-1.7428599999999999E-2</v>
      </c>
      <c r="J296" s="22">
        <v>286</v>
      </c>
      <c r="K296" s="22">
        <v>0.31912200000000002</v>
      </c>
      <c r="L296">
        <f t="shared" si="48"/>
        <v>17.428599999999999</v>
      </c>
      <c r="M296">
        <f t="shared" si="49"/>
        <v>5.5740845663999998</v>
      </c>
      <c r="N296" s="9"/>
      <c r="O296" s="22">
        <v>1.3401799999999999</v>
      </c>
      <c r="P296" s="22">
        <v>101.43</v>
      </c>
      <c r="Q296" s="22">
        <v>0.13610800000000001</v>
      </c>
      <c r="R296" s="22">
        <v>286</v>
      </c>
      <c r="S296" s="22">
        <v>0.27773999999999999</v>
      </c>
      <c r="T296">
        <f t="shared" si="50"/>
        <v>-136.108</v>
      </c>
      <c r="U296">
        <f t="shared" si="51"/>
        <v>-182.40921943999999</v>
      </c>
      <c r="X296" s="9"/>
      <c r="Y296" s="22">
        <v>0.319824</v>
      </c>
      <c r="Z296" s="22">
        <v>150.83199999999999</v>
      </c>
      <c r="AA296" s="22">
        <v>-1.7364500000000001E-2</v>
      </c>
      <c r="AB296" s="22">
        <v>286</v>
      </c>
      <c r="AC296" s="22">
        <v>0.31881700000000002</v>
      </c>
      <c r="AD296">
        <f t="shared" si="52"/>
        <v>17.364500000000003</v>
      </c>
      <c r="AE296">
        <f t="shared" si="53"/>
        <v>5.5535838480000006</v>
      </c>
      <c r="AF296" s="9"/>
      <c r="AG296" s="22">
        <v>1.3401799999999999</v>
      </c>
      <c r="AH296" s="22">
        <v>200.19900000000001</v>
      </c>
      <c r="AI296" s="22">
        <v>0.13622999999999999</v>
      </c>
      <c r="AJ296" s="22">
        <v>286</v>
      </c>
      <c r="AK296" s="22">
        <v>0.275482</v>
      </c>
      <c r="AL296">
        <f t="shared" si="54"/>
        <v>-136.22999999999999</v>
      </c>
      <c r="AM296">
        <f t="shared" si="55"/>
        <v>-182.57272139999998</v>
      </c>
      <c r="AP296" s="9"/>
      <c r="AQ296" s="22">
        <v>0.319824</v>
      </c>
      <c r="AR296" s="22">
        <v>249.48099999999999</v>
      </c>
      <c r="AS296" s="22">
        <v>-1.73676E-2</v>
      </c>
      <c r="AT296" s="22">
        <v>286</v>
      </c>
      <c r="AU296" s="22">
        <v>0.31918299999999999</v>
      </c>
      <c r="AV296">
        <f t="shared" si="56"/>
        <v>17.367599999999999</v>
      </c>
      <c r="AW296">
        <f t="shared" si="57"/>
        <v>5.5545753024</v>
      </c>
      <c r="AX296" s="9"/>
      <c r="AY296" s="22">
        <v>1.3401799999999999</v>
      </c>
      <c r="AZ296" s="22">
        <v>298.84800000000001</v>
      </c>
      <c r="BA296" s="22">
        <v>0.14053299999999999</v>
      </c>
      <c r="BB296" s="22">
        <v>286</v>
      </c>
      <c r="BC296" s="22">
        <v>0.27072099999999999</v>
      </c>
      <c r="BD296">
        <f t="shared" si="58"/>
        <v>-140.53299999999999</v>
      </c>
      <c r="BE296">
        <f t="shared" si="59"/>
        <v>-188.33951593999998</v>
      </c>
    </row>
    <row r="297" spans="6:57">
      <c r="F297" s="9"/>
      <c r="G297" s="22">
        <v>0.31478899999999999</v>
      </c>
      <c r="H297" s="22">
        <v>52.1965</v>
      </c>
      <c r="I297" s="22">
        <v>-1.7428599999999999E-2</v>
      </c>
      <c r="J297" s="22">
        <v>287</v>
      </c>
      <c r="K297" s="22">
        <v>0.31436199999999997</v>
      </c>
      <c r="L297">
        <f t="shared" si="48"/>
        <v>17.428599999999999</v>
      </c>
      <c r="M297">
        <f t="shared" si="49"/>
        <v>5.4863315653999996</v>
      </c>
      <c r="N297" s="9"/>
      <c r="O297" s="22">
        <v>1.34521</v>
      </c>
      <c r="P297" s="22">
        <v>101.44</v>
      </c>
      <c r="Q297" s="22">
        <v>0.13519300000000001</v>
      </c>
      <c r="R297" s="22">
        <v>287</v>
      </c>
      <c r="S297" s="22">
        <v>0.27716099999999999</v>
      </c>
      <c r="T297">
        <f t="shared" si="50"/>
        <v>-135.19300000000001</v>
      </c>
      <c r="U297">
        <f t="shared" si="51"/>
        <v>-181.86297553000003</v>
      </c>
      <c r="X297" s="9"/>
      <c r="Y297" s="22">
        <v>0.31478899999999999</v>
      </c>
      <c r="Z297" s="22">
        <v>150.84200000000001</v>
      </c>
      <c r="AA297" s="22">
        <v>-1.73706E-2</v>
      </c>
      <c r="AB297" s="22">
        <v>287</v>
      </c>
      <c r="AC297" s="22">
        <v>0.31381199999999998</v>
      </c>
      <c r="AD297">
        <f t="shared" si="52"/>
        <v>17.3706</v>
      </c>
      <c r="AE297">
        <f t="shared" si="53"/>
        <v>5.4680738033999994</v>
      </c>
      <c r="AF297" s="9"/>
      <c r="AG297" s="22">
        <v>1.34521</v>
      </c>
      <c r="AH297" s="22">
        <v>200.209</v>
      </c>
      <c r="AI297" s="22">
        <v>0.13616900000000001</v>
      </c>
      <c r="AJ297" s="22">
        <v>287</v>
      </c>
      <c r="AK297" s="22">
        <v>0.28036499999999998</v>
      </c>
      <c r="AL297">
        <f t="shared" si="54"/>
        <v>-136.16900000000001</v>
      </c>
      <c r="AM297">
        <f t="shared" si="55"/>
        <v>-183.17590049</v>
      </c>
      <c r="AP297" s="9"/>
      <c r="AQ297" s="22">
        <v>0.31478899999999999</v>
      </c>
      <c r="AR297" s="22">
        <v>249.49100000000001</v>
      </c>
      <c r="AS297" s="22">
        <v>-1.73676E-2</v>
      </c>
      <c r="AT297" s="22">
        <v>287</v>
      </c>
      <c r="AU297" s="22">
        <v>0.31414799999999998</v>
      </c>
      <c r="AV297">
        <f t="shared" si="56"/>
        <v>17.367599999999999</v>
      </c>
      <c r="AW297">
        <f t="shared" si="57"/>
        <v>5.4671294363999996</v>
      </c>
      <c r="AX297" s="9"/>
      <c r="AY297" s="22">
        <v>1.34521</v>
      </c>
      <c r="AZ297" s="22">
        <v>298.858</v>
      </c>
      <c r="BA297" s="22">
        <v>0.14038100000000001</v>
      </c>
      <c r="BB297" s="22">
        <v>287</v>
      </c>
      <c r="BC297" s="22">
        <v>0.27041599999999999</v>
      </c>
      <c r="BD297">
        <f t="shared" si="58"/>
        <v>-140.381</v>
      </c>
      <c r="BE297">
        <f t="shared" si="59"/>
        <v>-188.84192501000001</v>
      </c>
    </row>
    <row r="298" spans="6:57">
      <c r="F298" s="9"/>
      <c r="G298" s="22">
        <v>0.309753</v>
      </c>
      <c r="H298" s="22">
        <v>52.206600000000002</v>
      </c>
      <c r="I298" s="22">
        <v>-1.7431599999999998E-2</v>
      </c>
      <c r="J298" s="22">
        <v>288</v>
      </c>
      <c r="K298" s="22">
        <v>0.30950899999999998</v>
      </c>
      <c r="L298">
        <f t="shared" si="48"/>
        <v>17.4316</v>
      </c>
      <c r="M298">
        <f t="shared" si="49"/>
        <v>5.3994903947999999</v>
      </c>
      <c r="N298" s="9"/>
      <c r="O298" s="22">
        <v>1.35025</v>
      </c>
      <c r="P298" s="22">
        <v>101.45</v>
      </c>
      <c r="Q298" s="22">
        <v>0.13488800000000001</v>
      </c>
      <c r="R298" s="22">
        <v>288</v>
      </c>
      <c r="S298" s="22">
        <v>0.277557</v>
      </c>
      <c r="T298">
        <f t="shared" si="50"/>
        <v>-134.88800000000001</v>
      </c>
      <c r="U298">
        <f t="shared" si="51"/>
        <v>-182.13252199999999</v>
      </c>
      <c r="X298" s="9"/>
      <c r="Y298" s="22">
        <v>0.309753</v>
      </c>
      <c r="Z298" s="22">
        <v>150.852</v>
      </c>
      <c r="AA298" s="22">
        <v>-1.73706E-2</v>
      </c>
      <c r="AB298" s="22">
        <v>288</v>
      </c>
      <c r="AC298" s="22">
        <v>0.30877700000000002</v>
      </c>
      <c r="AD298">
        <f t="shared" si="52"/>
        <v>17.3706</v>
      </c>
      <c r="AE298">
        <f t="shared" si="53"/>
        <v>5.3805954617999996</v>
      </c>
      <c r="AF298" s="9"/>
      <c r="AG298" s="22">
        <v>1.35025</v>
      </c>
      <c r="AH298" s="22">
        <v>200.21899999999999</v>
      </c>
      <c r="AI298" s="22">
        <v>0.136078</v>
      </c>
      <c r="AJ298" s="22">
        <v>288</v>
      </c>
      <c r="AK298" s="22">
        <v>0.27502399999999999</v>
      </c>
      <c r="AL298">
        <f t="shared" si="54"/>
        <v>-136.078</v>
      </c>
      <c r="AM298">
        <f t="shared" si="55"/>
        <v>-183.73931949999999</v>
      </c>
      <c r="AP298" s="9"/>
      <c r="AQ298" s="22">
        <v>0.309753</v>
      </c>
      <c r="AR298" s="22">
        <v>249.501</v>
      </c>
      <c r="AS298" s="22">
        <v>-1.73706E-2</v>
      </c>
      <c r="AT298" s="22">
        <v>288</v>
      </c>
      <c r="AU298" s="22">
        <v>0.30889899999999998</v>
      </c>
      <c r="AV298">
        <f t="shared" si="56"/>
        <v>17.3706</v>
      </c>
      <c r="AW298">
        <f t="shared" si="57"/>
        <v>5.3805954617999996</v>
      </c>
      <c r="AX298" s="9"/>
      <c r="AY298" s="22">
        <v>1.35025</v>
      </c>
      <c r="AZ298" s="22">
        <v>298.86799999999999</v>
      </c>
      <c r="BA298" s="22">
        <v>0.14019799999999999</v>
      </c>
      <c r="BB298" s="22">
        <v>288</v>
      </c>
      <c r="BC298" s="22">
        <v>0.27142300000000003</v>
      </c>
      <c r="BD298">
        <f t="shared" si="58"/>
        <v>-140.19799999999998</v>
      </c>
      <c r="BE298">
        <f t="shared" si="59"/>
        <v>-189.30234949999996</v>
      </c>
    </row>
    <row r="299" spans="6:57">
      <c r="F299" s="9"/>
      <c r="G299" s="22">
        <v>0.30471799999999999</v>
      </c>
      <c r="H299" s="22">
        <v>52.216700000000003</v>
      </c>
      <c r="I299" s="22">
        <v>-1.74377E-2</v>
      </c>
      <c r="J299" s="22">
        <v>289</v>
      </c>
      <c r="K299" s="22">
        <v>0.30398599999999998</v>
      </c>
      <c r="L299">
        <f t="shared" si="48"/>
        <v>17.4377</v>
      </c>
      <c r="M299">
        <f t="shared" si="49"/>
        <v>5.3135810685999996</v>
      </c>
      <c r="N299" s="9"/>
      <c r="O299" s="22">
        <v>1.3552900000000001</v>
      </c>
      <c r="P299" s="22">
        <v>101.46</v>
      </c>
      <c r="Q299" s="22">
        <v>0.13494900000000001</v>
      </c>
      <c r="R299" s="22">
        <v>289</v>
      </c>
      <c r="S299" s="22">
        <v>0.27752700000000002</v>
      </c>
      <c r="T299">
        <f t="shared" si="50"/>
        <v>-134.94900000000001</v>
      </c>
      <c r="U299">
        <f t="shared" si="51"/>
        <v>-182.89503021000004</v>
      </c>
      <c r="X299" s="9"/>
      <c r="Y299" s="22">
        <v>0.30471799999999999</v>
      </c>
      <c r="Z299" s="22">
        <v>150.863</v>
      </c>
      <c r="AA299" s="22">
        <v>-1.7376699999999998E-2</v>
      </c>
      <c r="AB299" s="22">
        <v>289</v>
      </c>
      <c r="AC299" s="22">
        <v>0.30447400000000002</v>
      </c>
      <c r="AD299">
        <f t="shared" si="52"/>
        <v>17.3767</v>
      </c>
      <c r="AE299">
        <f t="shared" si="53"/>
        <v>5.2949932706</v>
      </c>
      <c r="AF299" s="9"/>
      <c r="AG299" s="22">
        <v>1.3552900000000001</v>
      </c>
      <c r="AH299" s="22">
        <v>200.22900000000001</v>
      </c>
      <c r="AI299" s="22">
        <v>0.136047</v>
      </c>
      <c r="AJ299" s="22">
        <v>289</v>
      </c>
      <c r="AK299" s="22">
        <v>0.27566499999999999</v>
      </c>
      <c r="AL299">
        <f t="shared" si="54"/>
        <v>-136.047</v>
      </c>
      <c r="AM299">
        <f t="shared" si="55"/>
        <v>-184.38313863000002</v>
      </c>
      <c r="AP299" s="9"/>
      <c r="AQ299" s="22">
        <v>0.30471799999999999</v>
      </c>
      <c r="AR299" s="22">
        <v>249.511</v>
      </c>
      <c r="AS299" s="22">
        <v>-1.7379800000000001E-2</v>
      </c>
      <c r="AT299" s="22">
        <v>289</v>
      </c>
      <c r="AU299" s="22">
        <v>0.30416900000000002</v>
      </c>
      <c r="AV299">
        <f t="shared" si="56"/>
        <v>17.379799999999999</v>
      </c>
      <c r="AW299">
        <f t="shared" si="57"/>
        <v>5.2959378963999999</v>
      </c>
      <c r="AX299" s="9"/>
      <c r="AY299" s="22">
        <v>1.3552900000000001</v>
      </c>
      <c r="AZ299" s="22">
        <v>298.87799999999999</v>
      </c>
      <c r="BA299" s="22">
        <v>0.14013700000000001</v>
      </c>
      <c r="BB299" s="22">
        <v>289</v>
      </c>
      <c r="BC299" s="22">
        <v>0.271088</v>
      </c>
      <c r="BD299">
        <f t="shared" si="58"/>
        <v>-140.137</v>
      </c>
      <c r="BE299">
        <f t="shared" si="59"/>
        <v>-189.92627473000002</v>
      </c>
    </row>
    <row r="300" spans="6:57">
      <c r="F300" s="9"/>
      <c r="G300" s="22">
        <v>0.29968299999999998</v>
      </c>
      <c r="H300" s="22">
        <v>52.226700000000001</v>
      </c>
      <c r="I300" s="22">
        <v>-1.74377E-2</v>
      </c>
      <c r="J300" s="22">
        <v>290</v>
      </c>
      <c r="K300" s="22">
        <v>0.29977399999999998</v>
      </c>
      <c r="L300">
        <f t="shared" si="48"/>
        <v>17.4377</v>
      </c>
      <c r="M300">
        <f t="shared" si="49"/>
        <v>5.2257822490999999</v>
      </c>
      <c r="N300" s="9"/>
      <c r="O300" s="22">
        <v>1.36032</v>
      </c>
      <c r="P300" s="22">
        <v>101.47</v>
      </c>
      <c r="Q300" s="22">
        <v>0.135162</v>
      </c>
      <c r="R300" s="22">
        <v>290</v>
      </c>
      <c r="S300" s="22">
        <v>0.27740500000000001</v>
      </c>
      <c r="T300">
        <f t="shared" si="50"/>
        <v>-135.16200000000001</v>
      </c>
      <c r="U300">
        <f t="shared" si="51"/>
        <v>-183.86357183999999</v>
      </c>
      <c r="X300" s="9"/>
      <c r="Y300" s="22">
        <v>0.29968299999999998</v>
      </c>
      <c r="Z300" s="22">
        <v>150.87299999999999</v>
      </c>
      <c r="AA300" s="22">
        <v>-1.73828E-2</v>
      </c>
      <c r="AB300" s="22">
        <v>290</v>
      </c>
      <c r="AC300" s="22">
        <v>0.29971300000000001</v>
      </c>
      <c r="AD300">
        <f t="shared" si="52"/>
        <v>17.3828</v>
      </c>
      <c r="AE300">
        <f t="shared" si="53"/>
        <v>5.2093296523999992</v>
      </c>
      <c r="AF300" s="9"/>
      <c r="AG300" s="22">
        <v>1.36032</v>
      </c>
      <c r="AH300" s="22">
        <v>200.239</v>
      </c>
      <c r="AI300" s="22">
        <v>0.13616900000000001</v>
      </c>
      <c r="AJ300" s="22">
        <v>290</v>
      </c>
      <c r="AK300" s="22">
        <v>0.27624500000000002</v>
      </c>
      <c r="AL300">
        <f t="shared" si="54"/>
        <v>-136.16900000000001</v>
      </c>
      <c r="AM300">
        <f t="shared" si="55"/>
        <v>-185.23341408000002</v>
      </c>
      <c r="AP300" s="9"/>
      <c r="AQ300" s="22">
        <v>0.29968299999999998</v>
      </c>
      <c r="AR300" s="22">
        <v>249.52099999999999</v>
      </c>
      <c r="AS300" s="22">
        <v>-1.7379800000000001E-2</v>
      </c>
      <c r="AT300" s="22">
        <v>290</v>
      </c>
      <c r="AU300" s="22">
        <v>0.29913299999999998</v>
      </c>
      <c r="AV300">
        <f t="shared" si="56"/>
        <v>17.379799999999999</v>
      </c>
      <c r="AW300">
        <f t="shared" si="57"/>
        <v>5.2084306033999992</v>
      </c>
      <c r="AX300" s="9"/>
      <c r="AY300" s="22">
        <v>1.36032</v>
      </c>
      <c r="AZ300" s="22">
        <v>298.88799999999998</v>
      </c>
      <c r="BA300" s="22">
        <v>0.139954</v>
      </c>
      <c r="BB300" s="22">
        <v>290</v>
      </c>
      <c r="BC300" s="22">
        <v>0.270874</v>
      </c>
      <c r="BD300">
        <f t="shared" si="58"/>
        <v>-139.95400000000001</v>
      </c>
      <c r="BE300">
        <f t="shared" si="59"/>
        <v>-190.38222528</v>
      </c>
    </row>
    <row r="301" spans="6:57">
      <c r="F301" s="9"/>
      <c r="G301" s="22">
        <v>0.29464699999999999</v>
      </c>
      <c r="H301" s="22">
        <v>52.236800000000002</v>
      </c>
      <c r="I301" s="22">
        <v>-1.7431599999999998E-2</v>
      </c>
      <c r="J301" s="22">
        <v>291</v>
      </c>
      <c r="K301" s="22">
        <v>0.29403699999999999</v>
      </c>
      <c r="L301">
        <f t="shared" si="48"/>
        <v>17.4316</v>
      </c>
      <c r="M301">
        <f t="shared" si="49"/>
        <v>5.1361686451999997</v>
      </c>
      <c r="N301" s="9"/>
      <c r="O301" s="22">
        <v>1.3653599999999999</v>
      </c>
      <c r="P301" s="22">
        <v>101.48</v>
      </c>
      <c r="Q301" s="22">
        <v>0.13503999999999999</v>
      </c>
      <c r="R301" s="22">
        <v>291</v>
      </c>
      <c r="S301" s="22">
        <v>0.27670299999999998</v>
      </c>
      <c r="T301">
        <f t="shared" si="50"/>
        <v>-135.04</v>
      </c>
      <c r="U301">
        <f t="shared" si="51"/>
        <v>-184.37821439999999</v>
      </c>
      <c r="X301" s="9"/>
      <c r="Y301" s="22">
        <v>0.29464699999999999</v>
      </c>
      <c r="Z301" s="22">
        <v>150.88300000000001</v>
      </c>
      <c r="AA301" s="22">
        <v>-1.7385899999999999E-2</v>
      </c>
      <c r="AB301" s="22">
        <v>291</v>
      </c>
      <c r="AC301" s="22">
        <v>0.29388399999999998</v>
      </c>
      <c r="AD301">
        <f t="shared" si="52"/>
        <v>17.385899999999999</v>
      </c>
      <c r="AE301">
        <f t="shared" si="53"/>
        <v>5.1227032772999994</v>
      </c>
      <c r="AF301" s="9"/>
      <c r="AG301" s="22">
        <v>1.3653599999999999</v>
      </c>
      <c r="AH301" s="22">
        <v>200.249</v>
      </c>
      <c r="AI301" s="22">
        <v>0.136047</v>
      </c>
      <c r="AJ301" s="22">
        <v>291</v>
      </c>
      <c r="AK301" s="22">
        <v>0.276001</v>
      </c>
      <c r="AL301">
        <f t="shared" si="54"/>
        <v>-136.047</v>
      </c>
      <c r="AM301">
        <f t="shared" si="55"/>
        <v>-185.75313191999999</v>
      </c>
      <c r="AP301" s="9"/>
      <c r="AQ301" s="22">
        <v>0.29464699999999999</v>
      </c>
      <c r="AR301" s="22">
        <v>249.53200000000001</v>
      </c>
      <c r="AS301" s="22">
        <v>-1.7379800000000001E-2</v>
      </c>
      <c r="AT301" s="22">
        <v>291</v>
      </c>
      <c r="AU301" s="22">
        <v>0.294464</v>
      </c>
      <c r="AV301">
        <f t="shared" si="56"/>
        <v>17.379799999999999</v>
      </c>
      <c r="AW301">
        <f t="shared" si="57"/>
        <v>5.1209059305999993</v>
      </c>
      <c r="AX301" s="9"/>
      <c r="AY301" s="22">
        <v>1.3653599999999999</v>
      </c>
      <c r="AZ301" s="22">
        <v>298.89800000000002</v>
      </c>
      <c r="BA301" s="22">
        <v>0.13992299999999999</v>
      </c>
      <c r="BB301" s="22">
        <v>291</v>
      </c>
      <c r="BC301" s="22">
        <v>0.27093499999999998</v>
      </c>
      <c r="BD301">
        <f t="shared" si="58"/>
        <v>-139.923</v>
      </c>
      <c r="BE301">
        <f t="shared" si="59"/>
        <v>-191.04526727999999</v>
      </c>
    </row>
    <row r="302" spans="6:57">
      <c r="F302" s="9"/>
      <c r="G302" s="22">
        <v>0.28961199999999998</v>
      </c>
      <c r="H302" s="22">
        <v>52.246899999999997</v>
      </c>
      <c r="I302" s="22">
        <v>-1.7446900000000001E-2</v>
      </c>
      <c r="J302" s="22">
        <v>292</v>
      </c>
      <c r="K302" s="22">
        <v>0.28897099999999998</v>
      </c>
      <c r="L302">
        <f t="shared" si="48"/>
        <v>17.446900000000003</v>
      </c>
      <c r="M302">
        <f t="shared" si="49"/>
        <v>5.0528316028000004</v>
      </c>
      <c r="N302" s="9"/>
      <c r="O302" s="22">
        <v>1.37039</v>
      </c>
      <c r="P302" s="22">
        <v>101.49</v>
      </c>
      <c r="Q302" s="22">
        <v>0.13500999999999999</v>
      </c>
      <c r="R302" s="22">
        <v>292</v>
      </c>
      <c r="S302" s="22">
        <v>0.27761799999999998</v>
      </c>
      <c r="T302">
        <f t="shared" si="50"/>
        <v>-135.01</v>
      </c>
      <c r="U302">
        <f t="shared" si="51"/>
        <v>-185.01635389999998</v>
      </c>
      <c r="X302" s="9"/>
      <c r="Y302" s="22">
        <v>0.28961199999999998</v>
      </c>
      <c r="Z302" s="22">
        <v>150.893</v>
      </c>
      <c r="AA302" s="22">
        <v>-1.7392000000000001E-2</v>
      </c>
      <c r="AB302" s="22">
        <v>292</v>
      </c>
      <c r="AC302" s="22">
        <v>0.28893999999999997</v>
      </c>
      <c r="AD302">
        <f t="shared" si="52"/>
        <v>17.391999999999999</v>
      </c>
      <c r="AE302">
        <f t="shared" si="53"/>
        <v>5.0369319039999993</v>
      </c>
      <c r="AF302" s="9"/>
      <c r="AG302" s="22">
        <v>1.37039</v>
      </c>
      <c r="AH302" s="22">
        <v>200.25899999999999</v>
      </c>
      <c r="AI302" s="22">
        <v>0.136047</v>
      </c>
      <c r="AJ302" s="22">
        <v>292</v>
      </c>
      <c r="AK302" s="22">
        <v>0.275787</v>
      </c>
      <c r="AL302">
        <f t="shared" si="54"/>
        <v>-136.047</v>
      </c>
      <c r="AM302">
        <f t="shared" si="55"/>
        <v>-186.43744833</v>
      </c>
      <c r="AP302" s="9"/>
      <c r="AQ302" s="22">
        <v>0.28961199999999998</v>
      </c>
      <c r="AR302" s="22">
        <v>249.542</v>
      </c>
      <c r="AS302" s="22">
        <v>-1.7379800000000001E-2</v>
      </c>
      <c r="AT302" s="22">
        <v>292</v>
      </c>
      <c r="AU302" s="22">
        <v>0.28848299999999999</v>
      </c>
      <c r="AV302">
        <f t="shared" si="56"/>
        <v>17.379799999999999</v>
      </c>
      <c r="AW302">
        <f t="shared" si="57"/>
        <v>5.0333986375999995</v>
      </c>
      <c r="AX302" s="9"/>
      <c r="AY302" s="22">
        <v>1.37039</v>
      </c>
      <c r="AZ302" s="22">
        <v>298.90800000000002</v>
      </c>
      <c r="BA302" s="22">
        <v>0.13974</v>
      </c>
      <c r="BB302" s="22">
        <v>292</v>
      </c>
      <c r="BC302" s="22">
        <v>0.27041599999999999</v>
      </c>
      <c r="BD302">
        <f t="shared" si="58"/>
        <v>-139.74</v>
      </c>
      <c r="BE302">
        <f t="shared" si="59"/>
        <v>-191.4982986</v>
      </c>
    </row>
    <row r="303" spans="6:57">
      <c r="F303" s="9"/>
      <c r="G303" s="22">
        <v>0.284576</v>
      </c>
      <c r="H303" s="22">
        <v>52.256900000000002</v>
      </c>
      <c r="I303" s="22">
        <v>-1.7446900000000001E-2</v>
      </c>
      <c r="J303" s="22">
        <v>293</v>
      </c>
      <c r="K303" s="22">
        <v>0.28356900000000002</v>
      </c>
      <c r="L303">
        <f t="shared" si="48"/>
        <v>17.446900000000003</v>
      </c>
      <c r="M303">
        <f t="shared" si="49"/>
        <v>4.9649690144000012</v>
      </c>
      <c r="N303" s="9"/>
      <c r="O303" s="22">
        <v>1.3754299999999999</v>
      </c>
      <c r="P303" s="22">
        <v>101.5</v>
      </c>
      <c r="Q303" s="22">
        <v>0.13497899999999999</v>
      </c>
      <c r="R303" s="22">
        <v>293</v>
      </c>
      <c r="S303" s="22">
        <v>0.27734399999999998</v>
      </c>
      <c r="T303">
        <f t="shared" si="50"/>
        <v>-134.97899999999998</v>
      </c>
      <c r="U303">
        <f t="shared" si="51"/>
        <v>-185.65416596999998</v>
      </c>
      <c r="X303" s="9"/>
      <c r="Y303" s="22">
        <v>0.284576</v>
      </c>
      <c r="Z303" s="22">
        <v>150.90299999999999</v>
      </c>
      <c r="AA303" s="22">
        <v>-1.7392000000000001E-2</v>
      </c>
      <c r="AB303" s="22">
        <v>293</v>
      </c>
      <c r="AC303" s="22">
        <v>0.28378300000000001</v>
      </c>
      <c r="AD303">
        <f t="shared" si="52"/>
        <v>17.391999999999999</v>
      </c>
      <c r="AE303">
        <f t="shared" si="53"/>
        <v>4.9493457919999999</v>
      </c>
      <c r="AF303" s="9"/>
      <c r="AG303" s="22">
        <v>1.3754299999999999</v>
      </c>
      <c r="AH303" s="22">
        <v>200.26900000000001</v>
      </c>
      <c r="AI303" s="22">
        <v>0.136047</v>
      </c>
      <c r="AJ303" s="22">
        <v>293</v>
      </c>
      <c r="AK303" s="22">
        <v>0.27584799999999998</v>
      </c>
      <c r="AL303">
        <f t="shared" si="54"/>
        <v>-136.047</v>
      </c>
      <c r="AM303">
        <f t="shared" si="55"/>
        <v>-187.12312520999998</v>
      </c>
      <c r="AP303" s="9"/>
      <c r="AQ303" s="22">
        <v>0.284576</v>
      </c>
      <c r="AR303" s="22">
        <v>249.55199999999999</v>
      </c>
      <c r="AS303" s="22">
        <v>-1.73828E-2</v>
      </c>
      <c r="AT303" s="22">
        <v>293</v>
      </c>
      <c r="AU303" s="22">
        <v>0.28390500000000002</v>
      </c>
      <c r="AV303">
        <f t="shared" si="56"/>
        <v>17.3828</v>
      </c>
      <c r="AW303">
        <f t="shared" si="57"/>
        <v>4.9467276927999997</v>
      </c>
      <c r="AX303" s="9"/>
      <c r="AY303" s="22">
        <v>1.3754299999999999</v>
      </c>
      <c r="AZ303" s="22">
        <v>298.91800000000001</v>
      </c>
      <c r="BA303" s="22">
        <v>0.139679</v>
      </c>
      <c r="BB303" s="22">
        <v>293</v>
      </c>
      <c r="BC303" s="22">
        <v>0.27050800000000003</v>
      </c>
      <c r="BD303">
        <f t="shared" si="58"/>
        <v>-139.679</v>
      </c>
      <c r="BE303">
        <f t="shared" si="59"/>
        <v>-192.11868697</v>
      </c>
    </row>
    <row r="304" spans="6:57">
      <c r="F304" s="9"/>
      <c r="G304" s="22">
        <v>0.27954099999999998</v>
      </c>
      <c r="H304" s="22">
        <v>52.267000000000003</v>
      </c>
      <c r="I304" s="22">
        <v>-1.7446900000000001E-2</v>
      </c>
      <c r="J304" s="22">
        <v>294</v>
      </c>
      <c r="K304" s="22">
        <v>0.278748</v>
      </c>
      <c r="L304">
        <f t="shared" si="48"/>
        <v>17.446900000000003</v>
      </c>
      <c r="M304">
        <f t="shared" si="49"/>
        <v>4.8771238729000004</v>
      </c>
      <c r="N304" s="9"/>
      <c r="O304" s="22">
        <v>1.38046</v>
      </c>
      <c r="P304" s="22">
        <v>101.51</v>
      </c>
      <c r="Q304" s="22">
        <v>0.13491800000000001</v>
      </c>
      <c r="R304" s="22">
        <v>294</v>
      </c>
      <c r="S304" s="22">
        <v>0.27703899999999998</v>
      </c>
      <c r="T304">
        <f t="shared" si="50"/>
        <v>-134.91800000000001</v>
      </c>
      <c r="U304">
        <f t="shared" si="51"/>
        <v>-186.24890228000001</v>
      </c>
      <c r="X304" s="9"/>
      <c r="Y304" s="22">
        <v>0.27954099999999998</v>
      </c>
      <c r="Z304" s="22">
        <v>150.91300000000001</v>
      </c>
      <c r="AA304" s="22">
        <v>-1.7395000000000001E-2</v>
      </c>
      <c r="AB304" s="22">
        <v>294</v>
      </c>
      <c r="AC304" s="22">
        <v>0.27859499999999998</v>
      </c>
      <c r="AD304">
        <f t="shared" si="52"/>
        <v>17.395</v>
      </c>
      <c r="AE304">
        <f t="shared" si="53"/>
        <v>4.8626156949999997</v>
      </c>
      <c r="AF304" s="9"/>
      <c r="AG304" s="22">
        <v>1.38046</v>
      </c>
      <c r="AH304" s="22">
        <v>200.279</v>
      </c>
      <c r="AI304" s="22">
        <v>0.136322</v>
      </c>
      <c r="AJ304" s="22">
        <v>294</v>
      </c>
      <c r="AK304" s="22">
        <v>0.27511600000000003</v>
      </c>
      <c r="AL304">
        <f t="shared" si="54"/>
        <v>-136.322</v>
      </c>
      <c r="AM304">
        <f t="shared" si="55"/>
        <v>-188.18706812000002</v>
      </c>
      <c r="AP304" s="9"/>
      <c r="AQ304" s="22">
        <v>0.27954099999999998</v>
      </c>
      <c r="AR304" s="22">
        <v>249.56200000000001</v>
      </c>
      <c r="AS304" s="22">
        <v>-1.73828E-2</v>
      </c>
      <c r="AT304" s="22">
        <v>294</v>
      </c>
      <c r="AU304" s="22">
        <v>0.27868700000000002</v>
      </c>
      <c r="AV304">
        <f t="shared" si="56"/>
        <v>17.3828</v>
      </c>
      <c r="AW304">
        <f t="shared" si="57"/>
        <v>4.8592052947999997</v>
      </c>
      <c r="AX304" s="9"/>
      <c r="AY304" s="22">
        <v>1.38046</v>
      </c>
      <c r="AZ304" s="22">
        <v>298.928</v>
      </c>
      <c r="BA304" s="22">
        <v>0.13964799999999999</v>
      </c>
      <c r="BB304" s="22">
        <v>294</v>
      </c>
      <c r="BC304" s="22">
        <v>0.26937899999999998</v>
      </c>
      <c r="BD304">
        <f t="shared" si="58"/>
        <v>-139.648</v>
      </c>
      <c r="BE304">
        <f t="shared" si="59"/>
        <v>-192.77847807999999</v>
      </c>
    </row>
    <row r="305" spans="6:57">
      <c r="F305" s="9"/>
      <c r="G305" s="22">
        <v>0.27450600000000003</v>
      </c>
      <c r="H305" s="22">
        <v>52.277099999999997</v>
      </c>
      <c r="I305" s="22">
        <v>-1.7446900000000001E-2</v>
      </c>
      <c r="J305" s="22">
        <v>295</v>
      </c>
      <c r="K305" s="22">
        <v>0.27374300000000001</v>
      </c>
      <c r="L305">
        <f t="shared" si="48"/>
        <v>17.446900000000003</v>
      </c>
      <c r="M305">
        <f t="shared" si="49"/>
        <v>4.7892787314000014</v>
      </c>
      <c r="N305" s="9"/>
      <c r="O305" s="22">
        <v>1.3855</v>
      </c>
      <c r="P305" s="22">
        <v>101.521</v>
      </c>
      <c r="Q305" s="22">
        <v>0.13491800000000001</v>
      </c>
      <c r="R305" s="22">
        <v>295</v>
      </c>
      <c r="S305" s="22">
        <v>0.276642</v>
      </c>
      <c r="T305">
        <f t="shared" si="50"/>
        <v>-134.91800000000001</v>
      </c>
      <c r="U305">
        <f t="shared" si="51"/>
        <v>-186.928889</v>
      </c>
      <c r="X305" s="9"/>
      <c r="Y305" s="22">
        <v>0.27450600000000003</v>
      </c>
      <c r="Z305" s="22">
        <v>150.923</v>
      </c>
      <c r="AA305" s="22">
        <v>-1.7392000000000001E-2</v>
      </c>
      <c r="AB305" s="22">
        <v>295</v>
      </c>
      <c r="AC305" s="22">
        <v>0.27398699999999998</v>
      </c>
      <c r="AD305">
        <f t="shared" si="52"/>
        <v>17.391999999999999</v>
      </c>
      <c r="AE305">
        <f t="shared" si="53"/>
        <v>4.7742083520000005</v>
      </c>
      <c r="AF305" s="9"/>
      <c r="AG305" s="22">
        <v>1.3855</v>
      </c>
      <c r="AH305" s="22">
        <v>200.28899999999999</v>
      </c>
      <c r="AI305" s="22">
        <v>0.13647500000000001</v>
      </c>
      <c r="AJ305" s="22">
        <v>295</v>
      </c>
      <c r="AK305" s="22">
        <v>0.27499400000000002</v>
      </c>
      <c r="AL305">
        <f t="shared" si="54"/>
        <v>-136.47500000000002</v>
      </c>
      <c r="AM305">
        <f t="shared" si="55"/>
        <v>-189.08611250000001</v>
      </c>
      <c r="AP305" s="9"/>
      <c r="AQ305" s="22">
        <v>0.27450600000000003</v>
      </c>
      <c r="AR305" s="22">
        <v>249.572</v>
      </c>
      <c r="AS305" s="22">
        <v>-1.7379800000000001E-2</v>
      </c>
      <c r="AT305" s="22">
        <v>295</v>
      </c>
      <c r="AU305" s="22">
        <v>0.27426099999999998</v>
      </c>
      <c r="AV305">
        <f t="shared" si="56"/>
        <v>17.379799999999999</v>
      </c>
      <c r="AW305">
        <f t="shared" si="57"/>
        <v>4.7708593788</v>
      </c>
      <c r="AX305" s="9"/>
      <c r="AY305" s="22">
        <v>1.3855</v>
      </c>
      <c r="AZ305" s="22">
        <v>298.93799999999999</v>
      </c>
      <c r="BA305" s="22">
        <v>0.13955699999999999</v>
      </c>
      <c r="BB305" s="22">
        <v>295</v>
      </c>
      <c r="BC305" s="22">
        <v>0.26950099999999999</v>
      </c>
      <c r="BD305">
        <f t="shared" si="58"/>
        <v>-139.55699999999999</v>
      </c>
      <c r="BE305">
        <f t="shared" si="59"/>
        <v>-193.35622349999997</v>
      </c>
    </row>
    <row r="306" spans="6:57">
      <c r="F306" s="9"/>
      <c r="G306" s="22">
        <v>0.26946999999999999</v>
      </c>
      <c r="H306" s="22">
        <v>52.287199999999999</v>
      </c>
      <c r="I306" s="22">
        <v>-1.745E-2</v>
      </c>
      <c r="J306" s="22">
        <v>296</v>
      </c>
      <c r="K306" s="22">
        <v>0.26873799999999998</v>
      </c>
      <c r="L306">
        <f t="shared" si="48"/>
        <v>17.45</v>
      </c>
      <c r="M306">
        <f t="shared" si="49"/>
        <v>4.7022515</v>
      </c>
      <c r="N306" s="9"/>
      <c r="O306" s="22">
        <v>1.39053</v>
      </c>
      <c r="P306" s="22">
        <v>101.53100000000001</v>
      </c>
      <c r="Q306" s="22">
        <v>0.134827</v>
      </c>
      <c r="R306" s="22">
        <v>296</v>
      </c>
      <c r="S306" s="22">
        <v>0.27767900000000001</v>
      </c>
      <c r="T306">
        <f t="shared" si="50"/>
        <v>-134.827</v>
      </c>
      <c r="U306">
        <f t="shared" si="51"/>
        <v>-187.48098831000001</v>
      </c>
      <c r="X306" s="9"/>
      <c r="Y306" s="22">
        <v>0.26946999999999999</v>
      </c>
      <c r="Z306" s="22">
        <v>150.93299999999999</v>
      </c>
      <c r="AA306" s="22">
        <v>-1.73981E-2</v>
      </c>
      <c r="AB306" s="22">
        <v>296</v>
      </c>
      <c r="AC306" s="22">
        <v>0.26852399999999998</v>
      </c>
      <c r="AD306">
        <f t="shared" si="52"/>
        <v>17.398099999999999</v>
      </c>
      <c r="AE306">
        <f t="shared" si="53"/>
        <v>4.6882660069999993</v>
      </c>
      <c r="AF306" s="9"/>
      <c r="AG306" s="22">
        <v>1.39053</v>
      </c>
      <c r="AH306" s="22">
        <v>200.29900000000001</v>
      </c>
      <c r="AI306" s="22">
        <v>0.136688</v>
      </c>
      <c r="AJ306" s="22">
        <v>296</v>
      </c>
      <c r="AK306" s="22">
        <v>0.27438400000000002</v>
      </c>
      <c r="AL306">
        <f t="shared" si="54"/>
        <v>-136.68800000000002</v>
      </c>
      <c r="AM306">
        <f t="shared" si="55"/>
        <v>-190.06876464000004</v>
      </c>
      <c r="AP306" s="9"/>
      <c r="AQ306" s="22">
        <v>0.26946999999999999</v>
      </c>
      <c r="AR306" s="22">
        <v>249.58199999999999</v>
      </c>
      <c r="AS306" s="22">
        <v>-1.7379800000000001E-2</v>
      </c>
      <c r="AT306" s="22">
        <v>296</v>
      </c>
      <c r="AU306" s="22">
        <v>0.26901199999999997</v>
      </c>
      <c r="AV306">
        <f t="shared" si="56"/>
        <v>17.379799999999999</v>
      </c>
      <c r="AW306">
        <f t="shared" si="57"/>
        <v>4.6833347059999992</v>
      </c>
      <c r="AX306" s="9"/>
      <c r="AY306" s="22">
        <v>1.39053</v>
      </c>
      <c r="AZ306" s="22">
        <v>298.94799999999998</v>
      </c>
      <c r="BA306" s="22">
        <v>0.13949600000000001</v>
      </c>
      <c r="BB306" s="22">
        <v>296</v>
      </c>
      <c r="BC306" s="22">
        <v>0.27038600000000002</v>
      </c>
      <c r="BD306">
        <f t="shared" si="58"/>
        <v>-139.49600000000001</v>
      </c>
      <c r="BE306">
        <f t="shared" si="59"/>
        <v>-193.97337288000003</v>
      </c>
    </row>
    <row r="307" spans="6:57">
      <c r="F307" s="9"/>
      <c r="G307" s="22">
        <v>0.26443499999999998</v>
      </c>
      <c r="H307" s="22">
        <v>52.297199999999997</v>
      </c>
      <c r="I307" s="22">
        <v>-1.7459100000000002E-2</v>
      </c>
      <c r="J307" s="22">
        <v>297</v>
      </c>
      <c r="K307" s="22">
        <v>0.26385500000000001</v>
      </c>
      <c r="L307">
        <f t="shared" si="48"/>
        <v>17.459100000000003</v>
      </c>
      <c r="M307">
        <f t="shared" si="49"/>
        <v>4.6167971085000001</v>
      </c>
      <c r="N307" s="9"/>
      <c r="O307" s="22">
        <v>1.39557</v>
      </c>
      <c r="P307" s="22">
        <v>101.541</v>
      </c>
      <c r="Q307" s="22">
        <v>0.134766</v>
      </c>
      <c r="R307" s="22">
        <v>297</v>
      </c>
      <c r="S307" s="22">
        <v>0.277557</v>
      </c>
      <c r="T307">
        <f t="shared" si="50"/>
        <v>-134.76599999999999</v>
      </c>
      <c r="U307">
        <f t="shared" si="51"/>
        <v>-188.07538661999999</v>
      </c>
      <c r="X307" s="9"/>
      <c r="Y307" s="22">
        <v>0.26443499999999998</v>
      </c>
      <c r="Z307" s="22">
        <v>150.94300000000001</v>
      </c>
      <c r="AA307" s="22">
        <v>-1.73981E-2</v>
      </c>
      <c r="AB307" s="22">
        <v>297</v>
      </c>
      <c r="AC307" s="22">
        <v>0.263824</v>
      </c>
      <c r="AD307">
        <f t="shared" si="52"/>
        <v>17.398099999999999</v>
      </c>
      <c r="AE307">
        <f t="shared" si="53"/>
        <v>4.6006665734999999</v>
      </c>
      <c r="AF307" s="9"/>
      <c r="AG307" s="22">
        <v>1.39557</v>
      </c>
      <c r="AH307" s="22">
        <v>200.31</v>
      </c>
      <c r="AI307" s="22">
        <v>0.13684099999999999</v>
      </c>
      <c r="AJ307" s="22">
        <v>297</v>
      </c>
      <c r="AK307" s="22">
        <v>0.27474999999999999</v>
      </c>
      <c r="AL307">
        <f t="shared" si="54"/>
        <v>-136.84099999999998</v>
      </c>
      <c r="AM307">
        <f t="shared" si="55"/>
        <v>-190.97119436999998</v>
      </c>
      <c r="AP307" s="9"/>
      <c r="AQ307" s="22">
        <v>0.26443499999999998</v>
      </c>
      <c r="AR307" s="22">
        <v>249.59200000000001</v>
      </c>
      <c r="AS307" s="22">
        <v>-1.73828E-2</v>
      </c>
      <c r="AT307" s="22">
        <v>297</v>
      </c>
      <c r="AU307" s="22">
        <v>0.26348899999999997</v>
      </c>
      <c r="AV307">
        <f t="shared" si="56"/>
        <v>17.3828</v>
      </c>
      <c r="AW307">
        <f t="shared" si="57"/>
        <v>4.5966207179999996</v>
      </c>
      <c r="AX307" s="9"/>
      <c r="AY307" s="22">
        <v>1.39557</v>
      </c>
      <c r="AZ307" s="22">
        <v>298.95800000000003</v>
      </c>
      <c r="BA307" s="22">
        <v>0.139404</v>
      </c>
      <c r="BB307" s="22">
        <v>297</v>
      </c>
      <c r="BC307" s="22">
        <v>0.27123999999999998</v>
      </c>
      <c r="BD307">
        <f t="shared" si="58"/>
        <v>-139.404</v>
      </c>
      <c r="BE307">
        <f t="shared" si="59"/>
        <v>-194.54804027999998</v>
      </c>
    </row>
    <row r="308" spans="6:57">
      <c r="F308" s="9"/>
      <c r="G308" s="22">
        <v>0.25939899999999999</v>
      </c>
      <c r="H308" s="22">
        <v>52.307299999999998</v>
      </c>
      <c r="I308" s="22">
        <v>-1.7459100000000002E-2</v>
      </c>
      <c r="J308" s="22">
        <v>298</v>
      </c>
      <c r="K308" s="22">
        <v>0.25875900000000002</v>
      </c>
      <c r="L308">
        <f t="shared" si="48"/>
        <v>17.459100000000003</v>
      </c>
      <c r="M308">
        <f t="shared" si="49"/>
        <v>4.5288730809000004</v>
      </c>
      <c r="N308" s="9"/>
      <c r="O308" s="22">
        <v>1.4006000000000001</v>
      </c>
      <c r="P308" s="22">
        <v>101.551</v>
      </c>
      <c r="Q308" s="22">
        <v>0.134796</v>
      </c>
      <c r="R308" s="22">
        <v>298</v>
      </c>
      <c r="S308" s="22">
        <v>0.27761799999999998</v>
      </c>
      <c r="T308">
        <f t="shared" si="50"/>
        <v>-134.79599999999999</v>
      </c>
      <c r="U308">
        <f t="shared" si="51"/>
        <v>-188.79527759999999</v>
      </c>
      <c r="X308" s="9"/>
      <c r="Y308" s="22">
        <v>0.25939899999999999</v>
      </c>
      <c r="Z308" s="22">
        <v>150.953</v>
      </c>
      <c r="AA308" s="22">
        <v>-1.7401099999999999E-2</v>
      </c>
      <c r="AB308" s="22">
        <v>298</v>
      </c>
      <c r="AC308" s="22">
        <v>0.25866699999999998</v>
      </c>
      <c r="AD308">
        <f t="shared" si="52"/>
        <v>17.4011</v>
      </c>
      <c r="AE308">
        <f t="shared" si="53"/>
        <v>4.5138279388999996</v>
      </c>
      <c r="AF308" s="9"/>
      <c r="AG308" s="22">
        <v>1.4006000000000001</v>
      </c>
      <c r="AH308" s="22">
        <v>200.32</v>
      </c>
      <c r="AI308" s="22">
        <v>0.136658</v>
      </c>
      <c r="AJ308" s="22">
        <v>298</v>
      </c>
      <c r="AK308" s="22">
        <v>0.27462799999999998</v>
      </c>
      <c r="AL308">
        <f t="shared" si="54"/>
        <v>-136.65800000000002</v>
      </c>
      <c r="AM308">
        <f t="shared" si="55"/>
        <v>-191.40319480000002</v>
      </c>
      <c r="AP308" s="9"/>
      <c r="AQ308" s="22">
        <v>0.25939899999999999</v>
      </c>
      <c r="AR308" s="22">
        <v>249.602</v>
      </c>
      <c r="AS308" s="22">
        <v>-1.73828E-2</v>
      </c>
      <c r="AT308" s="22">
        <v>298</v>
      </c>
      <c r="AU308" s="22">
        <v>0.25851400000000002</v>
      </c>
      <c r="AV308">
        <f t="shared" si="56"/>
        <v>17.3828</v>
      </c>
      <c r="AW308">
        <f t="shared" si="57"/>
        <v>4.5090809371999994</v>
      </c>
      <c r="AX308" s="9"/>
      <c r="AY308" s="22">
        <v>1.4006000000000001</v>
      </c>
      <c r="AZ308" s="22">
        <v>298.96800000000002</v>
      </c>
      <c r="BA308" s="22">
        <v>0.13925199999999999</v>
      </c>
      <c r="BB308" s="22">
        <v>298</v>
      </c>
      <c r="BC308" s="22">
        <v>0.27081300000000003</v>
      </c>
      <c r="BD308">
        <f t="shared" si="58"/>
        <v>-139.25199999999998</v>
      </c>
      <c r="BE308">
        <f t="shared" si="59"/>
        <v>-195.03635119999998</v>
      </c>
    </row>
    <row r="309" spans="6:57">
      <c r="F309" s="9"/>
      <c r="G309" s="22">
        <v>0.25436399999999998</v>
      </c>
      <c r="H309" s="22">
        <v>52.317399999999999</v>
      </c>
      <c r="I309" s="22">
        <v>-1.7462200000000001E-2</v>
      </c>
      <c r="J309" s="22">
        <v>299</v>
      </c>
      <c r="K309" s="22">
        <v>0.25347900000000001</v>
      </c>
      <c r="L309">
        <f t="shared" si="48"/>
        <v>17.462199999999999</v>
      </c>
      <c r="M309">
        <f t="shared" si="49"/>
        <v>4.4417550407999995</v>
      </c>
      <c r="N309" s="9"/>
      <c r="O309" s="22">
        <v>1.40564</v>
      </c>
      <c r="P309" s="22">
        <v>101.56100000000001</v>
      </c>
      <c r="Q309" s="22">
        <v>0.134796</v>
      </c>
      <c r="R309" s="22">
        <v>299</v>
      </c>
      <c r="S309" s="22">
        <v>0.27780199999999999</v>
      </c>
      <c r="T309">
        <f t="shared" si="50"/>
        <v>-134.79599999999999</v>
      </c>
      <c r="U309">
        <f t="shared" si="51"/>
        <v>-189.47464943999998</v>
      </c>
      <c r="X309" s="9"/>
      <c r="Y309" s="22">
        <v>0.25436399999999998</v>
      </c>
      <c r="Z309" s="22">
        <v>150.96299999999999</v>
      </c>
      <c r="AA309" s="22">
        <v>-1.7401099999999999E-2</v>
      </c>
      <c r="AB309" s="22">
        <v>299</v>
      </c>
      <c r="AC309" s="22">
        <v>0.25351000000000001</v>
      </c>
      <c r="AD309">
        <f t="shared" si="52"/>
        <v>17.4011</v>
      </c>
      <c r="AE309">
        <f t="shared" si="53"/>
        <v>4.4262134003999991</v>
      </c>
      <c r="AF309" s="9"/>
      <c r="AG309" s="22">
        <v>1.40564</v>
      </c>
      <c r="AH309" s="22">
        <v>200.33</v>
      </c>
      <c r="AI309" s="22">
        <v>0.136658</v>
      </c>
      <c r="AJ309" s="22">
        <v>299</v>
      </c>
      <c r="AK309" s="22">
        <v>0.27447500000000002</v>
      </c>
      <c r="AL309">
        <f t="shared" si="54"/>
        <v>-136.65800000000002</v>
      </c>
      <c r="AM309">
        <f t="shared" si="55"/>
        <v>-192.09195112000003</v>
      </c>
      <c r="AP309" s="9"/>
      <c r="AQ309" s="22">
        <v>0.25436399999999998</v>
      </c>
      <c r="AR309" s="22">
        <v>249.61199999999999</v>
      </c>
      <c r="AS309" s="22">
        <v>-1.73828E-2</v>
      </c>
      <c r="AT309" s="22">
        <v>299</v>
      </c>
      <c r="AU309" s="22">
        <v>0.25347900000000001</v>
      </c>
      <c r="AV309">
        <f t="shared" si="56"/>
        <v>17.3828</v>
      </c>
      <c r="AW309">
        <f t="shared" si="57"/>
        <v>4.4215585391999994</v>
      </c>
      <c r="AX309" s="9"/>
      <c r="AY309" s="22">
        <v>1.40564</v>
      </c>
      <c r="AZ309" s="22">
        <v>298.97899999999998</v>
      </c>
      <c r="BA309" s="22">
        <v>0.140015</v>
      </c>
      <c r="BB309" s="22">
        <v>299</v>
      </c>
      <c r="BC309" s="22">
        <v>0.27066000000000001</v>
      </c>
      <c r="BD309">
        <f t="shared" si="58"/>
        <v>-140.01499999999999</v>
      </c>
      <c r="BE309">
        <f t="shared" si="59"/>
        <v>-196.81068459999997</v>
      </c>
    </row>
    <row r="310" spans="6:57">
      <c r="F310" s="9"/>
      <c r="G310" s="22">
        <v>0.249329</v>
      </c>
      <c r="H310" s="22">
        <v>52.327399999999997</v>
      </c>
      <c r="I310" s="22">
        <v>-1.7477400000000001E-2</v>
      </c>
      <c r="J310" s="22">
        <v>300</v>
      </c>
      <c r="K310" s="22">
        <v>0.248444</v>
      </c>
      <c r="L310">
        <f t="shared" si="48"/>
        <v>17.477399999999999</v>
      </c>
      <c r="M310">
        <f t="shared" si="49"/>
        <v>4.3576226646</v>
      </c>
      <c r="N310" s="9"/>
      <c r="O310" s="22">
        <v>1.4106799999999999</v>
      </c>
      <c r="P310" s="22">
        <v>101.571</v>
      </c>
      <c r="Q310" s="22">
        <v>0.13473499999999999</v>
      </c>
      <c r="R310" s="22">
        <v>300</v>
      </c>
      <c r="S310" s="22">
        <v>0.27764899999999998</v>
      </c>
      <c r="T310">
        <f t="shared" si="50"/>
        <v>-134.73499999999999</v>
      </c>
      <c r="U310">
        <f t="shared" si="51"/>
        <v>-190.06796979999996</v>
      </c>
      <c r="X310" s="9"/>
      <c r="Y310" s="22">
        <v>0.249329</v>
      </c>
      <c r="Z310" s="22">
        <v>150.97300000000001</v>
      </c>
      <c r="AA310" s="22">
        <v>-1.73981E-2</v>
      </c>
      <c r="AB310" s="22">
        <v>300</v>
      </c>
      <c r="AC310" s="22">
        <v>0.248779</v>
      </c>
      <c r="AD310">
        <f t="shared" si="52"/>
        <v>17.398099999999999</v>
      </c>
      <c r="AE310">
        <f t="shared" si="53"/>
        <v>4.3378508749</v>
      </c>
      <c r="AF310" s="9"/>
      <c r="AG310" s="22">
        <v>1.4106799999999999</v>
      </c>
      <c r="AH310" s="22">
        <v>200.34</v>
      </c>
      <c r="AI310" s="22">
        <v>0.13678000000000001</v>
      </c>
      <c r="AJ310" s="22">
        <v>300</v>
      </c>
      <c r="AK310" s="22">
        <v>0.274536</v>
      </c>
      <c r="AL310">
        <f t="shared" si="54"/>
        <v>-136.78</v>
      </c>
      <c r="AM310">
        <f t="shared" si="55"/>
        <v>-192.9528104</v>
      </c>
      <c r="AP310" s="9"/>
      <c r="AQ310" s="22">
        <v>0.249329</v>
      </c>
      <c r="AR310" s="22">
        <v>249.62200000000001</v>
      </c>
      <c r="AS310" s="22">
        <v>-1.7385899999999999E-2</v>
      </c>
      <c r="AT310" s="22">
        <v>300</v>
      </c>
      <c r="AU310" s="22">
        <v>0.24853500000000001</v>
      </c>
      <c r="AV310">
        <f t="shared" si="56"/>
        <v>17.385899999999999</v>
      </c>
      <c r="AW310">
        <f t="shared" si="57"/>
        <v>4.3348090610999996</v>
      </c>
      <c r="AX310" s="9"/>
      <c r="AY310" s="22">
        <v>1.4106799999999999</v>
      </c>
      <c r="AZ310" s="22">
        <v>298.98899999999998</v>
      </c>
      <c r="BA310" s="22">
        <v>0.13983200000000001</v>
      </c>
      <c r="BB310" s="22">
        <v>300</v>
      </c>
      <c r="BC310" s="22">
        <v>0.26998899999999998</v>
      </c>
      <c r="BD310">
        <f t="shared" si="58"/>
        <v>-139.83200000000002</v>
      </c>
      <c r="BE310">
        <f t="shared" si="59"/>
        <v>-197.25820576000001</v>
      </c>
    </row>
    <row r="311" spans="6:57">
      <c r="F311" s="9"/>
      <c r="G311" s="22">
        <v>0.24429300000000001</v>
      </c>
      <c r="H311" s="22">
        <v>52.337499999999999</v>
      </c>
      <c r="I311" s="22">
        <v>-1.7483499999999999E-2</v>
      </c>
      <c r="J311" s="22">
        <v>301</v>
      </c>
      <c r="K311" s="22">
        <v>0.243256</v>
      </c>
      <c r="L311">
        <f t="shared" si="48"/>
        <v>17.483499999999999</v>
      </c>
      <c r="M311">
        <f t="shared" si="49"/>
        <v>4.2710966655</v>
      </c>
      <c r="N311" s="9"/>
      <c r="O311" s="22">
        <v>1.41571</v>
      </c>
      <c r="P311" s="22">
        <v>101.581</v>
      </c>
      <c r="Q311" s="22">
        <v>0.13467399999999999</v>
      </c>
      <c r="R311" s="22">
        <v>301</v>
      </c>
      <c r="S311" s="22">
        <v>0.27737400000000001</v>
      </c>
      <c r="T311">
        <f t="shared" si="50"/>
        <v>-134.67399999999998</v>
      </c>
      <c r="U311">
        <f t="shared" si="51"/>
        <v>-190.65932853999996</v>
      </c>
      <c r="X311" s="9"/>
      <c r="Y311" s="22">
        <v>0.24429300000000001</v>
      </c>
      <c r="Z311" s="22">
        <v>150.983</v>
      </c>
      <c r="AA311" s="22">
        <v>-1.7401099999999999E-2</v>
      </c>
      <c r="AB311" s="22">
        <v>301</v>
      </c>
      <c r="AC311" s="22">
        <v>0.24368300000000001</v>
      </c>
      <c r="AD311">
        <f t="shared" si="52"/>
        <v>17.4011</v>
      </c>
      <c r="AE311">
        <f t="shared" si="53"/>
        <v>4.2509669223</v>
      </c>
      <c r="AF311" s="9"/>
      <c r="AG311" s="22">
        <v>1.41571</v>
      </c>
      <c r="AH311" s="22">
        <v>200.35</v>
      </c>
      <c r="AI311" s="22">
        <v>0.13684099999999999</v>
      </c>
      <c r="AJ311" s="22">
        <v>301</v>
      </c>
      <c r="AK311" s="22">
        <v>0.27407799999999999</v>
      </c>
      <c r="AL311">
        <f t="shared" si="54"/>
        <v>-136.84099999999998</v>
      </c>
      <c r="AM311">
        <f t="shared" si="55"/>
        <v>-193.72717210999997</v>
      </c>
      <c r="AP311" s="9"/>
      <c r="AQ311" s="22">
        <v>0.24429300000000001</v>
      </c>
      <c r="AR311" s="22">
        <v>249.63200000000001</v>
      </c>
      <c r="AS311" s="22">
        <v>-1.7385899999999999E-2</v>
      </c>
      <c r="AT311" s="22">
        <v>301</v>
      </c>
      <c r="AU311" s="22">
        <v>0.24380499999999999</v>
      </c>
      <c r="AV311">
        <f t="shared" si="56"/>
        <v>17.385899999999999</v>
      </c>
      <c r="AW311">
        <f t="shared" si="57"/>
        <v>4.2472536687</v>
      </c>
      <c r="AX311" s="9"/>
      <c r="AY311" s="22">
        <v>1.41571</v>
      </c>
      <c r="AZ311" s="22">
        <v>298.99900000000002</v>
      </c>
      <c r="BA311" s="22">
        <v>0.13964799999999999</v>
      </c>
      <c r="BB311" s="22">
        <v>301</v>
      </c>
      <c r="BC311" s="22">
        <v>0.27032499999999998</v>
      </c>
      <c r="BD311">
        <f t="shared" si="58"/>
        <v>-139.648</v>
      </c>
      <c r="BE311">
        <f t="shared" si="59"/>
        <v>-197.70107007999999</v>
      </c>
    </row>
    <row r="312" spans="6:57">
      <c r="F312" s="9"/>
      <c r="G312" s="22">
        <v>0.239258</v>
      </c>
      <c r="H312" s="22">
        <v>52.3476</v>
      </c>
      <c r="I312" s="22">
        <v>-1.7483499999999999E-2</v>
      </c>
      <c r="J312" s="22">
        <v>302</v>
      </c>
      <c r="K312" s="22">
        <v>0.23855599999999999</v>
      </c>
      <c r="L312">
        <f t="shared" si="48"/>
        <v>17.483499999999999</v>
      </c>
      <c r="M312">
        <f t="shared" si="49"/>
        <v>4.183067243</v>
      </c>
      <c r="N312" s="9"/>
      <c r="O312" s="22">
        <v>1.42075</v>
      </c>
      <c r="P312" s="22">
        <v>101.59099999999999</v>
      </c>
      <c r="Q312" s="22">
        <v>0.134491</v>
      </c>
      <c r="R312" s="22">
        <v>302</v>
      </c>
      <c r="S312" s="22">
        <v>0.27651999999999999</v>
      </c>
      <c r="T312">
        <f t="shared" si="50"/>
        <v>-134.49099999999999</v>
      </c>
      <c r="U312">
        <f t="shared" si="51"/>
        <v>-191.07808824999998</v>
      </c>
      <c r="X312" s="9"/>
      <c r="Y312" s="22">
        <v>0.239258</v>
      </c>
      <c r="Z312" s="22">
        <v>150.99299999999999</v>
      </c>
      <c r="AA312" s="22">
        <v>-1.73981E-2</v>
      </c>
      <c r="AB312" s="22">
        <v>302</v>
      </c>
      <c r="AC312" s="22">
        <v>0.23849500000000001</v>
      </c>
      <c r="AD312">
        <f t="shared" si="52"/>
        <v>17.398099999999999</v>
      </c>
      <c r="AE312">
        <f t="shared" si="53"/>
        <v>4.1626346097999996</v>
      </c>
      <c r="AF312" s="9"/>
      <c r="AG312" s="22">
        <v>1.42075</v>
      </c>
      <c r="AH312" s="22">
        <v>200.36</v>
      </c>
      <c r="AI312" s="22">
        <v>0.136993</v>
      </c>
      <c r="AJ312" s="22">
        <v>302</v>
      </c>
      <c r="AK312" s="22">
        <v>0.27417000000000002</v>
      </c>
      <c r="AL312">
        <f t="shared" si="54"/>
        <v>-136.99299999999999</v>
      </c>
      <c r="AM312">
        <f t="shared" si="55"/>
        <v>-194.63280474999999</v>
      </c>
      <c r="AP312" s="9"/>
      <c r="AQ312" s="22">
        <v>0.239258</v>
      </c>
      <c r="AR312" s="22">
        <v>249.642</v>
      </c>
      <c r="AS312" s="22">
        <v>-1.7388899999999999E-2</v>
      </c>
      <c r="AT312" s="22">
        <v>302</v>
      </c>
      <c r="AU312" s="22">
        <v>0.23880000000000001</v>
      </c>
      <c r="AV312">
        <f t="shared" si="56"/>
        <v>17.3889</v>
      </c>
      <c r="AW312">
        <f t="shared" si="57"/>
        <v>4.1604334361999999</v>
      </c>
      <c r="AX312" s="9"/>
      <c r="AY312" s="22">
        <v>1.42075</v>
      </c>
      <c r="AZ312" s="22">
        <v>299.00900000000001</v>
      </c>
      <c r="BA312" s="22">
        <v>0.13964799999999999</v>
      </c>
      <c r="BB312" s="22">
        <v>302</v>
      </c>
      <c r="BC312" s="22">
        <v>0.27081300000000003</v>
      </c>
      <c r="BD312">
        <f t="shared" si="58"/>
        <v>-139.648</v>
      </c>
      <c r="BE312">
        <f t="shared" si="59"/>
        <v>-198.40489599999998</v>
      </c>
    </row>
    <row r="313" spans="6:57">
      <c r="F313" s="9"/>
      <c r="G313" s="22">
        <v>0.23422200000000001</v>
      </c>
      <c r="H313" s="22">
        <v>52.357700000000001</v>
      </c>
      <c r="I313" s="22">
        <v>-1.7483499999999999E-2</v>
      </c>
      <c r="J313" s="22">
        <v>303</v>
      </c>
      <c r="K313" s="22">
        <v>0.23330699999999999</v>
      </c>
      <c r="L313">
        <f t="shared" si="48"/>
        <v>17.483499999999999</v>
      </c>
      <c r="M313">
        <f t="shared" si="49"/>
        <v>4.0950203370000002</v>
      </c>
      <c r="N313" s="9"/>
      <c r="O313" s="22">
        <v>1.42578</v>
      </c>
      <c r="P313" s="22">
        <v>101.601</v>
      </c>
      <c r="Q313" s="22">
        <v>0.13458300000000001</v>
      </c>
      <c r="R313" s="22">
        <v>303</v>
      </c>
      <c r="S313" s="22">
        <v>0.277588</v>
      </c>
      <c r="T313">
        <f t="shared" si="50"/>
        <v>-134.583</v>
      </c>
      <c r="U313">
        <f t="shared" si="51"/>
        <v>-191.88574973999999</v>
      </c>
      <c r="X313" s="9"/>
      <c r="Y313" s="22">
        <v>0.23422200000000001</v>
      </c>
      <c r="Z313" s="22">
        <v>151.00399999999999</v>
      </c>
      <c r="AA313" s="22">
        <v>-1.7404200000000002E-2</v>
      </c>
      <c r="AB313" s="22">
        <v>303</v>
      </c>
      <c r="AC313" s="22">
        <v>0.23333699999999999</v>
      </c>
      <c r="AD313">
        <f t="shared" si="52"/>
        <v>17.404200000000003</v>
      </c>
      <c r="AE313">
        <f t="shared" si="53"/>
        <v>4.0764465324000012</v>
      </c>
      <c r="AF313" s="9"/>
      <c r="AG313" s="22">
        <v>1.42578</v>
      </c>
      <c r="AH313" s="22">
        <v>200.37</v>
      </c>
      <c r="AI313" s="22">
        <v>0.136993</v>
      </c>
      <c r="AJ313" s="22">
        <v>303</v>
      </c>
      <c r="AK313" s="22">
        <v>0.27478000000000002</v>
      </c>
      <c r="AL313">
        <f t="shared" si="54"/>
        <v>-136.99299999999999</v>
      </c>
      <c r="AM313">
        <f t="shared" si="55"/>
        <v>-195.32187954</v>
      </c>
      <c r="AP313" s="9"/>
      <c r="AQ313" s="22">
        <v>0.23422200000000001</v>
      </c>
      <c r="AR313" s="22">
        <v>249.65199999999999</v>
      </c>
      <c r="AS313" s="22">
        <v>-1.7392000000000001E-2</v>
      </c>
      <c r="AT313" s="22">
        <v>303</v>
      </c>
      <c r="AU313" s="22">
        <v>0.23385600000000001</v>
      </c>
      <c r="AV313">
        <f t="shared" si="56"/>
        <v>17.391999999999999</v>
      </c>
      <c r="AW313">
        <f t="shared" si="57"/>
        <v>4.0735890240000003</v>
      </c>
      <c r="AX313" s="9"/>
      <c r="AY313" s="22">
        <v>1.42578</v>
      </c>
      <c r="AZ313" s="22">
        <v>299.01900000000001</v>
      </c>
      <c r="BA313" s="22">
        <v>0.139404</v>
      </c>
      <c r="BB313" s="22">
        <v>303</v>
      </c>
      <c r="BC313" s="22">
        <v>0.271088</v>
      </c>
      <c r="BD313">
        <f t="shared" si="58"/>
        <v>-139.404</v>
      </c>
      <c r="BE313">
        <f t="shared" si="59"/>
        <v>-198.75943512000001</v>
      </c>
    </row>
    <row r="314" spans="6:57">
      <c r="F314" s="9"/>
      <c r="G314" s="22">
        <v>0.229187</v>
      </c>
      <c r="H314" s="22">
        <v>52.367699999999999</v>
      </c>
      <c r="I314" s="22">
        <v>-1.74805E-2</v>
      </c>
      <c r="J314" s="22">
        <v>304</v>
      </c>
      <c r="K314" s="22">
        <v>0.22848499999999999</v>
      </c>
      <c r="L314">
        <f t="shared" si="48"/>
        <v>17.480499999999999</v>
      </c>
      <c r="M314">
        <f t="shared" si="49"/>
        <v>4.0063033534999999</v>
      </c>
      <c r="N314" s="9"/>
      <c r="O314" s="22">
        <v>1.43082</v>
      </c>
      <c r="P314" s="22">
        <v>101.611</v>
      </c>
      <c r="Q314" s="22">
        <v>0.13461300000000001</v>
      </c>
      <c r="R314" s="22">
        <v>304</v>
      </c>
      <c r="S314" s="22">
        <v>0.27771000000000001</v>
      </c>
      <c r="T314">
        <f t="shared" si="50"/>
        <v>-134.613</v>
      </c>
      <c r="U314">
        <f t="shared" si="51"/>
        <v>-192.60697266</v>
      </c>
      <c r="X314" s="9"/>
      <c r="Y314" s="22">
        <v>0.229187</v>
      </c>
      <c r="Z314" s="22">
        <v>151.01400000000001</v>
      </c>
      <c r="AA314" s="22">
        <v>-1.74103E-2</v>
      </c>
      <c r="AB314" s="22">
        <v>304</v>
      </c>
      <c r="AC314" s="22">
        <v>0.22958400000000001</v>
      </c>
      <c r="AD314">
        <f t="shared" si="52"/>
        <v>17.410299999999999</v>
      </c>
      <c r="AE314">
        <f t="shared" si="53"/>
        <v>3.9902144261000001</v>
      </c>
      <c r="AF314" s="9"/>
      <c r="AG314" s="22">
        <v>1.43082</v>
      </c>
      <c r="AH314" s="22">
        <v>200.38</v>
      </c>
      <c r="AI314" s="22">
        <v>0.136902</v>
      </c>
      <c r="AJ314" s="22">
        <v>304</v>
      </c>
      <c r="AK314" s="22">
        <v>0.275787</v>
      </c>
      <c r="AL314">
        <f t="shared" si="54"/>
        <v>-136.90199999999999</v>
      </c>
      <c r="AM314">
        <f t="shared" si="55"/>
        <v>-195.88211963999998</v>
      </c>
      <c r="AP314" s="9"/>
      <c r="AQ314" s="22">
        <v>0.229187</v>
      </c>
      <c r="AR314" s="22">
        <v>249.66200000000001</v>
      </c>
      <c r="AS314" s="22">
        <v>-1.73981E-2</v>
      </c>
      <c r="AT314" s="22">
        <v>304</v>
      </c>
      <c r="AU314" s="22">
        <v>0.22848499999999999</v>
      </c>
      <c r="AV314">
        <f t="shared" si="56"/>
        <v>17.398099999999999</v>
      </c>
      <c r="AW314">
        <f t="shared" si="57"/>
        <v>3.9874183447</v>
      </c>
      <c r="AX314" s="9"/>
      <c r="AY314" s="22">
        <v>1.43082</v>
      </c>
      <c r="AZ314" s="22">
        <v>299.029</v>
      </c>
      <c r="BA314" s="22">
        <v>0.139374</v>
      </c>
      <c r="BB314" s="22">
        <v>304</v>
      </c>
      <c r="BC314" s="22">
        <v>0.27062999999999998</v>
      </c>
      <c r="BD314">
        <f t="shared" si="58"/>
        <v>-139.374</v>
      </c>
      <c r="BE314">
        <f t="shared" si="59"/>
        <v>-199.41910668</v>
      </c>
    </row>
    <row r="315" spans="6:57">
      <c r="F315" s="9"/>
      <c r="G315" s="22">
        <v>0.22415199999999999</v>
      </c>
      <c r="H315" s="22">
        <v>52.377800000000001</v>
      </c>
      <c r="I315" s="22">
        <v>-1.74805E-2</v>
      </c>
      <c r="J315" s="22">
        <v>305</v>
      </c>
      <c r="K315" s="22">
        <v>0.22354099999999999</v>
      </c>
      <c r="L315">
        <f t="shared" si="48"/>
        <v>17.480499999999999</v>
      </c>
      <c r="M315">
        <f t="shared" si="49"/>
        <v>3.9182890359999996</v>
      </c>
      <c r="N315" s="9"/>
      <c r="O315" s="22">
        <v>1.4358500000000001</v>
      </c>
      <c r="P315" s="22">
        <v>101.621</v>
      </c>
      <c r="Q315" s="22">
        <v>0.13464400000000001</v>
      </c>
      <c r="R315" s="22">
        <v>305</v>
      </c>
      <c r="S315" s="22">
        <v>0.27749600000000002</v>
      </c>
      <c r="T315">
        <f t="shared" si="50"/>
        <v>-134.64400000000001</v>
      </c>
      <c r="U315">
        <f t="shared" si="51"/>
        <v>-193.3285874</v>
      </c>
      <c r="X315" s="9"/>
      <c r="Y315" s="22">
        <v>0.22415199999999999</v>
      </c>
      <c r="Z315" s="22">
        <v>151.024</v>
      </c>
      <c r="AA315" s="22">
        <v>-1.74103E-2</v>
      </c>
      <c r="AB315" s="22">
        <v>305</v>
      </c>
      <c r="AC315" s="22">
        <v>0.223389</v>
      </c>
      <c r="AD315">
        <f t="shared" si="52"/>
        <v>17.410299999999999</v>
      </c>
      <c r="AE315">
        <f t="shared" si="53"/>
        <v>3.9025535655999999</v>
      </c>
      <c r="AF315" s="9"/>
      <c r="AG315" s="22">
        <v>1.4358500000000001</v>
      </c>
      <c r="AH315" s="22">
        <v>200.39</v>
      </c>
      <c r="AI315" s="22">
        <v>0.136688</v>
      </c>
      <c r="AJ315" s="22">
        <v>305</v>
      </c>
      <c r="AK315" s="22">
        <v>0.27478000000000002</v>
      </c>
      <c r="AL315">
        <f t="shared" si="54"/>
        <v>-136.68800000000002</v>
      </c>
      <c r="AM315">
        <f t="shared" si="55"/>
        <v>-196.26346480000004</v>
      </c>
      <c r="AP315" s="9"/>
      <c r="AQ315" s="22">
        <v>0.22415199999999999</v>
      </c>
      <c r="AR315" s="22">
        <v>249.673</v>
      </c>
      <c r="AS315" s="22">
        <v>-1.7401099999999999E-2</v>
      </c>
      <c r="AT315" s="22">
        <v>305</v>
      </c>
      <c r="AU315" s="22">
        <v>0.223938</v>
      </c>
      <c r="AV315">
        <f t="shared" si="56"/>
        <v>17.4011</v>
      </c>
      <c r="AW315">
        <f t="shared" si="57"/>
        <v>3.9004913671999999</v>
      </c>
      <c r="AX315" s="9"/>
      <c r="AY315" s="22">
        <v>1.4358500000000001</v>
      </c>
      <c r="AZ315" s="22">
        <v>299.03899999999999</v>
      </c>
      <c r="BA315" s="22">
        <v>0.139404</v>
      </c>
      <c r="BB315" s="22">
        <v>305</v>
      </c>
      <c r="BC315" s="22">
        <v>0.27090500000000001</v>
      </c>
      <c r="BD315">
        <f t="shared" si="58"/>
        <v>-139.404</v>
      </c>
      <c r="BE315">
        <f t="shared" si="59"/>
        <v>-200.1632334</v>
      </c>
    </row>
    <row r="316" spans="6:57">
      <c r="F316" s="9"/>
      <c r="G316" s="22">
        <v>0.21911600000000001</v>
      </c>
      <c r="H316" s="22">
        <v>52.387900000000002</v>
      </c>
      <c r="I316" s="22">
        <v>-1.7474400000000001E-2</v>
      </c>
      <c r="J316" s="22">
        <v>306</v>
      </c>
      <c r="K316" s="22">
        <v>0.21865799999999999</v>
      </c>
      <c r="L316">
        <f t="shared" si="48"/>
        <v>17.474400000000003</v>
      </c>
      <c r="M316">
        <f t="shared" si="49"/>
        <v>3.8289206304000007</v>
      </c>
      <c r="N316" s="9"/>
      <c r="O316" s="22">
        <v>1.44089</v>
      </c>
      <c r="P316" s="22">
        <v>101.631</v>
      </c>
      <c r="Q316" s="22">
        <v>0.134491</v>
      </c>
      <c r="R316" s="22">
        <v>306</v>
      </c>
      <c r="S316" s="22">
        <v>0.27783200000000002</v>
      </c>
      <c r="T316">
        <f t="shared" si="50"/>
        <v>-134.49099999999999</v>
      </c>
      <c r="U316">
        <f t="shared" si="51"/>
        <v>-193.78673698999998</v>
      </c>
      <c r="X316" s="9"/>
      <c r="Y316" s="22">
        <v>0.21911600000000001</v>
      </c>
      <c r="Z316" s="22">
        <v>151.03399999999999</v>
      </c>
      <c r="AA316" s="22">
        <v>-1.7416399999999999E-2</v>
      </c>
      <c r="AB316" s="22">
        <v>306</v>
      </c>
      <c r="AC316" s="22">
        <v>0.21896399999999999</v>
      </c>
      <c r="AD316">
        <f t="shared" si="52"/>
        <v>17.416399999999999</v>
      </c>
      <c r="AE316">
        <f t="shared" si="53"/>
        <v>3.8162119024000001</v>
      </c>
      <c r="AF316" s="9"/>
      <c r="AG316" s="22">
        <v>1.44089</v>
      </c>
      <c r="AH316" s="22">
        <v>200.4</v>
      </c>
      <c r="AI316" s="22">
        <v>0.136627</v>
      </c>
      <c r="AJ316" s="22">
        <v>306</v>
      </c>
      <c r="AK316" s="22">
        <v>0.27520800000000001</v>
      </c>
      <c r="AL316">
        <f t="shared" si="54"/>
        <v>-136.62700000000001</v>
      </c>
      <c r="AM316">
        <f t="shared" si="55"/>
        <v>-196.86447803000001</v>
      </c>
      <c r="AP316" s="9"/>
      <c r="AQ316" s="22">
        <v>0.21911600000000001</v>
      </c>
      <c r="AR316" s="22">
        <v>249.68299999999999</v>
      </c>
      <c r="AS316" s="22">
        <v>-1.7404200000000002E-2</v>
      </c>
      <c r="AT316" s="22">
        <v>306</v>
      </c>
      <c r="AU316" s="22">
        <v>0.21853600000000001</v>
      </c>
      <c r="AV316">
        <f t="shared" si="56"/>
        <v>17.404200000000003</v>
      </c>
      <c r="AW316">
        <f t="shared" si="57"/>
        <v>3.8135386872000008</v>
      </c>
      <c r="AX316" s="9"/>
      <c r="AY316" s="22">
        <v>1.44089</v>
      </c>
      <c r="AZ316" s="22">
        <v>299.04899999999998</v>
      </c>
      <c r="BA316" s="22">
        <v>0.13922100000000001</v>
      </c>
      <c r="BB316" s="22">
        <v>306</v>
      </c>
      <c r="BC316" s="22">
        <v>0.27032499999999998</v>
      </c>
      <c r="BD316">
        <f t="shared" si="58"/>
        <v>-139.221</v>
      </c>
      <c r="BE316">
        <f t="shared" si="59"/>
        <v>-200.60214669000001</v>
      </c>
    </row>
    <row r="317" spans="6:57">
      <c r="F317" s="9"/>
      <c r="G317" s="22">
        <v>0.21408099999999999</v>
      </c>
      <c r="H317" s="22">
        <v>52.3979</v>
      </c>
      <c r="I317" s="22">
        <v>-1.7477400000000001E-2</v>
      </c>
      <c r="J317" s="22">
        <v>307</v>
      </c>
      <c r="K317" s="22">
        <v>0.213531</v>
      </c>
      <c r="L317">
        <f t="shared" si="48"/>
        <v>17.477399999999999</v>
      </c>
      <c r="M317">
        <f t="shared" si="49"/>
        <v>3.7415792693999999</v>
      </c>
      <c r="N317" s="9"/>
      <c r="O317" s="22">
        <v>1.4459200000000001</v>
      </c>
      <c r="P317" s="22">
        <v>101.64100000000001</v>
      </c>
      <c r="Q317" s="22">
        <v>0.134491</v>
      </c>
      <c r="R317" s="22">
        <v>307</v>
      </c>
      <c r="S317" s="22">
        <v>0.27807599999999999</v>
      </c>
      <c r="T317">
        <f t="shared" si="50"/>
        <v>-134.49099999999999</v>
      </c>
      <c r="U317">
        <f t="shared" si="51"/>
        <v>-194.46322671999999</v>
      </c>
      <c r="X317" s="9"/>
      <c r="Y317" s="22">
        <v>0.21408099999999999</v>
      </c>
      <c r="Z317" s="22">
        <v>151.04400000000001</v>
      </c>
      <c r="AA317" s="22">
        <v>-1.7416399999999999E-2</v>
      </c>
      <c r="AB317" s="22">
        <v>307</v>
      </c>
      <c r="AC317" s="22">
        <v>0.21301300000000001</v>
      </c>
      <c r="AD317">
        <f t="shared" si="52"/>
        <v>17.416399999999999</v>
      </c>
      <c r="AE317">
        <f t="shared" si="53"/>
        <v>3.7285203283999997</v>
      </c>
      <c r="AF317" s="9"/>
      <c r="AG317" s="22">
        <v>1.4459200000000001</v>
      </c>
      <c r="AH317" s="22">
        <v>200.41</v>
      </c>
      <c r="AI317" s="22">
        <v>0.136353</v>
      </c>
      <c r="AJ317" s="22">
        <v>307</v>
      </c>
      <c r="AK317" s="22">
        <v>0.274841</v>
      </c>
      <c r="AL317">
        <f t="shared" si="54"/>
        <v>-136.35300000000001</v>
      </c>
      <c r="AM317">
        <f t="shared" si="55"/>
        <v>-197.15552976000004</v>
      </c>
      <c r="AP317" s="9"/>
      <c r="AQ317" s="22">
        <v>0.21408099999999999</v>
      </c>
      <c r="AR317" s="22">
        <v>249.69300000000001</v>
      </c>
      <c r="AS317" s="22">
        <v>-1.74103E-2</v>
      </c>
      <c r="AT317" s="22">
        <v>307</v>
      </c>
      <c r="AU317" s="22">
        <v>0.21270800000000001</v>
      </c>
      <c r="AV317">
        <f t="shared" si="56"/>
        <v>17.410299999999999</v>
      </c>
      <c r="AW317">
        <f t="shared" si="57"/>
        <v>3.7272144342999995</v>
      </c>
      <c r="AX317" s="9"/>
      <c r="AY317" s="22">
        <v>1.4459200000000001</v>
      </c>
      <c r="AZ317" s="22">
        <v>299.05900000000003</v>
      </c>
      <c r="BA317" s="22">
        <v>0.139099</v>
      </c>
      <c r="BB317" s="22">
        <v>307</v>
      </c>
      <c r="BC317" s="22">
        <v>0.27050800000000003</v>
      </c>
      <c r="BD317">
        <f t="shared" si="58"/>
        <v>-139.09899999999999</v>
      </c>
      <c r="BE317">
        <f t="shared" si="59"/>
        <v>-201.12602608</v>
      </c>
    </row>
    <row r="318" spans="6:57">
      <c r="F318" s="9"/>
      <c r="G318" s="22">
        <v>0.20904500000000001</v>
      </c>
      <c r="H318" s="22">
        <v>52.408000000000001</v>
      </c>
      <c r="I318" s="22">
        <v>-1.7477400000000001E-2</v>
      </c>
      <c r="J318" s="22">
        <v>308</v>
      </c>
      <c r="K318" s="22">
        <v>0.20816000000000001</v>
      </c>
      <c r="L318">
        <f t="shared" si="48"/>
        <v>17.477399999999999</v>
      </c>
      <c r="M318">
        <f t="shared" si="49"/>
        <v>3.6535630829999999</v>
      </c>
      <c r="N318" s="9"/>
      <c r="O318" s="22">
        <v>1.45096</v>
      </c>
      <c r="P318" s="22">
        <v>101.651</v>
      </c>
      <c r="Q318" s="22">
        <v>0.13458300000000001</v>
      </c>
      <c r="R318" s="22">
        <v>308</v>
      </c>
      <c r="S318" s="22">
        <v>0.27828999999999998</v>
      </c>
      <c r="T318">
        <f t="shared" si="50"/>
        <v>-134.583</v>
      </c>
      <c r="U318">
        <f t="shared" si="51"/>
        <v>-195.27454968000001</v>
      </c>
      <c r="X318" s="9"/>
      <c r="Y318" s="22">
        <v>0.20904500000000001</v>
      </c>
      <c r="Z318" s="22">
        <v>151.054</v>
      </c>
      <c r="AA318" s="22">
        <v>-1.7416399999999999E-2</v>
      </c>
      <c r="AB318" s="22">
        <v>308</v>
      </c>
      <c r="AC318" s="22">
        <v>0.20843500000000001</v>
      </c>
      <c r="AD318">
        <f t="shared" si="52"/>
        <v>17.416399999999999</v>
      </c>
      <c r="AE318">
        <f t="shared" si="53"/>
        <v>3.6408113380000002</v>
      </c>
      <c r="AF318" s="9"/>
      <c r="AG318" s="22">
        <v>1.45096</v>
      </c>
      <c r="AH318" s="22">
        <v>200.42</v>
      </c>
      <c r="AI318" s="22">
        <v>0.136078</v>
      </c>
      <c r="AJ318" s="22">
        <v>308</v>
      </c>
      <c r="AK318" s="22">
        <v>0.27542100000000003</v>
      </c>
      <c r="AL318">
        <f t="shared" si="54"/>
        <v>-136.078</v>
      </c>
      <c r="AM318">
        <f t="shared" si="55"/>
        <v>-197.44373487999999</v>
      </c>
      <c r="AP318" s="9"/>
      <c r="AQ318" s="22">
        <v>0.20904500000000001</v>
      </c>
      <c r="AR318" s="22">
        <v>249.703</v>
      </c>
      <c r="AS318" s="22">
        <v>-1.74103E-2</v>
      </c>
      <c r="AT318" s="22">
        <v>308</v>
      </c>
      <c r="AU318" s="22">
        <v>0.20828199999999999</v>
      </c>
      <c r="AV318">
        <f t="shared" si="56"/>
        <v>17.410299999999999</v>
      </c>
      <c r="AW318">
        <f t="shared" si="57"/>
        <v>3.6395361634999999</v>
      </c>
      <c r="AX318" s="9"/>
      <c r="AY318" s="22">
        <v>1.45096</v>
      </c>
      <c r="AZ318" s="22">
        <v>299.06900000000002</v>
      </c>
      <c r="BA318" s="22">
        <v>0.13913</v>
      </c>
      <c r="BB318" s="22">
        <v>308</v>
      </c>
      <c r="BC318" s="22">
        <v>0.26974500000000001</v>
      </c>
      <c r="BD318">
        <f t="shared" si="58"/>
        <v>-139.13</v>
      </c>
      <c r="BE318">
        <f t="shared" si="59"/>
        <v>-201.8720648</v>
      </c>
    </row>
    <row r="319" spans="6:57">
      <c r="F319" s="9"/>
      <c r="G319" s="22">
        <v>0.20401</v>
      </c>
      <c r="H319" s="22">
        <v>52.418100000000003</v>
      </c>
      <c r="I319" s="22">
        <v>-1.7477400000000001E-2</v>
      </c>
      <c r="J319" s="22">
        <v>309</v>
      </c>
      <c r="K319" s="22">
        <v>0.20343</v>
      </c>
      <c r="L319">
        <f t="shared" si="48"/>
        <v>17.477399999999999</v>
      </c>
      <c r="M319">
        <f t="shared" si="49"/>
        <v>3.565564374</v>
      </c>
      <c r="N319" s="9"/>
      <c r="O319" s="22">
        <v>1.4559899999999999</v>
      </c>
      <c r="P319" s="22">
        <v>101.66200000000001</v>
      </c>
      <c r="Q319" s="22">
        <v>0.13458300000000001</v>
      </c>
      <c r="R319" s="22">
        <v>309</v>
      </c>
      <c r="S319" s="22">
        <v>0.27710000000000001</v>
      </c>
      <c r="T319">
        <f t="shared" si="50"/>
        <v>-134.583</v>
      </c>
      <c r="U319">
        <f t="shared" si="51"/>
        <v>-195.95150217</v>
      </c>
      <c r="X319" s="9"/>
      <c r="Y319" s="22">
        <v>0.20401</v>
      </c>
      <c r="Z319" s="22">
        <v>151.06399999999999</v>
      </c>
      <c r="AA319" s="22">
        <v>-1.74225E-2</v>
      </c>
      <c r="AB319" s="22">
        <v>309</v>
      </c>
      <c r="AC319" s="22">
        <v>0.20355200000000001</v>
      </c>
      <c r="AD319">
        <f t="shared" si="52"/>
        <v>17.422499999999999</v>
      </c>
      <c r="AE319">
        <f t="shared" si="53"/>
        <v>3.554364225</v>
      </c>
      <c r="AF319" s="9"/>
      <c r="AG319" s="22">
        <v>1.4559899999999999</v>
      </c>
      <c r="AH319" s="22">
        <v>200.43</v>
      </c>
      <c r="AI319" s="22">
        <v>0.135712</v>
      </c>
      <c r="AJ319" s="22">
        <v>309</v>
      </c>
      <c r="AK319" s="22">
        <v>0.27511600000000003</v>
      </c>
      <c r="AL319">
        <f t="shared" si="54"/>
        <v>-135.71199999999999</v>
      </c>
      <c r="AM319">
        <f t="shared" si="55"/>
        <v>-197.59531487999996</v>
      </c>
      <c r="AP319" s="9"/>
      <c r="AQ319" s="22">
        <v>0.20401</v>
      </c>
      <c r="AR319" s="22">
        <v>249.71299999999999</v>
      </c>
      <c r="AS319" s="22">
        <v>-1.7407200000000001E-2</v>
      </c>
      <c r="AT319" s="22">
        <v>309</v>
      </c>
      <c r="AU319" s="22">
        <v>0.20336899999999999</v>
      </c>
      <c r="AV319">
        <f t="shared" si="56"/>
        <v>17.4072</v>
      </c>
      <c r="AW319">
        <f t="shared" si="57"/>
        <v>3.551242872</v>
      </c>
      <c r="AX319" s="9"/>
      <c r="AY319" s="22">
        <v>1.4559899999999999</v>
      </c>
      <c r="AZ319" s="22">
        <v>299.07900000000001</v>
      </c>
      <c r="BA319" s="22">
        <v>0.13900799999999999</v>
      </c>
      <c r="BB319" s="22">
        <v>309</v>
      </c>
      <c r="BC319" s="22">
        <v>0.27001999999999998</v>
      </c>
      <c r="BD319">
        <f t="shared" si="58"/>
        <v>-139.00799999999998</v>
      </c>
      <c r="BE319">
        <f t="shared" si="59"/>
        <v>-202.39425791999994</v>
      </c>
    </row>
    <row r="320" spans="6:57">
      <c r="F320" s="9"/>
      <c r="G320" s="22">
        <v>0.19897500000000001</v>
      </c>
      <c r="H320" s="22">
        <v>52.428199999999997</v>
      </c>
      <c r="I320" s="22">
        <v>-1.7483499999999999E-2</v>
      </c>
      <c r="J320" s="22">
        <v>310</v>
      </c>
      <c r="K320" s="22">
        <v>0.19808999999999999</v>
      </c>
      <c r="L320">
        <f t="shared" si="48"/>
        <v>17.483499999999999</v>
      </c>
      <c r="M320">
        <f t="shared" si="49"/>
        <v>3.4787794125000002</v>
      </c>
      <c r="N320" s="9"/>
      <c r="O320" s="22">
        <v>1.4610300000000001</v>
      </c>
      <c r="P320" s="22">
        <v>101.672</v>
      </c>
      <c r="Q320" s="22">
        <v>0.13464400000000001</v>
      </c>
      <c r="R320" s="22">
        <v>310</v>
      </c>
      <c r="S320" s="22">
        <v>0.27667199999999997</v>
      </c>
      <c r="T320">
        <f t="shared" si="50"/>
        <v>-134.64400000000001</v>
      </c>
      <c r="U320">
        <f t="shared" si="51"/>
        <v>-196.71892332000002</v>
      </c>
      <c r="X320" s="9"/>
      <c r="Y320" s="22">
        <v>0.19897500000000001</v>
      </c>
      <c r="Z320" s="22">
        <v>151.07400000000001</v>
      </c>
      <c r="AA320" s="22">
        <v>-1.7419400000000002E-2</v>
      </c>
      <c r="AB320" s="22">
        <v>310</v>
      </c>
      <c r="AC320" s="22">
        <v>0.19833400000000001</v>
      </c>
      <c r="AD320">
        <f t="shared" si="52"/>
        <v>17.419400000000003</v>
      </c>
      <c r="AE320">
        <f t="shared" si="53"/>
        <v>3.4660251150000008</v>
      </c>
      <c r="AF320" s="9"/>
      <c r="AG320" s="22">
        <v>1.4610300000000001</v>
      </c>
      <c r="AH320" s="22">
        <v>200.44</v>
      </c>
      <c r="AI320" s="22">
        <v>0.135773</v>
      </c>
      <c r="AJ320" s="22">
        <v>310</v>
      </c>
      <c r="AK320" s="22">
        <v>0.27529900000000002</v>
      </c>
      <c r="AL320">
        <f t="shared" si="54"/>
        <v>-135.773</v>
      </c>
      <c r="AM320">
        <f t="shared" si="55"/>
        <v>-198.36842619000001</v>
      </c>
      <c r="AP320" s="9"/>
      <c r="AQ320" s="22">
        <v>0.19897500000000001</v>
      </c>
      <c r="AR320" s="22">
        <v>249.72300000000001</v>
      </c>
      <c r="AS320" s="22">
        <v>-1.7404200000000002E-2</v>
      </c>
      <c r="AT320" s="22">
        <v>310</v>
      </c>
      <c r="AU320" s="22">
        <v>0.19866900000000001</v>
      </c>
      <c r="AV320">
        <f t="shared" si="56"/>
        <v>17.404200000000003</v>
      </c>
      <c r="AW320">
        <f t="shared" si="57"/>
        <v>3.4630006950000007</v>
      </c>
      <c r="AX320" s="9"/>
      <c r="AY320" s="22">
        <v>1.4610300000000001</v>
      </c>
      <c r="AZ320" s="22">
        <v>299.089</v>
      </c>
      <c r="BA320" s="22">
        <v>0.13903799999999999</v>
      </c>
      <c r="BB320" s="22">
        <v>310</v>
      </c>
      <c r="BC320" s="22">
        <v>0.270233</v>
      </c>
      <c r="BD320">
        <f t="shared" si="58"/>
        <v>-139.03799999999998</v>
      </c>
      <c r="BE320">
        <f t="shared" si="59"/>
        <v>-203.13868913999997</v>
      </c>
    </row>
    <row r="321" spans="6:57">
      <c r="F321" s="9"/>
      <c r="G321" s="22">
        <v>0.193939</v>
      </c>
      <c r="H321" s="22">
        <v>52.438200000000002</v>
      </c>
      <c r="I321" s="22">
        <v>-1.7489600000000001E-2</v>
      </c>
      <c r="J321" s="22">
        <v>311</v>
      </c>
      <c r="K321" s="22">
        <v>0.19314600000000001</v>
      </c>
      <c r="L321">
        <f t="shared" si="48"/>
        <v>17.489599999999999</v>
      </c>
      <c r="M321">
        <f t="shared" si="49"/>
        <v>3.3919155343999998</v>
      </c>
      <c r="N321" s="9"/>
      <c r="O321" s="22">
        <v>1.4660599999999999</v>
      </c>
      <c r="P321" s="22">
        <v>101.682</v>
      </c>
      <c r="Q321" s="22">
        <v>0.13458300000000001</v>
      </c>
      <c r="R321" s="22">
        <v>311</v>
      </c>
      <c r="S321" s="22">
        <v>0.27716099999999999</v>
      </c>
      <c r="T321">
        <f t="shared" si="50"/>
        <v>-134.583</v>
      </c>
      <c r="U321">
        <f t="shared" si="51"/>
        <v>-197.30675298</v>
      </c>
      <c r="X321" s="9"/>
      <c r="Y321" s="22">
        <v>0.193939</v>
      </c>
      <c r="Z321" s="22">
        <v>151.084</v>
      </c>
      <c r="AA321" s="22">
        <v>-1.7419400000000002E-2</v>
      </c>
      <c r="AB321" s="22">
        <v>311</v>
      </c>
      <c r="AC321" s="22">
        <v>0.193909</v>
      </c>
      <c r="AD321">
        <f t="shared" si="52"/>
        <v>17.419400000000003</v>
      </c>
      <c r="AE321">
        <f t="shared" si="53"/>
        <v>3.3783010166000005</v>
      </c>
      <c r="AF321" s="9"/>
      <c r="AG321" s="22">
        <v>1.4660599999999999</v>
      </c>
      <c r="AH321" s="22">
        <v>200.45099999999999</v>
      </c>
      <c r="AI321" s="22">
        <v>0.13558999999999999</v>
      </c>
      <c r="AJ321" s="22">
        <v>311</v>
      </c>
      <c r="AK321" s="22">
        <v>0.27496300000000001</v>
      </c>
      <c r="AL321">
        <f t="shared" si="54"/>
        <v>-135.58999999999997</v>
      </c>
      <c r="AM321">
        <f t="shared" si="55"/>
        <v>-198.78307539999994</v>
      </c>
      <c r="AP321" s="9"/>
      <c r="AQ321" s="22">
        <v>0.193939</v>
      </c>
      <c r="AR321" s="22">
        <v>249.733</v>
      </c>
      <c r="AS321" s="22">
        <v>-1.74103E-2</v>
      </c>
      <c r="AT321" s="22">
        <v>311</v>
      </c>
      <c r="AU321" s="22">
        <v>0.19381699999999999</v>
      </c>
      <c r="AV321">
        <f t="shared" si="56"/>
        <v>17.410299999999999</v>
      </c>
      <c r="AW321">
        <f t="shared" si="57"/>
        <v>3.3765361716999998</v>
      </c>
      <c r="AX321" s="9"/>
      <c r="AY321" s="22">
        <v>1.4660599999999999</v>
      </c>
      <c r="AZ321" s="22">
        <v>299.09899999999999</v>
      </c>
      <c r="BA321" s="22">
        <v>0.13885500000000001</v>
      </c>
      <c r="BB321" s="22">
        <v>311</v>
      </c>
      <c r="BC321" s="22">
        <v>0.26940900000000001</v>
      </c>
      <c r="BD321">
        <f t="shared" si="58"/>
        <v>-138.85500000000002</v>
      </c>
      <c r="BE321">
        <f t="shared" si="59"/>
        <v>-203.56976130000001</v>
      </c>
    </row>
    <row r="322" spans="6:57">
      <c r="F322" s="9"/>
      <c r="G322" s="22">
        <v>0.18890399999999999</v>
      </c>
      <c r="H322" s="22">
        <v>52.448300000000003</v>
      </c>
      <c r="I322" s="22">
        <v>-1.7489600000000001E-2</v>
      </c>
      <c r="J322" s="22">
        <v>312</v>
      </c>
      <c r="K322" s="22">
        <v>0.18881200000000001</v>
      </c>
      <c r="L322">
        <f t="shared" si="48"/>
        <v>17.489599999999999</v>
      </c>
      <c r="M322">
        <f t="shared" si="49"/>
        <v>3.3038553983999996</v>
      </c>
      <c r="N322" s="9"/>
      <c r="O322" s="22">
        <v>1.4711000000000001</v>
      </c>
      <c r="P322" s="22">
        <v>101.69199999999999</v>
      </c>
      <c r="Q322" s="22">
        <v>0.134552</v>
      </c>
      <c r="R322" s="22">
        <v>312</v>
      </c>
      <c r="S322" s="22">
        <v>0.27752700000000002</v>
      </c>
      <c r="T322">
        <f t="shared" si="50"/>
        <v>-134.55199999999999</v>
      </c>
      <c r="U322">
        <f t="shared" si="51"/>
        <v>-197.93944719999999</v>
      </c>
      <c r="X322" s="9"/>
      <c r="Y322" s="22">
        <v>0.18890399999999999</v>
      </c>
      <c r="Z322" s="22">
        <v>151.09399999999999</v>
      </c>
      <c r="AA322" s="22">
        <v>-1.74225E-2</v>
      </c>
      <c r="AB322" s="22">
        <v>312</v>
      </c>
      <c r="AC322" s="22">
        <v>0.18829299999999999</v>
      </c>
      <c r="AD322">
        <f t="shared" si="52"/>
        <v>17.422499999999999</v>
      </c>
      <c r="AE322">
        <f t="shared" si="53"/>
        <v>3.2911799399999997</v>
      </c>
      <c r="AF322" s="9"/>
      <c r="AG322" s="22">
        <v>1.4711000000000001</v>
      </c>
      <c r="AH322" s="22">
        <v>200.46100000000001</v>
      </c>
      <c r="AI322" s="22">
        <v>0.13549800000000001</v>
      </c>
      <c r="AJ322" s="22">
        <v>312</v>
      </c>
      <c r="AK322" s="22">
        <v>0.275146</v>
      </c>
      <c r="AL322">
        <f t="shared" si="54"/>
        <v>-135.49800000000002</v>
      </c>
      <c r="AM322">
        <f t="shared" si="55"/>
        <v>-199.33110780000004</v>
      </c>
      <c r="AP322" s="9"/>
      <c r="AQ322" s="22">
        <v>0.18890399999999999</v>
      </c>
      <c r="AR322" s="22">
        <v>249.74299999999999</v>
      </c>
      <c r="AS322" s="22">
        <v>-1.7407200000000001E-2</v>
      </c>
      <c r="AT322" s="22">
        <v>312</v>
      </c>
      <c r="AU322" s="22">
        <v>0.188446</v>
      </c>
      <c r="AV322">
        <f t="shared" si="56"/>
        <v>17.4072</v>
      </c>
      <c r="AW322">
        <f t="shared" si="57"/>
        <v>3.2882897087999998</v>
      </c>
      <c r="AX322" s="9"/>
      <c r="AY322" s="22">
        <v>1.4711000000000001</v>
      </c>
      <c r="AZ322" s="22">
        <v>299.10899999999998</v>
      </c>
      <c r="BA322" s="22">
        <v>0.138824</v>
      </c>
      <c r="BB322" s="22">
        <v>312</v>
      </c>
      <c r="BC322" s="22">
        <v>0.26913500000000001</v>
      </c>
      <c r="BD322">
        <f t="shared" si="58"/>
        <v>-138.82400000000001</v>
      </c>
      <c r="BE322">
        <f t="shared" si="59"/>
        <v>-204.22398640000003</v>
      </c>
    </row>
    <row r="323" spans="6:57">
      <c r="F323" s="9"/>
      <c r="G323" s="22">
        <v>0.183868</v>
      </c>
      <c r="H323" s="22">
        <v>52.458399999999997</v>
      </c>
      <c r="I323" s="22">
        <v>-1.7495699999999999E-2</v>
      </c>
      <c r="J323" s="22">
        <v>313</v>
      </c>
      <c r="K323" s="22">
        <v>0.18335000000000001</v>
      </c>
      <c r="L323">
        <f t="shared" si="48"/>
        <v>17.495699999999999</v>
      </c>
      <c r="M323">
        <f t="shared" si="49"/>
        <v>3.2168993675999999</v>
      </c>
      <c r="N323" s="9"/>
      <c r="O323" s="22">
        <v>1.47614</v>
      </c>
      <c r="P323" s="22">
        <v>101.702</v>
      </c>
      <c r="Q323" s="22">
        <v>0.13446</v>
      </c>
      <c r="R323" s="22">
        <v>313</v>
      </c>
      <c r="S323" s="22">
        <v>0.27786300000000003</v>
      </c>
      <c r="T323">
        <f t="shared" si="50"/>
        <v>-134.46</v>
      </c>
      <c r="U323">
        <f t="shared" si="51"/>
        <v>-198.48178440000001</v>
      </c>
      <c r="X323" s="9"/>
      <c r="Y323" s="22">
        <v>0.183868</v>
      </c>
      <c r="Z323" s="22">
        <v>151.10400000000001</v>
      </c>
      <c r="AA323" s="22">
        <v>-1.74225E-2</v>
      </c>
      <c r="AB323" s="22">
        <v>313</v>
      </c>
      <c r="AC323" s="22">
        <v>0.18310499999999999</v>
      </c>
      <c r="AD323">
        <f t="shared" si="52"/>
        <v>17.422499999999999</v>
      </c>
      <c r="AE323">
        <f t="shared" si="53"/>
        <v>3.20344023</v>
      </c>
      <c r="AF323" s="9"/>
      <c r="AG323" s="22">
        <v>1.47614</v>
      </c>
      <c r="AH323" s="22">
        <v>200.471</v>
      </c>
      <c r="AI323" s="22">
        <v>0.13525400000000001</v>
      </c>
      <c r="AJ323" s="22">
        <v>313</v>
      </c>
      <c r="AK323" s="22">
        <v>0.28042600000000001</v>
      </c>
      <c r="AL323">
        <f t="shared" si="54"/>
        <v>-135.25400000000002</v>
      </c>
      <c r="AM323">
        <f t="shared" si="55"/>
        <v>-199.65383956000002</v>
      </c>
      <c r="AP323" s="9"/>
      <c r="AQ323" s="22">
        <v>0.183868</v>
      </c>
      <c r="AR323" s="22">
        <v>249.75299999999999</v>
      </c>
      <c r="AS323" s="22">
        <v>-1.74103E-2</v>
      </c>
      <c r="AT323" s="22">
        <v>313</v>
      </c>
      <c r="AU323" s="22">
        <v>0.18313599999999999</v>
      </c>
      <c r="AV323">
        <f t="shared" si="56"/>
        <v>17.410299999999999</v>
      </c>
      <c r="AW323">
        <f t="shared" si="57"/>
        <v>3.2011970403999999</v>
      </c>
      <c r="AX323" s="9"/>
      <c r="AY323" s="22">
        <v>1.47614</v>
      </c>
      <c r="AZ323" s="22">
        <v>299.12</v>
      </c>
      <c r="BA323" s="22">
        <v>0.138763</v>
      </c>
      <c r="BB323" s="22">
        <v>313</v>
      </c>
      <c r="BC323" s="22">
        <v>0.26907300000000001</v>
      </c>
      <c r="BD323">
        <f t="shared" si="58"/>
        <v>-138.76300000000001</v>
      </c>
      <c r="BE323">
        <f t="shared" si="59"/>
        <v>-204.83361482000001</v>
      </c>
    </row>
    <row r="324" spans="6:57">
      <c r="F324" s="9"/>
      <c r="G324" s="22">
        <v>0.17883299999999999</v>
      </c>
      <c r="H324" s="22">
        <v>52.468400000000003</v>
      </c>
      <c r="I324" s="22">
        <v>-1.7501800000000001E-2</v>
      </c>
      <c r="J324" s="22">
        <v>314</v>
      </c>
      <c r="K324" s="22">
        <v>0.178345</v>
      </c>
      <c r="L324">
        <f t="shared" si="48"/>
        <v>17.501800000000003</v>
      </c>
      <c r="M324">
        <f t="shared" si="49"/>
        <v>3.1298993994000002</v>
      </c>
      <c r="N324" s="9"/>
      <c r="O324" s="22">
        <v>1.4811700000000001</v>
      </c>
      <c r="P324" s="22">
        <v>101.712</v>
      </c>
      <c r="Q324" s="22">
        <v>0.13442999999999999</v>
      </c>
      <c r="R324" s="22">
        <v>314</v>
      </c>
      <c r="S324" s="22">
        <v>0.27731299999999998</v>
      </c>
      <c r="T324">
        <f t="shared" si="50"/>
        <v>-134.43</v>
      </c>
      <c r="U324">
        <f t="shared" si="51"/>
        <v>-199.11368310000003</v>
      </c>
      <c r="X324" s="9"/>
      <c r="Y324" s="22">
        <v>0.17883299999999999</v>
      </c>
      <c r="Z324" s="22">
        <v>151.114</v>
      </c>
      <c r="AA324" s="22">
        <v>-1.74225E-2</v>
      </c>
      <c r="AB324" s="22">
        <v>314</v>
      </c>
      <c r="AC324" s="22">
        <v>0.17813100000000001</v>
      </c>
      <c r="AD324">
        <f t="shared" si="52"/>
        <v>17.422499999999999</v>
      </c>
      <c r="AE324">
        <f t="shared" si="53"/>
        <v>3.1157179424999999</v>
      </c>
      <c r="AF324" s="9"/>
      <c r="AG324" s="22">
        <v>1.4811700000000001</v>
      </c>
      <c r="AH324" s="22">
        <v>200.48099999999999</v>
      </c>
      <c r="AI324" s="22">
        <v>0.135101</v>
      </c>
      <c r="AJ324" s="22">
        <v>314</v>
      </c>
      <c r="AK324" s="22">
        <v>0.28005999999999998</v>
      </c>
      <c r="AL324">
        <f t="shared" si="54"/>
        <v>-135.101</v>
      </c>
      <c r="AM324">
        <f t="shared" si="55"/>
        <v>-200.10754817</v>
      </c>
      <c r="AP324" s="9"/>
      <c r="AQ324" s="22">
        <v>0.17883299999999999</v>
      </c>
      <c r="AR324" s="22">
        <v>249.76300000000001</v>
      </c>
      <c r="AS324" s="22">
        <v>-1.74133E-2</v>
      </c>
      <c r="AT324" s="22">
        <v>314</v>
      </c>
      <c r="AU324" s="22">
        <v>0.178009</v>
      </c>
      <c r="AV324">
        <f t="shared" si="56"/>
        <v>17.4133</v>
      </c>
      <c r="AW324">
        <f t="shared" si="57"/>
        <v>3.1140726788999999</v>
      </c>
      <c r="AX324" s="9"/>
      <c r="AY324" s="22">
        <v>1.4811700000000001</v>
      </c>
      <c r="AZ324" s="22">
        <v>299.13</v>
      </c>
      <c r="BA324" s="22">
        <v>0.138733</v>
      </c>
      <c r="BB324" s="22">
        <v>314</v>
      </c>
      <c r="BC324" s="22">
        <v>0.26937899999999998</v>
      </c>
      <c r="BD324">
        <f t="shared" si="58"/>
        <v>-138.733</v>
      </c>
      <c r="BE324">
        <f t="shared" si="59"/>
        <v>-205.48715761000003</v>
      </c>
    </row>
    <row r="325" spans="6:57">
      <c r="F325" s="9"/>
      <c r="G325" s="22">
        <v>0.17379800000000001</v>
      </c>
      <c r="H325" s="22">
        <v>52.478499999999997</v>
      </c>
      <c r="I325" s="22">
        <v>-1.7498799999999998E-2</v>
      </c>
      <c r="J325" s="22">
        <v>315</v>
      </c>
      <c r="K325" s="22">
        <v>0.17297399999999999</v>
      </c>
      <c r="L325">
        <f t="shared" si="48"/>
        <v>17.498799999999999</v>
      </c>
      <c r="M325">
        <f t="shared" si="49"/>
        <v>3.0412564423999999</v>
      </c>
      <c r="N325" s="9"/>
      <c r="O325" s="22">
        <v>1.48621</v>
      </c>
      <c r="P325" s="22">
        <v>101.72199999999999</v>
      </c>
      <c r="Q325" s="22">
        <v>0.13427700000000001</v>
      </c>
      <c r="R325" s="22">
        <v>315</v>
      </c>
      <c r="S325" s="22">
        <v>0.277252</v>
      </c>
      <c r="T325">
        <f t="shared" si="50"/>
        <v>-134.27700000000002</v>
      </c>
      <c r="U325">
        <f t="shared" si="51"/>
        <v>-199.56382017000001</v>
      </c>
      <c r="X325" s="9"/>
      <c r="Y325" s="22">
        <v>0.17379800000000001</v>
      </c>
      <c r="Z325" s="22">
        <v>151.124</v>
      </c>
      <c r="AA325" s="22">
        <v>-1.74255E-2</v>
      </c>
      <c r="AB325" s="22">
        <v>315</v>
      </c>
      <c r="AC325" s="22">
        <v>0.173431</v>
      </c>
      <c r="AD325">
        <f t="shared" si="52"/>
        <v>17.4255</v>
      </c>
      <c r="AE325">
        <f t="shared" si="53"/>
        <v>3.028517049</v>
      </c>
      <c r="AF325" s="9"/>
      <c r="AG325" s="22">
        <v>1.48621</v>
      </c>
      <c r="AH325" s="22">
        <v>200.49100000000001</v>
      </c>
      <c r="AI325" s="22">
        <v>0.13522300000000001</v>
      </c>
      <c r="AJ325" s="22">
        <v>315</v>
      </c>
      <c r="AK325" s="22">
        <v>0.28048699999999999</v>
      </c>
      <c r="AL325">
        <f t="shared" si="54"/>
        <v>-135.22300000000001</v>
      </c>
      <c r="AM325">
        <f t="shared" si="55"/>
        <v>-200.96977483000003</v>
      </c>
      <c r="AP325" s="9"/>
      <c r="AQ325" s="22">
        <v>0.17379800000000001</v>
      </c>
      <c r="AR325" s="22">
        <v>249.773</v>
      </c>
      <c r="AS325" s="22">
        <v>-1.7416399999999999E-2</v>
      </c>
      <c r="AT325" s="22">
        <v>315</v>
      </c>
      <c r="AU325" s="22">
        <v>0.17327899999999999</v>
      </c>
      <c r="AV325">
        <f t="shared" si="56"/>
        <v>17.416399999999999</v>
      </c>
      <c r="AW325">
        <f t="shared" si="57"/>
        <v>3.0269354871999998</v>
      </c>
      <c r="AX325" s="9"/>
      <c r="AY325" s="22">
        <v>1.48621</v>
      </c>
      <c r="AZ325" s="22">
        <v>299.14</v>
      </c>
      <c r="BA325" s="22">
        <v>0.13867199999999999</v>
      </c>
      <c r="BB325" s="22">
        <v>315</v>
      </c>
      <c r="BC325" s="22">
        <v>0.269287</v>
      </c>
      <c r="BD325">
        <f t="shared" si="58"/>
        <v>-138.672</v>
      </c>
      <c r="BE325">
        <f t="shared" si="59"/>
        <v>-206.09571312</v>
      </c>
    </row>
    <row r="326" spans="6:57">
      <c r="F326" s="9"/>
      <c r="G326" s="22">
        <v>0.168762</v>
      </c>
      <c r="H326" s="22">
        <v>52.488599999999998</v>
      </c>
      <c r="I326" s="22">
        <v>-1.7578099999999999E-2</v>
      </c>
      <c r="J326" s="22">
        <v>316</v>
      </c>
      <c r="K326" s="22">
        <v>0.16842699999999999</v>
      </c>
      <c r="L326">
        <f t="shared" si="48"/>
        <v>17.578099999999999</v>
      </c>
      <c r="M326">
        <f t="shared" si="49"/>
        <v>2.9665153121999999</v>
      </c>
      <c r="N326" s="9"/>
      <c r="O326" s="22">
        <v>1.4912399999999999</v>
      </c>
      <c r="P326" s="22">
        <v>101.732</v>
      </c>
      <c r="Q326" s="22">
        <v>0.13412499999999999</v>
      </c>
      <c r="R326" s="22">
        <v>316</v>
      </c>
      <c r="S326" s="22">
        <v>0.27752700000000002</v>
      </c>
      <c r="T326">
        <f t="shared" si="50"/>
        <v>-134.125</v>
      </c>
      <c r="U326">
        <f t="shared" si="51"/>
        <v>-200.012565</v>
      </c>
      <c r="X326" s="9"/>
      <c r="Y326" s="22">
        <v>0.168762</v>
      </c>
      <c r="Z326" s="22">
        <v>151.13399999999999</v>
      </c>
      <c r="AA326" s="22">
        <v>-1.74255E-2</v>
      </c>
      <c r="AB326" s="22">
        <v>316</v>
      </c>
      <c r="AC326" s="22">
        <v>0.168549</v>
      </c>
      <c r="AD326">
        <f t="shared" si="52"/>
        <v>17.4255</v>
      </c>
      <c r="AE326">
        <f t="shared" si="53"/>
        <v>2.9407622309999999</v>
      </c>
      <c r="AF326" s="9"/>
      <c r="AG326" s="22">
        <v>1.4912399999999999</v>
      </c>
      <c r="AH326" s="22">
        <v>200.501</v>
      </c>
      <c r="AI326" s="22">
        <v>0.135406</v>
      </c>
      <c r="AJ326" s="22">
        <v>316</v>
      </c>
      <c r="AK326" s="22">
        <v>0.28051799999999999</v>
      </c>
      <c r="AL326">
        <f t="shared" si="54"/>
        <v>-135.40600000000001</v>
      </c>
      <c r="AM326">
        <f t="shared" si="55"/>
        <v>-201.92284344000001</v>
      </c>
      <c r="AP326" s="9"/>
      <c r="AQ326" s="22">
        <v>0.168762</v>
      </c>
      <c r="AR326" s="22">
        <v>249.78299999999999</v>
      </c>
      <c r="AS326" s="22">
        <v>-1.7419400000000002E-2</v>
      </c>
      <c r="AT326" s="22">
        <v>316</v>
      </c>
      <c r="AU326" s="22">
        <v>0.16873199999999999</v>
      </c>
      <c r="AV326">
        <f t="shared" si="56"/>
        <v>17.419400000000003</v>
      </c>
      <c r="AW326">
        <f t="shared" si="57"/>
        <v>2.9397327828000006</v>
      </c>
      <c r="AX326" s="9"/>
      <c r="AY326" s="22">
        <v>1.4912399999999999</v>
      </c>
      <c r="AZ326" s="22">
        <v>299.14999999999998</v>
      </c>
      <c r="BA326" s="22">
        <v>0.13858000000000001</v>
      </c>
      <c r="BB326" s="22">
        <v>316</v>
      </c>
      <c r="BC326" s="22">
        <v>0.26971400000000001</v>
      </c>
      <c r="BD326">
        <f t="shared" si="58"/>
        <v>-138.58000000000001</v>
      </c>
      <c r="BE326">
        <f t="shared" si="59"/>
        <v>-206.65603920000001</v>
      </c>
    </row>
    <row r="327" spans="6:57">
      <c r="F327" s="9"/>
      <c r="G327" s="22">
        <v>0.16372700000000001</v>
      </c>
      <c r="H327" s="22">
        <v>52.498600000000003</v>
      </c>
      <c r="I327" s="22">
        <v>-1.7486600000000001E-2</v>
      </c>
      <c r="J327" s="22">
        <v>317</v>
      </c>
      <c r="K327" s="22">
        <v>0.16320799999999999</v>
      </c>
      <c r="L327">
        <f t="shared" si="48"/>
        <v>17.486600000000003</v>
      </c>
      <c r="M327">
        <f t="shared" si="49"/>
        <v>2.8630285582000008</v>
      </c>
      <c r="N327" s="9"/>
      <c r="O327" s="22">
        <v>1.4962800000000001</v>
      </c>
      <c r="P327" s="22">
        <v>101.742</v>
      </c>
      <c r="Q327" s="22">
        <v>0.13403300000000001</v>
      </c>
      <c r="R327" s="22">
        <v>317</v>
      </c>
      <c r="S327" s="22">
        <v>0.27777099999999999</v>
      </c>
      <c r="T327">
        <f t="shared" si="50"/>
        <v>-134.03300000000002</v>
      </c>
      <c r="U327">
        <f t="shared" si="51"/>
        <v>-200.55089724000004</v>
      </c>
      <c r="X327" s="9"/>
      <c r="Y327" s="22">
        <v>0.16372700000000001</v>
      </c>
      <c r="Z327" s="22">
        <v>151.14500000000001</v>
      </c>
      <c r="AA327" s="22">
        <v>-1.7431599999999998E-2</v>
      </c>
      <c r="AB327" s="22">
        <v>317</v>
      </c>
      <c r="AC327" s="22">
        <v>0.16290299999999999</v>
      </c>
      <c r="AD327">
        <f t="shared" si="52"/>
        <v>17.4316</v>
      </c>
      <c r="AE327">
        <f t="shared" si="53"/>
        <v>2.8540235732000001</v>
      </c>
      <c r="AF327" s="9"/>
      <c r="AG327" s="22">
        <v>1.4962800000000001</v>
      </c>
      <c r="AH327" s="22">
        <v>200.511</v>
      </c>
      <c r="AI327" s="22">
        <v>0.13534499999999999</v>
      </c>
      <c r="AJ327" s="22">
        <v>317</v>
      </c>
      <c r="AK327" s="22">
        <v>0.28115800000000002</v>
      </c>
      <c r="AL327">
        <f t="shared" si="54"/>
        <v>-135.345</v>
      </c>
      <c r="AM327">
        <f t="shared" si="55"/>
        <v>-202.51401660000002</v>
      </c>
      <c r="AP327" s="9"/>
      <c r="AQ327" s="22">
        <v>0.16372700000000001</v>
      </c>
      <c r="AR327" s="22">
        <v>249.79300000000001</v>
      </c>
      <c r="AS327" s="22">
        <v>-1.74225E-2</v>
      </c>
      <c r="AT327" s="22">
        <v>317</v>
      </c>
      <c r="AU327" s="22">
        <v>0.16354399999999999</v>
      </c>
      <c r="AV327">
        <f t="shared" si="56"/>
        <v>17.422499999999999</v>
      </c>
      <c r="AW327">
        <f t="shared" si="57"/>
        <v>2.8525336575</v>
      </c>
      <c r="AX327" s="9"/>
      <c r="AY327" s="22">
        <v>1.4962800000000001</v>
      </c>
      <c r="AZ327" s="22">
        <v>299.16000000000003</v>
      </c>
      <c r="BA327" s="22">
        <v>0.13861100000000001</v>
      </c>
      <c r="BB327" s="22">
        <v>317</v>
      </c>
      <c r="BC327" s="22">
        <v>0.26940900000000001</v>
      </c>
      <c r="BD327">
        <f t="shared" si="58"/>
        <v>-138.61100000000002</v>
      </c>
      <c r="BE327">
        <f t="shared" si="59"/>
        <v>-207.40086708000004</v>
      </c>
    </row>
    <row r="328" spans="6:57">
      <c r="F328" s="9"/>
      <c r="G328" s="22">
        <v>0.158691</v>
      </c>
      <c r="H328" s="22">
        <v>52.508699999999997</v>
      </c>
      <c r="I328" s="22">
        <v>-1.7489600000000001E-2</v>
      </c>
      <c r="J328" s="22">
        <v>318</v>
      </c>
      <c r="K328" s="22">
        <v>0.15771499999999999</v>
      </c>
      <c r="L328">
        <f t="shared" si="48"/>
        <v>17.489599999999999</v>
      </c>
      <c r="M328">
        <f t="shared" si="49"/>
        <v>2.7754421136</v>
      </c>
      <c r="N328" s="9"/>
      <c r="O328" s="22">
        <v>1.5013099999999999</v>
      </c>
      <c r="P328" s="22">
        <v>101.752</v>
      </c>
      <c r="Q328" s="22">
        <v>0.13397200000000001</v>
      </c>
      <c r="R328" s="22">
        <v>318</v>
      </c>
      <c r="S328" s="22">
        <v>0.27838099999999999</v>
      </c>
      <c r="T328">
        <f t="shared" si="50"/>
        <v>-133.97200000000001</v>
      </c>
      <c r="U328">
        <f t="shared" si="51"/>
        <v>-201.13350331999999</v>
      </c>
      <c r="X328" s="9"/>
      <c r="Y328" s="22">
        <v>0.158691</v>
      </c>
      <c r="Z328" s="22">
        <v>151.155</v>
      </c>
      <c r="AA328" s="22">
        <v>-1.74377E-2</v>
      </c>
      <c r="AB328" s="22">
        <v>318</v>
      </c>
      <c r="AC328" s="22">
        <v>0.158081</v>
      </c>
      <c r="AD328">
        <f t="shared" si="52"/>
        <v>17.4377</v>
      </c>
      <c r="AE328">
        <f t="shared" si="53"/>
        <v>2.7672060507</v>
      </c>
      <c r="AF328" s="9"/>
      <c r="AG328" s="22">
        <v>1.5013099999999999</v>
      </c>
      <c r="AH328" s="22">
        <v>200.52099999999999</v>
      </c>
      <c r="AI328" s="22">
        <v>0.135376</v>
      </c>
      <c r="AJ328" s="22">
        <v>318</v>
      </c>
      <c r="AK328" s="22">
        <v>0.28054800000000002</v>
      </c>
      <c r="AL328">
        <f t="shared" si="54"/>
        <v>-135.376</v>
      </c>
      <c r="AM328">
        <f t="shared" si="55"/>
        <v>-203.24134255999999</v>
      </c>
      <c r="AP328" s="9"/>
      <c r="AQ328" s="22">
        <v>0.158691</v>
      </c>
      <c r="AR328" s="22">
        <v>249.803</v>
      </c>
      <c r="AS328" s="22">
        <v>-1.74255E-2</v>
      </c>
      <c r="AT328" s="22">
        <v>318</v>
      </c>
      <c r="AU328" s="22">
        <v>0.15801999999999999</v>
      </c>
      <c r="AV328">
        <f t="shared" si="56"/>
        <v>17.4255</v>
      </c>
      <c r="AW328">
        <f t="shared" si="57"/>
        <v>2.7652700205</v>
      </c>
      <c r="AX328" s="9"/>
      <c r="AY328" s="22">
        <v>1.5013099999999999</v>
      </c>
      <c r="AZ328" s="22">
        <v>299.17</v>
      </c>
      <c r="BA328" s="22">
        <v>0.138519</v>
      </c>
      <c r="BB328" s="22">
        <v>318</v>
      </c>
      <c r="BC328" s="22">
        <v>0.26950099999999999</v>
      </c>
      <c r="BD328">
        <f t="shared" si="58"/>
        <v>-138.51900000000001</v>
      </c>
      <c r="BE328">
        <f t="shared" si="59"/>
        <v>-207.95995988999999</v>
      </c>
    </row>
    <row r="329" spans="6:57">
      <c r="F329" s="9"/>
      <c r="G329" s="22">
        <v>0.15365599999999999</v>
      </c>
      <c r="H329" s="22">
        <v>52.518799999999999</v>
      </c>
      <c r="I329" s="22">
        <v>-1.7489600000000001E-2</v>
      </c>
      <c r="J329" s="22">
        <v>319</v>
      </c>
      <c r="K329" s="22">
        <v>0.15338099999999999</v>
      </c>
      <c r="L329">
        <f t="shared" si="48"/>
        <v>17.489599999999999</v>
      </c>
      <c r="M329">
        <f t="shared" si="49"/>
        <v>2.6873819775999999</v>
      </c>
      <c r="N329" s="9"/>
      <c r="O329" s="22">
        <v>1.5063500000000001</v>
      </c>
      <c r="P329" s="22">
        <v>101.762</v>
      </c>
      <c r="Q329" s="22">
        <v>0.133911</v>
      </c>
      <c r="R329" s="22">
        <v>319</v>
      </c>
      <c r="S329" s="22">
        <v>0.278748</v>
      </c>
      <c r="T329">
        <f t="shared" si="50"/>
        <v>-133.911</v>
      </c>
      <c r="U329">
        <f t="shared" si="51"/>
        <v>-201.71683485000003</v>
      </c>
      <c r="X329" s="9"/>
      <c r="Y329" s="22">
        <v>0.15365599999999999</v>
      </c>
      <c r="Z329" s="22">
        <v>151.16499999999999</v>
      </c>
      <c r="AA329" s="22">
        <v>-1.74377E-2</v>
      </c>
      <c r="AB329" s="22">
        <v>319</v>
      </c>
      <c r="AC329" s="22">
        <v>0.15338099999999999</v>
      </c>
      <c r="AD329">
        <f t="shared" si="52"/>
        <v>17.4377</v>
      </c>
      <c r="AE329">
        <f t="shared" si="53"/>
        <v>2.6794072311999999</v>
      </c>
      <c r="AF329" s="9"/>
      <c r="AG329" s="22">
        <v>1.5063500000000001</v>
      </c>
      <c r="AH329" s="22">
        <v>200.53100000000001</v>
      </c>
      <c r="AI329" s="22">
        <v>0.135406</v>
      </c>
      <c r="AJ329" s="22">
        <v>319</v>
      </c>
      <c r="AK329" s="22">
        <v>0.27950999999999998</v>
      </c>
      <c r="AL329">
        <f t="shared" si="54"/>
        <v>-135.40600000000001</v>
      </c>
      <c r="AM329">
        <f t="shared" si="55"/>
        <v>-203.96882810000002</v>
      </c>
      <c r="AP329" s="9"/>
      <c r="AQ329" s="22">
        <v>0.15365599999999999</v>
      </c>
      <c r="AR329" s="22">
        <v>249.81399999999999</v>
      </c>
      <c r="AS329" s="22">
        <v>-1.74255E-2</v>
      </c>
      <c r="AT329" s="22">
        <v>319</v>
      </c>
      <c r="AU329" s="22">
        <v>0.152924</v>
      </c>
      <c r="AV329">
        <f t="shared" si="56"/>
        <v>17.4255</v>
      </c>
      <c r="AW329">
        <f t="shared" si="57"/>
        <v>2.6775326279999998</v>
      </c>
      <c r="AX329" s="9"/>
      <c r="AY329" s="22">
        <v>1.5063500000000001</v>
      </c>
      <c r="AZ329" s="22">
        <v>299.18</v>
      </c>
      <c r="BA329" s="22">
        <v>0.138519</v>
      </c>
      <c r="BB329" s="22">
        <v>319</v>
      </c>
      <c r="BC329" s="22">
        <v>0.26910400000000001</v>
      </c>
      <c r="BD329">
        <f t="shared" si="58"/>
        <v>-138.51900000000001</v>
      </c>
      <c r="BE329">
        <f t="shared" si="59"/>
        <v>-208.65809565000001</v>
      </c>
    </row>
    <row r="330" spans="6:57">
      <c r="F330" s="9"/>
      <c r="G330" s="22">
        <v>0.148621</v>
      </c>
      <c r="H330" s="22">
        <v>52.5289</v>
      </c>
      <c r="I330" s="22">
        <v>-1.74927E-2</v>
      </c>
      <c r="J330" s="22">
        <v>320</v>
      </c>
      <c r="K330" s="22">
        <v>0.14807100000000001</v>
      </c>
      <c r="L330">
        <f t="shared" si="48"/>
        <v>17.492699999999999</v>
      </c>
      <c r="M330">
        <f t="shared" si="49"/>
        <v>2.5997825667000001</v>
      </c>
      <c r="N330" s="9"/>
      <c r="O330" s="22">
        <v>1.5113799999999999</v>
      </c>
      <c r="P330" s="22">
        <v>101.77200000000001</v>
      </c>
      <c r="Q330" s="22">
        <v>0.13385</v>
      </c>
      <c r="R330" s="22">
        <v>320</v>
      </c>
      <c r="S330" s="22">
        <v>0.27828999999999998</v>
      </c>
      <c r="T330">
        <f t="shared" si="50"/>
        <v>-133.85</v>
      </c>
      <c r="U330">
        <f t="shared" si="51"/>
        <v>-202.29821299999998</v>
      </c>
      <c r="X330" s="9"/>
      <c r="Y330" s="22">
        <v>0.148621</v>
      </c>
      <c r="Z330" s="22">
        <v>151.17500000000001</v>
      </c>
      <c r="AA330" s="22">
        <v>-1.74377E-2</v>
      </c>
      <c r="AB330" s="22">
        <v>320</v>
      </c>
      <c r="AC330" s="22">
        <v>0.14813200000000001</v>
      </c>
      <c r="AD330">
        <f t="shared" si="52"/>
        <v>17.4377</v>
      </c>
      <c r="AE330">
        <f t="shared" si="53"/>
        <v>2.5916084116999998</v>
      </c>
      <c r="AF330" s="9"/>
      <c r="AG330" s="22">
        <v>1.5113799999999999</v>
      </c>
      <c r="AH330" s="22">
        <v>200.541</v>
      </c>
      <c r="AI330" s="22">
        <v>0.13525400000000001</v>
      </c>
      <c r="AJ330" s="22">
        <v>320</v>
      </c>
      <c r="AK330" s="22">
        <v>0.28033400000000003</v>
      </c>
      <c r="AL330">
        <f t="shared" si="54"/>
        <v>-135.25400000000002</v>
      </c>
      <c r="AM330">
        <f t="shared" si="55"/>
        <v>-204.42019052000003</v>
      </c>
      <c r="AP330" s="9"/>
      <c r="AQ330" s="22">
        <v>0.148621</v>
      </c>
      <c r="AR330" s="22">
        <v>249.82400000000001</v>
      </c>
      <c r="AS330" s="22">
        <v>-1.7428599999999999E-2</v>
      </c>
      <c r="AT330" s="22">
        <v>320</v>
      </c>
      <c r="AU330" s="22">
        <v>0.14798</v>
      </c>
      <c r="AV330">
        <f t="shared" si="56"/>
        <v>17.428599999999999</v>
      </c>
      <c r="AW330">
        <f t="shared" si="57"/>
        <v>2.5902559606</v>
      </c>
      <c r="AX330" s="9"/>
      <c r="AY330" s="22">
        <v>1.5113799999999999</v>
      </c>
      <c r="AZ330" s="22">
        <v>299.19</v>
      </c>
      <c r="BA330" s="22">
        <v>0.138428</v>
      </c>
      <c r="BB330" s="22">
        <v>320</v>
      </c>
      <c r="BC330" s="22">
        <v>0.26925700000000002</v>
      </c>
      <c r="BD330">
        <f t="shared" si="58"/>
        <v>-138.428</v>
      </c>
      <c r="BE330">
        <f t="shared" si="59"/>
        <v>-209.21731063999999</v>
      </c>
    </row>
    <row r="331" spans="6:57">
      <c r="F331" s="9"/>
      <c r="G331" s="22">
        <v>0.14358499999999999</v>
      </c>
      <c r="H331" s="22">
        <v>52.538899999999998</v>
      </c>
      <c r="I331" s="22">
        <v>-1.74927E-2</v>
      </c>
      <c r="J331" s="22">
        <v>321</v>
      </c>
      <c r="K331" s="22">
        <v>0.143097</v>
      </c>
      <c r="L331">
        <f t="shared" si="48"/>
        <v>17.492699999999999</v>
      </c>
      <c r="M331">
        <f t="shared" si="49"/>
        <v>2.5116893294999998</v>
      </c>
      <c r="N331" s="9"/>
      <c r="O331" s="22">
        <v>1.5164200000000001</v>
      </c>
      <c r="P331" s="22">
        <v>101.782</v>
      </c>
      <c r="Q331" s="22">
        <v>0.133881</v>
      </c>
      <c r="R331" s="22">
        <v>321</v>
      </c>
      <c r="S331" s="22">
        <v>0.277893</v>
      </c>
      <c r="T331">
        <f t="shared" si="50"/>
        <v>-133.881</v>
      </c>
      <c r="U331">
        <f t="shared" si="51"/>
        <v>-203.01982602000001</v>
      </c>
      <c r="X331" s="9"/>
      <c r="Y331" s="22">
        <v>0.14358499999999999</v>
      </c>
      <c r="Z331" s="22">
        <v>151.185</v>
      </c>
      <c r="AA331" s="22">
        <v>-1.74377E-2</v>
      </c>
      <c r="AB331" s="22">
        <v>321</v>
      </c>
      <c r="AC331" s="22">
        <v>0.14288300000000001</v>
      </c>
      <c r="AD331">
        <f t="shared" si="52"/>
        <v>17.4377</v>
      </c>
      <c r="AE331">
        <f t="shared" si="53"/>
        <v>2.5037921544999997</v>
      </c>
      <c r="AF331" s="9"/>
      <c r="AG331" s="22">
        <v>1.5164200000000001</v>
      </c>
      <c r="AH331" s="22">
        <v>200.55099999999999</v>
      </c>
      <c r="AI331" s="22">
        <v>0.13439899999999999</v>
      </c>
      <c r="AJ331" s="22">
        <v>321</v>
      </c>
      <c r="AK331" s="22">
        <v>0.28002899999999997</v>
      </c>
      <c r="AL331">
        <f t="shared" si="54"/>
        <v>-134.399</v>
      </c>
      <c r="AM331">
        <f t="shared" si="55"/>
        <v>-203.80533158000003</v>
      </c>
      <c r="AP331" s="9"/>
      <c r="AQ331" s="22">
        <v>0.14358499999999999</v>
      </c>
      <c r="AR331" s="22">
        <v>249.834</v>
      </c>
      <c r="AS331" s="22">
        <v>-1.7431599999999998E-2</v>
      </c>
      <c r="AT331" s="22">
        <v>321</v>
      </c>
      <c r="AU331" s="22">
        <v>0.14327999999999999</v>
      </c>
      <c r="AV331">
        <f t="shared" si="56"/>
        <v>17.4316</v>
      </c>
      <c r="AW331">
        <f t="shared" si="57"/>
        <v>2.5029162859999996</v>
      </c>
      <c r="AX331" s="9"/>
      <c r="AY331" s="22">
        <v>1.5164200000000001</v>
      </c>
      <c r="AZ331" s="22">
        <v>299.2</v>
      </c>
      <c r="BA331" s="22">
        <v>0.13827500000000001</v>
      </c>
      <c r="BB331" s="22">
        <v>321</v>
      </c>
      <c r="BC331" s="22">
        <v>0.26913500000000001</v>
      </c>
      <c r="BD331">
        <f t="shared" si="58"/>
        <v>-138.27500000000001</v>
      </c>
      <c r="BE331">
        <f t="shared" si="59"/>
        <v>-209.68297550000003</v>
      </c>
    </row>
    <row r="332" spans="6:57">
      <c r="F332" s="9"/>
      <c r="G332" s="22">
        <v>0.13855000000000001</v>
      </c>
      <c r="H332" s="22">
        <v>52.548999999999999</v>
      </c>
      <c r="I332" s="22">
        <v>-1.74927E-2</v>
      </c>
      <c r="J332" s="22">
        <v>322</v>
      </c>
      <c r="K332" s="22">
        <v>0.13778699999999999</v>
      </c>
      <c r="L332">
        <f t="shared" ref="L332:L380" si="60">-I332/$F$2*1000</f>
        <v>17.492699999999999</v>
      </c>
      <c r="M332">
        <f t="shared" ref="M332:M380" si="61">L332*G332</f>
        <v>2.423613585</v>
      </c>
      <c r="N332" s="9"/>
      <c r="O332" s="22">
        <v>1.52145</v>
      </c>
      <c r="P332" s="22">
        <v>101.792</v>
      </c>
      <c r="Q332" s="22">
        <v>0.133881</v>
      </c>
      <c r="R332" s="22">
        <v>322</v>
      </c>
      <c r="S332" s="22">
        <v>0.277893</v>
      </c>
      <c r="T332">
        <f t="shared" ref="T332:T380" si="62">-Q332/$F$2*1000</f>
        <v>-133.881</v>
      </c>
      <c r="U332">
        <f t="shared" ref="U332:U380" si="63">T332*O332</f>
        <v>-203.69324745</v>
      </c>
      <c r="X332" s="9"/>
      <c r="Y332" s="22">
        <v>0.13855000000000001</v>
      </c>
      <c r="Z332" s="22">
        <v>151.19499999999999</v>
      </c>
      <c r="AA332" s="22">
        <v>-1.7440799999999999E-2</v>
      </c>
      <c r="AB332" s="22">
        <v>322</v>
      </c>
      <c r="AC332" s="22">
        <v>0.13793900000000001</v>
      </c>
      <c r="AD332">
        <f t="shared" ref="AD332:AD380" si="64">-AA332/$F$2*1000</f>
        <v>17.440799999999999</v>
      </c>
      <c r="AE332">
        <f t="shared" ref="AE332:AE380" si="65">AD332*Y332</f>
        <v>2.4164228400000001</v>
      </c>
      <c r="AF332" s="9"/>
      <c r="AG332" s="22">
        <v>1.52145</v>
      </c>
      <c r="AH332" s="22">
        <v>200.56100000000001</v>
      </c>
      <c r="AI332" s="22">
        <v>0.13439899999999999</v>
      </c>
      <c r="AJ332" s="22">
        <v>322</v>
      </c>
      <c r="AK332" s="22">
        <v>0.27990700000000002</v>
      </c>
      <c r="AL332">
        <f t="shared" ref="AL332:AL380" si="66">-AI332/$F$2*1000</f>
        <v>-134.399</v>
      </c>
      <c r="AM332">
        <f t="shared" ref="AM332:AM380" si="67">AL332*AG332</f>
        <v>-204.48135855000001</v>
      </c>
      <c r="AP332" s="9"/>
      <c r="AQ332" s="22">
        <v>0.13855000000000001</v>
      </c>
      <c r="AR332" s="22">
        <v>249.84399999999999</v>
      </c>
      <c r="AS332" s="22">
        <v>-1.7431599999999998E-2</v>
      </c>
      <c r="AT332" s="22">
        <v>322</v>
      </c>
      <c r="AU332" s="22">
        <v>0.13797000000000001</v>
      </c>
      <c r="AV332">
        <f t="shared" ref="AV332:AV380" si="68">-AS332/$F$2*1000</f>
        <v>17.4316</v>
      </c>
      <c r="AW332">
        <f t="shared" ref="AW332:AW380" si="69">AV332*AQ332</f>
        <v>2.4151481800000001</v>
      </c>
      <c r="AX332" s="9"/>
      <c r="AY332" s="22">
        <v>1.52145</v>
      </c>
      <c r="AZ332" s="22">
        <v>299.20999999999998</v>
      </c>
      <c r="BA332" s="22">
        <v>0.13827500000000001</v>
      </c>
      <c r="BB332" s="22">
        <v>322</v>
      </c>
      <c r="BC332" s="22">
        <v>0.26904299999999998</v>
      </c>
      <c r="BD332">
        <f t="shared" ref="BD332:BD380" si="70">-BA332/$F$2*1000</f>
        <v>-138.27500000000001</v>
      </c>
      <c r="BE332">
        <f t="shared" ref="BE332:BE380" si="71">BD332*AY332</f>
        <v>-210.37849875000001</v>
      </c>
    </row>
    <row r="333" spans="6:57">
      <c r="F333" s="9"/>
      <c r="G333" s="22">
        <v>0.13351399999999999</v>
      </c>
      <c r="H333" s="22">
        <v>52.559100000000001</v>
      </c>
      <c r="I333" s="22">
        <v>-1.7495699999999999E-2</v>
      </c>
      <c r="J333" s="22">
        <v>323</v>
      </c>
      <c r="K333" s="22">
        <v>0.13229399999999999</v>
      </c>
      <c r="L333">
        <f t="shared" si="60"/>
        <v>17.495699999999999</v>
      </c>
      <c r="M333">
        <f t="shared" si="61"/>
        <v>2.3359208897999997</v>
      </c>
      <c r="N333" s="9"/>
      <c r="O333" s="22">
        <v>1.5264899999999999</v>
      </c>
      <c r="P333" s="22">
        <v>101.80200000000001</v>
      </c>
      <c r="Q333" s="22">
        <v>0.13400300000000001</v>
      </c>
      <c r="R333" s="22">
        <v>323</v>
      </c>
      <c r="S333" s="22">
        <v>0.27783200000000002</v>
      </c>
      <c r="T333">
        <f t="shared" si="62"/>
        <v>-134.00300000000001</v>
      </c>
      <c r="U333">
        <f t="shared" si="63"/>
        <v>-204.55423947</v>
      </c>
      <c r="X333" s="9"/>
      <c r="Y333" s="22">
        <v>0.13351399999999999</v>
      </c>
      <c r="Z333" s="22">
        <v>151.20500000000001</v>
      </c>
      <c r="AA333" s="22">
        <v>-1.745E-2</v>
      </c>
      <c r="AB333" s="22">
        <v>323</v>
      </c>
      <c r="AC333" s="22">
        <v>0.13290399999999999</v>
      </c>
      <c r="AD333">
        <f t="shared" si="64"/>
        <v>17.45</v>
      </c>
      <c r="AE333">
        <f t="shared" si="65"/>
        <v>2.3298192999999996</v>
      </c>
      <c r="AF333" s="9"/>
      <c r="AG333" s="22">
        <v>1.5264899999999999</v>
      </c>
      <c r="AH333" s="22">
        <v>200.571</v>
      </c>
      <c r="AI333" s="22">
        <v>0.13427700000000001</v>
      </c>
      <c r="AJ333" s="22">
        <v>323</v>
      </c>
      <c r="AK333" s="22">
        <v>0.28027299999999999</v>
      </c>
      <c r="AL333">
        <f t="shared" si="66"/>
        <v>-134.27700000000002</v>
      </c>
      <c r="AM333">
        <f t="shared" si="67"/>
        <v>-204.97249773000001</v>
      </c>
      <c r="AP333" s="9"/>
      <c r="AQ333" s="22">
        <v>0.13351399999999999</v>
      </c>
      <c r="AR333" s="22">
        <v>249.85400000000001</v>
      </c>
      <c r="AS333" s="22">
        <v>-1.7434700000000001E-2</v>
      </c>
      <c r="AT333" s="22">
        <v>323</v>
      </c>
      <c r="AU333" s="22">
        <v>0.131744</v>
      </c>
      <c r="AV333">
        <f t="shared" si="68"/>
        <v>17.434699999999999</v>
      </c>
      <c r="AW333">
        <f t="shared" si="69"/>
        <v>2.3277765358</v>
      </c>
      <c r="AX333" s="9"/>
      <c r="AY333" s="22">
        <v>1.5264899999999999</v>
      </c>
      <c r="AZ333" s="22">
        <v>299.22000000000003</v>
      </c>
      <c r="BA333" s="22">
        <v>0.138184</v>
      </c>
      <c r="BB333" s="22">
        <v>323</v>
      </c>
      <c r="BC333" s="22">
        <v>0.26953100000000002</v>
      </c>
      <c r="BD333">
        <f t="shared" si="70"/>
        <v>-138.184</v>
      </c>
      <c r="BE333">
        <f t="shared" si="71"/>
        <v>-210.93649416</v>
      </c>
    </row>
    <row r="334" spans="6:57">
      <c r="F334" s="9"/>
      <c r="G334" s="22">
        <v>0.12847900000000001</v>
      </c>
      <c r="H334" s="22">
        <v>52.569099999999999</v>
      </c>
      <c r="I334" s="22">
        <v>-1.7498799999999998E-2</v>
      </c>
      <c r="J334" s="22">
        <v>324</v>
      </c>
      <c r="K334" s="22">
        <v>0.127716</v>
      </c>
      <c r="L334">
        <f t="shared" si="60"/>
        <v>17.498799999999999</v>
      </c>
      <c r="M334">
        <f t="shared" si="61"/>
        <v>2.2482283251999999</v>
      </c>
      <c r="N334" s="9"/>
      <c r="O334" s="22">
        <v>1.53152</v>
      </c>
      <c r="P334" s="22">
        <v>101.813</v>
      </c>
      <c r="Q334" s="22">
        <v>0.13400300000000001</v>
      </c>
      <c r="R334" s="22">
        <v>324</v>
      </c>
      <c r="S334" s="22">
        <v>0.27813700000000002</v>
      </c>
      <c r="T334">
        <f t="shared" si="62"/>
        <v>-134.00300000000001</v>
      </c>
      <c r="U334">
        <f t="shared" si="63"/>
        <v>-205.22827456000002</v>
      </c>
      <c r="X334" s="9"/>
      <c r="Y334" s="22">
        <v>0.12847900000000001</v>
      </c>
      <c r="Z334" s="22">
        <v>151.215</v>
      </c>
      <c r="AA334" s="22">
        <v>-1.7453E-2</v>
      </c>
      <c r="AB334" s="22">
        <v>324</v>
      </c>
      <c r="AC334" s="22">
        <v>0.12820400000000001</v>
      </c>
      <c r="AD334">
        <f t="shared" si="64"/>
        <v>17.452999999999999</v>
      </c>
      <c r="AE334">
        <f t="shared" si="65"/>
        <v>2.2423439869999999</v>
      </c>
      <c r="AF334" s="9"/>
      <c r="AG334" s="22">
        <v>1.53152</v>
      </c>
      <c r="AH334" s="22">
        <v>200.58099999999999</v>
      </c>
      <c r="AI334" s="22">
        <v>0.13461300000000001</v>
      </c>
      <c r="AJ334" s="22">
        <v>324</v>
      </c>
      <c r="AK334" s="22">
        <v>0.27990700000000002</v>
      </c>
      <c r="AL334">
        <f t="shared" si="66"/>
        <v>-134.613</v>
      </c>
      <c r="AM334">
        <f t="shared" si="67"/>
        <v>-206.16250176</v>
      </c>
      <c r="AP334" s="9"/>
      <c r="AQ334" s="22">
        <v>0.12847900000000001</v>
      </c>
      <c r="AR334" s="22">
        <v>249.864</v>
      </c>
      <c r="AS334" s="22">
        <v>-1.74377E-2</v>
      </c>
      <c r="AT334" s="22">
        <v>324</v>
      </c>
      <c r="AU334" s="22">
        <v>0.12737999999999999</v>
      </c>
      <c r="AV334">
        <f t="shared" si="68"/>
        <v>17.4377</v>
      </c>
      <c r="AW334">
        <f t="shared" si="69"/>
        <v>2.2403782583000003</v>
      </c>
      <c r="AX334" s="9"/>
      <c r="AY334" s="22">
        <v>1.53152</v>
      </c>
      <c r="AZ334" s="22">
        <v>299.23</v>
      </c>
      <c r="BA334" s="22">
        <v>0.13809199999999999</v>
      </c>
      <c r="BB334" s="22">
        <v>324</v>
      </c>
      <c r="BC334" s="22">
        <v>0.26934799999999998</v>
      </c>
      <c r="BD334">
        <f t="shared" si="70"/>
        <v>-138.09199999999998</v>
      </c>
      <c r="BE334">
        <f t="shared" si="71"/>
        <v>-211.49065983999998</v>
      </c>
    </row>
    <row r="335" spans="6:57">
      <c r="F335" s="9"/>
      <c r="G335" s="22">
        <v>0.123444</v>
      </c>
      <c r="H335" s="22">
        <v>52.5792</v>
      </c>
      <c r="I335" s="22">
        <v>-1.7501800000000001E-2</v>
      </c>
      <c r="J335" s="22">
        <v>325</v>
      </c>
      <c r="K335" s="22">
        <v>0.122803</v>
      </c>
      <c r="L335">
        <f t="shared" si="60"/>
        <v>17.501800000000003</v>
      </c>
      <c r="M335">
        <f t="shared" si="61"/>
        <v>2.1604921992000001</v>
      </c>
      <c r="N335" s="9"/>
      <c r="O335" s="22">
        <v>1.5365599999999999</v>
      </c>
      <c r="P335" s="22">
        <v>101.82299999999999</v>
      </c>
      <c r="Q335" s="22">
        <v>0.13394200000000001</v>
      </c>
      <c r="R335" s="22">
        <v>325</v>
      </c>
      <c r="S335" s="22">
        <v>0.27841199999999999</v>
      </c>
      <c r="T335">
        <f t="shared" si="62"/>
        <v>-133.94200000000001</v>
      </c>
      <c r="U335">
        <f t="shared" si="63"/>
        <v>-205.80991951999999</v>
      </c>
      <c r="X335" s="9"/>
      <c r="Y335" s="22">
        <v>0.123444</v>
      </c>
      <c r="Z335" s="22">
        <v>151.22499999999999</v>
      </c>
      <c r="AA335" s="22">
        <v>-1.745E-2</v>
      </c>
      <c r="AB335" s="22">
        <v>325</v>
      </c>
      <c r="AC335" s="22">
        <v>0.12325999999999999</v>
      </c>
      <c r="AD335">
        <f t="shared" si="64"/>
        <v>17.45</v>
      </c>
      <c r="AE335">
        <f t="shared" si="65"/>
        <v>2.1540977999999997</v>
      </c>
      <c r="AF335" s="9"/>
      <c r="AG335" s="22">
        <v>1.5365599999999999</v>
      </c>
      <c r="AH335" s="22">
        <v>200.59200000000001</v>
      </c>
      <c r="AI335" s="22">
        <v>0.13439899999999999</v>
      </c>
      <c r="AJ335" s="22">
        <v>325</v>
      </c>
      <c r="AK335" s="22">
        <v>0.28012100000000001</v>
      </c>
      <c r="AL335">
        <f t="shared" si="66"/>
        <v>-134.399</v>
      </c>
      <c r="AM335">
        <f t="shared" si="67"/>
        <v>-206.51212744</v>
      </c>
      <c r="AP335" s="9"/>
      <c r="AQ335" s="22">
        <v>0.123444</v>
      </c>
      <c r="AR335" s="22">
        <v>249.874</v>
      </c>
      <c r="AS335" s="22">
        <v>-1.74377E-2</v>
      </c>
      <c r="AT335" s="22">
        <v>325</v>
      </c>
      <c r="AU335" s="22">
        <v>0.122894</v>
      </c>
      <c r="AV335">
        <f t="shared" si="68"/>
        <v>17.4377</v>
      </c>
      <c r="AW335">
        <f t="shared" si="69"/>
        <v>2.1525794387999997</v>
      </c>
      <c r="AX335" s="9"/>
      <c r="AY335" s="22">
        <v>1.5365599999999999</v>
      </c>
      <c r="AZ335" s="22">
        <v>299.24</v>
      </c>
      <c r="BA335" s="22">
        <v>0.138153</v>
      </c>
      <c r="BB335" s="22">
        <v>325</v>
      </c>
      <c r="BC335" s="22">
        <v>0.26937899999999998</v>
      </c>
      <c r="BD335">
        <f t="shared" si="70"/>
        <v>-138.15299999999999</v>
      </c>
      <c r="BE335">
        <f t="shared" si="71"/>
        <v>-212.28037367999997</v>
      </c>
    </row>
    <row r="336" spans="6:57">
      <c r="F336" s="9"/>
      <c r="G336" s="22">
        <v>0.118408</v>
      </c>
      <c r="H336" s="22">
        <v>52.589300000000001</v>
      </c>
      <c r="I336" s="22">
        <v>-1.7498799999999998E-2</v>
      </c>
      <c r="J336" s="22">
        <v>326</v>
      </c>
      <c r="K336" s="22">
        <v>0.117371</v>
      </c>
      <c r="L336">
        <f t="shared" si="60"/>
        <v>17.498799999999999</v>
      </c>
      <c r="M336">
        <f t="shared" si="61"/>
        <v>2.0719979103999999</v>
      </c>
      <c r="N336" s="9"/>
      <c r="O336" s="22">
        <v>1.5416000000000001</v>
      </c>
      <c r="P336" s="22">
        <v>101.833</v>
      </c>
      <c r="Q336" s="22">
        <v>0.13400300000000001</v>
      </c>
      <c r="R336" s="22">
        <v>326</v>
      </c>
      <c r="S336" s="22">
        <v>0.27835100000000002</v>
      </c>
      <c r="T336">
        <f t="shared" si="62"/>
        <v>-134.00300000000001</v>
      </c>
      <c r="U336">
        <f t="shared" si="63"/>
        <v>-206.57902480000004</v>
      </c>
      <c r="X336" s="9"/>
      <c r="Y336" s="22">
        <v>0.118408</v>
      </c>
      <c r="Z336" s="22">
        <v>151.23500000000001</v>
      </c>
      <c r="AA336" s="22">
        <v>-1.745E-2</v>
      </c>
      <c r="AB336" s="22">
        <v>326</v>
      </c>
      <c r="AC336" s="22">
        <v>0.11773699999999999</v>
      </c>
      <c r="AD336">
        <f t="shared" si="64"/>
        <v>17.45</v>
      </c>
      <c r="AE336">
        <f t="shared" si="65"/>
        <v>2.0662195999999997</v>
      </c>
      <c r="AF336" s="9"/>
      <c r="AG336" s="22">
        <v>1.5416000000000001</v>
      </c>
      <c r="AH336" s="22">
        <v>200.602</v>
      </c>
      <c r="AI336" s="22">
        <v>0.13433800000000001</v>
      </c>
      <c r="AJ336" s="22">
        <v>326</v>
      </c>
      <c r="AK336" s="22">
        <v>0.28042600000000001</v>
      </c>
      <c r="AL336">
        <f t="shared" si="66"/>
        <v>-134.33800000000002</v>
      </c>
      <c r="AM336">
        <f t="shared" si="67"/>
        <v>-207.09546080000004</v>
      </c>
      <c r="AP336" s="9"/>
      <c r="AQ336" s="22">
        <v>0.118408</v>
      </c>
      <c r="AR336" s="22">
        <v>249.88399999999999</v>
      </c>
      <c r="AS336" s="22">
        <v>-1.7440799999999999E-2</v>
      </c>
      <c r="AT336" s="22">
        <v>326</v>
      </c>
      <c r="AU336" s="22">
        <v>0.118286</v>
      </c>
      <c r="AV336">
        <f t="shared" si="68"/>
        <v>17.440799999999999</v>
      </c>
      <c r="AW336">
        <f t="shared" si="69"/>
        <v>2.0651302463999999</v>
      </c>
      <c r="AX336" s="9"/>
      <c r="AY336" s="22">
        <v>1.5416000000000001</v>
      </c>
      <c r="AZ336" s="22">
        <v>299.25</v>
      </c>
      <c r="BA336" s="22">
        <v>0.13806199999999999</v>
      </c>
      <c r="BB336" s="22">
        <v>326</v>
      </c>
      <c r="BC336" s="22">
        <v>0.26980599999999999</v>
      </c>
      <c r="BD336">
        <f t="shared" si="70"/>
        <v>-138.06199999999998</v>
      </c>
      <c r="BE336">
        <f t="shared" si="71"/>
        <v>-212.83637919999998</v>
      </c>
    </row>
    <row r="337" spans="6:57">
      <c r="F337" s="9"/>
      <c r="G337" s="22">
        <v>0.113373</v>
      </c>
      <c r="H337" s="22">
        <v>52.599400000000003</v>
      </c>
      <c r="I337" s="22">
        <v>-1.7498799999999998E-2</v>
      </c>
      <c r="J337" s="22">
        <v>327</v>
      </c>
      <c r="K337" s="22">
        <v>0.11322</v>
      </c>
      <c r="L337">
        <f t="shared" si="60"/>
        <v>17.498799999999999</v>
      </c>
      <c r="M337">
        <f t="shared" si="61"/>
        <v>1.9838914524</v>
      </c>
      <c r="N337" s="9"/>
      <c r="O337" s="22">
        <v>1.5466299999999999</v>
      </c>
      <c r="P337" s="22">
        <v>101.843</v>
      </c>
      <c r="Q337" s="22">
        <v>0.13400300000000001</v>
      </c>
      <c r="R337" s="22">
        <v>327</v>
      </c>
      <c r="S337" s="22">
        <v>0.27841199999999999</v>
      </c>
      <c r="T337">
        <f t="shared" si="62"/>
        <v>-134.00300000000001</v>
      </c>
      <c r="U337">
        <f t="shared" si="63"/>
        <v>-207.25305989</v>
      </c>
      <c r="X337" s="9"/>
      <c r="Y337" s="22">
        <v>0.113373</v>
      </c>
      <c r="Z337" s="22">
        <v>151.245</v>
      </c>
      <c r="AA337" s="22">
        <v>-1.7453E-2</v>
      </c>
      <c r="AB337" s="22">
        <v>327</v>
      </c>
      <c r="AC337" s="22">
        <v>0.112762</v>
      </c>
      <c r="AD337">
        <f t="shared" si="64"/>
        <v>17.452999999999999</v>
      </c>
      <c r="AE337">
        <f t="shared" si="65"/>
        <v>1.9786989689999999</v>
      </c>
      <c r="AF337" s="9"/>
      <c r="AG337" s="22">
        <v>1.5466299999999999</v>
      </c>
      <c r="AH337" s="22">
        <v>200.61199999999999</v>
      </c>
      <c r="AI337" s="22">
        <v>0.13436899999999999</v>
      </c>
      <c r="AJ337" s="22">
        <v>327</v>
      </c>
      <c r="AK337" s="22">
        <v>0.275391</v>
      </c>
      <c r="AL337">
        <f t="shared" si="66"/>
        <v>-134.369</v>
      </c>
      <c r="AM337">
        <f t="shared" si="67"/>
        <v>-207.81912646999999</v>
      </c>
      <c r="AP337" s="9"/>
      <c r="AQ337" s="22">
        <v>0.113373</v>
      </c>
      <c r="AR337" s="22">
        <v>249.89400000000001</v>
      </c>
      <c r="AS337" s="22">
        <v>-1.7440799999999999E-2</v>
      </c>
      <c r="AT337" s="22">
        <v>327</v>
      </c>
      <c r="AU337" s="22">
        <v>0.113342</v>
      </c>
      <c r="AV337">
        <f t="shared" si="68"/>
        <v>17.440799999999999</v>
      </c>
      <c r="AW337">
        <f t="shared" si="69"/>
        <v>1.9773158183999999</v>
      </c>
      <c r="AX337" s="9"/>
      <c r="AY337" s="22">
        <v>1.5466299999999999</v>
      </c>
      <c r="AZ337" s="22">
        <v>299.26100000000002</v>
      </c>
      <c r="BA337" s="22">
        <v>0.13793900000000001</v>
      </c>
      <c r="BB337" s="22">
        <v>327</v>
      </c>
      <c r="BC337" s="22">
        <v>0.27011099999999999</v>
      </c>
      <c r="BD337">
        <f t="shared" si="70"/>
        <v>-137.93899999999999</v>
      </c>
      <c r="BE337">
        <f t="shared" si="71"/>
        <v>-213.34059556999998</v>
      </c>
    </row>
    <row r="338" spans="6:57">
      <c r="F338" s="9"/>
      <c r="G338" s="22">
        <v>0.108337</v>
      </c>
      <c r="H338" s="22">
        <v>52.609400000000001</v>
      </c>
      <c r="I338" s="22">
        <v>-1.7501800000000001E-2</v>
      </c>
      <c r="J338" s="22">
        <v>328</v>
      </c>
      <c r="K338" s="22">
        <v>0.108185</v>
      </c>
      <c r="L338">
        <f t="shared" si="60"/>
        <v>17.501800000000003</v>
      </c>
      <c r="M338">
        <f t="shared" si="61"/>
        <v>1.8960925066000003</v>
      </c>
      <c r="N338" s="9"/>
      <c r="O338" s="22">
        <v>1.5516700000000001</v>
      </c>
      <c r="P338" s="22">
        <v>101.85299999999999</v>
      </c>
      <c r="Q338" s="22">
        <v>0.13400300000000001</v>
      </c>
      <c r="R338" s="22">
        <v>328</v>
      </c>
      <c r="S338" s="22">
        <v>0.27712999999999999</v>
      </c>
      <c r="T338">
        <f t="shared" si="62"/>
        <v>-134.00300000000001</v>
      </c>
      <c r="U338">
        <f t="shared" si="63"/>
        <v>-207.92843501000004</v>
      </c>
      <c r="X338" s="9"/>
      <c r="Y338" s="22">
        <v>0.108337</v>
      </c>
      <c r="Z338" s="22">
        <v>151.255</v>
      </c>
      <c r="AA338" s="22">
        <v>-1.7462200000000001E-2</v>
      </c>
      <c r="AB338" s="22">
        <v>328</v>
      </c>
      <c r="AC338" s="22">
        <v>0.107727</v>
      </c>
      <c r="AD338">
        <f t="shared" si="64"/>
        <v>17.462199999999999</v>
      </c>
      <c r="AE338">
        <f t="shared" si="65"/>
        <v>1.8918023613999999</v>
      </c>
      <c r="AF338" s="9"/>
      <c r="AG338" s="22">
        <v>1.5516700000000001</v>
      </c>
      <c r="AH338" s="22">
        <v>200.62200000000001</v>
      </c>
      <c r="AI338" s="22">
        <v>0.13433800000000001</v>
      </c>
      <c r="AJ338" s="22">
        <v>328</v>
      </c>
      <c r="AK338" s="22">
        <v>0.275787</v>
      </c>
      <c r="AL338">
        <f t="shared" si="66"/>
        <v>-134.33800000000002</v>
      </c>
      <c r="AM338">
        <f t="shared" si="67"/>
        <v>-208.44824446000004</v>
      </c>
      <c r="AP338" s="9"/>
      <c r="AQ338" s="22">
        <v>0.108337</v>
      </c>
      <c r="AR338" s="22">
        <v>249.904</v>
      </c>
      <c r="AS338" s="22">
        <v>-1.7440799999999999E-2</v>
      </c>
      <c r="AT338" s="22">
        <v>328</v>
      </c>
      <c r="AU338" s="22">
        <v>0.107727</v>
      </c>
      <c r="AV338">
        <f t="shared" si="68"/>
        <v>17.440799999999999</v>
      </c>
      <c r="AW338">
        <f t="shared" si="69"/>
        <v>1.8894839496</v>
      </c>
      <c r="AX338" s="9"/>
      <c r="AY338" s="22">
        <v>1.5516700000000001</v>
      </c>
      <c r="AZ338" s="22">
        <v>299.27100000000002</v>
      </c>
      <c r="BA338" s="22">
        <v>0.137848</v>
      </c>
      <c r="BB338" s="22">
        <v>328</v>
      </c>
      <c r="BC338" s="22">
        <v>0.27017200000000002</v>
      </c>
      <c r="BD338">
        <f t="shared" si="70"/>
        <v>-137.84799999999998</v>
      </c>
      <c r="BE338">
        <f t="shared" si="71"/>
        <v>-213.89460616</v>
      </c>
    </row>
    <row r="339" spans="6:57">
      <c r="F339" s="9"/>
      <c r="G339" s="22">
        <v>0.103302</v>
      </c>
      <c r="H339" s="22">
        <v>52.619500000000002</v>
      </c>
      <c r="I339" s="22">
        <v>-1.7501800000000001E-2</v>
      </c>
      <c r="J339" s="22">
        <v>329</v>
      </c>
      <c r="K339" s="22">
        <v>0.10226399999999999</v>
      </c>
      <c r="L339">
        <f t="shared" si="60"/>
        <v>17.501800000000003</v>
      </c>
      <c r="M339">
        <f t="shared" si="61"/>
        <v>1.8079709436000004</v>
      </c>
      <c r="N339" s="9"/>
      <c r="O339" s="22">
        <v>1.5567</v>
      </c>
      <c r="P339" s="22">
        <v>101.863</v>
      </c>
      <c r="Q339" s="22">
        <v>0.13397200000000001</v>
      </c>
      <c r="R339" s="22">
        <v>329</v>
      </c>
      <c r="S339" s="22">
        <v>0.27667199999999997</v>
      </c>
      <c r="T339">
        <f t="shared" si="62"/>
        <v>-133.97200000000001</v>
      </c>
      <c r="U339">
        <f t="shared" si="63"/>
        <v>-208.55421240000001</v>
      </c>
      <c r="X339" s="9"/>
      <c r="Y339" s="22">
        <v>0.103302</v>
      </c>
      <c r="Z339" s="22">
        <v>151.26499999999999</v>
      </c>
      <c r="AA339" s="22">
        <v>-1.7459100000000002E-2</v>
      </c>
      <c r="AB339" s="22">
        <v>329</v>
      </c>
      <c r="AC339" s="22">
        <v>0.102814</v>
      </c>
      <c r="AD339">
        <f t="shared" si="64"/>
        <v>17.459100000000003</v>
      </c>
      <c r="AE339">
        <f t="shared" si="65"/>
        <v>1.8035599482000004</v>
      </c>
      <c r="AF339" s="9"/>
      <c r="AG339" s="22">
        <v>1.5567</v>
      </c>
      <c r="AH339" s="22">
        <v>200.63200000000001</v>
      </c>
      <c r="AI339" s="22">
        <v>0.134155</v>
      </c>
      <c r="AJ339" s="22">
        <v>329</v>
      </c>
      <c r="AK339" s="22">
        <v>0.27816800000000003</v>
      </c>
      <c r="AL339">
        <f t="shared" si="66"/>
        <v>-134.155</v>
      </c>
      <c r="AM339">
        <f t="shared" si="67"/>
        <v>-208.8390885</v>
      </c>
      <c r="AP339" s="9"/>
      <c r="AQ339" s="22">
        <v>0.103302</v>
      </c>
      <c r="AR339" s="22">
        <v>249.91399999999999</v>
      </c>
      <c r="AS339" s="22">
        <v>-1.74377E-2</v>
      </c>
      <c r="AT339" s="22">
        <v>329</v>
      </c>
      <c r="AU339" s="22">
        <v>0.102142</v>
      </c>
      <c r="AV339">
        <f t="shared" si="68"/>
        <v>17.4377</v>
      </c>
      <c r="AW339">
        <f t="shared" si="69"/>
        <v>1.8013492853999999</v>
      </c>
      <c r="AX339" s="9"/>
      <c r="AY339" s="22">
        <v>1.5567</v>
      </c>
      <c r="AZ339" s="22">
        <v>299.28100000000001</v>
      </c>
      <c r="BA339" s="22">
        <v>0.137817</v>
      </c>
      <c r="BB339" s="22">
        <v>329</v>
      </c>
      <c r="BC339" s="22">
        <v>0.270233</v>
      </c>
      <c r="BD339">
        <f t="shared" si="70"/>
        <v>-137.81700000000001</v>
      </c>
      <c r="BE339">
        <f t="shared" si="71"/>
        <v>-214.53972390000001</v>
      </c>
    </row>
    <row r="340" spans="6:57">
      <c r="F340" s="9"/>
      <c r="G340" s="22">
        <v>9.8266599999999996E-2</v>
      </c>
      <c r="H340" s="22">
        <v>52.629600000000003</v>
      </c>
      <c r="I340" s="22">
        <v>-1.7510999999999999E-2</v>
      </c>
      <c r="J340" s="22">
        <v>330</v>
      </c>
      <c r="K340" s="22">
        <v>9.7473099999999993E-2</v>
      </c>
      <c r="L340">
        <f t="shared" si="60"/>
        <v>17.510999999999999</v>
      </c>
      <c r="M340">
        <f t="shared" si="61"/>
        <v>1.7207464325999999</v>
      </c>
      <c r="N340" s="9"/>
      <c r="O340" s="22">
        <v>1.5617399999999999</v>
      </c>
      <c r="P340" s="22">
        <v>101.873</v>
      </c>
      <c r="Q340" s="22">
        <v>0.134827</v>
      </c>
      <c r="R340" s="22">
        <v>330</v>
      </c>
      <c r="S340" s="22">
        <v>0.27746599999999999</v>
      </c>
      <c r="T340">
        <f t="shared" si="62"/>
        <v>-134.827</v>
      </c>
      <c r="U340">
        <f t="shared" si="63"/>
        <v>-210.56471897999998</v>
      </c>
      <c r="X340" s="9"/>
      <c r="Y340" s="22">
        <v>9.8266599999999996E-2</v>
      </c>
      <c r="Z340" s="22">
        <v>151.27500000000001</v>
      </c>
      <c r="AA340" s="22">
        <v>-1.74652E-2</v>
      </c>
      <c r="AB340" s="22">
        <v>330</v>
      </c>
      <c r="AC340" s="22">
        <v>9.7534200000000001E-2</v>
      </c>
      <c r="AD340">
        <f t="shared" si="64"/>
        <v>17.465199999999999</v>
      </c>
      <c r="AE340">
        <f t="shared" si="65"/>
        <v>1.7162458223199999</v>
      </c>
      <c r="AF340" s="9"/>
      <c r="AG340" s="22">
        <v>1.5617399999999999</v>
      </c>
      <c r="AH340" s="22">
        <v>200.642</v>
      </c>
      <c r="AI340" s="22">
        <v>0.13412499999999999</v>
      </c>
      <c r="AJ340" s="22">
        <v>330</v>
      </c>
      <c r="AK340" s="22">
        <v>0.277893</v>
      </c>
      <c r="AL340">
        <f t="shared" si="66"/>
        <v>-134.125</v>
      </c>
      <c r="AM340">
        <f t="shared" si="67"/>
        <v>-209.46837749999997</v>
      </c>
      <c r="AP340" s="9"/>
      <c r="AQ340" s="22">
        <v>9.8266599999999996E-2</v>
      </c>
      <c r="AR340" s="22">
        <v>249.92400000000001</v>
      </c>
      <c r="AS340" s="22">
        <v>-1.7443799999999999E-2</v>
      </c>
      <c r="AT340" s="22">
        <v>330</v>
      </c>
      <c r="AU340" s="22">
        <v>9.7534200000000001E-2</v>
      </c>
      <c r="AV340">
        <f t="shared" si="68"/>
        <v>17.4438</v>
      </c>
      <c r="AW340">
        <f t="shared" si="69"/>
        <v>1.7141429170799998</v>
      </c>
      <c r="AX340" s="9"/>
      <c r="AY340" s="22">
        <v>1.5617399999999999</v>
      </c>
      <c r="AZ340" s="22">
        <v>299.291</v>
      </c>
      <c r="BA340" s="22">
        <v>0.13775599999999999</v>
      </c>
      <c r="BB340" s="22">
        <v>330</v>
      </c>
      <c r="BC340" s="22">
        <v>0.27011099999999999</v>
      </c>
      <c r="BD340">
        <f t="shared" si="70"/>
        <v>-137.756</v>
      </c>
      <c r="BE340">
        <f t="shared" si="71"/>
        <v>-215.13905543999999</v>
      </c>
    </row>
    <row r="341" spans="6:57">
      <c r="F341" s="9"/>
      <c r="G341" s="22">
        <v>9.32312E-2</v>
      </c>
      <c r="H341" s="22">
        <v>52.639600000000002</v>
      </c>
      <c r="I341" s="22">
        <v>-1.7510999999999999E-2</v>
      </c>
      <c r="J341" s="22">
        <v>331</v>
      </c>
      <c r="K341" s="22">
        <v>9.3170199999999995E-2</v>
      </c>
      <c r="L341">
        <f t="shared" si="60"/>
        <v>17.510999999999999</v>
      </c>
      <c r="M341">
        <f t="shared" si="61"/>
        <v>1.6325715431999999</v>
      </c>
      <c r="N341" s="9"/>
      <c r="O341" s="22">
        <v>1.56677</v>
      </c>
      <c r="P341" s="22">
        <v>101.883</v>
      </c>
      <c r="Q341" s="22">
        <v>0.13491800000000001</v>
      </c>
      <c r="R341" s="22">
        <v>331</v>
      </c>
      <c r="S341" s="22">
        <v>0.27835100000000002</v>
      </c>
      <c r="T341">
        <f t="shared" si="62"/>
        <v>-134.91800000000001</v>
      </c>
      <c r="U341">
        <f t="shared" si="63"/>
        <v>-211.38547486000002</v>
      </c>
      <c r="X341" s="9"/>
      <c r="Y341" s="22">
        <v>9.32312E-2</v>
      </c>
      <c r="Z341" s="22">
        <v>151.286</v>
      </c>
      <c r="AA341" s="22">
        <v>-1.7468299999999999E-2</v>
      </c>
      <c r="AB341" s="22">
        <v>331</v>
      </c>
      <c r="AC341" s="22">
        <v>9.25903E-2</v>
      </c>
      <c r="AD341">
        <f t="shared" si="64"/>
        <v>17.468299999999999</v>
      </c>
      <c r="AE341">
        <f t="shared" si="65"/>
        <v>1.6285905709599999</v>
      </c>
      <c r="AF341" s="9"/>
      <c r="AG341" s="22">
        <v>1.56677</v>
      </c>
      <c r="AH341" s="22">
        <v>200.65199999999999</v>
      </c>
      <c r="AI341" s="22">
        <v>0.13424700000000001</v>
      </c>
      <c r="AJ341" s="22">
        <v>331</v>
      </c>
      <c r="AK341" s="22">
        <v>0.277252</v>
      </c>
      <c r="AL341">
        <f t="shared" si="66"/>
        <v>-134.24700000000001</v>
      </c>
      <c r="AM341">
        <f t="shared" si="67"/>
        <v>-210.33417219000003</v>
      </c>
      <c r="AP341" s="9"/>
      <c r="AQ341" s="22">
        <v>9.32312E-2</v>
      </c>
      <c r="AR341" s="22">
        <v>249.934</v>
      </c>
      <c r="AS341" s="22">
        <v>-1.74377E-2</v>
      </c>
      <c r="AT341" s="22">
        <v>331</v>
      </c>
      <c r="AU341" s="22">
        <v>9.2620800000000003E-2</v>
      </c>
      <c r="AV341">
        <f t="shared" si="68"/>
        <v>17.4377</v>
      </c>
      <c r="AW341">
        <f t="shared" si="69"/>
        <v>1.6257376962399999</v>
      </c>
      <c r="AX341" s="9"/>
      <c r="AY341" s="22">
        <v>1.56677</v>
      </c>
      <c r="AZ341" s="22">
        <v>299.30099999999999</v>
      </c>
      <c r="BA341" s="22">
        <v>0.13769500000000001</v>
      </c>
      <c r="BB341" s="22">
        <v>331</v>
      </c>
      <c r="BC341" s="22">
        <v>0.27029399999999998</v>
      </c>
      <c r="BD341">
        <f t="shared" si="70"/>
        <v>-137.69500000000002</v>
      </c>
      <c r="BE341">
        <f t="shared" si="71"/>
        <v>-215.73639515000002</v>
      </c>
    </row>
    <row r="342" spans="6:57">
      <c r="F342" s="9"/>
      <c r="G342" s="22">
        <v>8.8195800000000005E-2</v>
      </c>
      <c r="H342" s="22">
        <v>52.649700000000003</v>
      </c>
      <c r="I342" s="22">
        <v>-1.7510999999999999E-2</v>
      </c>
      <c r="J342" s="22">
        <v>332</v>
      </c>
      <c r="K342" s="22">
        <v>8.7860099999999997E-2</v>
      </c>
      <c r="L342">
        <f t="shared" si="60"/>
        <v>17.510999999999999</v>
      </c>
      <c r="M342">
        <f t="shared" si="61"/>
        <v>1.5443966538</v>
      </c>
      <c r="N342" s="9"/>
      <c r="O342" s="22">
        <v>1.5718099999999999</v>
      </c>
      <c r="P342" s="22">
        <v>101.893</v>
      </c>
      <c r="Q342" s="22">
        <v>0.13488800000000001</v>
      </c>
      <c r="R342" s="22">
        <v>332</v>
      </c>
      <c r="S342" s="22">
        <v>0.28240999999999999</v>
      </c>
      <c r="T342">
        <f t="shared" si="62"/>
        <v>-134.88800000000001</v>
      </c>
      <c r="U342">
        <f t="shared" si="63"/>
        <v>-212.01830727999999</v>
      </c>
      <c r="X342" s="9"/>
      <c r="Y342" s="22">
        <v>8.8195800000000005E-2</v>
      </c>
      <c r="Z342" s="22">
        <v>151.29599999999999</v>
      </c>
      <c r="AA342" s="22">
        <v>-1.74652E-2</v>
      </c>
      <c r="AB342" s="22">
        <v>332</v>
      </c>
      <c r="AC342" s="22">
        <v>8.7524400000000002E-2</v>
      </c>
      <c r="AD342">
        <f t="shared" si="64"/>
        <v>17.465199999999999</v>
      </c>
      <c r="AE342">
        <f t="shared" si="65"/>
        <v>1.5403572861600001</v>
      </c>
      <c r="AF342" s="9"/>
      <c r="AG342" s="22">
        <v>1.5718099999999999</v>
      </c>
      <c r="AH342" s="22">
        <v>200.66200000000001</v>
      </c>
      <c r="AI342" s="22">
        <v>0.134155</v>
      </c>
      <c r="AJ342" s="22">
        <v>332</v>
      </c>
      <c r="AK342" s="22">
        <v>0.27740500000000001</v>
      </c>
      <c r="AL342">
        <f t="shared" si="66"/>
        <v>-134.155</v>
      </c>
      <c r="AM342">
        <f t="shared" si="67"/>
        <v>-210.86617054999999</v>
      </c>
      <c r="AP342" s="9"/>
      <c r="AQ342" s="22">
        <v>8.8195800000000005E-2</v>
      </c>
      <c r="AR342" s="22">
        <v>249.94399999999999</v>
      </c>
      <c r="AS342" s="22">
        <v>-1.7440799999999999E-2</v>
      </c>
      <c r="AT342" s="22">
        <v>332</v>
      </c>
      <c r="AU342" s="22">
        <v>8.7615999999999999E-2</v>
      </c>
      <c r="AV342">
        <f t="shared" si="68"/>
        <v>17.440799999999999</v>
      </c>
      <c r="AW342">
        <f t="shared" si="69"/>
        <v>1.53820530864</v>
      </c>
      <c r="AX342" s="9"/>
      <c r="AY342" s="22">
        <v>1.5718099999999999</v>
      </c>
      <c r="AZ342" s="22">
        <v>299.31099999999998</v>
      </c>
      <c r="BA342" s="22">
        <v>0.137543</v>
      </c>
      <c r="BB342" s="22">
        <v>332</v>
      </c>
      <c r="BC342" s="22">
        <v>0.270264</v>
      </c>
      <c r="BD342">
        <f t="shared" si="70"/>
        <v>-137.54300000000001</v>
      </c>
      <c r="BE342">
        <f t="shared" si="71"/>
        <v>-216.19146283000001</v>
      </c>
    </row>
    <row r="343" spans="6:57">
      <c r="F343" s="9"/>
      <c r="G343" s="22">
        <v>8.3160399999999995E-2</v>
      </c>
      <c r="H343" s="22">
        <v>52.659799999999997</v>
      </c>
      <c r="I343" s="22">
        <v>-1.7513999999999998E-2</v>
      </c>
      <c r="J343" s="22">
        <v>333</v>
      </c>
      <c r="K343" s="22">
        <v>8.2519499999999996E-2</v>
      </c>
      <c r="L343">
        <f t="shared" si="60"/>
        <v>17.513999999999999</v>
      </c>
      <c r="M343">
        <f t="shared" si="61"/>
        <v>1.4564712456</v>
      </c>
      <c r="N343" s="9"/>
      <c r="O343" s="22">
        <v>1.57684</v>
      </c>
      <c r="P343" s="22">
        <v>101.90300000000001</v>
      </c>
      <c r="Q343" s="22">
        <v>0.13491800000000001</v>
      </c>
      <c r="R343" s="22">
        <v>333</v>
      </c>
      <c r="S343" s="22">
        <v>0.28146399999999999</v>
      </c>
      <c r="T343">
        <f t="shared" si="62"/>
        <v>-134.91800000000001</v>
      </c>
      <c r="U343">
        <f t="shared" si="63"/>
        <v>-212.74409912000002</v>
      </c>
      <c r="X343" s="9"/>
      <c r="Y343" s="22">
        <v>8.3160399999999995E-2</v>
      </c>
      <c r="Z343" s="22">
        <v>151.30600000000001</v>
      </c>
      <c r="AA343" s="22">
        <v>-1.7462200000000001E-2</v>
      </c>
      <c r="AB343" s="22">
        <v>333</v>
      </c>
      <c r="AC343" s="22">
        <v>8.2794199999999998E-2</v>
      </c>
      <c r="AD343">
        <f t="shared" si="64"/>
        <v>17.462199999999999</v>
      </c>
      <c r="AE343">
        <f t="shared" si="65"/>
        <v>1.4521635368799999</v>
      </c>
      <c r="AF343" s="9"/>
      <c r="AG343" s="22">
        <v>1.57684</v>
      </c>
      <c r="AH343" s="22">
        <v>200.672</v>
      </c>
      <c r="AI343" s="22">
        <v>0.134186</v>
      </c>
      <c r="AJ343" s="22">
        <v>333</v>
      </c>
      <c r="AK343" s="22">
        <v>0.276947</v>
      </c>
      <c r="AL343">
        <f t="shared" si="66"/>
        <v>-134.18600000000001</v>
      </c>
      <c r="AM343">
        <f t="shared" si="67"/>
        <v>-211.58985224000003</v>
      </c>
      <c r="AP343" s="9"/>
      <c r="AQ343" s="22">
        <v>8.3160399999999995E-2</v>
      </c>
      <c r="AR343" s="22">
        <v>249.95500000000001</v>
      </c>
      <c r="AS343" s="22">
        <v>-1.74377E-2</v>
      </c>
      <c r="AT343" s="22">
        <v>333</v>
      </c>
      <c r="AU343" s="22">
        <v>8.2305900000000001E-2</v>
      </c>
      <c r="AV343">
        <f t="shared" si="68"/>
        <v>17.4377</v>
      </c>
      <c r="AW343">
        <f t="shared" si="69"/>
        <v>1.4501261070799998</v>
      </c>
      <c r="AX343" s="9"/>
      <c r="AY343" s="22">
        <v>1.57684</v>
      </c>
      <c r="AZ343" s="22">
        <v>299.32100000000003</v>
      </c>
      <c r="BA343" s="22">
        <v>0.137543</v>
      </c>
      <c r="BB343" s="22">
        <v>333</v>
      </c>
      <c r="BC343" s="22">
        <v>0.270874</v>
      </c>
      <c r="BD343">
        <f t="shared" si="70"/>
        <v>-137.54300000000001</v>
      </c>
      <c r="BE343">
        <f t="shared" si="71"/>
        <v>-216.88330412000002</v>
      </c>
    </row>
    <row r="344" spans="6:57">
      <c r="F344" s="9"/>
      <c r="G344" s="22">
        <v>7.8125E-2</v>
      </c>
      <c r="H344" s="22">
        <v>52.669899999999998</v>
      </c>
      <c r="I344" s="22">
        <v>-1.7523199999999999E-2</v>
      </c>
      <c r="J344" s="22">
        <v>334</v>
      </c>
      <c r="K344" s="22">
        <v>7.7941899999999995E-2</v>
      </c>
      <c r="L344">
        <f t="shared" si="60"/>
        <v>17.523199999999999</v>
      </c>
      <c r="M344">
        <f t="shared" si="61"/>
        <v>1.369</v>
      </c>
      <c r="N344" s="9"/>
      <c r="O344" s="22">
        <v>1.58188</v>
      </c>
      <c r="P344" s="22">
        <v>101.913</v>
      </c>
      <c r="Q344" s="22">
        <v>0.13473499999999999</v>
      </c>
      <c r="R344" s="22">
        <v>334</v>
      </c>
      <c r="S344" s="22">
        <v>0.28149400000000002</v>
      </c>
      <c r="T344">
        <f t="shared" si="62"/>
        <v>-134.73499999999999</v>
      </c>
      <c r="U344">
        <f t="shared" si="63"/>
        <v>-213.13460179999998</v>
      </c>
      <c r="X344" s="9"/>
      <c r="Y344" s="22">
        <v>7.8125E-2</v>
      </c>
      <c r="Z344" s="22">
        <v>151.316</v>
      </c>
      <c r="AA344" s="22">
        <v>-1.7468299999999999E-2</v>
      </c>
      <c r="AB344" s="22">
        <v>334</v>
      </c>
      <c r="AC344" s="22">
        <v>7.7667200000000006E-2</v>
      </c>
      <c r="AD344">
        <f t="shared" si="64"/>
        <v>17.468299999999999</v>
      </c>
      <c r="AE344">
        <f t="shared" si="65"/>
        <v>1.3647109374999999</v>
      </c>
      <c r="AF344" s="9"/>
      <c r="AG344" s="22">
        <v>1.58188</v>
      </c>
      <c r="AH344" s="22">
        <v>200.68199999999999</v>
      </c>
      <c r="AI344" s="22">
        <v>0.134216</v>
      </c>
      <c r="AJ344" s="22">
        <v>334</v>
      </c>
      <c r="AK344" s="22">
        <v>0.27761799999999998</v>
      </c>
      <c r="AL344">
        <f t="shared" si="66"/>
        <v>-134.21600000000001</v>
      </c>
      <c r="AM344">
        <f t="shared" si="67"/>
        <v>-212.31360608</v>
      </c>
      <c r="AP344" s="9"/>
      <c r="AQ344" s="22">
        <v>7.8125E-2</v>
      </c>
      <c r="AR344" s="22">
        <v>249.965</v>
      </c>
      <c r="AS344" s="22">
        <v>-1.74377E-2</v>
      </c>
      <c r="AT344" s="22">
        <v>334</v>
      </c>
      <c r="AU344" s="22">
        <v>7.7300999999999995E-2</v>
      </c>
      <c r="AV344">
        <f t="shared" si="68"/>
        <v>17.4377</v>
      </c>
      <c r="AW344">
        <f t="shared" si="69"/>
        <v>1.3623203125000001</v>
      </c>
      <c r="AX344" s="9"/>
      <c r="AY344" s="22">
        <v>1.58188</v>
      </c>
      <c r="AZ344" s="22">
        <v>299.33100000000002</v>
      </c>
      <c r="BA344" s="22">
        <v>0.137543</v>
      </c>
      <c r="BB344" s="22">
        <v>334</v>
      </c>
      <c r="BC344" s="22">
        <v>0.26944000000000001</v>
      </c>
      <c r="BD344">
        <f t="shared" si="70"/>
        <v>-137.54300000000001</v>
      </c>
      <c r="BE344">
        <f t="shared" si="71"/>
        <v>-217.57652084</v>
      </c>
    </row>
    <row r="345" spans="6:57">
      <c r="F345" s="9"/>
      <c r="G345" s="22">
        <v>7.3089600000000005E-2</v>
      </c>
      <c r="H345" s="22">
        <v>52.679900000000004</v>
      </c>
      <c r="I345" s="22">
        <v>-1.7523199999999999E-2</v>
      </c>
      <c r="J345" s="22">
        <v>335</v>
      </c>
      <c r="K345" s="22">
        <v>7.2509799999999999E-2</v>
      </c>
      <c r="L345">
        <f t="shared" si="60"/>
        <v>17.523199999999999</v>
      </c>
      <c r="M345">
        <f t="shared" si="61"/>
        <v>1.2807636787200001</v>
      </c>
      <c r="N345" s="9"/>
      <c r="O345" s="22">
        <v>1.58691</v>
      </c>
      <c r="P345" s="22">
        <v>101.923</v>
      </c>
      <c r="Q345" s="22">
        <v>0.134766</v>
      </c>
      <c r="R345" s="22">
        <v>335</v>
      </c>
      <c r="S345" s="22">
        <v>0.28125</v>
      </c>
      <c r="T345">
        <f t="shared" si="62"/>
        <v>-134.76599999999999</v>
      </c>
      <c r="U345">
        <f t="shared" si="63"/>
        <v>-213.86151305999999</v>
      </c>
      <c r="X345" s="9"/>
      <c r="Y345" s="22">
        <v>7.3089600000000005E-2</v>
      </c>
      <c r="Z345" s="22">
        <v>151.32599999999999</v>
      </c>
      <c r="AA345" s="22">
        <v>-1.7471299999999999E-2</v>
      </c>
      <c r="AB345" s="22">
        <v>335</v>
      </c>
      <c r="AC345" s="22">
        <v>7.2112999999999997E-2</v>
      </c>
      <c r="AD345">
        <f t="shared" si="64"/>
        <v>17.471299999999999</v>
      </c>
      <c r="AE345">
        <f t="shared" si="65"/>
        <v>1.27697032848</v>
      </c>
      <c r="AF345" s="9"/>
      <c r="AG345" s="22">
        <v>1.58691</v>
      </c>
      <c r="AH345" s="22">
        <v>200.69200000000001</v>
      </c>
      <c r="AI345" s="22">
        <v>0.13406399999999999</v>
      </c>
      <c r="AJ345" s="22">
        <v>335</v>
      </c>
      <c r="AK345" s="22">
        <v>0.27667199999999997</v>
      </c>
      <c r="AL345">
        <f t="shared" si="66"/>
        <v>-134.06399999999999</v>
      </c>
      <c r="AM345">
        <f t="shared" si="67"/>
        <v>-212.74750223999999</v>
      </c>
      <c r="AP345" s="9"/>
      <c r="AQ345" s="22">
        <v>7.3089600000000005E-2</v>
      </c>
      <c r="AR345" s="22">
        <v>249.97499999999999</v>
      </c>
      <c r="AS345" s="22">
        <v>-1.7443799999999999E-2</v>
      </c>
      <c r="AT345" s="22">
        <v>335</v>
      </c>
      <c r="AU345" s="22">
        <v>7.2509799999999999E-2</v>
      </c>
      <c r="AV345">
        <f t="shared" si="68"/>
        <v>17.4438</v>
      </c>
      <c r="AW345">
        <f t="shared" si="69"/>
        <v>1.2749603644800001</v>
      </c>
      <c r="AX345" s="9"/>
      <c r="AY345" s="22">
        <v>1.58691</v>
      </c>
      <c r="AZ345" s="22">
        <v>299.34100000000001</v>
      </c>
      <c r="BA345" s="22">
        <v>0.137573</v>
      </c>
      <c r="BB345" s="22">
        <v>335</v>
      </c>
      <c r="BC345" s="22">
        <v>0.26995799999999998</v>
      </c>
      <c r="BD345">
        <f t="shared" si="70"/>
        <v>-137.57300000000001</v>
      </c>
      <c r="BE345">
        <f t="shared" si="71"/>
        <v>-218.31596943000002</v>
      </c>
    </row>
    <row r="346" spans="6:57">
      <c r="F346" s="9"/>
      <c r="G346" s="22">
        <v>6.8054199999999995E-2</v>
      </c>
      <c r="H346" s="22">
        <v>52.69</v>
      </c>
      <c r="I346" s="22">
        <v>-1.7526199999999999E-2</v>
      </c>
      <c r="J346" s="22">
        <v>336</v>
      </c>
      <c r="K346" s="22">
        <v>6.7504900000000007E-2</v>
      </c>
      <c r="L346">
        <f t="shared" si="60"/>
        <v>17.526199999999999</v>
      </c>
      <c r="M346">
        <f t="shared" si="61"/>
        <v>1.1927315200399999</v>
      </c>
      <c r="N346" s="9"/>
      <c r="O346" s="22">
        <v>1.59195</v>
      </c>
      <c r="P346" s="22">
        <v>101.93300000000001</v>
      </c>
      <c r="Q346" s="22">
        <v>0.134766</v>
      </c>
      <c r="R346" s="22">
        <v>336</v>
      </c>
      <c r="S346" s="22">
        <v>0.28213500000000002</v>
      </c>
      <c r="T346">
        <f t="shared" si="62"/>
        <v>-134.76599999999999</v>
      </c>
      <c r="U346">
        <f t="shared" si="63"/>
        <v>-214.54073369999998</v>
      </c>
      <c r="X346" s="9"/>
      <c r="Y346" s="22">
        <v>6.8054199999999995E-2</v>
      </c>
      <c r="Z346" s="22">
        <v>151.33600000000001</v>
      </c>
      <c r="AA346" s="22">
        <v>-1.7471299999999999E-2</v>
      </c>
      <c r="AB346" s="22">
        <v>336</v>
      </c>
      <c r="AC346" s="22">
        <v>6.7810099999999998E-2</v>
      </c>
      <c r="AD346">
        <f t="shared" si="64"/>
        <v>17.471299999999999</v>
      </c>
      <c r="AE346">
        <f t="shared" si="65"/>
        <v>1.1889953444599999</v>
      </c>
      <c r="AF346" s="9"/>
      <c r="AG346" s="22">
        <v>1.59195</v>
      </c>
      <c r="AH346" s="22">
        <v>200.702</v>
      </c>
      <c r="AI346" s="22">
        <v>0.13412499999999999</v>
      </c>
      <c r="AJ346" s="22">
        <v>336</v>
      </c>
      <c r="AK346" s="22">
        <v>0.27679399999999998</v>
      </c>
      <c r="AL346">
        <f t="shared" si="66"/>
        <v>-134.125</v>
      </c>
      <c r="AM346">
        <f t="shared" si="67"/>
        <v>-213.52029375000001</v>
      </c>
      <c r="AP346" s="9"/>
      <c r="AQ346" s="22">
        <v>6.8054199999999995E-2</v>
      </c>
      <c r="AR346" s="22">
        <v>249.98500000000001</v>
      </c>
      <c r="AS346" s="22">
        <v>-1.7446900000000001E-2</v>
      </c>
      <c r="AT346" s="22">
        <v>336</v>
      </c>
      <c r="AU346" s="22">
        <v>6.7352300000000004E-2</v>
      </c>
      <c r="AV346">
        <f t="shared" si="68"/>
        <v>17.446900000000003</v>
      </c>
      <c r="AW346">
        <f t="shared" si="69"/>
        <v>1.1873348219800002</v>
      </c>
      <c r="AX346" s="9"/>
      <c r="AY346" s="22">
        <v>1.59195</v>
      </c>
      <c r="AZ346" s="22">
        <v>299.351</v>
      </c>
      <c r="BA346" s="22">
        <v>0.13745099999999999</v>
      </c>
      <c r="BB346" s="22">
        <v>336</v>
      </c>
      <c r="BC346" s="22">
        <v>0.270538</v>
      </c>
      <c r="BD346">
        <f t="shared" si="70"/>
        <v>-137.45099999999999</v>
      </c>
      <c r="BE346">
        <f t="shared" si="71"/>
        <v>-218.81511945</v>
      </c>
    </row>
    <row r="347" spans="6:57">
      <c r="F347" s="9"/>
      <c r="G347" s="22">
        <v>6.30188E-2</v>
      </c>
      <c r="H347" s="22">
        <v>52.700099999999999</v>
      </c>
      <c r="I347" s="22">
        <v>-1.7532300000000001E-2</v>
      </c>
      <c r="J347" s="22">
        <v>337</v>
      </c>
      <c r="K347" s="22">
        <v>6.2072799999999997E-2</v>
      </c>
      <c r="L347">
        <f t="shared" si="60"/>
        <v>17.532299999999999</v>
      </c>
      <c r="M347">
        <f t="shared" si="61"/>
        <v>1.1048645072399998</v>
      </c>
      <c r="N347" s="9"/>
      <c r="O347" s="22">
        <v>1.5969800000000001</v>
      </c>
      <c r="P347" s="22">
        <v>101.943</v>
      </c>
      <c r="Q347" s="22">
        <v>0.134796</v>
      </c>
      <c r="R347" s="22">
        <v>337</v>
      </c>
      <c r="S347" s="22">
        <v>0.28173799999999999</v>
      </c>
      <c r="T347">
        <f t="shared" si="62"/>
        <v>-134.79599999999999</v>
      </c>
      <c r="U347">
        <f t="shared" si="63"/>
        <v>-215.26651608</v>
      </c>
      <c r="X347" s="9"/>
      <c r="Y347" s="22">
        <v>6.30188E-2</v>
      </c>
      <c r="Z347" s="22">
        <v>151.346</v>
      </c>
      <c r="AA347" s="22">
        <v>-1.7471299999999999E-2</v>
      </c>
      <c r="AB347" s="22">
        <v>337</v>
      </c>
      <c r="AC347" s="22">
        <v>6.2072799999999997E-2</v>
      </c>
      <c r="AD347">
        <f t="shared" si="64"/>
        <v>17.471299999999999</v>
      </c>
      <c r="AE347">
        <f t="shared" si="65"/>
        <v>1.10102036044</v>
      </c>
      <c r="AF347" s="9"/>
      <c r="AG347" s="22">
        <v>1.5969800000000001</v>
      </c>
      <c r="AH347" s="22">
        <v>200.71199999999999</v>
      </c>
      <c r="AI347" s="22">
        <v>0.13406399999999999</v>
      </c>
      <c r="AJ347" s="22">
        <v>337</v>
      </c>
      <c r="AK347" s="22">
        <v>0.27731299999999998</v>
      </c>
      <c r="AL347">
        <f t="shared" si="66"/>
        <v>-134.06399999999999</v>
      </c>
      <c r="AM347">
        <f t="shared" si="67"/>
        <v>-214.09752671999999</v>
      </c>
      <c r="AP347" s="9"/>
      <c r="AQ347" s="22">
        <v>6.30188E-2</v>
      </c>
      <c r="AR347" s="22">
        <v>249.995</v>
      </c>
      <c r="AS347" s="22">
        <v>-1.745E-2</v>
      </c>
      <c r="AT347" s="22">
        <v>337</v>
      </c>
      <c r="AU347" s="22">
        <v>6.2591599999999997E-2</v>
      </c>
      <c r="AV347">
        <f t="shared" si="68"/>
        <v>17.45</v>
      </c>
      <c r="AW347">
        <f t="shared" si="69"/>
        <v>1.09967806</v>
      </c>
      <c r="AX347" s="9"/>
      <c r="AY347" s="22">
        <v>1.5969800000000001</v>
      </c>
      <c r="AZ347" s="22">
        <v>299.36099999999999</v>
      </c>
      <c r="BA347" s="22">
        <v>0.13739000000000001</v>
      </c>
      <c r="BB347" s="22">
        <v>337</v>
      </c>
      <c r="BC347" s="22">
        <v>0.27066000000000001</v>
      </c>
      <c r="BD347">
        <f t="shared" si="70"/>
        <v>-137.39000000000001</v>
      </c>
      <c r="BE347">
        <f t="shared" si="71"/>
        <v>-219.40908220000003</v>
      </c>
    </row>
    <row r="348" spans="6:57">
      <c r="F348" s="9"/>
      <c r="G348" s="22">
        <v>5.7983399999999997E-2</v>
      </c>
      <c r="H348" s="22">
        <v>52.710099999999997</v>
      </c>
      <c r="I348" s="22">
        <v>-1.7529300000000001E-2</v>
      </c>
      <c r="J348" s="22">
        <v>338</v>
      </c>
      <c r="K348" s="22">
        <v>5.7464599999999998E-2</v>
      </c>
      <c r="L348">
        <f t="shared" si="60"/>
        <v>17.529300000000003</v>
      </c>
      <c r="M348">
        <f t="shared" si="61"/>
        <v>1.01640841362</v>
      </c>
      <c r="N348" s="9"/>
      <c r="O348" s="22">
        <v>1.60202</v>
      </c>
      <c r="P348" s="22">
        <v>101.95399999999999</v>
      </c>
      <c r="Q348" s="22">
        <v>0.13473499999999999</v>
      </c>
      <c r="R348" s="22">
        <v>338</v>
      </c>
      <c r="S348" s="22">
        <v>0.28216599999999997</v>
      </c>
      <c r="T348">
        <f t="shared" si="62"/>
        <v>-134.73499999999999</v>
      </c>
      <c r="U348">
        <f t="shared" si="63"/>
        <v>-215.84816469999998</v>
      </c>
      <c r="X348" s="9"/>
      <c r="Y348" s="22">
        <v>5.7983399999999997E-2</v>
      </c>
      <c r="Z348" s="22">
        <v>151.35599999999999</v>
      </c>
      <c r="AA348" s="22">
        <v>-1.7468299999999999E-2</v>
      </c>
      <c r="AB348" s="22">
        <v>338</v>
      </c>
      <c r="AC348" s="22">
        <v>5.7861299999999997E-2</v>
      </c>
      <c r="AD348">
        <f t="shared" si="64"/>
        <v>17.468299999999999</v>
      </c>
      <c r="AE348">
        <f t="shared" si="65"/>
        <v>1.0128714262199998</v>
      </c>
      <c r="AF348" s="9"/>
      <c r="AG348" s="22">
        <v>1.60202</v>
      </c>
      <c r="AH348" s="22">
        <v>200.72200000000001</v>
      </c>
      <c r="AI348" s="22">
        <v>0.13409399999999999</v>
      </c>
      <c r="AJ348" s="22">
        <v>338</v>
      </c>
      <c r="AK348" s="22">
        <v>0.276947</v>
      </c>
      <c r="AL348">
        <f t="shared" si="66"/>
        <v>-134.09399999999999</v>
      </c>
      <c r="AM348">
        <f t="shared" si="67"/>
        <v>-214.82126987999999</v>
      </c>
      <c r="AP348" s="9"/>
      <c r="AQ348" s="22">
        <v>5.7983399999999997E-2</v>
      </c>
      <c r="AR348" s="22">
        <v>250.005</v>
      </c>
      <c r="AS348" s="22">
        <v>-1.7456099999999999E-2</v>
      </c>
      <c r="AT348" s="22">
        <v>338</v>
      </c>
      <c r="AU348" s="22">
        <v>5.7464599999999998E-2</v>
      </c>
      <c r="AV348">
        <f t="shared" si="68"/>
        <v>17.456099999999999</v>
      </c>
      <c r="AW348">
        <f t="shared" si="69"/>
        <v>1.01216402874</v>
      </c>
      <c r="AX348" s="9"/>
      <c r="AY348" s="22">
        <v>1.60202</v>
      </c>
      <c r="AZ348" s="22">
        <v>299.37099999999998</v>
      </c>
      <c r="BA348" s="22">
        <v>0.13742099999999999</v>
      </c>
      <c r="BB348" s="22">
        <v>338</v>
      </c>
      <c r="BC348" s="22">
        <v>0.271179</v>
      </c>
      <c r="BD348">
        <f t="shared" si="70"/>
        <v>-137.42099999999999</v>
      </c>
      <c r="BE348">
        <f t="shared" si="71"/>
        <v>-220.15119041999998</v>
      </c>
    </row>
    <row r="349" spans="6:57">
      <c r="F349" s="9"/>
      <c r="G349" s="22">
        <v>5.2948000000000002E-2</v>
      </c>
      <c r="H349" s="22">
        <v>52.720199999999998</v>
      </c>
      <c r="I349" s="22">
        <v>-1.7529300000000001E-2</v>
      </c>
      <c r="J349" s="22">
        <v>339</v>
      </c>
      <c r="K349" s="22">
        <v>5.2551300000000002E-2</v>
      </c>
      <c r="L349">
        <f t="shared" si="60"/>
        <v>17.529300000000003</v>
      </c>
      <c r="M349">
        <f t="shared" si="61"/>
        <v>0.92814137640000016</v>
      </c>
      <c r="N349" s="9"/>
      <c r="O349" s="22">
        <v>1.6070599999999999</v>
      </c>
      <c r="P349" s="22">
        <v>101.964</v>
      </c>
      <c r="Q349" s="22">
        <v>0.13467399999999999</v>
      </c>
      <c r="R349" s="22">
        <v>339</v>
      </c>
      <c r="S349" s="22">
        <v>0.28183000000000002</v>
      </c>
      <c r="T349">
        <f t="shared" si="62"/>
        <v>-134.67399999999998</v>
      </c>
      <c r="U349">
        <f t="shared" si="63"/>
        <v>-216.42919843999996</v>
      </c>
      <c r="X349" s="9"/>
      <c r="Y349" s="22">
        <v>5.2948000000000002E-2</v>
      </c>
      <c r="Z349" s="22">
        <v>151.36600000000001</v>
      </c>
      <c r="AA349" s="22">
        <v>-1.7471299999999999E-2</v>
      </c>
      <c r="AB349" s="22">
        <v>339</v>
      </c>
      <c r="AC349" s="22">
        <v>5.2246099999999997E-2</v>
      </c>
      <c r="AD349">
        <f t="shared" si="64"/>
        <v>17.471299999999999</v>
      </c>
      <c r="AE349">
        <f t="shared" si="65"/>
        <v>0.9250703924</v>
      </c>
      <c r="AF349" s="9"/>
      <c r="AG349" s="22">
        <v>1.6070599999999999</v>
      </c>
      <c r="AH349" s="22">
        <v>200.733</v>
      </c>
      <c r="AI349" s="22">
        <v>0.134155</v>
      </c>
      <c r="AJ349" s="22">
        <v>339</v>
      </c>
      <c r="AK349" s="22">
        <v>0.276642</v>
      </c>
      <c r="AL349">
        <f t="shared" si="66"/>
        <v>-134.155</v>
      </c>
      <c r="AM349">
        <f t="shared" si="67"/>
        <v>-215.59513429999998</v>
      </c>
      <c r="AP349" s="9"/>
      <c r="AQ349" s="22">
        <v>5.2948000000000002E-2</v>
      </c>
      <c r="AR349" s="22">
        <v>250.01499999999999</v>
      </c>
      <c r="AS349" s="22">
        <v>-1.7459100000000002E-2</v>
      </c>
      <c r="AT349" s="22">
        <v>339</v>
      </c>
      <c r="AU349" s="22">
        <v>5.2093500000000001E-2</v>
      </c>
      <c r="AV349">
        <f t="shared" si="68"/>
        <v>17.459100000000003</v>
      </c>
      <c r="AW349">
        <f t="shared" si="69"/>
        <v>0.92442442680000014</v>
      </c>
      <c r="AX349" s="9"/>
      <c r="AY349" s="22">
        <v>1.6070599999999999</v>
      </c>
      <c r="AZ349" s="22">
        <v>299.38099999999997</v>
      </c>
      <c r="BA349" s="22">
        <v>0.137268</v>
      </c>
      <c r="BB349" s="22">
        <v>339</v>
      </c>
      <c r="BC349" s="22">
        <v>0.26995799999999998</v>
      </c>
      <c r="BD349">
        <f t="shared" si="70"/>
        <v>-137.268</v>
      </c>
      <c r="BE349">
        <f t="shared" si="71"/>
        <v>-220.59791207999999</v>
      </c>
    </row>
    <row r="350" spans="6:57">
      <c r="F350" s="9"/>
      <c r="G350" s="22">
        <v>4.79126E-2</v>
      </c>
      <c r="H350" s="22">
        <v>52.7303</v>
      </c>
      <c r="I350" s="22">
        <v>-1.7526199999999999E-2</v>
      </c>
      <c r="J350" s="22">
        <v>340</v>
      </c>
      <c r="K350" s="22">
        <v>4.77051E-2</v>
      </c>
      <c r="L350">
        <f t="shared" si="60"/>
        <v>17.526199999999999</v>
      </c>
      <c r="M350">
        <f t="shared" si="61"/>
        <v>0.83972581011999992</v>
      </c>
      <c r="N350" s="9"/>
      <c r="O350" s="22">
        <v>1.61209</v>
      </c>
      <c r="P350" s="22">
        <v>101.974</v>
      </c>
      <c r="Q350" s="22">
        <v>0.13464400000000001</v>
      </c>
      <c r="R350" s="22">
        <v>340</v>
      </c>
      <c r="S350" s="22">
        <v>0.28149400000000002</v>
      </c>
      <c r="T350">
        <f t="shared" si="62"/>
        <v>-134.64400000000001</v>
      </c>
      <c r="U350">
        <f t="shared" si="63"/>
        <v>-217.05824596000002</v>
      </c>
      <c r="X350" s="9"/>
      <c r="Y350" s="22">
        <v>4.79126E-2</v>
      </c>
      <c r="Z350" s="22">
        <v>151.376</v>
      </c>
      <c r="AA350" s="22">
        <v>-1.7474400000000001E-2</v>
      </c>
      <c r="AB350" s="22">
        <v>340</v>
      </c>
      <c r="AC350" s="22">
        <v>4.7549399999999999E-2</v>
      </c>
      <c r="AD350">
        <f t="shared" si="64"/>
        <v>17.474400000000003</v>
      </c>
      <c r="AE350">
        <f t="shared" si="65"/>
        <v>0.83724393744000014</v>
      </c>
      <c r="AF350" s="9"/>
      <c r="AG350" s="22">
        <v>1.61209</v>
      </c>
      <c r="AH350" s="22">
        <v>200.74299999999999</v>
      </c>
      <c r="AI350" s="22">
        <v>0.134155</v>
      </c>
      <c r="AJ350" s="22">
        <v>340</v>
      </c>
      <c r="AK350" s="22">
        <v>0.276611</v>
      </c>
      <c r="AL350">
        <f t="shared" si="66"/>
        <v>-134.155</v>
      </c>
      <c r="AM350">
        <f t="shared" si="67"/>
        <v>-216.26993395</v>
      </c>
      <c r="AP350" s="9"/>
      <c r="AQ350" s="22">
        <v>4.79126E-2</v>
      </c>
      <c r="AR350" s="22">
        <v>250.02500000000001</v>
      </c>
      <c r="AS350" s="22">
        <v>-1.7459100000000002E-2</v>
      </c>
      <c r="AT350" s="22">
        <v>340</v>
      </c>
      <c r="AU350" s="22">
        <v>4.8028599999999998E-2</v>
      </c>
      <c r="AV350">
        <f t="shared" si="68"/>
        <v>17.459100000000003</v>
      </c>
      <c r="AW350">
        <f t="shared" si="69"/>
        <v>0.83651087466000018</v>
      </c>
      <c r="AX350" s="9"/>
      <c r="AY350" s="22">
        <v>1.61209</v>
      </c>
      <c r="AZ350" s="22">
        <v>299.39100000000002</v>
      </c>
      <c r="BA350" s="22">
        <v>0.137238</v>
      </c>
      <c r="BB350" s="22">
        <v>340</v>
      </c>
      <c r="BC350" s="22">
        <v>0.26998899999999998</v>
      </c>
      <c r="BD350">
        <f t="shared" si="70"/>
        <v>-137.238</v>
      </c>
      <c r="BE350">
        <f t="shared" si="71"/>
        <v>-221.24000742000001</v>
      </c>
    </row>
    <row r="351" spans="6:57">
      <c r="F351" s="9"/>
      <c r="G351" s="22">
        <v>4.2877199999999997E-2</v>
      </c>
      <c r="H351" s="22">
        <v>52.740400000000001</v>
      </c>
      <c r="I351" s="22">
        <v>-1.7526199999999999E-2</v>
      </c>
      <c r="J351" s="22">
        <v>341</v>
      </c>
      <c r="K351" s="22">
        <v>4.2898600000000002E-2</v>
      </c>
      <c r="L351">
        <f t="shared" si="60"/>
        <v>17.526199999999999</v>
      </c>
      <c r="M351">
        <f t="shared" si="61"/>
        <v>0.75147438263999988</v>
      </c>
      <c r="N351" s="9"/>
      <c r="O351" s="22">
        <v>1.61713</v>
      </c>
      <c r="P351" s="22">
        <v>101.98399999999999</v>
      </c>
      <c r="Q351" s="22">
        <v>0.13470499999999999</v>
      </c>
      <c r="R351" s="22">
        <v>341</v>
      </c>
      <c r="S351" s="22">
        <v>0.28146399999999999</v>
      </c>
      <c r="T351">
        <f t="shared" si="62"/>
        <v>-134.70499999999998</v>
      </c>
      <c r="U351">
        <f t="shared" si="63"/>
        <v>-217.83549664999998</v>
      </c>
      <c r="X351" s="9"/>
      <c r="Y351" s="22">
        <v>4.2877199999999997E-2</v>
      </c>
      <c r="Z351" s="22">
        <v>151.386</v>
      </c>
      <c r="AA351" s="22">
        <v>-1.7471299999999999E-2</v>
      </c>
      <c r="AB351" s="22">
        <v>341</v>
      </c>
      <c r="AC351" s="22">
        <v>4.2883299999999999E-2</v>
      </c>
      <c r="AD351">
        <f t="shared" si="64"/>
        <v>17.471299999999999</v>
      </c>
      <c r="AE351">
        <f t="shared" si="65"/>
        <v>0.74912042435999993</v>
      </c>
      <c r="AF351" s="9"/>
      <c r="AG351" s="22">
        <v>1.61713</v>
      </c>
      <c r="AH351" s="22">
        <v>200.75299999999999</v>
      </c>
      <c r="AI351" s="22">
        <v>0.13394200000000001</v>
      </c>
      <c r="AJ351" s="22">
        <v>341</v>
      </c>
      <c r="AK351" s="22">
        <v>0.27612300000000001</v>
      </c>
      <c r="AL351">
        <f t="shared" si="66"/>
        <v>-133.94200000000001</v>
      </c>
      <c r="AM351">
        <f t="shared" si="67"/>
        <v>-216.60162646000001</v>
      </c>
      <c r="AP351" s="9"/>
      <c r="AQ351" s="22">
        <v>4.2877199999999997E-2</v>
      </c>
      <c r="AR351" s="22">
        <v>250.035</v>
      </c>
      <c r="AS351" s="22">
        <v>-1.7462200000000001E-2</v>
      </c>
      <c r="AT351" s="22">
        <v>341</v>
      </c>
      <c r="AU351" s="22">
        <v>4.2773400000000003E-2</v>
      </c>
      <c r="AV351">
        <f t="shared" si="68"/>
        <v>17.462199999999999</v>
      </c>
      <c r="AW351">
        <f t="shared" si="69"/>
        <v>0.74873024183999992</v>
      </c>
      <c r="AX351" s="9"/>
      <c r="AY351" s="22">
        <v>1.61713</v>
      </c>
      <c r="AZ351" s="22">
        <v>299.40199999999999</v>
      </c>
      <c r="BA351" s="22">
        <v>0.137238</v>
      </c>
      <c r="BB351" s="22">
        <v>341</v>
      </c>
      <c r="BC351" s="22">
        <v>0.27001999999999998</v>
      </c>
      <c r="BD351">
        <f t="shared" si="70"/>
        <v>-137.238</v>
      </c>
      <c r="BE351">
        <f t="shared" si="71"/>
        <v>-221.93168693999999</v>
      </c>
    </row>
    <row r="352" spans="6:57">
      <c r="F352" s="9"/>
      <c r="G352" s="22">
        <v>3.7841800000000002E-2</v>
      </c>
      <c r="H352" s="22">
        <v>52.750399999999999</v>
      </c>
      <c r="I352" s="22">
        <v>-1.7529300000000001E-2</v>
      </c>
      <c r="J352" s="22">
        <v>342</v>
      </c>
      <c r="K352" s="22">
        <v>3.8705400000000001E-2</v>
      </c>
      <c r="L352">
        <f t="shared" si="60"/>
        <v>17.529300000000003</v>
      </c>
      <c r="M352">
        <f t="shared" si="61"/>
        <v>0.66334026474000019</v>
      </c>
      <c r="N352" s="9"/>
      <c r="O352" s="22">
        <v>1.62216</v>
      </c>
      <c r="P352" s="22">
        <v>101.994</v>
      </c>
      <c r="Q352" s="22">
        <v>0.13473499999999999</v>
      </c>
      <c r="R352" s="22">
        <v>342</v>
      </c>
      <c r="S352" s="22">
        <v>0.279358</v>
      </c>
      <c r="T352">
        <f t="shared" si="62"/>
        <v>-134.73499999999999</v>
      </c>
      <c r="U352">
        <f t="shared" si="63"/>
        <v>-218.56172759999998</v>
      </c>
      <c r="X352" s="9"/>
      <c r="Y352" s="22">
        <v>3.7841800000000002E-2</v>
      </c>
      <c r="Z352" s="22">
        <v>151.39599999999999</v>
      </c>
      <c r="AA352" s="22">
        <v>-1.7468299999999999E-2</v>
      </c>
      <c r="AB352" s="22">
        <v>342</v>
      </c>
      <c r="AC352" s="22">
        <v>3.7826499999999999E-2</v>
      </c>
      <c r="AD352">
        <f t="shared" si="64"/>
        <v>17.468299999999999</v>
      </c>
      <c r="AE352">
        <f t="shared" si="65"/>
        <v>0.66103191494000002</v>
      </c>
      <c r="AF352" s="9"/>
      <c r="AG352" s="22">
        <v>1.62216</v>
      </c>
      <c r="AH352" s="22">
        <v>200.76300000000001</v>
      </c>
      <c r="AI352" s="22">
        <v>0.134491</v>
      </c>
      <c r="AJ352" s="22">
        <v>342</v>
      </c>
      <c r="AK352" s="22">
        <v>0.27615400000000001</v>
      </c>
      <c r="AL352">
        <f t="shared" si="66"/>
        <v>-134.49099999999999</v>
      </c>
      <c r="AM352">
        <f t="shared" si="67"/>
        <v>-218.16592055999999</v>
      </c>
      <c r="AP352" s="9"/>
      <c r="AQ352" s="22">
        <v>3.7841800000000002E-2</v>
      </c>
      <c r="AR352" s="22">
        <v>250.04499999999999</v>
      </c>
      <c r="AS352" s="22">
        <v>-1.74652E-2</v>
      </c>
      <c r="AT352" s="22">
        <v>342</v>
      </c>
      <c r="AU352" s="22">
        <v>3.8107299999999997E-2</v>
      </c>
      <c r="AV352">
        <f t="shared" si="68"/>
        <v>17.465199999999999</v>
      </c>
      <c r="AW352">
        <f t="shared" si="69"/>
        <v>0.66091460536000002</v>
      </c>
      <c r="AX352" s="9"/>
      <c r="AY352" s="22">
        <v>1.62216</v>
      </c>
      <c r="AZ352" s="22">
        <v>299.41199999999998</v>
      </c>
      <c r="BA352" s="22">
        <v>0.13702400000000001</v>
      </c>
      <c r="BB352" s="22">
        <v>342</v>
      </c>
      <c r="BC352" s="22">
        <v>0.27005000000000001</v>
      </c>
      <c r="BD352">
        <f t="shared" si="70"/>
        <v>-137.024</v>
      </c>
      <c r="BE352">
        <f t="shared" si="71"/>
        <v>-222.27485184</v>
      </c>
    </row>
    <row r="353" spans="6:57">
      <c r="F353" s="9"/>
      <c r="G353" s="22">
        <v>3.2806399999999999E-2</v>
      </c>
      <c r="H353" s="22">
        <v>52.7605</v>
      </c>
      <c r="I353" s="22">
        <v>-1.75354E-2</v>
      </c>
      <c r="J353" s="22">
        <v>343</v>
      </c>
      <c r="K353" s="22">
        <v>3.2495099999999999E-2</v>
      </c>
      <c r="L353">
        <f t="shared" si="60"/>
        <v>17.535399999999999</v>
      </c>
      <c r="M353">
        <f t="shared" si="61"/>
        <v>0.57527334655999995</v>
      </c>
      <c r="N353" s="9"/>
      <c r="O353" s="22">
        <v>1.6272</v>
      </c>
      <c r="P353" s="22">
        <v>102.004</v>
      </c>
      <c r="Q353" s="22">
        <v>0.13467399999999999</v>
      </c>
      <c r="R353" s="22">
        <v>343</v>
      </c>
      <c r="S353" s="22">
        <v>0.28326400000000002</v>
      </c>
      <c r="T353">
        <f t="shared" si="62"/>
        <v>-134.67399999999998</v>
      </c>
      <c r="U353">
        <f t="shared" si="63"/>
        <v>-219.14153279999996</v>
      </c>
      <c r="X353" s="9"/>
      <c r="Y353" s="22">
        <v>3.2806399999999999E-2</v>
      </c>
      <c r="Z353" s="22">
        <v>151.40600000000001</v>
      </c>
      <c r="AA353" s="22">
        <v>-1.7471299999999999E-2</v>
      </c>
      <c r="AB353" s="22">
        <v>343</v>
      </c>
      <c r="AC353" s="22">
        <v>3.2653799999999997E-2</v>
      </c>
      <c r="AD353">
        <f t="shared" si="64"/>
        <v>17.471299999999999</v>
      </c>
      <c r="AE353">
        <f t="shared" si="65"/>
        <v>0.57317045631999997</v>
      </c>
      <c r="AF353" s="9"/>
      <c r="AG353" s="22">
        <v>1.6272</v>
      </c>
      <c r="AH353" s="22">
        <v>200.773</v>
      </c>
      <c r="AI353" s="22">
        <v>0.134552</v>
      </c>
      <c r="AJ353" s="22">
        <v>343</v>
      </c>
      <c r="AK353" s="22">
        <v>0.27673300000000001</v>
      </c>
      <c r="AL353">
        <f t="shared" si="66"/>
        <v>-134.55199999999999</v>
      </c>
      <c r="AM353">
        <f t="shared" si="67"/>
        <v>-218.94301439999998</v>
      </c>
      <c r="AP353" s="9"/>
      <c r="AQ353" s="22">
        <v>3.2806399999999999E-2</v>
      </c>
      <c r="AR353" s="22">
        <v>250.05500000000001</v>
      </c>
      <c r="AS353" s="22">
        <v>-1.7471299999999999E-2</v>
      </c>
      <c r="AT353" s="22">
        <v>343</v>
      </c>
      <c r="AU353" s="22">
        <v>3.2699600000000002E-2</v>
      </c>
      <c r="AV353">
        <f t="shared" si="68"/>
        <v>17.471299999999999</v>
      </c>
      <c r="AW353">
        <f t="shared" si="69"/>
        <v>0.57317045631999997</v>
      </c>
      <c r="AX353" s="9"/>
      <c r="AY353" s="22">
        <v>1.6272</v>
      </c>
      <c r="AZ353" s="22">
        <v>299.42200000000003</v>
      </c>
      <c r="BA353" s="22">
        <v>0.13711499999999999</v>
      </c>
      <c r="BB353" s="22">
        <v>343</v>
      </c>
      <c r="BC353" s="22">
        <v>0.27044699999999999</v>
      </c>
      <c r="BD353">
        <f t="shared" si="70"/>
        <v>-137.11499999999998</v>
      </c>
      <c r="BE353">
        <f t="shared" si="71"/>
        <v>-223.11352799999997</v>
      </c>
    </row>
    <row r="354" spans="6:57">
      <c r="F354" s="9"/>
      <c r="G354" s="22">
        <v>2.7771000000000001E-2</v>
      </c>
      <c r="H354" s="22">
        <v>52.770600000000002</v>
      </c>
      <c r="I354" s="22">
        <v>-1.75354E-2</v>
      </c>
      <c r="J354" s="22">
        <v>344</v>
      </c>
      <c r="K354" s="22">
        <v>2.7764899999999999E-2</v>
      </c>
      <c r="L354">
        <f t="shared" si="60"/>
        <v>17.535399999999999</v>
      </c>
      <c r="M354">
        <f t="shared" si="61"/>
        <v>0.48697559339999996</v>
      </c>
      <c r="N354" s="9"/>
      <c r="O354" s="22">
        <v>1.6322300000000001</v>
      </c>
      <c r="P354" s="22">
        <v>102.014</v>
      </c>
      <c r="Q354" s="22">
        <v>0.13442999999999999</v>
      </c>
      <c r="R354" s="22">
        <v>344</v>
      </c>
      <c r="S354" s="22">
        <v>0.28311199999999997</v>
      </c>
      <c r="T354">
        <f t="shared" si="62"/>
        <v>-134.43</v>
      </c>
      <c r="U354">
        <f t="shared" si="63"/>
        <v>-219.42067890000001</v>
      </c>
      <c r="X354" s="9"/>
      <c r="Y354" s="22">
        <v>2.7771000000000001E-2</v>
      </c>
      <c r="Z354" s="22">
        <v>151.416</v>
      </c>
      <c r="AA354" s="22">
        <v>-1.7474400000000001E-2</v>
      </c>
      <c r="AB354" s="22">
        <v>344</v>
      </c>
      <c r="AC354" s="22">
        <v>2.78809E-2</v>
      </c>
      <c r="AD354">
        <f t="shared" si="64"/>
        <v>17.474400000000003</v>
      </c>
      <c r="AE354">
        <f t="shared" si="65"/>
        <v>0.48528156240000009</v>
      </c>
      <c r="AF354" s="9"/>
      <c r="AG354" s="22">
        <v>1.6322300000000001</v>
      </c>
      <c r="AH354" s="22">
        <v>200.78299999999999</v>
      </c>
      <c r="AI354" s="22">
        <v>0.13427700000000001</v>
      </c>
      <c r="AJ354" s="22">
        <v>344</v>
      </c>
      <c r="AK354" s="22">
        <v>0.27642800000000001</v>
      </c>
      <c r="AL354">
        <f t="shared" si="66"/>
        <v>-134.27700000000002</v>
      </c>
      <c r="AM354">
        <f t="shared" si="67"/>
        <v>-219.17094771000004</v>
      </c>
      <c r="AP354" s="9"/>
      <c r="AQ354" s="22">
        <v>2.7771000000000001E-2</v>
      </c>
      <c r="AR354" s="22">
        <v>250.065</v>
      </c>
      <c r="AS354" s="22">
        <v>-1.7474400000000001E-2</v>
      </c>
      <c r="AT354" s="22">
        <v>344</v>
      </c>
      <c r="AU354" s="22">
        <v>2.7450599999999999E-2</v>
      </c>
      <c r="AV354">
        <f t="shared" si="68"/>
        <v>17.474400000000003</v>
      </c>
      <c r="AW354">
        <f t="shared" si="69"/>
        <v>0.48528156240000009</v>
      </c>
      <c r="AX354" s="9"/>
      <c r="AY354" s="22">
        <v>1.6322300000000001</v>
      </c>
      <c r="AZ354" s="22">
        <v>299.43200000000002</v>
      </c>
      <c r="BA354" s="22">
        <v>0.13708500000000001</v>
      </c>
      <c r="BB354" s="22">
        <v>344</v>
      </c>
      <c r="BC354" s="22">
        <v>0.27047700000000002</v>
      </c>
      <c r="BD354">
        <f t="shared" si="70"/>
        <v>-137.08500000000001</v>
      </c>
      <c r="BE354">
        <f t="shared" si="71"/>
        <v>-223.75424955000003</v>
      </c>
    </row>
    <row r="355" spans="6:57">
      <c r="F355" s="9"/>
      <c r="G355" s="22">
        <v>2.2735600000000002E-2</v>
      </c>
      <c r="H355" s="22">
        <v>52.7806</v>
      </c>
      <c r="I355" s="22">
        <v>-1.75354E-2</v>
      </c>
      <c r="J355" s="22">
        <v>345</v>
      </c>
      <c r="K355" s="22">
        <v>2.2149700000000001E-2</v>
      </c>
      <c r="L355">
        <f t="shared" si="60"/>
        <v>17.535399999999999</v>
      </c>
      <c r="M355">
        <f t="shared" si="61"/>
        <v>0.39867784024000003</v>
      </c>
      <c r="N355" s="9"/>
      <c r="O355" s="22">
        <v>1.63727</v>
      </c>
      <c r="P355" s="22">
        <v>102.024</v>
      </c>
      <c r="Q355" s="22">
        <v>0.134491</v>
      </c>
      <c r="R355" s="22">
        <v>345</v>
      </c>
      <c r="S355" s="22">
        <v>0.28277600000000003</v>
      </c>
      <c r="T355">
        <f t="shared" si="62"/>
        <v>-134.49099999999999</v>
      </c>
      <c r="U355">
        <f t="shared" si="63"/>
        <v>-220.19807956999998</v>
      </c>
      <c r="X355" s="9"/>
      <c r="Y355" s="22">
        <v>2.2735600000000002E-2</v>
      </c>
      <c r="Z355" s="22">
        <v>151.42599999999999</v>
      </c>
      <c r="AA355" s="22">
        <v>-1.7474400000000001E-2</v>
      </c>
      <c r="AB355" s="22">
        <v>345</v>
      </c>
      <c r="AC355" s="22">
        <v>2.28516E-2</v>
      </c>
      <c r="AD355">
        <f t="shared" si="64"/>
        <v>17.474400000000003</v>
      </c>
      <c r="AE355">
        <f t="shared" si="65"/>
        <v>0.39729096864000008</v>
      </c>
      <c r="AF355" s="9"/>
      <c r="AG355" s="22">
        <v>1.63727</v>
      </c>
      <c r="AH355" s="22">
        <v>200.79300000000001</v>
      </c>
      <c r="AI355" s="22">
        <v>0.13427700000000001</v>
      </c>
      <c r="AJ355" s="22">
        <v>345</v>
      </c>
      <c r="AK355" s="22">
        <v>0.27667199999999997</v>
      </c>
      <c r="AL355">
        <f t="shared" si="66"/>
        <v>-134.27700000000002</v>
      </c>
      <c r="AM355">
        <f t="shared" si="67"/>
        <v>-219.84770379000003</v>
      </c>
      <c r="AP355" s="9"/>
      <c r="AQ355" s="22">
        <v>2.2735600000000002E-2</v>
      </c>
      <c r="AR355" s="22">
        <v>250.07499999999999</v>
      </c>
      <c r="AS355" s="22">
        <v>-1.74805E-2</v>
      </c>
      <c r="AT355" s="22">
        <v>345</v>
      </c>
      <c r="AU355" s="22">
        <v>2.2177100000000002E-2</v>
      </c>
      <c r="AV355">
        <f t="shared" si="68"/>
        <v>17.480499999999999</v>
      </c>
      <c r="AW355">
        <f t="shared" si="69"/>
        <v>0.3974296558</v>
      </c>
      <c r="AX355" s="9"/>
      <c r="AY355" s="22">
        <v>1.63727</v>
      </c>
      <c r="AZ355" s="22">
        <v>299.44200000000001</v>
      </c>
      <c r="BA355" s="22">
        <v>0.13705400000000001</v>
      </c>
      <c r="BB355" s="22">
        <v>345</v>
      </c>
      <c r="BC355" s="22">
        <v>0.270538</v>
      </c>
      <c r="BD355">
        <f t="shared" si="70"/>
        <v>-137.054</v>
      </c>
      <c r="BE355">
        <f t="shared" si="71"/>
        <v>-224.39440257999999</v>
      </c>
    </row>
    <row r="356" spans="6:57">
      <c r="F356" s="9"/>
      <c r="G356" s="22">
        <v>1.7700199999999999E-2</v>
      </c>
      <c r="H356" s="22">
        <v>52.790700000000001</v>
      </c>
      <c r="I356" s="22">
        <v>-1.7541500000000002E-2</v>
      </c>
      <c r="J356" s="22">
        <v>346</v>
      </c>
      <c r="K356" s="22">
        <v>1.75079E-2</v>
      </c>
      <c r="L356">
        <f t="shared" si="60"/>
        <v>17.541500000000003</v>
      </c>
      <c r="M356">
        <f t="shared" si="61"/>
        <v>0.31048805830000004</v>
      </c>
      <c r="N356" s="9"/>
      <c r="O356" s="22">
        <v>1.6423000000000001</v>
      </c>
      <c r="P356" s="22">
        <v>102.03400000000001</v>
      </c>
      <c r="Q356" s="22">
        <v>0.13439899999999999</v>
      </c>
      <c r="R356" s="22">
        <v>346</v>
      </c>
      <c r="S356" s="22">
        <v>0.28417999999999999</v>
      </c>
      <c r="T356">
        <f t="shared" si="62"/>
        <v>-134.399</v>
      </c>
      <c r="U356">
        <f t="shared" si="63"/>
        <v>-220.72347770000002</v>
      </c>
      <c r="X356" s="9"/>
      <c r="Y356" s="22">
        <v>1.7700199999999999E-2</v>
      </c>
      <c r="Z356" s="22">
        <v>151.43700000000001</v>
      </c>
      <c r="AA356" s="22">
        <v>-1.74805E-2</v>
      </c>
      <c r="AB356" s="22">
        <v>346</v>
      </c>
      <c r="AC356" s="22">
        <v>1.7132600000000001E-2</v>
      </c>
      <c r="AD356">
        <f t="shared" si="64"/>
        <v>17.480499999999999</v>
      </c>
      <c r="AE356">
        <f t="shared" si="65"/>
        <v>0.30940834609999995</v>
      </c>
      <c r="AF356" s="9"/>
      <c r="AG356" s="22">
        <v>1.6423000000000001</v>
      </c>
      <c r="AH356" s="22">
        <v>200.803</v>
      </c>
      <c r="AI356" s="22">
        <v>0.13433800000000001</v>
      </c>
      <c r="AJ356" s="22">
        <v>346</v>
      </c>
      <c r="AK356" s="22">
        <v>0.27612300000000001</v>
      </c>
      <c r="AL356">
        <f t="shared" si="66"/>
        <v>-134.33800000000002</v>
      </c>
      <c r="AM356">
        <f t="shared" si="67"/>
        <v>-220.62329740000004</v>
      </c>
      <c r="AP356" s="9"/>
      <c r="AQ356" s="22">
        <v>1.7700199999999999E-2</v>
      </c>
      <c r="AR356" s="22">
        <v>250.08500000000001</v>
      </c>
      <c r="AS356" s="22">
        <v>-1.7474400000000001E-2</v>
      </c>
      <c r="AT356" s="22">
        <v>346</v>
      </c>
      <c r="AU356" s="22">
        <v>1.75903E-2</v>
      </c>
      <c r="AV356">
        <f t="shared" si="68"/>
        <v>17.474400000000003</v>
      </c>
      <c r="AW356">
        <f t="shared" si="69"/>
        <v>0.30930037488000006</v>
      </c>
      <c r="AX356" s="9"/>
      <c r="AY356" s="22">
        <v>1.6423000000000001</v>
      </c>
      <c r="AZ356" s="22">
        <v>299.452</v>
      </c>
      <c r="BA356" s="22">
        <v>0.136963</v>
      </c>
      <c r="BB356" s="22">
        <v>346</v>
      </c>
      <c r="BC356" s="22">
        <v>0.27075199999999999</v>
      </c>
      <c r="BD356">
        <f t="shared" si="70"/>
        <v>-136.96299999999999</v>
      </c>
      <c r="BE356">
        <f t="shared" si="71"/>
        <v>-224.93433490000001</v>
      </c>
    </row>
    <row r="357" spans="6:57">
      <c r="F357" s="9"/>
      <c r="G357" s="22">
        <v>1.26648E-2</v>
      </c>
      <c r="H357" s="22">
        <v>52.800800000000002</v>
      </c>
      <c r="I357" s="22">
        <v>-1.75446E-2</v>
      </c>
      <c r="J357" s="22">
        <v>347</v>
      </c>
      <c r="K357" s="22">
        <v>1.24878E-2</v>
      </c>
      <c r="L357">
        <f t="shared" si="60"/>
        <v>17.544599999999999</v>
      </c>
      <c r="M357">
        <f t="shared" si="61"/>
        <v>0.22219885007999998</v>
      </c>
      <c r="N357" s="9"/>
      <c r="O357" s="22">
        <v>1.64734</v>
      </c>
      <c r="P357" s="22">
        <v>102.044</v>
      </c>
      <c r="Q357" s="22">
        <v>0.13436899999999999</v>
      </c>
      <c r="R357" s="22">
        <v>347</v>
      </c>
      <c r="S357" s="22">
        <v>0.28308100000000003</v>
      </c>
      <c r="T357">
        <f t="shared" si="62"/>
        <v>-134.369</v>
      </c>
      <c r="U357">
        <f t="shared" si="63"/>
        <v>-221.35142845999999</v>
      </c>
      <c r="X357" s="9"/>
      <c r="Y357" s="22">
        <v>1.26648E-2</v>
      </c>
      <c r="Z357" s="22">
        <v>151.447</v>
      </c>
      <c r="AA357" s="22">
        <v>-1.74805E-2</v>
      </c>
      <c r="AB357" s="22">
        <v>347</v>
      </c>
      <c r="AC357" s="22">
        <v>1.31927E-2</v>
      </c>
      <c r="AD357">
        <f t="shared" si="64"/>
        <v>17.480499999999999</v>
      </c>
      <c r="AE357">
        <f t="shared" si="65"/>
        <v>0.22138703639999999</v>
      </c>
      <c r="AF357" s="9"/>
      <c r="AG357" s="22">
        <v>1.64734</v>
      </c>
      <c r="AH357" s="22">
        <v>200.81299999999999</v>
      </c>
      <c r="AI357" s="22">
        <v>0.13430800000000001</v>
      </c>
      <c r="AJ357" s="22">
        <v>347</v>
      </c>
      <c r="AK357" s="22">
        <v>0.27606199999999997</v>
      </c>
      <c r="AL357">
        <f t="shared" si="66"/>
        <v>-134.30800000000002</v>
      </c>
      <c r="AM357">
        <f t="shared" si="67"/>
        <v>-221.25094072000005</v>
      </c>
      <c r="AP357" s="9"/>
      <c r="AQ357" s="22">
        <v>1.26648E-2</v>
      </c>
      <c r="AR357" s="22">
        <v>250.096</v>
      </c>
      <c r="AS357" s="22">
        <v>-1.7474400000000001E-2</v>
      </c>
      <c r="AT357" s="22">
        <v>347</v>
      </c>
      <c r="AU357" s="22">
        <v>1.30829E-2</v>
      </c>
      <c r="AV357">
        <f t="shared" si="68"/>
        <v>17.474400000000003</v>
      </c>
      <c r="AW357">
        <f t="shared" si="69"/>
        <v>0.22130978112000005</v>
      </c>
      <c r="AX357" s="9"/>
      <c r="AY357" s="22">
        <v>1.64734</v>
      </c>
      <c r="AZ357" s="22">
        <v>299.46199999999999</v>
      </c>
      <c r="BA357" s="22">
        <v>0.13680999999999999</v>
      </c>
      <c r="BB357" s="22">
        <v>347</v>
      </c>
      <c r="BC357" s="22">
        <v>0.27096599999999998</v>
      </c>
      <c r="BD357">
        <f t="shared" si="70"/>
        <v>-136.80999999999997</v>
      </c>
      <c r="BE357">
        <f t="shared" si="71"/>
        <v>-225.37258539999996</v>
      </c>
    </row>
    <row r="358" spans="6:57">
      <c r="F358" s="9"/>
      <c r="G358" s="22">
        <v>7.6293899999999998E-3</v>
      </c>
      <c r="H358" s="22">
        <v>52.8108</v>
      </c>
      <c r="I358" s="22">
        <v>-1.75446E-2</v>
      </c>
      <c r="J358" s="22">
        <v>348</v>
      </c>
      <c r="K358" s="22">
        <v>6.8054200000000004E-3</v>
      </c>
      <c r="L358">
        <f t="shared" si="60"/>
        <v>17.544599999999999</v>
      </c>
      <c r="M358">
        <f t="shared" si="61"/>
        <v>0.133854595794</v>
      </c>
      <c r="N358" s="9"/>
      <c r="O358" s="22">
        <v>1.6523699999999999</v>
      </c>
      <c r="P358" s="22">
        <v>102.054</v>
      </c>
      <c r="Q358" s="22">
        <v>0.13436899999999999</v>
      </c>
      <c r="R358" s="22">
        <v>348</v>
      </c>
      <c r="S358" s="22">
        <v>0.28417999999999999</v>
      </c>
      <c r="T358">
        <f t="shared" si="62"/>
        <v>-134.369</v>
      </c>
      <c r="U358">
        <f t="shared" si="63"/>
        <v>-222.02730452999998</v>
      </c>
      <c r="X358" s="9"/>
      <c r="Y358" s="22">
        <v>7.6293899999999998E-3</v>
      </c>
      <c r="Z358" s="22">
        <v>151.45699999999999</v>
      </c>
      <c r="AA358" s="22">
        <v>-1.7483499999999999E-2</v>
      </c>
      <c r="AB358" s="22">
        <v>348</v>
      </c>
      <c r="AC358" s="22">
        <v>7.3791500000000001E-3</v>
      </c>
      <c r="AD358">
        <f t="shared" si="64"/>
        <v>17.483499999999999</v>
      </c>
      <c r="AE358">
        <f t="shared" si="65"/>
        <v>0.133388440065</v>
      </c>
      <c r="AF358" s="9"/>
      <c r="AG358" s="22">
        <v>1.6523699999999999</v>
      </c>
      <c r="AH358" s="22">
        <v>200.82300000000001</v>
      </c>
      <c r="AI358" s="22">
        <v>0.134216</v>
      </c>
      <c r="AJ358" s="22">
        <v>348</v>
      </c>
      <c r="AK358" s="22">
        <v>0.275696</v>
      </c>
      <c r="AL358">
        <f t="shared" si="66"/>
        <v>-134.21600000000001</v>
      </c>
      <c r="AM358">
        <f t="shared" si="67"/>
        <v>-221.77449192</v>
      </c>
      <c r="AP358" s="9"/>
      <c r="AQ358" s="22">
        <v>7.6293899999999998E-3</v>
      </c>
      <c r="AR358" s="22">
        <v>250.10599999999999</v>
      </c>
      <c r="AS358" s="22">
        <v>-1.7474400000000001E-2</v>
      </c>
      <c r="AT358" s="22">
        <v>348</v>
      </c>
      <c r="AU358" s="22">
        <v>6.9152800000000002E-3</v>
      </c>
      <c r="AV358">
        <f t="shared" si="68"/>
        <v>17.474400000000003</v>
      </c>
      <c r="AW358">
        <f t="shared" si="69"/>
        <v>0.13331901261600002</v>
      </c>
      <c r="AX358" s="9"/>
      <c r="AY358" s="22">
        <v>1.6523699999999999</v>
      </c>
      <c r="AZ358" s="22">
        <v>299.47199999999998</v>
      </c>
      <c r="BA358" s="22">
        <v>0.13656599999999999</v>
      </c>
      <c r="BB358" s="22">
        <v>348</v>
      </c>
      <c r="BC358" s="22">
        <v>0.27413900000000002</v>
      </c>
      <c r="BD358">
        <f t="shared" si="70"/>
        <v>-136.566</v>
      </c>
      <c r="BE358">
        <f t="shared" si="71"/>
        <v>-225.65756141999998</v>
      </c>
    </row>
    <row r="359" spans="6:57">
      <c r="F359" s="9"/>
      <c r="G359" s="22">
        <v>2.59399E-3</v>
      </c>
      <c r="H359" s="22">
        <v>52.820900000000002</v>
      </c>
      <c r="I359" s="22">
        <v>-1.75446E-2</v>
      </c>
      <c r="J359" s="22">
        <v>349</v>
      </c>
      <c r="K359" s="22">
        <v>2.5085400000000001E-3</v>
      </c>
      <c r="L359">
        <f t="shared" si="60"/>
        <v>17.544599999999999</v>
      </c>
      <c r="M359">
        <f t="shared" si="61"/>
        <v>4.5510516953999998E-2</v>
      </c>
      <c r="N359" s="9"/>
      <c r="O359" s="22">
        <v>1.65741</v>
      </c>
      <c r="P359" s="22">
        <v>102.06399999999999</v>
      </c>
      <c r="Q359" s="22">
        <v>0.13461300000000001</v>
      </c>
      <c r="R359" s="22">
        <v>349</v>
      </c>
      <c r="S359" s="22">
        <v>0.28463699999999997</v>
      </c>
      <c r="T359">
        <f t="shared" si="62"/>
        <v>-134.613</v>
      </c>
      <c r="U359">
        <f t="shared" si="63"/>
        <v>-223.10893233000002</v>
      </c>
      <c r="X359" s="9"/>
      <c r="Y359" s="22">
        <v>2.59399E-3</v>
      </c>
      <c r="Z359" s="22">
        <v>151.46700000000001</v>
      </c>
      <c r="AA359" s="22">
        <v>-1.7483499999999999E-2</v>
      </c>
      <c r="AB359" s="22">
        <v>349</v>
      </c>
      <c r="AC359" s="22">
        <v>2.3437499999999999E-3</v>
      </c>
      <c r="AD359">
        <f t="shared" si="64"/>
        <v>17.483499999999999</v>
      </c>
      <c r="AE359">
        <f t="shared" si="65"/>
        <v>4.5352024164999998E-2</v>
      </c>
      <c r="AF359" s="9"/>
      <c r="AG359" s="22">
        <v>1.65741</v>
      </c>
      <c r="AH359" s="22">
        <v>200.833</v>
      </c>
      <c r="AI359" s="22">
        <v>0.134186</v>
      </c>
      <c r="AJ359" s="22">
        <v>349</v>
      </c>
      <c r="AK359" s="22">
        <v>0.27679399999999998</v>
      </c>
      <c r="AL359">
        <f t="shared" si="66"/>
        <v>-134.18600000000001</v>
      </c>
      <c r="AM359">
        <f t="shared" si="67"/>
        <v>-222.40121826000001</v>
      </c>
      <c r="AP359" s="9"/>
      <c r="AQ359" s="22">
        <v>2.59399E-3</v>
      </c>
      <c r="AR359" s="22">
        <v>250.11600000000001</v>
      </c>
      <c r="AS359" s="22">
        <v>-1.74805E-2</v>
      </c>
      <c r="AT359" s="22">
        <v>349</v>
      </c>
      <c r="AU359" s="22">
        <v>2.4566700000000002E-3</v>
      </c>
      <c r="AV359">
        <f t="shared" si="68"/>
        <v>17.480499999999999</v>
      </c>
      <c r="AW359">
        <f t="shared" si="69"/>
        <v>4.5344242194999995E-2</v>
      </c>
      <c r="AX359" s="9"/>
      <c r="AY359" s="22">
        <v>1.65741</v>
      </c>
      <c r="AZ359" s="22">
        <v>299.48200000000003</v>
      </c>
      <c r="BA359" s="22">
        <v>0.136597</v>
      </c>
      <c r="BB359" s="22">
        <v>349</v>
      </c>
      <c r="BC359" s="22">
        <v>0.27349899999999999</v>
      </c>
      <c r="BD359">
        <f t="shared" si="70"/>
        <v>-136.59700000000001</v>
      </c>
      <c r="BE359">
        <f t="shared" si="71"/>
        <v>-226.39723377000001</v>
      </c>
    </row>
    <row r="360" spans="6:57">
      <c r="F360" s="9"/>
      <c r="G360" s="22">
        <v>-2.4414100000000002E-3</v>
      </c>
      <c r="H360" s="22">
        <v>52.831000000000003</v>
      </c>
      <c r="I360" s="22">
        <v>-1.75476E-2</v>
      </c>
      <c r="J360" s="22">
        <v>350</v>
      </c>
      <c r="K360" s="22">
        <v>-2.30408E-3</v>
      </c>
      <c r="L360">
        <f t="shared" si="60"/>
        <v>17.547599999999999</v>
      </c>
      <c r="M360">
        <f t="shared" si="61"/>
        <v>-4.2840886116000003E-2</v>
      </c>
      <c r="N360" s="9"/>
      <c r="O360" s="22">
        <v>1.66245</v>
      </c>
      <c r="P360" s="22">
        <v>102.074</v>
      </c>
      <c r="Q360" s="22">
        <v>0.13458300000000001</v>
      </c>
      <c r="R360" s="22">
        <v>350</v>
      </c>
      <c r="S360" s="22">
        <v>0.28393600000000002</v>
      </c>
      <c r="T360">
        <f t="shared" si="62"/>
        <v>-134.583</v>
      </c>
      <c r="U360">
        <f t="shared" si="63"/>
        <v>-223.73750834999998</v>
      </c>
      <c r="X360" s="9"/>
      <c r="Y360" s="22">
        <v>-2.4414100000000002E-3</v>
      </c>
      <c r="Z360" s="22">
        <v>151.477</v>
      </c>
      <c r="AA360" s="22">
        <v>-1.7486600000000001E-2</v>
      </c>
      <c r="AB360" s="22">
        <v>350</v>
      </c>
      <c r="AC360" s="22">
        <v>-2.58179E-3</v>
      </c>
      <c r="AD360">
        <f t="shared" si="64"/>
        <v>17.486600000000003</v>
      </c>
      <c r="AE360">
        <f t="shared" si="65"/>
        <v>-4.2691960106000008E-2</v>
      </c>
      <c r="AF360" s="9"/>
      <c r="AG360" s="22">
        <v>1.66245</v>
      </c>
      <c r="AH360" s="22">
        <v>200.84299999999999</v>
      </c>
      <c r="AI360" s="22">
        <v>0.13412499999999999</v>
      </c>
      <c r="AJ360" s="22">
        <v>350</v>
      </c>
      <c r="AK360" s="22">
        <v>0.27572600000000003</v>
      </c>
      <c r="AL360">
        <f t="shared" si="66"/>
        <v>-134.125</v>
      </c>
      <c r="AM360">
        <f t="shared" si="67"/>
        <v>-222.97610624999999</v>
      </c>
      <c r="AP360" s="9"/>
      <c r="AQ360" s="22">
        <v>-2.4414100000000002E-3</v>
      </c>
      <c r="AR360" s="22">
        <v>250.126</v>
      </c>
      <c r="AS360" s="22">
        <v>-1.74805E-2</v>
      </c>
      <c r="AT360" s="22">
        <v>350</v>
      </c>
      <c r="AU360" s="22">
        <v>-2.6336699999999998E-3</v>
      </c>
      <c r="AV360">
        <f t="shared" si="68"/>
        <v>17.480499999999999</v>
      </c>
      <c r="AW360">
        <f t="shared" si="69"/>
        <v>-4.2677067504999999E-2</v>
      </c>
      <c r="AX360" s="9"/>
      <c r="AY360" s="22">
        <v>1.66245</v>
      </c>
      <c r="AZ360" s="22">
        <v>299.49200000000002</v>
      </c>
      <c r="BA360" s="22">
        <v>0.13650499999999999</v>
      </c>
      <c r="BB360" s="22">
        <v>350</v>
      </c>
      <c r="BC360" s="22">
        <v>0.27200299999999999</v>
      </c>
      <c r="BD360">
        <f t="shared" si="70"/>
        <v>-136.505</v>
      </c>
      <c r="BE360">
        <f t="shared" si="71"/>
        <v>-226.93273725</v>
      </c>
    </row>
    <row r="361" spans="6:57">
      <c r="F361" s="9"/>
      <c r="G361" s="22">
        <v>-7.4768100000000004E-3</v>
      </c>
      <c r="H361" s="22">
        <v>52.841099999999997</v>
      </c>
      <c r="I361" s="22">
        <v>-1.75446E-2</v>
      </c>
      <c r="J361" s="22">
        <v>351</v>
      </c>
      <c r="K361" s="22">
        <v>-7.6812699999999996E-3</v>
      </c>
      <c r="L361">
        <f t="shared" si="60"/>
        <v>17.544599999999999</v>
      </c>
      <c r="M361">
        <f t="shared" si="61"/>
        <v>-0.13117764072599999</v>
      </c>
      <c r="N361" s="9"/>
      <c r="O361" s="22">
        <v>1.6674800000000001</v>
      </c>
      <c r="P361" s="22">
        <v>102.084</v>
      </c>
      <c r="Q361" s="22">
        <v>0.134491</v>
      </c>
      <c r="R361" s="22">
        <v>351</v>
      </c>
      <c r="S361" s="22">
        <v>0.28384399999999999</v>
      </c>
      <c r="T361">
        <f t="shared" si="62"/>
        <v>-134.49099999999999</v>
      </c>
      <c r="U361">
        <f t="shared" si="63"/>
        <v>-224.26105267999998</v>
      </c>
      <c r="X361" s="9"/>
      <c r="Y361" s="22">
        <v>-7.4768100000000004E-3</v>
      </c>
      <c r="Z361" s="22">
        <v>151.48699999999999</v>
      </c>
      <c r="AA361" s="22">
        <v>-1.7483499999999999E-2</v>
      </c>
      <c r="AB361" s="22">
        <v>351</v>
      </c>
      <c r="AC361" s="22">
        <v>-7.2052000000000001E-3</v>
      </c>
      <c r="AD361">
        <f t="shared" si="64"/>
        <v>17.483499999999999</v>
      </c>
      <c r="AE361">
        <f t="shared" si="65"/>
        <v>-0.13072080763499999</v>
      </c>
      <c r="AF361" s="9"/>
      <c r="AG361" s="22">
        <v>1.6674800000000001</v>
      </c>
      <c r="AH361" s="22">
        <v>200.85300000000001</v>
      </c>
      <c r="AI361" s="22">
        <v>0.134155</v>
      </c>
      <c r="AJ361" s="22">
        <v>351</v>
      </c>
      <c r="AK361" s="22">
        <v>0.276337</v>
      </c>
      <c r="AL361">
        <f t="shared" si="66"/>
        <v>-134.155</v>
      </c>
      <c r="AM361">
        <f t="shared" si="67"/>
        <v>-223.70077940000002</v>
      </c>
      <c r="AP361" s="9"/>
      <c r="AQ361" s="22">
        <v>-7.4768100000000004E-3</v>
      </c>
      <c r="AR361" s="22">
        <v>250.136</v>
      </c>
      <c r="AS361" s="22">
        <v>-1.74805E-2</v>
      </c>
      <c r="AT361" s="22">
        <v>351</v>
      </c>
      <c r="AU361" s="22">
        <v>-7.63855E-3</v>
      </c>
      <c r="AV361">
        <f t="shared" si="68"/>
        <v>17.480499999999999</v>
      </c>
      <c r="AW361">
        <f t="shared" si="69"/>
        <v>-0.13069837720499999</v>
      </c>
      <c r="AX361" s="9"/>
      <c r="AY361" s="22">
        <v>1.6674800000000001</v>
      </c>
      <c r="AZ361" s="22">
        <v>299.50200000000001</v>
      </c>
      <c r="BA361" s="22">
        <v>0.136322</v>
      </c>
      <c r="BB361" s="22">
        <v>351</v>
      </c>
      <c r="BC361" s="22">
        <v>0.27178999999999998</v>
      </c>
      <c r="BD361">
        <f t="shared" si="70"/>
        <v>-136.322</v>
      </c>
      <c r="BE361">
        <f t="shared" si="71"/>
        <v>-227.31420856000003</v>
      </c>
    </row>
    <row r="362" spans="6:57">
      <c r="F362" s="9"/>
      <c r="G362" s="22">
        <v>-1.2512199999999999E-2</v>
      </c>
      <c r="H362" s="22">
        <v>52.851100000000002</v>
      </c>
      <c r="I362" s="22">
        <v>-1.75476E-2</v>
      </c>
      <c r="J362" s="22">
        <v>352</v>
      </c>
      <c r="K362" s="22">
        <v>-1.32538E-2</v>
      </c>
      <c r="L362">
        <f t="shared" si="60"/>
        <v>17.547599999999999</v>
      </c>
      <c r="M362">
        <f t="shared" si="61"/>
        <v>-0.21955908071999997</v>
      </c>
      <c r="N362" s="9"/>
      <c r="O362" s="22">
        <v>1.67252</v>
      </c>
      <c r="P362" s="22">
        <v>102.095</v>
      </c>
      <c r="Q362" s="22">
        <v>0.13442999999999999</v>
      </c>
      <c r="R362" s="22">
        <v>352</v>
      </c>
      <c r="S362" s="22">
        <v>0.28476000000000001</v>
      </c>
      <c r="T362">
        <f t="shared" si="62"/>
        <v>-134.43</v>
      </c>
      <c r="U362">
        <f t="shared" si="63"/>
        <v>-224.83686360000002</v>
      </c>
      <c r="X362" s="9"/>
      <c r="Y362" s="22">
        <v>-1.2512199999999999E-2</v>
      </c>
      <c r="Z362" s="22">
        <v>151.49700000000001</v>
      </c>
      <c r="AA362" s="22">
        <v>-1.7489600000000001E-2</v>
      </c>
      <c r="AB362" s="22">
        <v>352</v>
      </c>
      <c r="AC362" s="22">
        <v>-1.26465E-2</v>
      </c>
      <c r="AD362">
        <f t="shared" si="64"/>
        <v>17.489599999999999</v>
      </c>
      <c r="AE362">
        <f t="shared" si="65"/>
        <v>-0.21883337311999998</v>
      </c>
      <c r="AF362" s="9"/>
      <c r="AG362" s="22">
        <v>1.67252</v>
      </c>
      <c r="AH362" s="22">
        <v>200.863</v>
      </c>
      <c r="AI362" s="22">
        <v>0.13406399999999999</v>
      </c>
      <c r="AJ362" s="22">
        <v>352</v>
      </c>
      <c r="AK362" s="22">
        <v>0.27615400000000001</v>
      </c>
      <c r="AL362">
        <f t="shared" si="66"/>
        <v>-134.06399999999999</v>
      </c>
      <c r="AM362">
        <f t="shared" si="67"/>
        <v>-224.22472127999998</v>
      </c>
      <c r="AP362" s="9"/>
      <c r="AQ362" s="22">
        <v>-1.2512199999999999E-2</v>
      </c>
      <c r="AR362" s="22">
        <v>250.14599999999999</v>
      </c>
      <c r="AS362" s="22">
        <v>-1.7486600000000001E-2</v>
      </c>
      <c r="AT362" s="22">
        <v>352</v>
      </c>
      <c r="AU362" s="22">
        <v>-1.19293E-2</v>
      </c>
      <c r="AV362">
        <f t="shared" si="68"/>
        <v>17.486600000000003</v>
      </c>
      <c r="AW362">
        <f t="shared" si="69"/>
        <v>-0.21879583652000004</v>
      </c>
      <c r="AX362" s="9"/>
      <c r="AY362" s="22">
        <v>1.67252</v>
      </c>
      <c r="AZ362" s="22">
        <v>299.512</v>
      </c>
      <c r="BA362" s="22">
        <v>0.136383</v>
      </c>
      <c r="BB362" s="22">
        <v>352</v>
      </c>
      <c r="BC362" s="22">
        <v>0.27111800000000003</v>
      </c>
      <c r="BD362">
        <f t="shared" si="70"/>
        <v>-136.38300000000001</v>
      </c>
      <c r="BE362">
        <f t="shared" si="71"/>
        <v>-228.10329516000002</v>
      </c>
    </row>
    <row r="363" spans="6:57">
      <c r="F363" s="9"/>
      <c r="G363" s="22">
        <v>-1.75476E-2</v>
      </c>
      <c r="H363" s="22">
        <v>52.861199999999997</v>
      </c>
      <c r="I363" s="22">
        <v>-1.75476E-2</v>
      </c>
      <c r="J363" s="22">
        <v>353</v>
      </c>
      <c r="K363" s="22">
        <v>-1.7984E-2</v>
      </c>
      <c r="L363">
        <f t="shared" si="60"/>
        <v>17.547599999999999</v>
      </c>
      <c r="M363">
        <f t="shared" si="61"/>
        <v>-0.30791826575999998</v>
      </c>
      <c r="N363" s="9"/>
      <c r="O363" s="22">
        <v>1.6775500000000001</v>
      </c>
      <c r="P363" s="22">
        <v>102.105</v>
      </c>
      <c r="Q363" s="22">
        <v>0.13424700000000001</v>
      </c>
      <c r="R363" s="22">
        <v>353</v>
      </c>
      <c r="S363" s="22">
        <v>0.28421000000000002</v>
      </c>
      <c r="T363">
        <f t="shared" si="62"/>
        <v>-134.24700000000001</v>
      </c>
      <c r="U363">
        <f t="shared" si="63"/>
        <v>-225.20605485000004</v>
      </c>
      <c r="X363" s="9"/>
      <c r="Y363" s="22">
        <v>-1.75476E-2</v>
      </c>
      <c r="Z363" s="22">
        <v>151.50700000000001</v>
      </c>
      <c r="AA363" s="22">
        <v>-1.7486600000000001E-2</v>
      </c>
      <c r="AB363" s="22">
        <v>353</v>
      </c>
      <c r="AC363" s="22">
        <v>-1.7837499999999999E-2</v>
      </c>
      <c r="AD363">
        <f t="shared" si="64"/>
        <v>17.486600000000003</v>
      </c>
      <c r="AE363">
        <f t="shared" si="65"/>
        <v>-0.30684786216000004</v>
      </c>
      <c r="AF363" s="9"/>
      <c r="AG363" s="22">
        <v>1.6775500000000001</v>
      </c>
      <c r="AH363" s="22">
        <v>200.87299999999999</v>
      </c>
      <c r="AI363" s="22">
        <v>0.13381999999999999</v>
      </c>
      <c r="AJ363" s="22">
        <v>353</v>
      </c>
      <c r="AK363" s="22">
        <v>0.27609299999999998</v>
      </c>
      <c r="AL363">
        <f t="shared" si="66"/>
        <v>-133.82</v>
      </c>
      <c r="AM363">
        <f t="shared" si="67"/>
        <v>-224.48974100000001</v>
      </c>
      <c r="AP363" s="9"/>
      <c r="AQ363" s="22">
        <v>-1.75476E-2</v>
      </c>
      <c r="AR363" s="22">
        <v>250.15600000000001</v>
      </c>
      <c r="AS363" s="22">
        <v>-1.7489600000000001E-2</v>
      </c>
      <c r="AT363" s="22">
        <v>353</v>
      </c>
      <c r="AU363" s="22">
        <v>-1.7904699999999999E-2</v>
      </c>
      <c r="AV363">
        <f t="shared" si="68"/>
        <v>17.489599999999999</v>
      </c>
      <c r="AW363">
        <f t="shared" si="69"/>
        <v>-0.30690050495999999</v>
      </c>
      <c r="AX363" s="9"/>
      <c r="AY363" s="22">
        <v>1.6775500000000001</v>
      </c>
      <c r="AZ363" s="22">
        <v>299.52199999999999</v>
      </c>
      <c r="BA363" s="22">
        <v>0.136322</v>
      </c>
      <c r="BB363" s="22">
        <v>353</v>
      </c>
      <c r="BC363" s="22">
        <v>0.27142300000000003</v>
      </c>
      <c r="BD363">
        <f t="shared" si="70"/>
        <v>-136.322</v>
      </c>
      <c r="BE363">
        <f t="shared" si="71"/>
        <v>-228.68697110000002</v>
      </c>
    </row>
    <row r="364" spans="6:57">
      <c r="F364" s="9"/>
      <c r="G364" s="22">
        <v>-2.2582999999999999E-2</v>
      </c>
      <c r="H364" s="22">
        <v>52.871299999999998</v>
      </c>
      <c r="I364" s="22">
        <v>-1.7550699999999999E-2</v>
      </c>
      <c r="J364" s="22">
        <v>354</v>
      </c>
      <c r="K364" s="22">
        <v>-2.2869899999999999E-2</v>
      </c>
      <c r="L364">
        <f t="shared" si="60"/>
        <v>17.550699999999999</v>
      </c>
      <c r="M364">
        <f t="shared" si="61"/>
        <v>-0.39634745809999994</v>
      </c>
      <c r="N364" s="9"/>
      <c r="O364" s="22">
        <v>1.68259</v>
      </c>
      <c r="P364" s="22">
        <v>102.11499999999999</v>
      </c>
      <c r="Q364" s="22">
        <v>0.13464400000000001</v>
      </c>
      <c r="R364" s="22">
        <v>354</v>
      </c>
      <c r="S364" s="22">
        <v>0.283966</v>
      </c>
      <c r="T364">
        <f t="shared" si="62"/>
        <v>-134.64400000000001</v>
      </c>
      <c r="U364">
        <f t="shared" si="63"/>
        <v>-226.55064796000002</v>
      </c>
      <c r="X364" s="9"/>
      <c r="Y364" s="22">
        <v>-2.2582999999999999E-2</v>
      </c>
      <c r="Z364" s="22">
        <v>151.517</v>
      </c>
      <c r="AA364" s="22">
        <v>-1.74927E-2</v>
      </c>
      <c r="AB364" s="22">
        <v>354</v>
      </c>
      <c r="AC364" s="22">
        <v>-2.29065E-2</v>
      </c>
      <c r="AD364">
        <f t="shared" si="64"/>
        <v>17.492699999999999</v>
      </c>
      <c r="AE364">
        <f t="shared" si="65"/>
        <v>-0.39503764409999997</v>
      </c>
      <c r="AF364" s="9"/>
      <c r="AG364" s="22">
        <v>1.68259</v>
      </c>
      <c r="AH364" s="22">
        <v>200.88399999999999</v>
      </c>
      <c r="AI364" s="22">
        <v>0.13385</v>
      </c>
      <c r="AJ364" s="22">
        <v>354</v>
      </c>
      <c r="AK364" s="22">
        <v>0.275696</v>
      </c>
      <c r="AL364">
        <f t="shared" si="66"/>
        <v>-133.85</v>
      </c>
      <c r="AM364">
        <f t="shared" si="67"/>
        <v>-225.21467150000001</v>
      </c>
      <c r="AP364" s="9"/>
      <c r="AQ364" s="22">
        <v>-2.2582999999999999E-2</v>
      </c>
      <c r="AR364" s="22">
        <v>250.166</v>
      </c>
      <c r="AS364" s="22">
        <v>-1.7495699999999999E-2</v>
      </c>
      <c r="AT364" s="22">
        <v>354</v>
      </c>
      <c r="AU364" s="22">
        <v>-2.3358199999999999E-2</v>
      </c>
      <c r="AV364">
        <f t="shared" si="68"/>
        <v>17.495699999999999</v>
      </c>
      <c r="AW364">
        <f t="shared" si="69"/>
        <v>-0.39510539309999998</v>
      </c>
      <c r="AX364" s="9"/>
      <c r="AY364" s="22">
        <v>1.68259</v>
      </c>
      <c r="AZ364" s="22">
        <v>299.53199999999998</v>
      </c>
      <c r="BA364" s="22">
        <v>0.13619999999999999</v>
      </c>
      <c r="BB364" s="22">
        <v>354</v>
      </c>
      <c r="BC364" s="22">
        <v>0.27352900000000002</v>
      </c>
      <c r="BD364">
        <f t="shared" si="70"/>
        <v>-136.19999999999999</v>
      </c>
      <c r="BE364">
        <f t="shared" si="71"/>
        <v>-229.168758</v>
      </c>
    </row>
    <row r="365" spans="6:57">
      <c r="F365" s="9"/>
      <c r="G365" s="22">
        <v>-2.7618400000000001E-2</v>
      </c>
      <c r="H365" s="22">
        <v>52.881300000000003</v>
      </c>
      <c r="I365" s="22">
        <v>-1.7550699999999999E-2</v>
      </c>
      <c r="J365" s="22">
        <v>355</v>
      </c>
      <c r="K365" s="22">
        <v>-2.7871699999999999E-2</v>
      </c>
      <c r="L365">
        <f t="shared" si="60"/>
        <v>17.550699999999999</v>
      </c>
      <c r="M365">
        <f t="shared" si="61"/>
        <v>-0.48472225287999998</v>
      </c>
      <c r="N365" s="9"/>
      <c r="O365" s="22">
        <v>1.6876199999999999</v>
      </c>
      <c r="P365" s="22">
        <v>102.125</v>
      </c>
      <c r="Q365" s="22">
        <v>0.13424700000000001</v>
      </c>
      <c r="R365" s="22">
        <v>355</v>
      </c>
      <c r="S365" s="22">
        <v>0.28445399999999998</v>
      </c>
      <c r="T365">
        <f t="shared" si="62"/>
        <v>-134.24700000000001</v>
      </c>
      <c r="U365">
        <f t="shared" si="63"/>
        <v>-226.55792214000002</v>
      </c>
      <c r="X365" s="9"/>
      <c r="Y365" s="22">
        <v>-2.7618400000000001E-2</v>
      </c>
      <c r="Z365" s="22">
        <v>151.52699999999999</v>
      </c>
      <c r="AA365" s="22">
        <v>-1.7498799999999998E-2</v>
      </c>
      <c r="AB365" s="22">
        <v>355</v>
      </c>
      <c r="AC365" s="22">
        <v>-2.7865600000000001E-2</v>
      </c>
      <c r="AD365">
        <f t="shared" si="64"/>
        <v>17.498799999999999</v>
      </c>
      <c r="AE365">
        <f t="shared" si="65"/>
        <v>-0.48328885791999998</v>
      </c>
      <c r="AF365" s="9"/>
      <c r="AG365" s="22">
        <v>1.6876199999999999</v>
      </c>
      <c r="AH365" s="22">
        <v>200.89400000000001</v>
      </c>
      <c r="AI365" s="22">
        <v>0.13372800000000001</v>
      </c>
      <c r="AJ365" s="22">
        <v>355</v>
      </c>
      <c r="AK365" s="22">
        <v>0.27566499999999999</v>
      </c>
      <c r="AL365">
        <f t="shared" si="66"/>
        <v>-133.72800000000001</v>
      </c>
      <c r="AM365">
        <f t="shared" si="67"/>
        <v>-225.68204736000001</v>
      </c>
      <c r="AP365" s="9"/>
      <c r="AQ365" s="22">
        <v>-2.7618400000000001E-2</v>
      </c>
      <c r="AR365" s="22">
        <v>250.17599999999999</v>
      </c>
      <c r="AS365" s="22">
        <v>-1.7495699999999999E-2</v>
      </c>
      <c r="AT365" s="22">
        <v>355</v>
      </c>
      <c r="AU365" s="22">
        <v>-2.79358E-2</v>
      </c>
      <c r="AV365">
        <f t="shared" si="68"/>
        <v>17.495699999999999</v>
      </c>
      <c r="AW365">
        <f t="shared" si="69"/>
        <v>-0.48320324088</v>
      </c>
      <c r="AX365" s="9"/>
      <c r="AY365" s="22">
        <v>1.6876199999999999</v>
      </c>
      <c r="AZ365" s="22">
        <v>299.54300000000001</v>
      </c>
      <c r="BA365" s="22">
        <v>0.13622999999999999</v>
      </c>
      <c r="BB365" s="22">
        <v>355</v>
      </c>
      <c r="BC365" s="22">
        <v>0.27249099999999998</v>
      </c>
      <c r="BD365">
        <f t="shared" si="70"/>
        <v>-136.22999999999999</v>
      </c>
      <c r="BE365">
        <f t="shared" si="71"/>
        <v>-229.90447259999996</v>
      </c>
    </row>
    <row r="366" spans="6:57">
      <c r="F366" s="9"/>
      <c r="G366" s="22">
        <v>-3.2653799999999997E-2</v>
      </c>
      <c r="H366" s="22">
        <v>52.891399999999997</v>
      </c>
      <c r="I366" s="22">
        <v>-1.7550699999999999E-2</v>
      </c>
      <c r="J366" s="22">
        <v>356</v>
      </c>
      <c r="K366" s="22">
        <v>-3.3068800000000002E-2</v>
      </c>
      <c r="L366">
        <f t="shared" si="60"/>
        <v>17.550699999999999</v>
      </c>
      <c r="M366">
        <f t="shared" si="61"/>
        <v>-0.57309704765999991</v>
      </c>
      <c r="N366" s="9"/>
      <c r="O366" s="22">
        <v>1.6926600000000001</v>
      </c>
      <c r="P366" s="22">
        <v>102.13500000000001</v>
      </c>
      <c r="Q366" s="22">
        <v>0.13446</v>
      </c>
      <c r="R366" s="22">
        <v>356</v>
      </c>
      <c r="S366" s="22">
        <v>0.28417999999999999</v>
      </c>
      <c r="T366">
        <f t="shared" si="62"/>
        <v>-134.46</v>
      </c>
      <c r="U366">
        <f t="shared" si="63"/>
        <v>-227.59506360000003</v>
      </c>
      <c r="X366" s="9"/>
      <c r="Y366" s="22">
        <v>-3.2653799999999997E-2</v>
      </c>
      <c r="Z366" s="22">
        <v>151.53700000000001</v>
      </c>
      <c r="AA366" s="22">
        <v>-1.7498799999999998E-2</v>
      </c>
      <c r="AB366" s="22">
        <v>356</v>
      </c>
      <c r="AC366" s="22">
        <v>-3.2891799999999999E-2</v>
      </c>
      <c r="AD366">
        <f t="shared" si="64"/>
        <v>17.498799999999999</v>
      </c>
      <c r="AE366">
        <f t="shared" si="65"/>
        <v>-0.57140231543999986</v>
      </c>
      <c r="AF366" s="9"/>
      <c r="AG366" s="22">
        <v>1.6926600000000001</v>
      </c>
      <c r="AH366" s="22">
        <v>200.904</v>
      </c>
      <c r="AI366" s="22">
        <v>0.13366700000000001</v>
      </c>
      <c r="AJ366" s="22">
        <v>356</v>
      </c>
      <c r="AK366" s="22">
        <v>0.27682499999999999</v>
      </c>
      <c r="AL366">
        <f t="shared" si="66"/>
        <v>-133.667</v>
      </c>
      <c r="AM366">
        <f t="shared" si="67"/>
        <v>-226.25278422000002</v>
      </c>
      <c r="AP366" s="9"/>
      <c r="AQ366" s="22">
        <v>-3.2653799999999997E-2</v>
      </c>
      <c r="AR366" s="22">
        <v>250.18600000000001</v>
      </c>
      <c r="AS366" s="22">
        <v>-1.7495699999999999E-2</v>
      </c>
      <c r="AT366" s="22">
        <v>356</v>
      </c>
      <c r="AU366" s="22">
        <v>-3.3148200000000003E-2</v>
      </c>
      <c r="AV366">
        <f t="shared" si="68"/>
        <v>17.495699999999999</v>
      </c>
      <c r="AW366">
        <f t="shared" si="69"/>
        <v>-0.57130108865999996</v>
      </c>
      <c r="AX366" s="9"/>
      <c r="AY366" s="22">
        <v>1.6926600000000001</v>
      </c>
      <c r="AZ366" s="22">
        <v>299.553</v>
      </c>
      <c r="BA366" s="22">
        <v>0.13626099999999999</v>
      </c>
      <c r="BB366" s="22">
        <v>356</v>
      </c>
      <c r="BC366" s="22">
        <v>0.27255200000000002</v>
      </c>
      <c r="BD366">
        <f t="shared" si="70"/>
        <v>-136.261</v>
      </c>
      <c r="BE366">
        <f t="shared" si="71"/>
        <v>-230.64354426</v>
      </c>
    </row>
    <row r="367" spans="6:57">
      <c r="F367" s="9"/>
      <c r="G367" s="22">
        <v>-3.7689199999999999E-2</v>
      </c>
      <c r="H367" s="22">
        <v>52.901499999999999</v>
      </c>
      <c r="I367" s="22">
        <v>-1.7553699999999998E-2</v>
      </c>
      <c r="J367" s="22">
        <v>357</v>
      </c>
      <c r="K367" s="22">
        <v>-3.8088999999999998E-2</v>
      </c>
      <c r="L367">
        <f t="shared" si="60"/>
        <v>17.553699999999999</v>
      </c>
      <c r="M367">
        <f t="shared" si="61"/>
        <v>-0.66158491003999997</v>
      </c>
      <c r="N367" s="9"/>
      <c r="O367" s="22">
        <v>1.6976899999999999</v>
      </c>
      <c r="P367" s="22">
        <v>102.145</v>
      </c>
      <c r="Q367" s="22">
        <v>0.13439899999999999</v>
      </c>
      <c r="R367" s="22">
        <v>357</v>
      </c>
      <c r="S367" s="22">
        <v>0.28448499999999999</v>
      </c>
      <c r="T367">
        <f t="shared" si="62"/>
        <v>-134.399</v>
      </c>
      <c r="U367">
        <f t="shared" si="63"/>
        <v>-228.16783830999998</v>
      </c>
      <c r="X367" s="9"/>
      <c r="Y367" s="22">
        <v>-3.7689199999999999E-2</v>
      </c>
      <c r="Z367" s="22">
        <v>151.547</v>
      </c>
      <c r="AA367" s="22">
        <v>-1.75049E-2</v>
      </c>
      <c r="AB367" s="22">
        <v>357</v>
      </c>
      <c r="AC367" s="22">
        <v>-3.8021899999999997E-2</v>
      </c>
      <c r="AD367">
        <f t="shared" si="64"/>
        <v>17.504899999999999</v>
      </c>
      <c r="AE367">
        <f t="shared" si="65"/>
        <v>-0.65974567707999998</v>
      </c>
      <c r="AF367" s="9"/>
      <c r="AG367" s="22">
        <v>1.6976899999999999</v>
      </c>
      <c r="AH367" s="22">
        <v>200.91399999999999</v>
      </c>
      <c r="AI367" s="22">
        <v>0.13375899999999999</v>
      </c>
      <c r="AJ367" s="22">
        <v>357</v>
      </c>
      <c r="AK367" s="22">
        <v>0.27658100000000002</v>
      </c>
      <c r="AL367">
        <f t="shared" si="66"/>
        <v>-133.75899999999999</v>
      </c>
      <c r="AM367">
        <f t="shared" si="67"/>
        <v>-227.08131670999995</v>
      </c>
      <c r="AP367" s="9"/>
      <c r="AQ367" s="22">
        <v>-3.7689199999999999E-2</v>
      </c>
      <c r="AR367" s="22">
        <v>250.196</v>
      </c>
      <c r="AS367" s="22">
        <v>-1.7495699999999999E-2</v>
      </c>
      <c r="AT367" s="22">
        <v>357</v>
      </c>
      <c r="AU367" s="22">
        <v>-3.7881499999999999E-2</v>
      </c>
      <c r="AV367">
        <f t="shared" si="68"/>
        <v>17.495699999999999</v>
      </c>
      <c r="AW367">
        <f t="shared" si="69"/>
        <v>-0.65939893643999992</v>
      </c>
      <c r="AX367" s="9"/>
      <c r="AY367" s="22">
        <v>1.6976899999999999</v>
      </c>
      <c r="AZ367" s="22">
        <v>299.56299999999999</v>
      </c>
      <c r="BA367" s="22">
        <v>0.136078</v>
      </c>
      <c r="BB367" s="22">
        <v>357</v>
      </c>
      <c r="BC367" s="22">
        <v>0.27209499999999998</v>
      </c>
      <c r="BD367">
        <f t="shared" si="70"/>
        <v>-136.078</v>
      </c>
      <c r="BE367">
        <f t="shared" si="71"/>
        <v>-231.01825982</v>
      </c>
    </row>
    <row r="368" spans="6:57">
      <c r="F368" s="9"/>
      <c r="G368" s="22">
        <v>-4.2724600000000001E-2</v>
      </c>
      <c r="H368" s="22">
        <v>52.9116</v>
      </c>
      <c r="I368" s="22">
        <v>-1.7556800000000001E-2</v>
      </c>
      <c r="J368" s="22">
        <v>358</v>
      </c>
      <c r="K368" s="22">
        <v>-4.34692E-2</v>
      </c>
      <c r="L368">
        <f t="shared" si="60"/>
        <v>17.556800000000003</v>
      </c>
      <c r="M368">
        <f t="shared" si="61"/>
        <v>-0.75010725728000016</v>
      </c>
      <c r="N368" s="9"/>
      <c r="O368" s="22">
        <v>1.7027300000000001</v>
      </c>
      <c r="P368" s="22">
        <v>102.155</v>
      </c>
      <c r="Q368" s="22">
        <v>0.13436899999999999</v>
      </c>
      <c r="R368" s="22">
        <v>358</v>
      </c>
      <c r="S368" s="22">
        <v>0.28433199999999997</v>
      </c>
      <c r="T368">
        <f t="shared" si="62"/>
        <v>-134.369</v>
      </c>
      <c r="U368">
        <f t="shared" si="63"/>
        <v>-228.79412737000001</v>
      </c>
      <c r="X368" s="9"/>
      <c r="Y368" s="22">
        <v>-4.2724600000000001E-2</v>
      </c>
      <c r="Z368" s="22">
        <v>151.55699999999999</v>
      </c>
      <c r="AA368" s="22">
        <v>-1.7510999999999999E-2</v>
      </c>
      <c r="AB368" s="22">
        <v>358</v>
      </c>
      <c r="AC368" s="22">
        <v>-4.30298E-2</v>
      </c>
      <c r="AD368">
        <f t="shared" si="64"/>
        <v>17.510999999999999</v>
      </c>
      <c r="AE368">
        <f t="shared" si="65"/>
        <v>-0.74815047059999995</v>
      </c>
      <c r="AF368" s="9"/>
      <c r="AG368" s="22">
        <v>1.7027300000000001</v>
      </c>
      <c r="AH368" s="22">
        <v>200.92400000000001</v>
      </c>
      <c r="AI368" s="22">
        <v>0.13403300000000001</v>
      </c>
      <c r="AJ368" s="22">
        <v>358</v>
      </c>
      <c r="AK368" s="22">
        <v>0.275787</v>
      </c>
      <c r="AL368">
        <f t="shared" si="66"/>
        <v>-134.03300000000002</v>
      </c>
      <c r="AM368">
        <f t="shared" si="67"/>
        <v>-228.22201009000003</v>
      </c>
      <c r="AP368" s="9"/>
      <c r="AQ368" s="22">
        <v>-4.2724600000000001E-2</v>
      </c>
      <c r="AR368" s="22">
        <v>250.20599999999999</v>
      </c>
      <c r="AS368" s="22">
        <v>-1.74927E-2</v>
      </c>
      <c r="AT368" s="22">
        <v>358</v>
      </c>
      <c r="AU368" s="22">
        <v>-4.3447899999999998E-2</v>
      </c>
      <c r="AV368">
        <f t="shared" si="68"/>
        <v>17.492699999999999</v>
      </c>
      <c r="AW368">
        <f t="shared" si="69"/>
        <v>-0.74736861042000002</v>
      </c>
      <c r="AX368" s="9"/>
      <c r="AY368" s="22">
        <v>1.7027300000000001</v>
      </c>
      <c r="AZ368" s="22">
        <v>299.57299999999998</v>
      </c>
      <c r="BA368" s="22">
        <v>0.136047</v>
      </c>
      <c r="BB368" s="22">
        <v>358</v>
      </c>
      <c r="BC368" s="22">
        <v>0.271484</v>
      </c>
      <c r="BD368">
        <f t="shared" si="70"/>
        <v>-136.047</v>
      </c>
      <c r="BE368">
        <f t="shared" si="71"/>
        <v>-231.65130831000002</v>
      </c>
    </row>
    <row r="369" spans="6:57">
      <c r="F369" s="9"/>
      <c r="G369" s="22">
        <v>-4.7759999999999997E-2</v>
      </c>
      <c r="H369" s="22">
        <v>52.921599999999998</v>
      </c>
      <c r="I369" s="22">
        <v>-1.75598E-2</v>
      </c>
      <c r="J369" s="22">
        <v>359</v>
      </c>
      <c r="K369" s="22">
        <v>-4.7848500000000002E-2</v>
      </c>
      <c r="L369">
        <f t="shared" si="60"/>
        <v>17.559799999999999</v>
      </c>
      <c r="M369">
        <f t="shared" si="61"/>
        <v>-0.83865604799999993</v>
      </c>
      <c r="N369" s="9"/>
      <c r="O369" s="22">
        <v>1.7077599999999999</v>
      </c>
      <c r="P369" s="22">
        <v>102.16500000000001</v>
      </c>
      <c r="Q369" s="22">
        <v>0.13424700000000001</v>
      </c>
      <c r="R369" s="22">
        <v>359</v>
      </c>
      <c r="S369" s="22">
        <v>0.28518700000000002</v>
      </c>
      <c r="T369">
        <f t="shared" si="62"/>
        <v>-134.24700000000001</v>
      </c>
      <c r="U369">
        <f t="shared" si="63"/>
        <v>-229.26165672000002</v>
      </c>
      <c r="X369" s="9"/>
      <c r="Y369" s="22">
        <v>-4.7759999999999997E-2</v>
      </c>
      <c r="Z369" s="22">
        <v>151.56700000000001</v>
      </c>
      <c r="AA369" s="22">
        <v>-1.75049E-2</v>
      </c>
      <c r="AB369" s="22">
        <v>359</v>
      </c>
      <c r="AC369" s="22">
        <v>-4.7878999999999998E-2</v>
      </c>
      <c r="AD369">
        <f t="shared" si="64"/>
        <v>17.504899999999999</v>
      </c>
      <c r="AE369">
        <f t="shared" si="65"/>
        <v>-0.83603402399999993</v>
      </c>
      <c r="AF369" s="9"/>
      <c r="AG369" s="22">
        <v>1.7077599999999999</v>
      </c>
      <c r="AH369" s="22">
        <v>200.934</v>
      </c>
      <c r="AI369" s="22">
        <v>0.13397200000000001</v>
      </c>
      <c r="AJ369" s="22">
        <v>359</v>
      </c>
      <c r="AK369" s="22">
        <v>0.27612300000000001</v>
      </c>
      <c r="AL369">
        <f t="shared" si="66"/>
        <v>-133.97200000000001</v>
      </c>
      <c r="AM369">
        <f t="shared" si="67"/>
        <v>-228.79202272000001</v>
      </c>
      <c r="AP369" s="9"/>
      <c r="AQ369" s="22">
        <v>-4.7759999999999997E-2</v>
      </c>
      <c r="AR369" s="22">
        <v>250.21600000000001</v>
      </c>
      <c r="AS369" s="22">
        <v>-1.74927E-2</v>
      </c>
      <c r="AT369" s="22">
        <v>359</v>
      </c>
      <c r="AU369" s="22">
        <v>-4.8419200000000003E-2</v>
      </c>
      <c r="AV369">
        <f t="shared" si="68"/>
        <v>17.492699999999999</v>
      </c>
      <c r="AW369">
        <f t="shared" si="69"/>
        <v>-0.83545135199999987</v>
      </c>
      <c r="AX369" s="9"/>
      <c r="AY369" s="22">
        <v>1.7077599999999999</v>
      </c>
      <c r="AZ369" s="22">
        <v>299.58300000000003</v>
      </c>
      <c r="BA369" s="22">
        <v>0.136047</v>
      </c>
      <c r="BB369" s="22">
        <v>359</v>
      </c>
      <c r="BC369" s="22">
        <v>0.271088</v>
      </c>
      <c r="BD369">
        <f t="shared" si="70"/>
        <v>-136.047</v>
      </c>
      <c r="BE369">
        <f t="shared" si="71"/>
        <v>-232.33562472</v>
      </c>
    </row>
    <row r="370" spans="6:57">
      <c r="F370" s="9"/>
      <c r="G370" s="22">
        <v>-5.2795399999999999E-2</v>
      </c>
      <c r="H370" s="22">
        <v>52.931699999999999</v>
      </c>
      <c r="I370" s="22">
        <v>-1.75598E-2</v>
      </c>
      <c r="J370" s="22">
        <v>360</v>
      </c>
      <c r="K370" s="22">
        <v>-5.3070100000000002E-2</v>
      </c>
      <c r="L370">
        <f t="shared" si="60"/>
        <v>17.559799999999999</v>
      </c>
      <c r="M370">
        <f t="shared" si="61"/>
        <v>-0.92707666491999996</v>
      </c>
      <c r="N370" s="9"/>
      <c r="O370" s="22">
        <v>1.7128000000000001</v>
      </c>
      <c r="P370" s="22">
        <v>102.175</v>
      </c>
      <c r="Q370" s="22">
        <v>0.13409399999999999</v>
      </c>
      <c r="R370" s="22">
        <v>360</v>
      </c>
      <c r="S370" s="22">
        <v>0.28421000000000002</v>
      </c>
      <c r="T370">
        <f t="shared" si="62"/>
        <v>-134.09399999999999</v>
      </c>
      <c r="U370">
        <f t="shared" si="63"/>
        <v>-229.6762032</v>
      </c>
      <c r="X370" s="9"/>
      <c r="Y370" s="22">
        <v>-5.2795399999999999E-2</v>
      </c>
      <c r="Z370" s="22">
        <v>151.578</v>
      </c>
      <c r="AA370" s="22">
        <v>-1.7501800000000001E-2</v>
      </c>
      <c r="AB370" s="22">
        <v>360</v>
      </c>
      <c r="AC370" s="22">
        <v>-5.3619399999999998E-2</v>
      </c>
      <c r="AD370">
        <f t="shared" si="64"/>
        <v>17.501800000000003</v>
      </c>
      <c r="AE370">
        <f t="shared" si="65"/>
        <v>-0.92401453172000014</v>
      </c>
      <c r="AF370" s="9"/>
      <c r="AG370" s="22">
        <v>1.7128000000000001</v>
      </c>
      <c r="AH370" s="22">
        <v>200.94399999999999</v>
      </c>
      <c r="AI370" s="22">
        <v>0.13394200000000001</v>
      </c>
      <c r="AJ370" s="22">
        <v>360</v>
      </c>
      <c r="AK370" s="22">
        <v>0.275391</v>
      </c>
      <c r="AL370">
        <f t="shared" si="66"/>
        <v>-133.94200000000001</v>
      </c>
      <c r="AM370">
        <f t="shared" si="67"/>
        <v>-229.41585760000004</v>
      </c>
      <c r="AP370" s="9"/>
      <c r="AQ370" s="22">
        <v>-5.2795399999999999E-2</v>
      </c>
      <c r="AR370" s="22">
        <v>250.226</v>
      </c>
      <c r="AS370" s="22">
        <v>-1.7489600000000001E-2</v>
      </c>
      <c r="AT370" s="22">
        <v>360</v>
      </c>
      <c r="AU370" s="22">
        <v>-5.3070100000000002E-2</v>
      </c>
      <c r="AV370">
        <f t="shared" si="68"/>
        <v>17.489599999999999</v>
      </c>
      <c r="AW370">
        <f t="shared" si="69"/>
        <v>-0.92337042784000001</v>
      </c>
      <c r="AX370" s="9"/>
      <c r="AY370" s="22">
        <v>1.7128000000000001</v>
      </c>
      <c r="AZ370" s="22">
        <v>299.59300000000002</v>
      </c>
      <c r="BA370" s="22">
        <v>0.13613900000000001</v>
      </c>
      <c r="BB370" s="22">
        <v>360</v>
      </c>
      <c r="BC370" s="22">
        <v>0.27111800000000003</v>
      </c>
      <c r="BD370">
        <f t="shared" si="70"/>
        <v>-136.13900000000001</v>
      </c>
      <c r="BE370">
        <f t="shared" si="71"/>
        <v>-233.17887920000004</v>
      </c>
    </row>
    <row r="371" spans="6:57">
      <c r="F371" s="9"/>
      <c r="G371" s="22">
        <v>-5.7830800000000002E-2</v>
      </c>
      <c r="H371" s="22">
        <v>52.941800000000001</v>
      </c>
      <c r="I371" s="22">
        <v>-1.75598E-2</v>
      </c>
      <c r="J371" s="22">
        <v>361</v>
      </c>
      <c r="K371" s="22">
        <v>-5.8349600000000001E-2</v>
      </c>
      <c r="L371">
        <f t="shared" si="60"/>
        <v>17.559799999999999</v>
      </c>
      <c r="M371">
        <f t="shared" si="61"/>
        <v>-1.0154972818399999</v>
      </c>
      <c r="N371" s="9"/>
      <c r="O371" s="22">
        <v>1.71783</v>
      </c>
      <c r="P371" s="22">
        <v>102.185</v>
      </c>
      <c r="Q371" s="22">
        <v>0.134155</v>
      </c>
      <c r="R371" s="22">
        <v>361</v>
      </c>
      <c r="S371" s="22">
        <v>0.28405799999999998</v>
      </c>
      <c r="T371">
        <f t="shared" si="62"/>
        <v>-134.155</v>
      </c>
      <c r="U371">
        <f t="shared" si="63"/>
        <v>-230.45548364999999</v>
      </c>
      <c r="X371" s="9"/>
      <c r="Y371" s="22">
        <v>-5.7830800000000002E-2</v>
      </c>
      <c r="Z371" s="22">
        <v>151.58799999999999</v>
      </c>
      <c r="AA371" s="22">
        <v>-1.7501800000000001E-2</v>
      </c>
      <c r="AB371" s="22">
        <v>361</v>
      </c>
      <c r="AC371" s="22">
        <v>-5.8288600000000003E-2</v>
      </c>
      <c r="AD371">
        <f t="shared" si="64"/>
        <v>17.501800000000003</v>
      </c>
      <c r="AE371">
        <f t="shared" si="65"/>
        <v>-1.0121430954400001</v>
      </c>
      <c r="AF371" s="9"/>
      <c r="AG371" s="22">
        <v>1.71783</v>
      </c>
      <c r="AH371" s="22">
        <v>200.95400000000001</v>
      </c>
      <c r="AI371" s="22">
        <v>0.133911</v>
      </c>
      <c r="AJ371" s="22">
        <v>361</v>
      </c>
      <c r="AK371" s="22">
        <v>0.27655000000000002</v>
      </c>
      <c r="AL371">
        <f t="shared" si="66"/>
        <v>-133.911</v>
      </c>
      <c r="AM371">
        <f t="shared" si="67"/>
        <v>-230.03633313</v>
      </c>
      <c r="AP371" s="9"/>
      <c r="AQ371" s="22">
        <v>-5.7830800000000002E-2</v>
      </c>
      <c r="AR371" s="22">
        <v>250.23699999999999</v>
      </c>
      <c r="AS371" s="22">
        <v>-1.7489600000000001E-2</v>
      </c>
      <c r="AT371" s="22">
        <v>361</v>
      </c>
      <c r="AU371" s="22">
        <v>-5.8624299999999997E-2</v>
      </c>
      <c r="AV371">
        <f t="shared" si="68"/>
        <v>17.489599999999999</v>
      </c>
      <c r="AW371">
        <f t="shared" si="69"/>
        <v>-1.01143755968</v>
      </c>
      <c r="AX371" s="9"/>
      <c r="AY371" s="22">
        <v>1.71783</v>
      </c>
      <c r="AZ371" s="22">
        <v>299.60300000000001</v>
      </c>
      <c r="BA371" s="22">
        <v>0.13613900000000001</v>
      </c>
      <c r="BB371" s="22">
        <v>361</v>
      </c>
      <c r="BC371" s="22">
        <v>0.27038600000000002</v>
      </c>
      <c r="BD371">
        <f t="shared" si="70"/>
        <v>-136.13900000000001</v>
      </c>
      <c r="BE371">
        <f t="shared" si="71"/>
        <v>-233.86365837000002</v>
      </c>
    </row>
    <row r="372" spans="6:57">
      <c r="F372" s="9"/>
      <c r="G372" s="22">
        <v>-6.2866199999999997E-2</v>
      </c>
      <c r="H372" s="22">
        <v>52.951799999999999</v>
      </c>
      <c r="I372" s="22">
        <v>-1.7556800000000001E-2</v>
      </c>
      <c r="J372" s="22">
        <v>362</v>
      </c>
      <c r="K372" s="22">
        <v>-6.3690200000000002E-2</v>
      </c>
      <c r="L372">
        <f t="shared" si="60"/>
        <v>17.556800000000003</v>
      </c>
      <c r="M372">
        <f t="shared" si="61"/>
        <v>-1.1037293001600001</v>
      </c>
      <c r="N372" s="9"/>
      <c r="O372" s="22">
        <v>1.7228699999999999</v>
      </c>
      <c r="P372" s="22">
        <v>102.19499999999999</v>
      </c>
      <c r="Q372" s="22">
        <v>0.134155</v>
      </c>
      <c r="R372" s="22">
        <v>362</v>
      </c>
      <c r="S372" s="22">
        <v>0.283997</v>
      </c>
      <c r="T372">
        <f t="shared" si="62"/>
        <v>-134.155</v>
      </c>
      <c r="U372">
        <f t="shared" si="63"/>
        <v>-231.13162484999998</v>
      </c>
      <c r="X372" s="9"/>
      <c r="Y372" s="22">
        <v>-6.2866199999999997E-2</v>
      </c>
      <c r="Z372" s="22">
        <v>151.59800000000001</v>
      </c>
      <c r="AA372" s="22">
        <v>-1.7501800000000001E-2</v>
      </c>
      <c r="AB372" s="22">
        <v>362</v>
      </c>
      <c r="AC372" s="22">
        <v>-6.34155E-2</v>
      </c>
      <c r="AD372">
        <f t="shared" si="64"/>
        <v>17.501800000000003</v>
      </c>
      <c r="AE372">
        <f t="shared" si="65"/>
        <v>-1.1002716591600001</v>
      </c>
      <c r="AF372" s="9"/>
      <c r="AG372" s="22">
        <v>1.7228699999999999</v>
      </c>
      <c r="AH372" s="22">
        <v>200.964</v>
      </c>
      <c r="AI372" s="22">
        <v>0.13394200000000001</v>
      </c>
      <c r="AJ372" s="22">
        <v>362</v>
      </c>
      <c r="AK372" s="22">
        <v>0.27596999999999999</v>
      </c>
      <c r="AL372">
        <f t="shared" si="66"/>
        <v>-133.94200000000001</v>
      </c>
      <c r="AM372">
        <f t="shared" si="67"/>
        <v>-230.76465354000001</v>
      </c>
      <c r="AP372" s="9"/>
      <c r="AQ372" s="22">
        <v>-6.2866199999999997E-2</v>
      </c>
      <c r="AR372" s="22">
        <v>250.24700000000001</v>
      </c>
      <c r="AS372" s="22">
        <v>-1.7495699999999999E-2</v>
      </c>
      <c r="AT372" s="22">
        <v>362</v>
      </c>
      <c r="AU372" s="22">
        <v>-6.3049300000000003E-2</v>
      </c>
      <c r="AV372">
        <f t="shared" si="68"/>
        <v>17.495699999999999</v>
      </c>
      <c r="AW372">
        <f t="shared" si="69"/>
        <v>-1.0998881753399998</v>
      </c>
      <c r="AX372" s="9"/>
      <c r="AY372" s="22">
        <v>1.7228699999999999</v>
      </c>
      <c r="AZ372" s="22">
        <v>299.613</v>
      </c>
      <c r="BA372" s="22">
        <v>0.136078</v>
      </c>
      <c r="BB372" s="22">
        <v>362</v>
      </c>
      <c r="BC372" s="22">
        <v>0.27099600000000001</v>
      </c>
      <c r="BD372">
        <f t="shared" si="70"/>
        <v>-136.078</v>
      </c>
      <c r="BE372">
        <f t="shared" si="71"/>
        <v>-234.44470386</v>
      </c>
    </row>
    <row r="373" spans="6:57">
      <c r="F373" s="9"/>
      <c r="G373" s="22">
        <v>-6.7901600000000006E-2</v>
      </c>
      <c r="H373" s="22">
        <v>52.9619</v>
      </c>
      <c r="I373" s="22">
        <v>-1.75598E-2</v>
      </c>
      <c r="J373" s="22">
        <v>363</v>
      </c>
      <c r="K373" s="22">
        <v>-6.8481399999999998E-2</v>
      </c>
      <c r="L373">
        <f t="shared" si="60"/>
        <v>17.559799999999999</v>
      </c>
      <c r="M373">
        <f t="shared" si="61"/>
        <v>-1.1923385156800002</v>
      </c>
      <c r="N373" s="9"/>
      <c r="O373" s="22">
        <v>1.7279100000000001</v>
      </c>
      <c r="P373" s="22">
        <v>102.205</v>
      </c>
      <c r="Q373" s="22">
        <v>0.134186</v>
      </c>
      <c r="R373" s="22">
        <v>363</v>
      </c>
      <c r="S373" s="22">
        <v>0.28360000000000002</v>
      </c>
      <c r="T373">
        <f t="shared" si="62"/>
        <v>-134.18600000000001</v>
      </c>
      <c r="U373">
        <f t="shared" si="63"/>
        <v>-231.86133126000001</v>
      </c>
      <c r="X373" s="9"/>
      <c r="Y373" s="22">
        <v>-6.7901600000000006E-2</v>
      </c>
      <c r="Z373" s="22">
        <v>151.608</v>
      </c>
      <c r="AA373" s="22">
        <v>-1.7501800000000001E-2</v>
      </c>
      <c r="AB373" s="22">
        <v>363</v>
      </c>
      <c r="AC373" s="22">
        <v>-6.8450899999999995E-2</v>
      </c>
      <c r="AD373">
        <f t="shared" si="64"/>
        <v>17.501800000000003</v>
      </c>
      <c r="AE373">
        <f t="shared" si="65"/>
        <v>-1.1884002228800004</v>
      </c>
      <c r="AF373" s="9"/>
      <c r="AG373" s="22">
        <v>1.7279100000000001</v>
      </c>
      <c r="AH373" s="22">
        <v>200.97399999999999</v>
      </c>
      <c r="AI373" s="22">
        <v>0.13394200000000001</v>
      </c>
      <c r="AJ373" s="22">
        <v>363</v>
      </c>
      <c r="AK373" s="22">
        <v>0.27545199999999997</v>
      </c>
      <c r="AL373">
        <f t="shared" si="66"/>
        <v>-133.94200000000001</v>
      </c>
      <c r="AM373">
        <f t="shared" si="67"/>
        <v>-231.43972122000002</v>
      </c>
      <c r="AP373" s="9"/>
      <c r="AQ373" s="22">
        <v>-6.7901600000000006E-2</v>
      </c>
      <c r="AR373" s="22">
        <v>250.25700000000001</v>
      </c>
      <c r="AS373" s="22">
        <v>-1.75049E-2</v>
      </c>
      <c r="AT373" s="22">
        <v>363</v>
      </c>
      <c r="AU373" s="22">
        <v>-6.8664600000000006E-2</v>
      </c>
      <c r="AV373">
        <f t="shared" si="68"/>
        <v>17.504899999999999</v>
      </c>
      <c r="AW373">
        <f t="shared" si="69"/>
        <v>-1.1886107178400001</v>
      </c>
      <c r="AX373" s="9"/>
      <c r="AY373" s="22">
        <v>1.7279100000000001</v>
      </c>
      <c r="AZ373" s="22">
        <v>299.62299999999999</v>
      </c>
      <c r="BA373" s="22">
        <v>0.135986</v>
      </c>
      <c r="BB373" s="22">
        <v>363</v>
      </c>
      <c r="BC373" s="22">
        <v>0.27114899999999997</v>
      </c>
      <c r="BD373">
        <f t="shared" si="70"/>
        <v>-135.98599999999999</v>
      </c>
      <c r="BE373">
        <f t="shared" si="71"/>
        <v>-234.97156926</v>
      </c>
    </row>
    <row r="374" spans="6:57">
      <c r="F374" s="9"/>
      <c r="G374" s="22">
        <v>-7.2937000000000002E-2</v>
      </c>
      <c r="H374" s="22">
        <v>52.972000000000001</v>
      </c>
      <c r="I374" s="22">
        <v>-1.75598E-2</v>
      </c>
      <c r="J374" s="22">
        <v>364</v>
      </c>
      <c r="K374" s="22">
        <v>-7.3730500000000004E-2</v>
      </c>
      <c r="L374">
        <f t="shared" si="60"/>
        <v>17.559799999999999</v>
      </c>
      <c r="M374">
        <f t="shared" si="61"/>
        <v>-1.2807591326000001</v>
      </c>
      <c r="N374" s="9"/>
      <c r="O374" s="22">
        <v>1.7329399999999999</v>
      </c>
      <c r="P374" s="22">
        <v>102.215</v>
      </c>
      <c r="Q374" s="22">
        <v>0.134186</v>
      </c>
      <c r="R374" s="22">
        <v>364</v>
      </c>
      <c r="S374" s="22">
        <v>0.28469800000000001</v>
      </c>
      <c r="T374">
        <f t="shared" si="62"/>
        <v>-134.18600000000001</v>
      </c>
      <c r="U374">
        <f t="shared" si="63"/>
        <v>-232.53628684</v>
      </c>
      <c r="X374" s="9"/>
      <c r="Y374" s="22">
        <v>-7.2937000000000002E-2</v>
      </c>
      <c r="Z374" s="22">
        <v>151.61799999999999</v>
      </c>
      <c r="AA374" s="22">
        <v>-1.75049E-2</v>
      </c>
      <c r="AB374" s="22">
        <v>364</v>
      </c>
      <c r="AC374" s="22">
        <v>-7.4279800000000007E-2</v>
      </c>
      <c r="AD374">
        <f t="shared" si="64"/>
        <v>17.504899999999999</v>
      </c>
      <c r="AE374">
        <f t="shared" si="65"/>
        <v>-1.2767548913</v>
      </c>
      <c r="AF374" s="9"/>
      <c r="AG374" s="22">
        <v>1.7329399999999999</v>
      </c>
      <c r="AH374" s="22">
        <v>200.98400000000001</v>
      </c>
      <c r="AI374" s="22">
        <v>0.13403300000000001</v>
      </c>
      <c r="AJ374" s="22">
        <v>364</v>
      </c>
      <c r="AK374" s="22">
        <v>0.27581800000000001</v>
      </c>
      <c r="AL374">
        <f t="shared" si="66"/>
        <v>-134.03300000000002</v>
      </c>
      <c r="AM374">
        <f t="shared" si="67"/>
        <v>-232.27114702000003</v>
      </c>
      <c r="AP374" s="9"/>
      <c r="AQ374" s="22">
        <v>-7.2937000000000002E-2</v>
      </c>
      <c r="AR374" s="22">
        <v>250.267</v>
      </c>
      <c r="AS374" s="22">
        <v>-1.75079E-2</v>
      </c>
      <c r="AT374" s="22">
        <v>364</v>
      </c>
      <c r="AU374" s="22">
        <v>-7.3089600000000005E-2</v>
      </c>
      <c r="AV374">
        <f t="shared" si="68"/>
        <v>17.507899999999999</v>
      </c>
      <c r="AW374">
        <f t="shared" si="69"/>
        <v>-1.2769737023000001</v>
      </c>
      <c r="AX374" s="9"/>
      <c r="AY374" s="22">
        <v>1.7329399999999999</v>
      </c>
      <c r="AZ374" s="22">
        <v>299.63299999999998</v>
      </c>
      <c r="BA374" s="22">
        <v>0.13592499999999999</v>
      </c>
      <c r="BB374" s="22">
        <v>364</v>
      </c>
      <c r="BC374" s="22">
        <v>0.27154499999999998</v>
      </c>
      <c r="BD374">
        <f t="shared" si="70"/>
        <v>-135.92499999999998</v>
      </c>
      <c r="BE374">
        <f t="shared" si="71"/>
        <v>-235.54986949999997</v>
      </c>
    </row>
    <row r="375" spans="6:57">
      <c r="F375" s="9"/>
      <c r="G375" s="22">
        <v>-7.7972399999999997E-2</v>
      </c>
      <c r="H375" s="22">
        <v>52.982100000000003</v>
      </c>
      <c r="I375" s="22">
        <v>-1.75598E-2</v>
      </c>
      <c r="J375" s="22">
        <v>365</v>
      </c>
      <c r="K375" s="22">
        <v>-7.8613299999999997E-2</v>
      </c>
      <c r="L375">
        <f t="shared" si="60"/>
        <v>17.559799999999999</v>
      </c>
      <c r="M375">
        <f t="shared" si="61"/>
        <v>-1.36917974952</v>
      </c>
      <c r="N375" s="9"/>
      <c r="O375" s="22">
        <v>1.7379800000000001</v>
      </c>
      <c r="P375" s="22">
        <v>102.22499999999999</v>
      </c>
      <c r="Q375" s="22">
        <v>0.134186</v>
      </c>
      <c r="R375" s="22">
        <v>365</v>
      </c>
      <c r="S375" s="22">
        <v>0.28451500000000002</v>
      </c>
      <c r="T375">
        <f t="shared" si="62"/>
        <v>-134.18600000000001</v>
      </c>
      <c r="U375">
        <f t="shared" si="63"/>
        <v>-233.21258428000002</v>
      </c>
      <c r="X375" s="9"/>
      <c r="Y375" s="22">
        <v>-7.7972399999999997E-2</v>
      </c>
      <c r="Z375" s="22">
        <v>151.62799999999999</v>
      </c>
      <c r="AA375" s="22">
        <v>-1.75049E-2</v>
      </c>
      <c r="AB375" s="22">
        <v>365</v>
      </c>
      <c r="AC375" s="22">
        <v>-7.8430200000000005E-2</v>
      </c>
      <c r="AD375">
        <f t="shared" si="64"/>
        <v>17.504899999999999</v>
      </c>
      <c r="AE375">
        <f t="shared" si="65"/>
        <v>-1.3648990647599999</v>
      </c>
      <c r="AF375" s="9"/>
      <c r="AG375" s="22">
        <v>1.7379800000000001</v>
      </c>
      <c r="AH375" s="22">
        <v>200.994</v>
      </c>
      <c r="AI375" s="22">
        <v>0.13406399999999999</v>
      </c>
      <c r="AJ375" s="22">
        <v>365</v>
      </c>
      <c r="AK375" s="22">
        <v>0.27581800000000001</v>
      </c>
      <c r="AL375">
        <f t="shared" si="66"/>
        <v>-134.06399999999999</v>
      </c>
      <c r="AM375">
        <f t="shared" si="67"/>
        <v>-233.00055072000001</v>
      </c>
      <c r="AP375" s="9"/>
      <c r="AQ375" s="22">
        <v>-7.7972399999999997E-2</v>
      </c>
      <c r="AR375" s="22">
        <v>250.27699999999999</v>
      </c>
      <c r="AS375" s="22">
        <v>-1.75079E-2</v>
      </c>
      <c r="AT375" s="22">
        <v>365</v>
      </c>
      <c r="AU375" s="22">
        <v>-7.8582799999999994E-2</v>
      </c>
      <c r="AV375">
        <f t="shared" si="68"/>
        <v>17.507899999999999</v>
      </c>
      <c r="AW375">
        <f t="shared" si="69"/>
        <v>-1.36513298196</v>
      </c>
      <c r="AX375" s="9"/>
      <c r="AY375" s="22">
        <v>1.7379800000000001</v>
      </c>
      <c r="AZ375" s="22">
        <v>299.64299999999997</v>
      </c>
      <c r="BA375" s="22">
        <v>0.13592499999999999</v>
      </c>
      <c r="BB375" s="22">
        <v>365</v>
      </c>
      <c r="BC375" s="22">
        <v>0.274231</v>
      </c>
      <c r="BD375">
        <f t="shared" si="70"/>
        <v>-135.92499999999998</v>
      </c>
      <c r="BE375">
        <f t="shared" si="71"/>
        <v>-236.23493149999999</v>
      </c>
    </row>
    <row r="376" spans="6:57">
      <c r="F376" s="9"/>
      <c r="G376" s="22">
        <v>-8.3007800000000007E-2</v>
      </c>
      <c r="H376" s="22">
        <v>52.992100000000001</v>
      </c>
      <c r="I376" s="22">
        <v>-1.75598E-2</v>
      </c>
      <c r="J376" s="22">
        <v>366</v>
      </c>
      <c r="K376" s="22">
        <v>-8.3862300000000001E-2</v>
      </c>
      <c r="L376">
        <f t="shared" si="60"/>
        <v>17.559799999999999</v>
      </c>
      <c r="M376">
        <f t="shared" si="61"/>
        <v>-1.4576003664400001</v>
      </c>
      <c r="N376" s="9"/>
      <c r="O376" s="22">
        <v>1.7430099999999999</v>
      </c>
      <c r="P376" s="22">
        <v>102.236</v>
      </c>
      <c r="Q376" s="22">
        <v>0.13406399999999999</v>
      </c>
      <c r="R376" s="22">
        <v>366</v>
      </c>
      <c r="S376" s="22">
        <v>0.28332499999999999</v>
      </c>
      <c r="T376">
        <f t="shared" si="62"/>
        <v>-134.06399999999999</v>
      </c>
      <c r="U376">
        <f t="shared" si="63"/>
        <v>-233.67489263999997</v>
      </c>
      <c r="X376" s="9"/>
      <c r="Y376" s="22">
        <v>-8.3007800000000007E-2</v>
      </c>
      <c r="Z376" s="22">
        <v>151.63800000000001</v>
      </c>
      <c r="AA376" s="22">
        <v>-1.7510999999999999E-2</v>
      </c>
      <c r="AB376" s="22">
        <v>366</v>
      </c>
      <c r="AC376" s="22">
        <v>-8.3190899999999998E-2</v>
      </c>
      <c r="AD376">
        <f t="shared" si="64"/>
        <v>17.510999999999999</v>
      </c>
      <c r="AE376">
        <f t="shared" si="65"/>
        <v>-1.4535495858</v>
      </c>
      <c r="AF376" s="9"/>
      <c r="AG376" s="22">
        <v>1.7430099999999999</v>
      </c>
      <c r="AH376" s="22">
        <v>201.00399999999999</v>
      </c>
      <c r="AI376" s="22">
        <v>0.133881</v>
      </c>
      <c r="AJ376" s="22">
        <v>366</v>
      </c>
      <c r="AK376" s="22">
        <v>0.27594000000000002</v>
      </c>
      <c r="AL376">
        <f t="shared" si="66"/>
        <v>-133.881</v>
      </c>
      <c r="AM376">
        <f t="shared" si="67"/>
        <v>-233.35592180999998</v>
      </c>
      <c r="AP376" s="9"/>
      <c r="AQ376" s="22">
        <v>-8.3007800000000007E-2</v>
      </c>
      <c r="AR376" s="22">
        <v>250.28700000000001</v>
      </c>
      <c r="AS376" s="22">
        <v>-1.75079E-2</v>
      </c>
      <c r="AT376" s="22">
        <v>366</v>
      </c>
      <c r="AU376" s="22">
        <v>-8.3557099999999995E-2</v>
      </c>
      <c r="AV376">
        <f t="shared" si="68"/>
        <v>17.507899999999999</v>
      </c>
      <c r="AW376">
        <f t="shared" si="69"/>
        <v>-1.4532922616200001</v>
      </c>
      <c r="AX376" s="9"/>
      <c r="AY376" s="22">
        <v>1.7430099999999999</v>
      </c>
      <c r="AZ376" s="22">
        <v>299.65300000000002</v>
      </c>
      <c r="BA376" s="22">
        <v>0.136047</v>
      </c>
      <c r="BB376" s="22">
        <v>366</v>
      </c>
      <c r="BC376" s="22">
        <v>0.27127099999999998</v>
      </c>
      <c r="BD376">
        <f t="shared" si="70"/>
        <v>-136.047</v>
      </c>
      <c r="BE376">
        <f t="shared" si="71"/>
        <v>-237.13128146999998</v>
      </c>
    </row>
    <row r="377" spans="6:57">
      <c r="F377" s="9"/>
      <c r="G377" s="22">
        <v>-8.8043200000000002E-2</v>
      </c>
      <c r="H377" s="22">
        <v>53.002200000000002</v>
      </c>
      <c r="I377" s="22">
        <v>-1.7562899999999999E-2</v>
      </c>
      <c r="J377" s="22">
        <v>367</v>
      </c>
      <c r="K377" s="22">
        <v>-8.8684100000000002E-2</v>
      </c>
      <c r="L377">
        <f t="shared" si="60"/>
        <v>17.562899999999999</v>
      </c>
      <c r="M377">
        <f t="shared" si="61"/>
        <v>-1.5462939172799999</v>
      </c>
      <c r="N377" s="9"/>
      <c r="O377" s="22">
        <v>1.7480500000000001</v>
      </c>
      <c r="P377" s="22">
        <v>102.246</v>
      </c>
      <c r="Q377" s="22">
        <v>0.13400300000000001</v>
      </c>
      <c r="R377" s="22">
        <v>367</v>
      </c>
      <c r="S377" s="22">
        <v>0.28326400000000002</v>
      </c>
      <c r="T377">
        <f t="shared" si="62"/>
        <v>-134.00300000000001</v>
      </c>
      <c r="U377">
        <f t="shared" si="63"/>
        <v>-234.24394415000003</v>
      </c>
      <c r="X377" s="9"/>
      <c r="Y377" s="22">
        <v>-8.8043200000000002E-2</v>
      </c>
      <c r="Z377" s="22">
        <v>151.648</v>
      </c>
      <c r="AA377" s="22">
        <v>-1.7510999999999999E-2</v>
      </c>
      <c r="AB377" s="22">
        <v>367</v>
      </c>
      <c r="AC377" s="22">
        <v>-8.8134799999999999E-2</v>
      </c>
      <c r="AD377">
        <f t="shared" si="64"/>
        <v>17.510999999999999</v>
      </c>
      <c r="AE377">
        <f t="shared" si="65"/>
        <v>-1.5417244751999999</v>
      </c>
      <c r="AF377" s="9"/>
      <c r="AG377" s="22">
        <v>1.7480500000000001</v>
      </c>
      <c r="AH377" s="22">
        <v>201.01400000000001</v>
      </c>
      <c r="AI377" s="22">
        <v>0.13409399999999999</v>
      </c>
      <c r="AJ377" s="22">
        <v>367</v>
      </c>
      <c r="AK377" s="22">
        <v>0.27572600000000003</v>
      </c>
      <c r="AL377">
        <f t="shared" si="66"/>
        <v>-134.09399999999999</v>
      </c>
      <c r="AM377">
        <f t="shared" si="67"/>
        <v>-234.40301669999999</v>
      </c>
      <c r="AP377" s="9"/>
      <c r="AQ377" s="22">
        <v>-8.8043200000000002E-2</v>
      </c>
      <c r="AR377" s="22">
        <v>250.297</v>
      </c>
      <c r="AS377" s="22">
        <v>-1.7510999999999999E-2</v>
      </c>
      <c r="AT377" s="22">
        <v>367</v>
      </c>
      <c r="AU377" s="22">
        <v>-8.8775599999999996E-2</v>
      </c>
      <c r="AV377">
        <f t="shared" si="68"/>
        <v>17.510999999999999</v>
      </c>
      <c r="AW377">
        <f t="shared" si="69"/>
        <v>-1.5417244751999999</v>
      </c>
      <c r="AX377" s="9"/>
      <c r="AY377" s="22">
        <v>1.7480500000000001</v>
      </c>
      <c r="AZ377" s="22">
        <v>299.66300000000001</v>
      </c>
      <c r="BA377" s="22">
        <v>0.13610800000000001</v>
      </c>
      <c r="BB377" s="22">
        <v>367</v>
      </c>
      <c r="BC377" s="22">
        <v>0.27273599999999998</v>
      </c>
      <c r="BD377">
        <f t="shared" si="70"/>
        <v>-136.108</v>
      </c>
      <c r="BE377">
        <f t="shared" si="71"/>
        <v>-237.92358940000003</v>
      </c>
    </row>
    <row r="378" spans="6:57">
      <c r="F378" s="9"/>
      <c r="G378" s="22">
        <v>-9.3078599999999997E-2</v>
      </c>
      <c r="H378" s="22">
        <v>53.012300000000003</v>
      </c>
      <c r="I378" s="22">
        <v>-1.7556800000000001E-2</v>
      </c>
      <c r="J378" s="22">
        <v>368</v>
      </c>
      <c r="K378" s="22">
        <v>-9.3688999999999995E-2</v>
      </c>
      <c r="L378">
        <f t="shared" si="60"/>
        <v>17.556800000000003</v>
      </c>
      <c r="M378">
        <f t="shared" si="61"/>
        <v>-1.6341623644800003</v>
      </c>
      <c r="N378" s="9"/>
      <c r="O378" s="22">
        <v>1.75308</v>
      </c>
      <c r="P378" s="22">
        <v>102.256</v>
      </c>
      <c r="Q378" s="22">
        <v>0.13403300000000001</v>
      </c>
      <c r="R378" s="22">
        <v>368</v>
      </c>
      <c r="S378" s="22">
        <v>0.28308100000000003</v>
      </c>
      <c r="T378">
        <f t="shared" si="62"/>
        <v>-134.03300000000002</v>
      </c>
      <c r="U378">
        <f t="shared" si="63"/>
        <v>-234.97057164000003</v>
      </c>
      <c r="X378" s="9"/>
      <c r="Y378" s="22">
        <v>-9.3078599999999997E-2</v>
      </c>
      <c r="Z378" s="22">
        <v>151.65799999999999</v>
      </c>
      <c r="AA378" s="22">
        <v>-1.7513999999999998E-2</v>
      </c>
      <c r="AB378" s="22">
        <v>368</v>
      </c>
      <c r="AC378" s="22">
        <v>-9.3475299999999997E-2</v>
      </c>
      <c r="AD378">
        <f t="shared" si="64"/>
        <v>17.513999999999999</v>
      </c>
      <c r="AE378">
        <f t="shared" si="65"/>
        <v>-1.6301786003999998</v>
      </c>
      <c r="AF378" s="9"/>
      <c r="AG378" s="22">
        <v>1.75308</v>
      </c>
      <c r="AH378" s="22">
        <v>201.02500000000001</v>
      </c>
      <c r="AI378" s="22">
        <v>0.133911</v>
      </c>
      <c r="AJ378" s="22">
        <v>368</v>
      </c>
      <c r="AK378" s="22">
        <v>0.27627600000000002</v>
      </c>
      <c r="AL378">
        <f t="shared" si="66"/>
        <v>-133.911</v>
      </c>
      <c r="AM378">
        <f t="shared" si="67"/>
        <v>-234.75669588</v>
      </c>
      <c r="AP378" s="9"/>
      <c r="AQ378" s="22">
        <v>-9.3078599999999997E-2</v>
      </c>
      <c r="AR378" s="22">
        <v>250.30699999999999</v>
      </c>
      <c r="AS378" s="22">
        <v>-1.7513999999999998E-2</v>
      </c>
      <c r="AT378" s="22">
        <v>368</v>
      </c>
      <c r="AU378" s="22">
        <v>-9.3566899999999995E-2</v>
      </c>
      <c r="AV378">
        <f t="shared" si="68"/>
        <v>17.513999999999999</v>
      </c>
      <c r="AW378">
        <f t="shared" si="69"/>
        <v>-1.6301786003999998</v>
      </c>
      <c r="AX378" s="9"/>
      <c r="AY378" s="22">
        <v>1.75308</v>
      </c>
      <c r="AZ378" s="22">
        <v>299.673</v>
      </c>
      <c r="BA378" s="22">
        <v>0.135986</v>
      </c>
      <c r="BB378" s="22">
        <v>368</v>
      </c>
      <c r="BC378" s="22">
        <v>0.27121000000000001</v>
      </c>
      <c r="BD378">
        <f t="shared" si="70"/>
        <v>-135.98599999999999</v>
      </c>
      <c r="BE378">
        <f t="shared" si="71"/>
        <v>-238.39433687999997</v>
      </c>
    </row>
    <row r="379" spans="6:57">
      <c r="F379" s="9"/>
      <c r="G379" s="22">
        <v>-9.8114000000000007E-2</v>
      </c>
      <c r="H379" s="22">
        <v>53.022300000000001</v>
      </c>
      <c r="I379" s="22">
        <v>-1.7562899999999999E-2</v>
      </c>
      <c r="J379" s="22">
        <v>369</v>
      </c>
      <c r="K379" s="22">
        <v>-9.8724400000000004E-2</v>
      </c>
      <c r="L379">
        <f t="shared" si="60"/>
        <v>17.562899999999999</v>
      </c>
      <c r="M379">
        <f t="shared" si="61"/>
        <v>-1.7231663706</v>
      </c>
      <c r="N379" s="9"/>
      <c r="O379" s="22">
        <v>1.7581199999999999</v>
      </c>
      <c r="P379" s="22">
        <v>102.26600000000001</v>
      </c>
      <c r="Q379" s="22">
        <v>0.13403300000000001</v>
      </c>
      <c r="R379" s="22">
        <v>369</v>
      </c>
      <c r="S379" s="22">
        <v>0.28301999999999999</v>
      </c>
      <c r="T379">
        <f t="shared" si="62"/>
        <v>-134.03300000000002</v>
      </c>
      <c r="U379">
        <f t="shared" si="63"/>
        <v>-235.64609796000002</v>
      </c>
      <c r="X379" s="9"/>
      <c r="Y379" s="22">
        <v>-9.8114000000000007E-2</v>
      </c>
      <c r="Z379" s="22">
        <v>151.66800000000001</v>
      </c>
      <c r="AA379" s="22">
        <v>-1.7513999999999998E-2</v>
      </c>
      <c r="AB379" s="22">
        <v>369</v>
      </c>
      <c r="AC379" s="22">
        <v>-9.8571800000000001E-2</v>
      </c>
      <c r="AD379">
        <f t="shared" si="64"/>
        <v>17.513999999999999</v>
      </c>
      <c r="AE379">
        <f t="shared" si="65"/>
        <v>-1.7183685960000001</v>
      </c>
      <c r="AF379" s="9"/>
      <c r="AG379" s="22">
        <v>1.7581199999999999</v>
      </c>
      <c r="AH379" s="22">
        <v>201.035</v>
      </c>
      <c r="AI379" s="22">
        <v>0.13394200000000001</v>
      </c>
      <c r="AJ379" s="22">
        <v>369</v>
      </c>
      <c r="AK379" s="22">
        <v>0.27636699999999997</v>
      </c>
      <c r="AL379">
        <f t="shared" si="66"/>
        <v>-133.94200000000001</v>
      </c>
      <c r="AM379">
        <f t="shared" si="67"/>
        <v>-235.48610904</v>
      </c>
      <c r="AP379" s="9"/>
      <c r="AQ379" s="22">
        <v>-9.8114000000000007E-2</v>
      </c>
      <c r="AR379" s="22">
        <v>250.31700000000001</v>
      </c>
      <c r="AS379" s="22">
        <v>-1.7517100000000001E-2</v>
      </c>
      <c r="AT379" s="22">
        <v>369</v>
      </c>
      <c r="AU379" s="22">
        <v>-9.8571800000000001E-2</v>
      </c>
      <c r="AV379">
        <f t="shared" si="68"/>
        <v>17.517099999999999</v>
      </c>
      <c r="AW379">
        <f t="shared" si="69"/>
        <v>-1.7186727494</v>
      </c>
      <c r="AX379" s="9"/>
      <c r="AY379" s="22">
        <v>1.7581199999999999</v>
      </c>
      <c r="AZ379" s="22">
        <v>299.68400000000003</v>
      </c>
      <c r="BA379" s="22">
        <v>0.13589499999999999</v>
      </c>
      <c r="BB379" s="22">
        <v>369</v>
      </c>
      <c r="BC379" s="22">
        <v>0.27276600000000001</v>
      </c>
      <c r="BD379">
        <f t="shared" si="70"/>
        <v>-135.89499999999998</v>
      </c>
      <c r="BE379">
        <f t="shared" si="71"/>
        <v>-238.91971739999997</v>
      </c>
    </row>
    <row r="380" spans="6:57">
      <c r="F380" s="9"/>
      <c r="G380" s="22">
        <v>-0.103149</v>
      </c>
      <c r="H380" s="22">
        <v>53.032400000000003</v>
      </c>
      <c r="I380" s="22">
        <v>-1.7562899999999999E-2</v>
      </c>
      <c r="J380" s="22">
        <v>370</v>
      </c>
      <c r="K380" s="22">
        <v>-0.103302</v>
      </c>
      <c r="L380">
        <f t="shared" si="60"/>
        <v>17.562899999999999</v>
      </c>
      <c r="M380">
        <f t="shared" si="61"/>
        <v>-1.8115955720999999</v>
      </c>
      <c r="N380" s="9"/>
      <c r="O380" s="22">
        <v>1.76315</v>
      </c>
      <c r="P380" s="22">
        <v>102.276</v>
      </c>
      <c r="Q380" s="22">
        <v>0.13409399999999999</v>
      </c>
      <c r="R380" s="22">
        <v>370</v>
      </c>
      <c r="S380" s="22">
        <v>0.283997</v>
      </c>
      <c r="T380">
        <f t="shared" si="62"/>
        <v>-134.09399999999999</v>
      </c>
      <c r="U380">
        <f t="shared" si="63"/>
        <v>-236.42783609999998</v>
      </c>
      <c r="X380" s="9"/>
      <c r="Y380" s="22">
        <v>-0.103149</v>
      </c>
      <c r="Z380" s="22">
        <v>151.678</v>
      </c>
      <c r="AA380" s="22">
        <v>-1.7513999999999998E-2</v>
      </c>
      <c r="AB380" s="22">
        <v>370</v>
      </c>
      <c r="AC380" s="22">
        <v>-0.103882</v>
      </c>
      <c r="AD380">
        <f t="shared" si="64"/>
        <v>17.513999999999999</v>
      </c>
      <c r="AE380">
        <f t="shared" si="65"/>
        <v>-1.8065515860000001</v>
      </c>
      <c r="AF380" s="9"/>
      <c r="AG380" s="22">
        <v>1.76315</v>
      </c>
      <c r="AH380" s="22">
        <v>201.04499999999999</v>
      </c>
      <c r="AI380" s="22">
        <v>0.13409399999999999</v>
      </c>
      <c r="AJ380" s="22">
        <v>370</v>
      </c>
      <c r="AK380" s="22">
        <v>0.27685500000000002</v>
      </c>
      <c r="AL380">
        <f t="shared" si="66"/>
        <v>-134.09399999999999</v>
      </c>
      <c r="AM380">
        <f t="shared" si="67"/>
        <v>-236.42783609999998</v>
      </c>
      <c r="AP380" s="9"/>
      <c r="AQ380" s="22">
        <v>-0.103149</v>
      </c>
      <c r="AR380" s="22">
        <v>250.327</v>
      </c>
      <c r="AS380" s="22">
        <v>-1.75201E-2</v>
      </c>
      <c r="AT380" s="22">
        <v>370</v>
      </c>
      <c r="AU380" s="22">
        <v>-0.103516</v>
      </c>
      <c r="AV380">
        <f t="shared" si="68"/>
        <v>17.520099999999999</v>
      </c>
      <c r="AW380">
        <f t="shared" si="69"/>
        <v>-1.8071807949000001</v>
      </c>
      <c r="AX380" s="9"/>
      <c r="AY380" s="22">
        <v>1.76315</v>
      </c>
      <c r="AZ380" s="22">
        <v>299.69400000000002</v>
      </c>
      <c r="BA380" s="22">
        <v>0.135986</v>
      </c>
      <c r="BB380" s="22">
        <v>370</v>
      </c>
      <c r="BC380" s="22">
        <v>0.27258300000000002</v>
      </c>
      <c r="BD380">
        <f t="shared" si="70"/>
        <v>-135.98599999999999</v>
      </c>
      <c r="BE380">
        <f t="shared" si="71"/>
        <v>-239.76371589999999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1.7594512077347455</v>
      </c>
      <c r="C3">
        <f ca="1">INDEX(INDIRECT(A3&amp;"!B11"):INDIRECT(A3&amp;"!B21"),MATCH(E3,INDIRECT(A3&amp;"!D11"):INDIRECT(A3&amp;"!D21"),0))</f>
        <v>15.4572</v>
      </c>
      <c r="D3">
        <f ca="1">INDEX(INDIRECT(A3&amp;"!C11"):INDIRECT(A3&amp;"!C21"),MATCH(E3,INDIRECT(A3&amp;"!D11"):INDIRECT(A3&amp;"!D21"),0))</f>
        <v>0.80488262978410097</v>
      </c>
      <c r="E3">
        <f t="shared" ref="E3" ca="1" si="0">MAX(INDIRECT(A3&amp; "!D11"),INDIRECT(A3 &amp; "!D13"),INDIRECT(A3 &amp; "!D15"),INDIRECT(A3 &amp; "!D17"),INDIRECT(A3 &amp; "!D19"),INDIRECT(A3 &amp; "!D21"))</f>
        <v>21.889740289999995</v>
      </c>
      <c r="G3">
        <f ca="1">INDEX(INDIRECT(A3&amp;"!A12"):INDIRECT(A3&amp;"!A22"),MATCH(J3,INDIRECT(A3&amp;"!D12"):INDIRECT(A3&amp;"!D22"),0))</f>
        <v>1.7493737866416079</v>
      </c>
      <c r="H3">
        <f ca="1">INDEX(INDIRECT(A3&amp;"!B12"):INDIRECT(A3&amp;"!B22"),MATCH(J3,INDIRECT(A3&amp;"!D12"):INDIRECT(A3&amp;"!D22"),0))</f>
        <v>15.466563909216102</v>
      </c>
      <c r="I3">
        <f ca="1">INDEX(INDIRECT(A3&amp;"!C12"):INDIRECT(A3&amp;"!C22"),MATCH(J3,INDIRECT(A3&amp;"!D12"):INDIRECT(A3&amp;"!D22"),0))</f>
        <v>0.78304766835684092</v>
      </c>
      <c r="J3">
        <f t="shared" ref="J3" ca="1" si="1">MAX(INDIRECT(A3&amp; "!D12"),INDIRECT(A3 &amp; "!D14"),INDIRECT(A3 &amp; "!D16"),INDIRECT(A3 &amp; "!D18"),INDIRECT(A3 &amp; "!D20"),,INDIRECT(A3 &amp; "!D22"))</f>
        <v>21.186765305999995</v>
      </c>
      <c r="L3">
        <f ca="1">INDEX(INDIRECT(A3&amp;"!E11"):INDIRECT(A3&amp;"!E21"),MATCH(E3,INDIRECT(A3&amp;"!D11"):INDIRECT(A3&amp;"!D21"),0))</f>
        <v>3.2114359269997577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1.725483077636095</v>
      </c>
      <c r="C4">
        <f ca="1">INDEX(INDIRECT(A4&amp;"!B11"):INDIRECT(A4&amp;"!B21"),MATCH(E4,INDIRECT(A4&amp;"!D11"):INDIRECT(A4&amp;"!D21"),0))</f>
        <v>17.54582944492941</v>
      </c>
      <c r="D4">
        <f ca="1">INDEX(INDIRECT(A4&amp;"!C11"):INDIRECT(A4&amp;"!C21"),MATCH(E4,INDIRECT(A4&amp;"!D11"):INDIRECT(A4&amp;"!D21"),0))</f>
        <v>0.82538585310400969</v>
      </c>
      <c r="E4">
        <f t="shared" ref="E4" ca="1" si="2">MAX(INDIRECT(A4&amp; "!D11"),INDIRECT(A4 &amp; "!D13"),INDIRECT(A4 &amp; "!D15"),INDIRECT(A4 &amp; "!D17"),INDIRECT(A4 &amp; "!D19"),INDIRECT(A4 &amp; "!D21"))</f>
        <v>24.988582942000008</v>
      </c>
      <c r="G4">
        <f ca="1">INDEX(INDIRECT(A4&amp;"!A12"):INDIRECT(A4&amp;"!A22"),MATCH(J4,INDIRECT(A4&amp;"!D12"):INDIRECT(A4&amp;"!D22"),0))</f>
        <v>0.77767378599200887</v>
      </c>
      <c r="H4">
        <f ca="1">INDEX(INDIRECT(A4&amp;"!B12"):INDIRECT(A4&amp;"!B22"),MATCH(J4,INDIRECT(A4&amp;"!D12"):INDIRECT(A4&amp;"!D22"),0))</f>
        <v>17.074532594871322</v>
      </c>
      <c r="I4">
        <f ca="1">INDEX(INDIRECT(A4&amp;"!C12"):INDIRECT(A4&amp;"!C22"),MATCH(J4,INDIRECT(A4&amp;"!D12"):INDIRECT(A4&amp;"!D22"),0))</f>
        <v>1.2520712952723323</v>
      </c>
      <c r="J4">
        <f t="shared" ref="J4" ca="1" si="3">MAX(INDIRECT(A4&amp; "!D12"),INDIRECT(A4 &amp; "!D14"),INDIRECT(A4 &amp; "!D16"),INDIRECT(A4 &amp; "!D18"),INDIRECT(A4 &amp; "!D20"),,INDIRECT(A4 &amp; "!D22"))</f>
        <v>16.625524030000005</v>
      </c>
      <c r="L4">
        <f ca="1">INDEX(INDIRECT(A4&amp;"!E11"):INDIRECT(A4&amp;"!E21"),MATCH(E4,INDIRECT(A4&amp;"!D11"):INDIRECT(A4&amp;"!D21"),0))</f>
        <v>57.675976928552011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20230228T090000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2023-03-01T14:03:45Z</dcterms:modified>
</cp:coreProperties>
</file>